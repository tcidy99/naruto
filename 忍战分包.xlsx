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97E9C77E-4F31-47FA-BE47-9D8310B863F5}" xr6:coauthVersionLast="47" xr6:coauthVersionMax="47" xr10:uidLastSave="{00000000-0000-0000-0000-000000000000}"/>
  <bookViews>
    <workbookView xWindow="-108" yWindow="-108" windowWidth="23256" windowHeight="12576" firstSheet="13" activeTab="21" xr2:uid="{00000000-000D-0000-FFFF-FFFF00000000}"/>
  </bookViews>
  <sheets>
    <sheet name="Aug 7 21" sheetId="117" r:id="rId1"/>
    <sheet name="Aug 14 21" sheetId="118" r:id="rId2"/>
    <sheet name="Aug 21 21" sheetId="119" r:id="rId3"/>
    <sheet name="Aug 28 21" sheetId="120" r:id="rId4"/>
    <sheet name="Sep 4 21" sheetId="121" r:id="rId5"/>
    <sheet name="Sep 11 21" sheetId="122" r:id="rId6"/>
    <sheet name="Sep 18 21" sheetId="123" r:id="rId7"/>
    <sheet name="Sep 25 21" sheetId="124" r:id="rId8"/>
    <sheet name="Oct 2 21" sheetId="125" r:id="rId9"/>
    <sheet name="Oct 9 21" sheetId="126" r:id="rId10"/>
    <sheet name="Oct 16 21" sheetId="127" r:id="rId11"/>
    <sheet name="Oct 23 21" sheetId="128" r:id="rId12"/>
    <sheet name="Oct 30 21" sheetId="129" r:id="rId13"/>
    <sheet name="Nov 6 21" sheetId="130" r:id="rId14"/>
    <sheet name="Nov 13 21" sheetId="131" r:id="rId15"/>
    <sheet name="Nov 20 21" sheetId="132" r:id="rId16"/>
    <sheet name="Nov 27 21" sheetId="133" r:id="rId17"/>
    <sheet name="Dec 4 21" sheetId="134" r:id="rId18"/>
    <sheet name="Dec 11 21" sheetId="135" r:id="rId19"/>
    <sheet name="Dec 18 21" sheetId="136" r:id="rId20"/>
    <sheet name="Dec 25 21" sheetId="137" r:id="rId21"/>
    <sheet name="Jan 2 22" sheetId="138" r:id="rId22"/>
  </sheets>
  <definedNames>
    <definedName name="_xlnm._FilterDatabase" localSheetId="1" hidden="1">'Aug 14 21'!$A$4:$W$69</definedName>
    <definedName name="_xlnm._FilterDatabase" localSheetId="2" hidden="1">'Aug 21 21'!$A$4:$W$69</definedName>
    <definedName name="_xlnm._FilterDatabase" localSheetId="3" hidden="1">'Aug 28 21'!$A$4:$W$69</definedName>
    <definedName name="_xlnm._FilterDatabase" localSheetId="0" hidden="1">'Aug 7 21'!$A$4:$W$69</definedName>
    <definedName name="_xlnm._FilterDatabase" localSheetId="18" hidden="1">'Dec 11 21'!$A$4:$W$83</definedName>
    <definedName name="_xlnm._FilterDatabase" localSheetId="19" hidden="1">'Dec 18 21'!$A$4:$W$83</definedName>
    <definedName name="_xlnm._FilterDatabase" localSheetId="20" hidden="1">'Dec 25 21'!$A$4:$W$83</definedName>
    <definedName name="_xlnm._FilterDatabase" localSheetId="17" hidden="1">'Dec 4 21'!$A$4:$W$83</definedName>
    <definedName name="_xlnm._FilterDatabase" localSheetId="21" hidden="1">'Jan 2 22'!$A$4:$W$83</definedName>
    <definedName name="_xlnm._FilterDatabase" localSheetId="14" hidden="1">'Nov 13 21'!$A$4:$W$70</definedName>
    <definedName name="_xlnm._FilterDatabase" localSheetId="15" hidden="1">'Nov 20 21'!$A$4:$W$70</definedName>
    <definedName name="_xlnm._FilterDatabase" localSheetId="16" hidden="1">'Nov 27 21'!$A$4:$W$75</definedName>
    <definedName name="_xlnm._FilterDatabase" localSheetId="13" hidden="1">'Nov 6 21'!$A$4:$W$70</definedName>
    <definedName name="_xlnm._FilterDatabase" localSheetId="10" hidden="1">'Oct 16 21'!$A$4:$W$70</definedName>
    <definedName name="_xlnm._FilterDatabase" localSheetId="8" hidden="1">'Oct 2 21'!$A$4:$W$70</definedName>
    <definedName name="_xlnm._FilterDatabase" localSheetId="11" hidden="1">'Oct 23 21'!$A$4:$W$70</definedName>
    <definedName name="_xlnm._FilterDatabase" localSheetId="12" hidden="1">'Oct 30 21'!$A$4:$W$70</definedName>
    <definedName name="_xlnm._FilterDatabase" localSheetId="9" hidden="1">'Oct 9 21'!$A$4:$W$70</definedName>
    <definedName name="_xlnm._FilterDatabase" localSheetId="5" hidden="1">'Sep 11 21'!$A$4:$W$70</definedName>
    <definedName name="_xlnm._FilterDatabase" localSheetId="6" hidden="1">'Sep 18 21'!$A$4:$W$70</definedName>
    <definedName name="_xlnm._FilterDatabase" localSheetId="7" hidden="1">'Sep 25 21'!$A$4:$W$70</definedName>
    <definedName name="_xlnm._FilterDatabase" localSheetId="4" hidden="1">'Sep 4 21'!$A$4:$W$70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38" l="1"/>
  <c r="A3" i="136"/>
  <c r="A3" i="134"/>
  <c r="A3" i="132"/>
  <c r="A3" i="130"/>
  <c r="A3" i="128"/>
  <c r="A3" i="126"/>
  <c r="A3" i="124"/>
  <c r="A3" i="122"/>
  <c r="A3" i="120"/>
  <c r="A3" i="118"/>
  <c r="S81" i="138"/>
  <c r="N81" i="138"/>
  <c r="M81" i="138"/>
  <c r="L81" i="138"/>
  <c r="S80" i="138"/>
  <c r="N80" i="138"/>
  <c r="M80" i="138"/>
  <c r="L80" i="138"/>
  <c r="S79" i="138"/>
  <c r="N79" i="138"/>
  <c r="M79" i="138"/>
  <c r="L79" i="138"/>
  <c r="S76" i="138"/>
  <c r="N76" i="138"/>
  <c r="M76" i="138"/>
  <c r="L76" i="138"/>
  <c r="S74" i="138"/>
  <c r="N74" i="138"/>
  <c r="M74" i="138"/>
  <c r="L74" i="138"/>
  <c r="S72" i="138"/>
  <c r="N72" i="138"/>
  <c r="M72" i="138"/>
  <c r="L72" i="138"/>
  <c r="S70" i="138"/>
  <c r="N70" i="138"/>
  <c r="M70" i="138"/>
  <c r="L70" i="138"/>
  <c r="S78" i="138"/>
  <c r="N78" i="138"/>
  <c r="M78" i="138"/>
  <c r="L78" i="138"/>
  <c r="S67" i="138"/>
  <c r="N67" i="138"/>
  <c r="M67" i="138"/>
  <c r="L67" i="138"/>
  <c r="S63" i="138"/>
  <c r="N63" i="138"/>
  <c r="M63" i="138"/>
  <c r="L63" i="138"/>
  <c r="S83" i="138"/>
  <c r="N83" i="138"/>
  <c r="M83" i="138"/>
  <c r="L83" i="138"/>
  <c r="S82" i="138"/>
  <c r="N82" i="138"/>
  <c r="M82" i="138"/>
  <c r="L82" i="138"/>
  <c r="S77" i="138"/>
  <c r="N77" i="138"/>
  <c r="M77" i="138"/>
  <c r="L77" i="138"/>
  <c r="S75" i="138"/>
  <c r="N75" i="138"/>
  <c r="M75" i="138"/>
  <c r="L75" i="138"/>
  <c r="S73" i="138"/>
  <c r="N73" i="138"/>
  <c r="M73" i="138"/>
  <c r="L73" i="138"/>
  <c r="S71" i="138"/>
  <c r="N71" i="138"/>
  <c r="M71" i="138"/>
  <c r="L71" i="138"/>
  <c r="S69" i="138"/>
  <c r="N69" i="138"/>
  <c r="M69" i="138"/>
  <c r="L69" i="138"/>
  <c r="S68" i="138"/>
  <c r="N68" i="138"/>
  <c r="M68" i="138"/>
  <c r="L68" i="138"/>
  <c r="S65" i="138"/>
  <c r="N65" i="138"/>
  <c r="M65" i="138"/>
  <c r="L65" i="138"/>
  <c r="S64" i="138"/>
  <c r="N64" i="138"/>
  <c r="M64" i="138"/>
  <c r="L64" i="138"/>
  <c r="S62" i="138"/>
  <c r="N62" i="138"/>
  <c r="M62" i="138"/>
  <c r="L62" i="138"/>
  <c r="S60" i="138"/>
  <c r="N60" i="138"/>
  <c r="M60" i="138"/>
  <c r="L60" i="138"/>
  <c r="S66" i="138"/>
  <c r="N66" i="138"/>
  <c r="M66" i="138"/>
  <c r="L66" i="138"/>
  <c r="S61" i="138"/>
  <c r="N61" i="138"/>
  <c r="M61" i="138"/>
  <c r="L61" i="138"/>
  <c r="N56" i="138"/>
  <c r="M56" i="138"/>
  <c r="L56" i="138"/>
  <c r="S58" i="138"/>
  <c r="N58" i="138"/>
  <c r="M58" i="138"/>
  <c r="L58" i="138"/>
  <c r="S57" i="138"/>
  <c r="N57" i="138"/>
  <c r="M57" i="138"/>
  <c r="L57" i="138"/>
  <c r="N53" i="138"/>
  <c r="M53" i="138"/>
  <c r="L53" i="138"/>
  <c r="N54" i="138"/>
  <c r="M54" i="138"/>
  <c r="L54" i="138"/>
  <c r="N55" i="138"/>
  <c r="M55" i="138"/>
  <c r="L55" i="138"/>
  <c r="S59" i="138"/>
  <c r="N59" i="138"/>
  <c r="M59" i="138"/>
  <c r="L59" i="138"/>
  <c r="N52" i="138"/>
  <c r="M52" i="138"/>
  <c r="L52" i="138"/>
  <c r="S51" i="138"/>
  <c r="N51" i="138"/>
  <c r="M51" i="138"/>
  <c r="L51" i="138"/>
  <c r="S50" i="138"/>
  <c r="N50" i="138"/>
  <c r="M50" i="138"/>
  <c r="L50" i="138"/>
  <c r="S49" i="138"/>
  <c r="N49" i="138"/>
  <c r="M49" i="138"/>
  <c r="L49" i="138"/>
  <c r="S48" i="138"/>
  <c r="N48" i="138"/>
  <c r="M48" i="138"/>
  <c r="L48" i="138"/>
  <c r="N45" i="138"/>
  <c r="M45" i="138"/>
  <c r="L45" i="138"/>
  <c r="N46" i="138"/>
  <c r="M46" i="138"/>
  <c r="L46" i="138"/>
  <c r="S47" i="138"/>
  <c r="N47" i="138"/>
  <c r="M47" i="138"/>
  <c r="L47" i="138"/>
  <c r="N43" i="138"/>
  <c r="M43" i="138"/>
  <c r="L43" i="138"/>
  <c r="S44" i="138"/>
  <c r="N44" i="138"/>
  <c r="M44" i="138"/>
  <c r="L44" i="138"/>
  <c r="N39" i="138"/>
  <c r="M39" i="138"/>
  <c r="L39" i="138"/>
  <c r="N41" i="138"/>
  <c r="M41" i="138"/>
  <c r="L41" i="138"/>
  <c r="N35" i="138"/>
  <c r="M35" i="138"/>
  <c r="L35" i="138"/>
  <c r="S40" i="138"/>
  <c r="N40" i="138"/>
  <c r="M40" i="138"/>
  <c r="L40" i="138"/>
  <c r="S38" i="138"/>
  <c r="N38" i="138"/>
  <c r="M38" i="138"/>
  <c r="L38" i="138"/>
  <c r="S37" i="138"/>
  <c r="N37" i="138"/>
  <c r="M37" i="138"/>
  <c r="L37" i="138"/>
  <c r="S42" i="138"/>
  <c r="N42" i="138"/>
  <c r="M42" i="138"/>
  <c r="L42" i="138"/>
  <c r="S36" i="138"/>
  <c r="N36" i="138"/>
  <c r="M36" i="138"/>
  <c r="L36" i="138"/>
  <c r="N30" i="138"/>
  <c r="M30" i="138"/>
  <c r="L30" i="138"/>
  <c r="S28" i="138"/>
  <c r="N28" i="138"/>
  <c r="M28" i="138"/>
  <c r="L28" i="138"/>
  <c r="N33" i="138"/>
  <c r="M33" i="138"/>
  <c r="L33" i="138"/>
  <c r="N16" i="138"/>
  <c r="M16" i="138"/>
  <c r="L16" i="138"/>
  <c r="N20" i="138"/>
  <c r="M20" i="138"/>
  <c r="L20" i="138"/>
  <c r="S29" i="138"/>
  <c r="N29" i="138"/>
  <c r="M29" i="138"/>
  <c r="L29" i="138"/>
  <c r="N15" i="138"/>
  <c r="M15" i="138"/>
  <c r="L15" i="138"/>
  <c r="S32" i="138"/>
  <c r="N32" i="138"/>
  <c r="M32" i="138"/>
  <c r="L32" i="138"/>
  <c r="N13" i="138"/>
  <c r="M13" i="138"/>
  <c r="L13" i="138"/>
  <c r="N5" i="138"/>
  <c r="M5" i="138"/>
  <c r="L5" i="138"/>
  <c r="N11" i="138"/>
  <c r="M11" i="138"/>
  <c r="L11" i="138"/>
  <c r="N8" i="138"/>
  <c r="M8" i="138"/>
  <c r="L8" i="138"/>
  <c r="N14" i="138"/>
  <c r="M14" i="138"/>
  <c r="L14" i="138"/>
  <c r="N7" i="138"/>
  <c r="M7" i="138"/>
  <c r="L7" i="138"/>
  <c r="N12" i="138"/>
  <c r="M12" i="138"/>
  <c r="L12" i="138"/>
  <c r="N9" i="138"/>
  <c r="M9" i="138"/>
  <c r="L9" i="138"/>
  <c r="N27" i="138"/>
  <c r="M27" i="138"/>
  <c r="L27" i="138"/>
  <c r="N25" i="138"/>
  <c r="M25" i="138"/>
  <c r="L25" i="138"/>
  <c r="S24" i="138"/>
  <c r="N24" i="138"/>
  <c r="M24" i="138"/>
  <c r="L24" i="138"/>
  <c r="N31" i="138"/>
  <c r="M31" i="138"/>
  <c r="L31" i="138"/>
  <c r="N21" i="138"/>
  <c r="M21" i="138"/>
  <c r="L21" i="138"/>
  <c r="N19" i="138"/>
  <c r="M19" i="138"/>
  <c r="L19" i="138"/>
  <c r="S18" i="138"/>
  <c r="N18" i="138"/>
  <c r="M18" i="138"/>
  <c r="L18" i="138"/>
  <c r="N34" i="138"/>
  <c r="M34" i="138"/>
  <c r="L34" i="138"/>
  <c r="S10" i="138"/>
  <c r="N10" i="138"/>
  <c r="M10" i="138"/>
  <c r="L10" i="138"/>
  <c r="Y9" i="138"/>
  <c r="N26" i="138"/>
  <c r="M26" i="138"/>
  <c r="L26" i="138"/>
  <c r="Y8" i="138"/>
  <c r="N23" i="138"/>
  <c r="M23" i="138"/>
  <c r="L23" i="138"/>
  <c r="Y7" i="138"/>
  <c r="N22" i="138"/>
  <c r="M22" i="138"/>
  <c r="L22" i="138"/>
  <c r="S6" i="138"/>
  <c r="N6" i="138"/>
  <c r="M6" i="138"/>
  <c r="L6" i="138"/>
  <c r="Y5" i="138"/>
  <c r="S54" i="138" s="1"/>
  <c r="N17" i="138"/>
  <c r="M17" i="138"/>
  <c r="L17" i="138"/>
  <c r="Y4" i="138"/>
  <c r="S16" i="138" s="1"/>
  <c r="Y3" i="138"/>
  <c r="S7" i="138" s="1"/>
  <c r="B1" i="138"/>
  <c r="S83" i="137"/>
  <c r="N83" i="137"/>
  <c r="M83" i="137"/>
  <c r="L83" i="137"/>
  <c r="S80" i="137"/>
  <c r="N80" i="137"/>
  <c r="M80" i="137"/>
  <c r="L80" i="137"/>
  <c r="P80" i="137" s="1"/>
  <c r="R80" i="137" s="1"/>
  <c r="S78" i="137"/>
  <c r="N78" i="137"/>
  <c r="M78" i="137"/>
  <c r="L78" i="137"/>
  <c r="S77" i="137"/>
  <c r="N77" i="137"/>
  <c r="M77" i="137"/>
  <c r="L77" i="137"/>
  <c r="S74" i="137"/>
  <c r="N74" i="137"/>
  <c r="M74" i="137"/>
  <c r="L74" i="137"/>
  <c r="P74" i="137" s="1"/>
  <c r="R74" i="137" s="1"/>
  <c r="S73" i="137"/>
  <c r="N73" i="137"/>
  <c r="M73" i="137"/>
  <c r="L73" i="137"/>
  <c r="S72" i="137"/>
  <c r="N72" i="137"/>
  <c r="M72" i="137"/>
  <c r="L72" i="137"/>
  <c r="S71" i="137"/>
  <c r="N71" i="137"/>
  <c r="M71" i="137"/>
  <c r="L71" i="137"/>
  <c r="S66" i="137"/>
  <c r="N66" i="137"/>
  <c r="M66" i="137"/>
  <c r="L66" i="137"/>
  <c r="S63" i="137"/>
  <c r="N63" i="137"/>
  <c r="M63" i="137"/>
  <c r="L63" i="137"/>
  <c r="S79" i="137"/>
  <c r="N79" i="137"/>
  <c r="M79" i="137"/>
  <c r="L79" i="137"/>
  <c r="N76" i="137"/>
  <c r="M76" i="137"/>
  <c r="L76" i="137"/>
  <c r="S82" i="137"/>
  <c r="N82" i="137"/>
  <c r="M82" i="137"/>
  <c r="L82" i="137"/>
  <c r="S81" i="137"/>
  <c r="N81" i="137"/>
  <c r="M81" i="137"/>
  <c r="L81" i="137"/>
  <c r="S70" i="137"/>
  <c r="N70" i="137"/>
  <c r="M70" i="137"/>
  <c r="L70" i="137"/>
  <c r="S67" i="137"/>
  <c r="N67" i="137"/>
  <c r="M67" i="137"/>
  <c r="L67" i="137"/>
  <c r="S69" i="137"/>
  <c r="P69" i="137"/>
  <c r="R69" i="137" s="1"/>
  <c r="T69" i="137" s="1"/>
  <c r="N69" i="137"/>
  <c r="M69" i="137"/>
  <c r="L69" i="137"/>
  <c r="S68" i="137"/>
  <c r="N68" i="137"/>
  <c r="M68" i="137"/>
  <c r="L68" i="137"/>
  <c r="S65" i="137"/>
  <c r="N65" i="137"/>
  <c r="M65" i="137"/>
  <c r="L65" i="137"/>
  <c r="S64" i="137"/>
  <c r="N64" i="137"/>
  <c r="M64" i="137"/>
  <c r="L64" i="137"/>
  <c r="S62" i="137"/>
  <c r="N62" i="137"/>
  <c r="M62" i="137"/>
  <c r="L62" i="137"/>
  <c r="S75" i="137"/>
  <c r="N75" i="137"/>
  <c r="M75" i="137"/>
  <c r="L75" i="137"/>
  <c r="S61" i="137"/>
  <c r="N61" i="137"/>
  <c r="M61" i="137"/>
  <c r="L61" i="137"/>
  <c r="S60" i="137"/>
  <c r="N60" i="137"/>
  <c r="M60" i="137"/>
  <c r="L60" i="137"/>
  <c r="N59" i="137"/>
  <c r="M59" i="137"/>
  <c r="L59" i="137"/>
  <c r="S58" i="137"/>
  <c r="N58" i="137"/>
  <c r="M58" i="137"/>
  <c r="L58" i="137"/>
  <c r="S57" i="137"/>
  <c r="N57" i="137"/>
  <c r="M57" i="137"/>
  <c r="L57" i="137"/>
  <c r="S55" i="137"/>
  <c r="N55" i="137"/>
  <c r="M55" i="137"/>
  <c r="L55" i="137"/>
  <c r="N56" i="137"/>
  <c r="M56" i="137"/>
  <c r="L56" i="137"/>
  <c r="N48" i="137"/>
  <c r="M48" i="137"/>
  <c r="L48" i="137"/>
  <c r="N54" i="137"/>
  <c r="M54" i="137"/>
  <c r="L54" i="137"/>
  <c r="N47" i="137"/>
  <c r="M47" i="137"/>
  <c r="L47" i="137"/>
  <c r="S51" i="137"/>
  <c r="N51" i="137"/>
  <c r="M51" i="137"/>
  <c r="L51" i="137"/>
  <c r="S53" i="137"/>
  <c r="N53" i="137"/>
  <c r="M53" i="137"/>
  <c r="L53" i="137"/>
  <c r="S49" i="137"/>
  <c r="N49" i="137"/>
  <c r="M49" i="137"/>
  <c r="L49" i="137"/>
  <c r="N52" i="137"/>
  <c r="M52" i="137"/>
  <c r="L52" i="137"/>
  <c r="N46" i="137"/>
  <c r="M46" i="137"/>
  <c r="L46" i="137"/>
  <c r="S50" i="137"/>
  <c r="N50" i="137"/>
  <c r="M50" i="137"/>
  <c r="L50" i="137"/>
  <c r="S45" i="137"/>
  <c r="N45" i="137"/>
  <c r="M45" i="137"/>
  <c r="L45" i="137"/>
  <c r="N30" i="137"/>
  <c r="M30" i="137"/>
  <c r="L30" i="137"/>
  <c r="S43" i="137"/>
  <c r="N43" i="137"/>
  <c r="M43" i="137"/>
  <c r="L43" i="137"/>
  <c r="S39" i="137"/>
  <c r="N39" i="137"/>
  <c r="M39" i="137"/>
  <c r="L39" i="137"/>
  <c r="S36" i="137"/>
  <c r="N36" i="137"/>
  <c r="M36" i="137"/>
  <c r="L36" i="137"/>
  <c r="S15" i="137"/>
  <c r="N15" i="137"/>
  <c r="M15" i="137"/>
  <c r="L15" i="137"/>
  <c r="S34" i="137"/>
  <c r="N34" i="137"/>
  <c r="M34" i="137"/>
  <c r="L34" i="137"/>
  <c r="S35" i="137"/>
  <c r="N35" i="137"/>
  <c r="M35" i="137"/>
  <c r="L35" i="137"/>
  <c r="S37" i="137"/>
  <c r="N37" i="137"/>
  <c r="M37" i="137"/>
  <c r="L37" i="137"/>
  <c r="S19" i="137"/>
  <c r="N19" i="137"/>
  <c r="M19" i="137"/>
  <c r="L19" i="137"/>
  <c r="N18" i="137"/>
  <c r="M18" i="137"/>
  <c r="L18" i="137"/>
  <c r="N17" i="137"/>
  <c r="M17" i="137"/>
  <c r="L17" i="137"/>
  <c r="N26" i="137"/>
  <c r="M26" i="137"/>
  <c r="P26" i="137" s="1"/>
  <c r="R26" i="137" s="1"/>
  <c r="L26" i="137"/>
  <c r="N14" i="137"/>
  <c r="M14" i="137"/>
  <c r="L14" i="137"/>
  <c r="N12" i="137"/>
  <c r="M12" i="137"/>
  <c r="L12" i="137"/>
  <c r="N11" i="137"/>
  <c r="M11" i="137"/>
  <c r="L11" i="137"/>
  <c r="S29" i="137"/>
  <c r="N29" i="137"/>
  <c r="M29" i="137"/>
  <c r="L29" i="137"/>
  <c r="S9" i="137"/>
  <c r="N9" i="137"/>
  <c r="M9" i="137"/>
  <c r="L9" i="137"/>
  <c r="N8" i="137"/>
  <c r="M8" i="137"/>
  <c r="L8" i="137"/>
  <c r="S16" i="137"/>
  <c r="N16" i="137"/>
  <c r="M16" i="137"/>
  <c r="L16" i="137"/>
  <c r="N7" i="137"/>
  <c r="M7" i="137"/>
  <c r="L7" i="137"/>
  <c r="S20" i="137"/>
  <c r="N20" i="137"/>
  <c r="M20" i="137"/>
  <c r="L20" i="137"/>
  <c r="N13" i="137"/>
  <c r="M13" i="137"/>
  <c r="L13" i="137"/>
  <c r="N27" i="137"/>
  <c r="M27" i="137"/>
  <c r="L27" i="137"/>
  <c r="S5" i="137"/>
  <c r="N5" i="137"/>
  <c r="M5" i="137"/>
  <c r="L5" i="137"/>
  <c r="N32" i="137"/>
  <c r="M32" i="137"/>
  <c r="L32" i="137"/>
  <c r="N44" i="137"/>
  <c r="M44" i="137"/>
  <c r="L44" i="137"/>
  <c r="N42" i="137"/>
  <c r="M42" i="137"/>
  <c r="L42" i="137"/>
  <c r="N41" i="137"/>
  <c r="M41" i="137"/>
  <c r="L41" i="137"/>
  <c r="N38" i="137"/>
  <c r="M38" i="137"/>
  <c r="L38" i="137"/>
  <c r="S28" i="137"/>
  <c r="N28" i="137"/>
  <c r="M28" i="137"/>
  <c r="L28" i="137"/>
  <c r="N24" i="137"/>
  <c r="M24" i="137"/>
  <c r="L24" i="137"/>
  <c r="N21" i="137"/>
  <c r="M21" i="137"/>
  <c r="L21" i="137"/>
  <c r="N40" i="137"/>
  <c r="M40" i="137"/>
  <c r="P40" i="137" s="1"/>
  <c r="R40" i="137" s="1"/>
  <c r="L40" i="137"/>
  <c r="N31" i="137"/>
  <c r="M31" i="137"/>
  <c r="L31" i="137"/>
  <c r="S10" i="137"/>
  <c r="N10" i="137"/>
  <c r="M10" i="137"/>
  <c r="L10" i="137"/>
  <c r="Y9" i="137"/>
  <c r="S38" i="137" s="1"/>
  <c r="N23" i="137"/>
  <c r="M23" i="137"/>
  <c r="L23" i="137"/>
  <c r="Y8" i="137"/>
  <c r="N33" i="137"/>
  <c r="M33" i="137"/>
  <c r="L33" i="137"/>
  <c r="Y7" i="137"/>
  <c r="N25" i="137"/>
  <c r="M25" i="137"/>
  <c r="L25" i="137"/>
  <c r="S6" i="137"/>
  <c r="N6" i="137"/>
  <c r="M6" i="137"/>
  <c r="L6" i="137"/>
  <c r="Y5" i="137"/>
  <c r="N22" i="137"/>
  <c r="M22" i="137"/>
  <c r="L22" i="137"/>
  <c r="Y4" i="137"/>
  <c r="Y3" i="137"/>
  <c r="S33" i="137" s="1"/>
  <c r="B1" i="137"/>
  <c r="S83" i="136"/>
  <c r="N83" i="136"/>
  <c r="M83" i="136"/>
  <c r="L83" i="136"/>
  <c r="S82" i="136"/>
  <c r="N82" i="136"/>
  <c r="M82" i="136"/>
  <c r="L82" i="136"/>
  <c r="S78" i="136"/>
  <c r="N78" i="136"/>
  <c r="M78" i="136"/>
  <c r="L78" i="136"/>
  <c r="S76" i="136"/>
  <c r="N76" i="136"/>
  <c r="M76" i="136"/>
  <c r="L76" i="136"/>
  <c r="S75" i="136"/>
  <c r="N75" i="136"/>
  <c r="M75" i="136"/>
  <c r="L75" i="136"/>
  <c r="S73" i="136"/>
  <c r="N73" i="136"/>
  <c r="M73" i="136"/>
  <c r="L73" i="136"/>
  <c r="S70" i="136"/>
  <c r="N70" i="136"/>
  <c r="M70" i="136"/>
  <c r="L70" i="136"/>
  <c r="S68" i="136"/>
  <c r="N68" i="136"/>
  <c r="M68" i="136"/>
  <c r="L68" i="136"/>
  <c r="S67" i="136"/>
  <c r="N67" i="136"/>
  <c r="M67" i="136"/>
  <c r="L67" i="136"/>
  <c r="S66" i="136"/>
  <c r="N66" i="136"/>
  <c r="M66" i="136"/>
  <c r="L66" i="136"/>
  <c r="S80" i="136"/>
  <c r="N80" i="136"/>
  <c r="M80" i="136"/>
  <c r="L80" i="136"/>
  <c r="S81" i="136"/>
  <c r="N81" i="136"/>
  <c r="M81" i="136"/>
  <c r="L81" i="136"/>
  <c r="S77" i="136"/>
  <c r="N77" i="136"/>
  <c r="M77" i="136"/>
  <c r="L77" i="136"/>
  <c r="S79" i="136"/>
  <c r="N79" i="136"/>
  <c r="M79" i="136"/>
  <c r="L79" i="136"/>
  <c r="S74" i="136"/>
  <c r="N74" i="136"/>
  <c r="M74" i="136"/>
  <c r="L74" i="136"/>
  <c r="N72" i="136"/>
  <c r="M72" i="136"/>
  <c r="L72" i="136"/>
  <c r="S71" i="136"/>
  <c r="N71" i="136"/>
  <c r="M71" i="136"/>
  <c r="L71" i="136"/>
  <c r="N69" i="136"/>
  <c r="M69" i="136"/>
  <c r="L69" i="136"/>
  <c r="S65" i="136"/>
  <c r="N65" i="136"/>
  <c r="M65" i="136"/>
  <c r="L65" i="136"/>
  <c r="S64" i="136"/>
  <c r="N64" i="136"/>
  <c r="M64" i="136"/>
  <c r="L64" i="136"/>
  <c r="S63" i="136"/>
  <c r="N63" i="136"/>
  <c r="M63" i="136"/>
  <c r="L63" i="136"/>
  <c r="N55" i="136"/>
  <c r="M55" i="136"/>
  <c r="L55" i="136"/>
  <c r="S62" i="136"/>
  <c r="N62" i="136"/>
  <c r="M62" i="136"/>
  <c r="L62" i="136"/>
  <c r="S61" i="136"/>
  <c r="N61" i="136"/>
  <c r="M61" i="136"/>
  <c r="L61" i="136"/>
  <c r="N54" i="136"/>
  <c r="M54" i="136"/>
  <c r="L54" i="136"/>
  <c r="S58" i="136"/>
  <c r="N58" i="136"/>
  <c r="M58" i="136"/>
  <c r="L58" i="136"/>
  <c r="S57" i="136"/>
  <c r="N57" i="136"/>
  <c r="M57" i="136"/>
  <c r="L57" i="136"/>
  <c r="N59" i="136"/>
  <c r="M59" i="136"/>
  <c r="L59" i="136"/>
  <c r="N56" i="136"/>
  <c r="M56" i="136"/>
  <c r="L56" i="136"/>
  <c r="S60" i="136"/>
  <c r="N60" i="136"/>
  <c r="M60" i="136"/>
  <c r="L60" i="136"/>
  <c r="N52" i="136"/>
  <c r="M52" i="136"/>
  <c r="L52" i="136"/>
  <c r="N53" i="136"/>
  <c r="M53" i="136"/>
  <c r="L53" i="136"/>
  <c r="S51" i="136"/>
  <c r="N51" i="136"/>
  <c r="M51" i="136"/>
  <c r="L51" i="136"/>
  <c r="N50" i="136"/>
  <c r="M50" i="136"/>
  <c r="L50" i="136"/>
  <c r="S49" i="136"/>
  <c r="N49" i="136"/>
  <c r="M49" i="136"/>
  <c r="L49" i="136"/>
  <c r="N40" i="136"/>
  <c r="M40" i="136"/>
  <c r="L40" i="136"/>
  <c r="N48" i="136"/>
  <c r="M48" i="136"/>
  <c r="L48" i="136"/>
  <c r="N47" i="136"/>
  <c r="M47" i="136"/>
  <c r="L47" i="136"/>
  <c r="S46" i="136"/>
  <c r="N46" i="136"/>
  <c r="M46" i="136"/>
  <c r="L46" i="136"/>
  <c r="N36" i="136"/>
  <c r="M36" i="136"/>
  <c r="L36" i="136"/>
  <c r="N27" i="136"/>
  <c r="M27" i="136"/>
  <c r="L27" i="136"/>
  <c r="N45" i="136"/>
  <c r="M45" i="136"/>
  <c r="L45" i="136"/>
  <c r="N25" i="136"/>
  <c r="M25" i="136"/>
  <c r="L25" i="136"/>
  <c r="N43" i="136"/>
  <c r="M43" i="136"/>
  <c r="L43" i="136"/>
  <c r="S41" i="136"/>
  <c r="N41" i="136"/>
  <c r="M41" i="136"/>
  <c r="L41" i="136"/>
  <c r="S24" i="136"/>
  <c r="N24" i="136"/>
  <c r="M24" i="136"/>
  <c r="L24" i="136"/>
  <c r="S37" i="136"/>
  <c r="N37" i="136"/>
  <c r="M37" i="136"/>
  <c r="L37" i="136"/>
  <c r="N23" i="136"/>
  <c r="M23" i="136"/>
  <c r="L23" i="136"/>
  <c r="N39" i="136"/>
  <c r="M39" i="136"/>
  <c r="L39" i="136"/>
  <c r="N16" i="136"/>
  <c r="M16" i="136"/>
  <c r="L16" i="136"/>
  <c r="N20" i="136"/>
  <c r="M20" i="136"/>
  <c r="L20" i="136"/>
  <c r="N19" i="136"/>
  <c r="M19" i="136"/>
  <c r="L19" i="136"/>
  <c r="N18" i="136"/>
  <c r="M18" i="136"/>
  <c r="L18" i="136"/>
  <c r="N31" i="136"/>
  <c r="M31" i="136"/>
  <c r="L31" i="136"/>
  <c r="S29" i="136"/>
  <c r="N29" i="136"/>
  <c r="M29" i="136"/>
  <c r="L29" i="136"/>
  <c r="N38" i="136"/>
  <c r="M38" i="136"/>
  <c r="L38" i="136"/>
  <c r="S14" i="136"/>
  <c r="N14" i="136"/>
  <c r="M14" i="136"/>
  <c r="L14" i="136"/>
  <c r="N13" i="136"/>
  <c r="M13" i="136"/>
  <c r="L13" i="136"/>
  <c r="N11" i="136"/>
  <c r="M11" i="136"/>
  <c r="L11" i="136"/>
  <c r="N17" i="136"/>
  <c r="M17" i="136"/>
  <c r="L17" i="136"/>
  <c r="N9" i="136"/>
  <c r="M9" i="136"/>
  <c r="L9" i="136"/>
  <c r="N12" i="136"/>
  <c r="M12" i="136"/>
  <c r="L12" i="136"/>
  <c r="S8" i="136"/>
  <c r="N8" i="136"/>
  <c r="M8" i="136"/>
  <c r="L8" i="136"/>
  <c r="N7" i="136"/>
  <c r="M7" i="136"/>
  <c r="L7" i="136"/>
  <c r="N5" i="136"/>
  <c r="M5" i="136"/>
  <c r="L5" i="136"/>
  <c r="N30" i="136"/>
  <c r="M30" i="136"/>
  <c r="L30" i="136"/>
  <c r="N33" i="136"/>
  <c r="M33" i="136"/>
  <c r="L33" i="136"/>
  <c r="N44" i="136"/>
  <c r="M44" i="136"/>
  <c r="L44" i="136"/>
  <c r="S42" i="136"/>
  <c r="N42" i="136"/>
  <c r="M42" i="136"/>
  <c r="L42" i="136"/>
  <c r="N34" i="136"/>
  <c r="M34" i="136"/>
  <c r="L34" i="136"/>
  <c r="N22" i="136"/>
  <c r="M22" i="136"/>
  <c r="L22" i="136"/>
  <c r="N21" i="136"/>
  <c r="M21" i="136"/>
  <c r="L21" i="136"/>
  <c r="N32" i="136"/>
  <c r="M32" i="136"/>
  <c r="L32" i="136"/>
  <c r="S10" i="136"/>
  <c r="N10" i="136"/>
  <c r="M10" i="136"/>
  <c r="L10" i="136"/>
  <c r="Y9" i="136"/>
  <c r="N35" i="136"/>
  <c r="M35" i="136"/>
  <c r="L35" i="136"/>
  <c r="Y8" i="136"/>
  <c r="S44" i="136" s="1"/>
  <c r="N28" i="136"/>
  <c r="M28" i="136"/>
  <c r="L28" i="136"/>
  <c r="Y7" i="136"/>
  <c r="S26" i="136"/>
  <c r="N26" i="136"/>
  <c r="M26" i="136"/>
  <c r="L26" i="136"/>
  <c r="S6" i="136"/>
  <c r="N6" i="136"/>
  <c r="M6" i="136"/>
  <c r="L6" i="136"/>
  <c r="Y5" i="136"/>
  <c r="S72" i="136" s="1"/>
  <c r="N15" i="136"/>
  <c r="M15" i="136"/>
  <c r="L15" i="136"/>
  <c r="Y4" i="136"/>
  <c r="S16" i="136" s="1"/>
  <c r="Y3" i="136"/>
  <c r="S13" i="136" s="1"/>
  <c r="B1" i="136"/>
  <c r="S82" i="135"/>
  <c r="N82" i="135"/>
  <c r="M82" i="135"/>
  <c r="L82" i="135"/>
  <c r="S81" i="135"/>
  <c r="N81" i="135"/>
  <c r="M81" i="135"/>
  <c r="L81" i="135"/>
  <c r="S79" i="135"/>
  <c r="N79" i="135"/>
  <c r="M79" i="135"/>
  <c r="L79" i="135"/>
  <c r="S77" i="135"/>
  <c r="N77" i="135"/>
  <c r="M77" i="135"/>
  <c r="L77" i="135"/>
  <c r="S74" i="135"/>
  <c r="N74" i="135"/>
  <c r="M74" i="135"/>
  <c r="L74" i="135"/>
  <c r="S73" i="135"/>
  <c r="N73" i="135"/>
  <c r="M73" i="135"/>
  <c r="L73" i="135"/>
  <c r="S72" i="135"/>
  <c r="N72" i="135"/>
  <c r="M72" i="135"/>
  <c r="L72" i="135"/>
  <c r="S71" i="135"/>
  <c r="N71" i="135"/>
  <c r="M71" i="135"/>
  <c r="L71" i="135"/>
  <c r="S70" i="135"/>
  <c r="N70" i="135"/>
  <c r="M70" i="135"/>
  <c r="L70" i="135"/>
  <c r="S69" i="135"/>
  <c r="N69" i="135"/>
  <c r="M69" i="135"/>
  <c r="L69" i="135"/>
  <c r="S83" i="135"/>
  <c r="N83" i="135"/>
  <c r="M83" i="135"/>
  <c r="L83" i="135"/>
  <c r="S80" i="135"/>
  <c r="N80" i="135"/>
  <c r="M80" i="135"/>
  <c r="L80" i="135"/>
  <c r="S78" i="135"/>
  <c r="N78" i="135"/>
  <c r="M78" i="135"/>
  <c r="L78" i="135"/>
  <c r="S76" i="135"/>
  <c r="N76" i="135"/>
  <c r="M76" i="135"/>
  <c r="L76" i="135"/>
  <c r="N75" i="135"/>
  <c r="M75" i="135"/>
  <c r="L75" i="135"/>
  <c r="N62" i="135"/>
  <c r="M62" i="135"/>
  <c r="L62" i="135"/>
  <c r="N66" i="135"/>
  <c r="M66" i="135"/>
  <c r="L66" i="135"/>
  <c r="N68" i="135"/>
  <c r="M68" i="135"/>
  <c r="L68" i="135"/>
  <c r="S65" i="135"/>
  <c r="N65" i="135"/>
  <c r="M65" i="135"/>
  <c r="L65" i="135"/>
  <c r="S64" i="135"/>
  <c r="N64" i="135"/>
  <c r="M64" i="135"/>
  <c r="L64" i="135"/>
  <c r="N55" i="135"/>
  <c r="M55" i="135"/>
  <c r="L55" i="135"/>
  <c r="S67" i="135"/>
  <c r="N67" i="135"/>
  <c r="M67" i="135"/>
  <c r="L67" i="135"/>
  <c r="N61" i="135"/>
  <c r="M61" i="135"/>
  <c r="L61" i="135"/>
  <c r="N56" i="135"/>
  <c r="M56" i="135"/>
  <c r="L56" i="135"/>
  <c r="S63" i="135"/>
  <c r="N63" i="135"/>
  <c r="M63" i="135"/>
  <c r="L63" i="135"/>
  <c r="S58" i="135"/>
  <c r="N58" i="135"/>
  <c r="M58" i="135"/>
  <c r="L58" i="135"/>
  <c r="S57" i="135"/>
  <c r="N57" i="135"/>
  <c r="M57" i="135"/>
  <c r="L57" i="135"/>
  <c r="S60" i="135"/>
  <c r="N60" i="135"/>
  <c r="M60" i="135"/>
  <c r="L60" i="135"/>
  <c r="N40" i="135"/>
  <c r="M40" i="135"/>
  <c r="L40" i="135"/>
  <c r="N47" i="135"/>
  <c r="M47" i="135"/>
  <c r="L47" i="135"/>
  <c r="N46" i="135"/>
  <c r="M46" i="135"/>
  <c r="L46" i="135"/>
  <c r="N52" i="135"/>
  <c r="M52" i="135"/>
  <c r="L52" i="135"/>
  <c r="S51" i="135"/>
  <c r="N51" i="135"/>
  <c r="M51" i="135"/>
  <c r="L51" i="135"/>
  <c r="S54" i="135"/>
  <c r="N54" i="135"/>
  <c r="M54" i="135"/>
  <c r="L54" i="135"/>
  <c r="S49" i="135"/>
  <c r="N49" i="135"/>
  <c r="M49" i="135"/>
  <c r="L49" i="135"/>
  <c r="N45" i="135"/>
  <c r="M45" i="135"/>
  <c r="L45" i="135"/>
  <c r="N38" i="135"/>
  <c r="M38" i="135"/>
  <c r="L38" i="135"/>
  <c r="N20" i="135"/>
  <c r="M20" i="135"/>
  <c r="L20" i="135"/>
  <c r="N13" i="135"/>
  <c r="M13" i="135"/>
  <c r="L13" i="135"/>
  <c r="S22" i="135"/>
  <c r="N22" i="135"/>
  <c r="M22" i="135"/>
  <c r="L22" i="135"/>
  <c r="N39" i="135"/>
  <c r="M39" i="135"/>
  <c r="L39" i="135"/>
  <c r="N19" i="135"/>
  <c r="M19" i="135"/>
  <c r="L19" i="135"/>
  <c r="N18" i="135"/>
  <c r="M18" i="135"/>
  <c r="L18" i="135"/>
  <c r="N16" i="135"/>
  <c r="M16" i="135"/>
  <c r="L16" i="135"/>
  <c r="N15" i="135"/>
  <c r="M15" i="135"/>
  <c r="L15" i="135"/>
  <c r="N21" i="135"/>
  <c r="M21" i="135"/>
  <c r="L21" i="135"/>
  <c r="S37" i="135"/>
  <c r="N37" i="135"/>
  <c r="M37" i="135"/>
  <c r="L37" i="135"/>
  <c r="N9" i="135"/>
  <c r="M9" i="135"/>
  <c r="L9" i="135"/>
  <c r="N12" i="135"/>
  <c r="M12" i="135"/>
  <c r="L12" i="135"/>
  <c r="N28" i="135"/>
  <c r="M28" i="135"/>
  <c r="L28" i="135"/>
  <c r="N11" i="135"/>
  <c r="M11" i="135"/>
  <c r="L11" i="135"/>
  <c r="N31" i="135"/>
  <c r="M31" i="135"/>
  <c r="L31" i="135"/>
  <c r="N17" i="135"/>
  <c r="M17" i="135"/>
  <c r="L17" i="135"/>
  <c r="N8" i="135"/>
  <c r="M8" i="135"/>
  <c r="L8" i="135"/>
  <c r="S29" i="135"/>
  <c r="N29" i="135"/>
  <c r="M29" i="135"/>
  <c r="L29" i="135"/>
  <c r="N24" i="135"/>
  <c r="M24" i="135"/>
  <c r="L24" i="135"/>
  <c r="N5" i="135"/>
  <c r="M5" i="135"/>
  <c r="L5" i="135"/>
  <c r="N7" i="135"/>
  <c r="M7" i="135"/>
  <c r="L7" i="135"/>
  <c r="N14" i="135"/>
  <c r="M14" i="135"/>
  <c r="L14" i="135"/>
  <c r="N53" i="135"/>
  <c r="M53" i="135"/>
  <c r="L53" i="135"/>
  <c r="N34" i="135"/>
  <c r="M34" i="135"/>
  <c r="L34" i="135"/>
  <c r="N44" i="135"/>
  <c r="M44" i="135"/>
  <c r="L44" i="135"/>
  <c r="N43" i="135"/>
  <c r="M43" i="135"/>
  <c r="L43" i="135"/>
  <c r="S59" i="135"/>
  <c r="N59" i="135"/>
  <c r="M59" i="135"/>
  <c r="L59" i="135"/>
  <c r="N42" i="135"/>
  <c r="M42" i="135"/>
  <c r="L42" i="135"/>
  <c r="N41" i="135"/>
  <c r="M41" i="135"/>
  <c r="L41" i="135"/>
  <c r="N48" i="135"/>
  <c r="M48" i="135"/>
  <c r="L48" i="135"/>
  <c r="N36" i="135"/>
  <c r="M36" i="135"/>
  <c r="L36" i="135"/>
  <c r="N32" i="135"/>
  <c r="M32" i="135"/>
  <c r="L32" i="135"/>
  <c r="N35" i="135"/>
  <c r="M35" i="135"/>
  <c r="L35" i="135"/>
  <c r="N50" i="135"/>
  <c r="M50" i="135"/>
  <c r="L50" i="135"/>
  <c r="N33" i="135"/>
  <c r="M33" i="135"/>
  <c r="L33" i="135"/>
  <c r="S27" i="135"/>
  <c r="N27" i="135"/>
  <c r="M27" i="135"/>
  <c r="L27" i="135"/>
  <c r="S10" i="135"/>
  <c r="N10" i="135"/>
  <c r="M10" i="135"/>
  <c r="L10" i="135"/>
  <c r="Y9" i="135"/>
  <c r="S40" i="135" s="1"/>
  <c r="N30" i="135"/>
  <c r="M30" i="135"/>
  <c r="L30" i="135"/>
  <c r="Y8" i="135"/>
  <c r="N26" i="135"/>
  <c r="M26" i="135"/>
  <c r="L26" i="135"/>
  <c r="Y7" i="135"/>
  <c r="N25" i="135"/>
  <c r="M25" i="135"/>
  <c r="L25" i="135"/>
  <c r="S6" i="135"/>
  <c r="N6" i="135"/>
  <c r="M6" i="135"/>
  <c r="L6" i="135"/>
  <c r="Y5" i="135"/>
  <c r="S68" i="135" s="1"/>
  <c r="N23" i="135"/>
  <c r="M23" i="135"/>
  <c r="L23" i="135"/>
  <c r="Y4" i="135"/>
  <c r="S41" i="135" s="1"/>
  <c r="Y3" i="135"/>
  <c r="S26" i="135" s="1"/>
  <c r="B1" i="135"/>
  <c r="N48" i="134"/>
  <c r="M48" i="134"/>
  <c r="L48" i="134"/>
  <c r="N28" i="134"/>
  <c r="M28" i="134"/>
  <c r="L28" i="134"/>
  <c r="N16" i="134"/>
  <c r="M16" i="134"/>
  <c r="L16" i="134"/>
  <c r="S33" i="134"/>
  <c r="N33" i="134"/>
  <c r="M33" i="134"/>
  <c r="L33" i="134"/>
  <c r="N61" i="134"/>
  <c r="M61" i="134"/>
  <c r="L61" i="134"/>
  <c r="N32" i="134"/>
  <c r="M32" i="134"/>
  <c r="L32" i="134"/>
  <c r="S60" i="134"/>
  <c r="N60" i="134"/>
  <c r="M60" i="134"/>
  <c r="L60" i="134"/>
  <c r="N54" i="134"/>
  <c r="M54" i="134"/>
  <c r="L54" i="134"/>
  <c r="N8" i="134"/>
  <c r="M8" i="134"/>
  <c r="L8" i="134"/>
  <c r="N11" i="134"/>
  <c r="M11" i="134"/>
  <c r="L11" i="134"/>
  <c r="N26" i="134"/>
  <c r="M26" i="134"/>
  <c r="L26" i="134"/>
  <c r="N17" i="134"/>
  <c r="M17" i="134"/>
  <c r="L17" i="134"/>
  <c r="N12" i="134"/>
  <c r="M12" i="134"/>
  <c r="L12" i="134"/>
  <c r="S47" i="134"/>
  <c r="N47" i="134"/>
  <c r="M47" i="134"/>
  <c r="L47" i="134"/>
  <c r="S76" i="134"/>
  <c r="N76" i="134"/>
  <c r="M76" i="134"/>
  <c r="L76" i="134"/>
  <c r="S75" i="134"/>
  <c r="N75" i="134"/>
  <c r="M75" i="134"/>
  <c r="L75" i="134"/>
  <c r="S55" i="134"/>
  <c r="N55" i="134"/>
  <c r="M55" i="134"/>
  <c r="L55" i="134"/>
  <c r="N66" i="134"/>
  <c r="M66" i="134"/>
  <c r="L66" i="134"/>
  <c r="N39" i="134"/>
  <c r="M39" i="134"/>
  <c r="L39" i="134"/>
  <c r="S50" i="134"/>
  <c r="N50" i="134"/>
  <c r="M50" i="134"/>
  <c r="L50" i="134"/>
  <c r="N41" i="134"/>
  <c r="M41" i="134"/>
  <c r="L41" i="134"/>
  <c r="S79" i="134"/>
  <c r="N79" i="134"/>
  <c r="M79" i="134"/>
  <c r="L79" i="134"/>
  <c r="N19" i="134"/>
  <c r="M19" i="134"/>
  <c r="L19" i="134"/>
  <c r="S81" i="134"/>
  <c r="N81" i="134"/>
  <c r="M81" i="134"/>
  <c r="L81" i="134"/>
  <c r="N67" i="134"/>
  <c r="M67" i="134"/>
  <c r="L67" i="134"/>
  <c r="S73" i="134"/>
  <c r="N73" i="134"/>
  <c r="M73" i="134"/>
  <c r="L73" i="134"/>
  <c r="N44" i="134"/>
  <c r="M44" i="134"/>
  <c r="L44" i="134"/>
  <c r="N35" i="134"/>
  <c r="M35" i="134"/>
  <c r="L35" i="134"/>
  <c r="N22" i="134"/>
  <c r="M22" i="134"/>
  <c r="L22" i="134"/>
  <c r="S6" i="134"/>
  <c r="N6" i="134"/>
  <c r="M6" i="134"/>
  <c r="L6" i="134"/>
  <c r="S80" i="134"/>
  <c r="N80" i="134"/>
  <c r="M80" i="134"/>
  <c r="L80" i="134"/>
  <c r="S64" i="134"/>
  <c r="N64" i="134"/>
  <c r="M64" i="134"/>
  <c r="L64" i="134"/>
  <c r="S40" i="134"/>
  <c r="N40" i="134"/>
  <c r="M40" i="134"/>
  <c r="L40" i="134"/>
  <c r="S51" i="134"/>
  <c r="N51" i="134"/>
  <c r="M51" i="134"/>
  <c r="L51" i="134"/>
  <c r="S56" i="134"/>
  <c r="N56" i="134"/>
  <c r="M56" i="134"/>
  <c r="L56" i="134"/>
  <c r="S58" i="134"/>
  <c r="N58" i="134"/>
  <c r="M58" i="134"/>
  <c r="L58" i="134"/>
  <c r="N9" i="134"/>
  <c r="M9" i="134"/>
  <c r="L9" i="134"/>
  <c r="S72" i="134"/>
  <c r="N72" i="134"/>
  <c r="M72" i="134"/>
  <c r="L72" i="134"/>
  <c r="S62" i="134"/>
  <c r="N62" i="134"/>
  <c r="M62" i="134"/>
  <c r="L62" i="134"/>
  <c r="S77" i="134"/>
  <c r="N77" i="134"/>
  <c r="M77" i="134"/>
  <c r="L77" i="134"/>
  <c r="S78" i="134"/>
  <c r="N78" i="134"/>
  <c r="M78" i="134"/>
  <c r="L78" i="134"/>
  <c r="S45" i="134"/>
  <c r="N45" i="134"/>
  <c r="M45" i="134"/>
  <c r="L45" i="134"/>
  <c r="N23" i="134"/>
  <c r="M23" i="134"/>
  <c r="L23" i="134"/>
  <c r="S34" i="134"/>
  <c r="N34" i="134"/>
  <c r="M34" i="134"/>
  <c r="L34" i="134"/>
  <c r="S70" i="134"/>
  <c r="N70" i="134"/>
  <c r="M70" i="134"/>
  <c r="L70" i="134"/>
  <c r="N20" i="134"/>
  <c r="M20" i="134"/>
  <c r="L20" i="134"/>
  <c r="N25" i="134"/>
  <c r="M25" i="134"/>
  <c r="L25" i="134"/>
  <c r="N18" i="134"/>
  <c r="M18" i="134"/>
  <c r="L18" i="134"/>
  <c r="S74" i="134"/>
  <c r="N74" i="134"/>
  <c r="M74" i="134"/>
  <c r="L74" i="134"/>
  <c r="S83" i="134"/>
  <c r="N83" i="134"/>
  <c r="M83" i="134"/>
  <c r="L83" i="134"/>
  <c r="N15" i="134"/>
  <c r="M15" i="134"/>
  <c r="L15" i="134"/>
  <c r="S69" i="134"/>
  <c r="N69" i="134"/>
  <c r="M69" i="134"/>
  <c r="L69" i="134"/>
  <c r="S57" i="134"/>
  <c r="N57" i="134"/>
  <c r="M57" i="134"/>
  <c r="L57" i="134"/>
  <c r="S29" i="134"/>
  <c r="N29" i="134"/>
  <c r="M29" i="134"/>
  <c r="L29" i="134"/>
  <c r="N53" i="134"/>
  <c r="M53" i="134"/>
  <c r="L53" i="134"/>
  <c r="S49" i="134"/>
  <c r="N49" i="134"/>
  <c r="M49" i="134"/>
  <c r="L49" i="134"/>
  <c r="S71" i="134"/>
  <c r="N71" i="134"/>
  <c r="M71" i="134"/>
  <c r="L71" i="134"/>
  <c r="N21" i="134"/>
  <c r="M21" i="134"/>
  <c r="L21" i="134"/>
  <c r="S10" i="134"/>
  <c r="N10" i="134"/>
  <c r="M10" i="134"/>
  <c r="L10" i="134"/>
  <c r="N36" i="134"/>
  <c r="M36" i="134"/>
  <c r="L36" i="134"/>
  <c r="S30" i="134"/>
  <c r="N30" i="134"/>
  <c r="M30" i="134"/>
  <c r="L30" i="134"/>
  <c r="N24" i="134"/>
  <c r="M24" i="134"/>
  <c r="L24" i="134"/>
  <c r="N46" i="134"/>
  <c r="M46" i="134"/>
  <c r="L46" i="134"/>
  <c r="S27" i="134"/>
  <c r="N27" i="134"/>
  <c r="M27" i="134"/>
  <c r="L27" i="134"/>
  <c r="S42" i="134"/>
  <c r="N42" i="134"/>
  <c r="M42" i="134"/>
  <c r="L42" i="134"/>
  <c r="N13" i="134"/>
  <c r="M13" i="134"/>
  <c r="L13" i="134"/>
  <c r="S65" i="134"/>
  <c r="N65" i="134"/>
  <c r="M65" i="134"/>
  <c r="L65" i="134"/>
  <c r="S63" i="134"/>
  <c r="N63" i="134"/>
  <c r="M63" i="134"/>
  <c r="L63" i="134"/>
  <c r="S37" i="134"/>
  <c r="N37" i="134"/>
  <c r="M37" i="134"/>
  <c r="L37" i="134"/>
  <c r="S82" i="134"/>
  <c r="N82" i="134"/>
  <c r="M82" i="134"/>
  <c r="L82" i="134"/>
  <c r="S7" i="134"/>
  <c r="N7" i="134"/>
  <c r="M7" i="134"/>
  <c r="L7" i="134"/>
  <c r="N59" i="134"/>
  <c r="M59" i="134"/>
  <c r="L59" i="134"/>
  <c r="N43" i="134"/>
  <c r="M43" i="134"/>
  <c r="L43" i="134"/>
  <c r="S14" i="134"/>
  <c r="N14" i="134"/>
  <c r="M14" i="134"/>
  <c r="L14" i="134"/>
  <c r="Y9" i="134"/>
  <c r="N68" i="134"/>
  <c r="M68" i="134"/>
  <c r="L68" i="134"/>
  <c r="Y8" i="134"/>
  <c r="N5" i="134"/>
  <c r="M5" i="134"/>
  <c r="L5" i="134"/>
  <c r="Y7" i="134"/>
  <c r="S38" i="134"/>
  <c r="N38" i="134"/>
  <c r="M38" i="134"/>
  <c r="L38" i="134"/>
  <c r="N31" i="134"/>
  <c r="M31" i="134"/>
  <c r="L31" i="134"/>
  <c r="Y5" i="134"/>
  <c r="S48" i="134" s="1"/>
  <c r="S52" i="134"/>
  <c r="N52" i="134"/>
  <c r="M52" i="134"/>
  <c r="L52" i="134"/>
  <c r="Y4" i="134"/>
  <c r="S19" i="134" s="1"/>
  <c r="Y3" i="134"/>
  <c r="S16" i="134" s="1"/>
  <c r="B1" i="134"/>
  <c r="S64" i="133"/>
  <c r="N64" i="133"/>
  <c r="M64" i="133"/>
  <c r="L64" i="133"/>
  <c r="S55" i="138" l="1"/>
  <c r="S9" i="138"/>
  <c r="S13" i="138"/>
  <c r="P50" i="138"/>
  <c r="R50" i="138" s="1"/>
  <c r="T50" i="138" s="1"/>
  <c r="S26" i="138"/>
  <c r="S25" i="138"/>
  <c r="S11" i="138"/>
  <c r="S30" i="138"/>
  <c r="S21" i="138"/>
  <c r="S27" i="138"/>
  <c r="P63" i="138"/>
  <c r="R63" i="138" s="1"/>
  <c r="T63" i="138" s="1"/>
  <c r="P70" i="138"/>
  <c r="R70" i="138" s="1"/>
  <c r="P82" i="138"/>
  <c r="R82" i="138" s="1"/>
  <c r="T82" i="138" s="1"/>
  <c r="P21" i="138"/>
  <c r="R21" i="138" s="1"/>
  <c r="P16" i="138"/>
  <c r="R16" i="138" s="1"/>
  <c r="P51" i="138"/>
  <c r="R51" i="138" s="1"/>
  <c r="T51" i="138" s="1"/>
  <c r="P9" i="138"/>
  <c r="R9" i="138" s="1"/>
  <c r="T9" i="138" s="1"/>
  <c r="P6" i="138"/>
  <c r="R6" i="138" s="1"/>
  <c r="T6" i="138" s="1"/>
  <c r="P52" i="138"/>
  <c r="R52" i="138" s="1"/>
  <c r="P36" i="138"/>
  <c r="R36" i="138" s="1"/>
  <c r="T36" i="138" s="1"/>
  <c r="P41" i="138"/>
  <c r="R41" i="138" s="1"/>
  <c r="P75" i="138"/>
  <c r="R75" i="138" s="1"/>
  <c r="T75" i="138" s="1"/>
  <c r="P58" i="138"/>
  <c r="R58" i="138" s="1"/>
  <c r="T58" i="138" s="1"/>
  <c r="P66" i="138"/>
  <c r="R66" i="138" s="1"/>
  <c r="T66" i="138" s="1"/>
  <c r="P64" i="138"/>
  <c r="R64" i="138" s="1"/>
  <c r="T64" i="138" s="1"/>
  <c r="P69" i="138"/>
  <c r="R69" i="138" s="1"/>
  <c r="T69" i="138" s="1"/>
  <c r="P54" i="138"/>
  <c r="R54" i="138" s="1"/>
  <c r="T54" i="138" s="1"/>
  <c r="P13" i="138"/>
  <c r="R13" i="138" s="1"/>
  <c r="P65" i="138"/>
  <c r="R65" i="138" s="1"/>
  <c r="T65" i="138" s="1"/>
  <c r="P8" i="138"/>
  <c r="R8" i="138" s="1"/>
  <c r="P45" i="138"/>
  <c r="R45" i="138" s="1"/>
  <c r="P38" i="138"/>
  <c r="R38" i="138" s="1"/>
  <c r="T38" i="138" s="1"/>
  <c r="P35" i="138"/>
  <c r="R35" i="138" s="1"/>
  <c r="P43" i="138"/>
  <c r="R43" i="138" s="1"/>
  <c r="P18" i="138"/>
  <c r="R18" i="138" s="1"/>
  <c r="T18" i="138" s="1"/>
  <c r="P14" i="138"/>
  <c r="R14" i="138" s="1"/>
  <c r="P61" i="138"/>
  <c r="R61" i="138" s="1"/>
  <c r="T61" i="138" s="1"/>
  <c r="P29" i="138"/>
  <c r="R29" i="138" s="1"/>
  <c r="T29" i="138" s="1"/>
  <c r="P57" i="138"/>
  <c r="R57" i="138" s="1"/>
  <c r="T57" i="138" s="1"/>
  <c r="P73" i="138"/>
  <c r="R73" i="138" s="1"/>
  <c r="T73" i="138" s="1"/>
  <c r="P22" i="138"/>
  <c r="R22" i="138" s="1"/>
  <c r="P10" i="138"/>
  <c r="R10" i="138" s="1"/>
  <c r="T10" i="138" s="1"/>
  <c r="P40" i="138"/>
  <c r="R40" i="138" s="1"/>
  <c r="P46" i="138"/>
  <c r="R46" i="138" s="1"/>
  <c r="P32" i="138"/>
  <c r="R32" i="138" s="1"/>
  <c r="T32" i="138" s="1"/>
  <c r="P44" i="138"/>
  <c r="R44" i="138" s="1"/>
  <c r="T44" i="138" s="1"/>
  <c r="P34" i="138"/>
  <c r="R34" i="138" s="1"/>
  <c r="P30" i="138"/>
  <c r="R30" i="138" s="1"/>
  <c r="T30" i="138" s="1"/>
  <c r="P60" i="138"/>
  <c r="R60" i="138" s="1"/>
  <c r="T60" i="138" s="1"/>
  <c r="P37" i="138"/>
  <c r="R37" i="138" s="1"/>
  <c r="T37" i="138" s="1"/>
  <c r="P31" i="138"/>
  <c r="R31" i="138" s="1"/>
  <c r="P59" i="138"/>
  <c r="R59" i="138" s="1"/>
  <c r="T59" i="138" s="1"/>
  <c r="P26" i="138"/>
  <c r="R26" i="138" s="1"/>
  <c r="T26" i="138" s="1"/>
  <c r="P62" i="138"/>
  <c r="R62" i="138" s="1"/>
  <c r="T62" i="138" s="1"/>
  <c r="T40" i="138"/>
  <c r="T70" i="138"/>
  <c r="T16" i="138"/>
  <c r="P67" i="138"/>
  <c r="R67" i="138" s="1"/>
  <c r="T67" i="138" s="1"/>
  <c r="P72" i="138"/>
  <c r="R72" i="138" s="1"/>
  <c r="T72" i="138" s="1"/>
  <c r="P79" i="138"/>
  <c r="R79" i="138" s="1"/>
  <c r="T79" i="138" s="1"/>
  <c r="P25" i="138"/>
  <c r="R25" i="138" s="1"/>
  <c r="T25" i="138" s="1"/>
  <c r="P83" i="138"/>
  <c r="R83" i="138" s="1"/>
  <c r="T83" i="138" s="1"/>
  <c r="P48" i="138"/>
  <c r="R48" i="138" s="1"/>
  <c r="T48" i="138" s="1"/>
  <c r="P56" i="138"/>
  <c r="R56" i="138" s="1"/>
  <c r="P78" i="138"/>
  <c r="R78" i="138" s="1"/>
  <c r="T78" i="138" s="1"/>
  <c r="P74" i="138"/>
  <c r="R74" i="138" s="1"/>
  <c r="T74" i="138" s="1"/>
  <c r="P80" i="138"/>
  <c r="R80" i="138" s="1"/>
  <c r="T80" i="138" s="1"/>
  <c r="P11" i="138"/>
  <c r="R11" i="138" s="1"/>
  <c r="T11" i="138" s="1"/>
  <c r="P28" i="138"/>
  <c r="R28" i="138" s="1"/>
  <c r="T28" i="138" s="1"/>
  <c r="P42" i="138"/>
  <c r="R42" i="138" s="1"/>
  <c r="T42" i="138" s="1"/>
  <c r="P53" i="138"/>
  <c r="R53" i="138" s="1"/>
  <c r="P47" i="138"/>
  <c r="R47" i="138" s="1"/>
  <c r="T47" i="138" s="1"/>
  <c r="P7" i="138"/>
  <c r="R7" i="138" s="1"/>
  <c r="T7" i="138" s="1"/>
  <c r="P76" i="138"/>
  <c r="R76" i="138" s="1"/>
  <c r="T76" i="138" s="1"/>
  <c r="P15" i="138"/>
  <c r="R15" i="138" s="1"/>
  <c r="P68" i="138"/>
  <c r="R68" i="138" s="1"/>
  <c r="T68" i="138" s="1"/>
  <c r="P81" i="138"/>
  <c r="R81" i="138" s="1"/>
  <c r="T81" i="138" s="1"/>
  <c r="P24" i="138"/>
  <c r="R24" i="138" s="1"/>
  <c r="T24" i="138" s="1"/>
  <c r="P33" i="138"/>
  <c r="R33" i="138" s="1"/>
  <c r="P5" i="138"/>
  <c r="R5" i="138" s="1"/>
  <c r="P20" i="138"/>
  <c r="R20" i="138" s="1"/>
  <c r="P71" i="138"/>
  <c r="R71" i="138" s="1"/>
  <c r="T71" i="138" s="1"/>
  <c r="P17" i="138"/>
  <c r="R17" i="138" s="1"/>
  <c r="S23" i="138"/>
  <c r="S34" i="138"/>
  <c r="S22" i="138"/>
  <c r="S19" i="138"/>
  <c r="S17" i="138"/>
  <c r="P12" i="138"/>
  <c r="R12" i="138" s="1"/>
  <c r="P49" i="138"/>
  <c r="R49" i="138" s="1"/>
  <c r="T49" i="138" s="1"/>
  <c r="P77" i="138"/>
  <c r="R77" i="138" s="1"/>
  <c r="T77" i="138" s="1"/>
  <c r="P19" i="138"/>
  <c r="R19" i="138" s="1"/>
  <c r="P27" i="138"/>
  <c r="R27" i="138" s="1"/>
  <c r="P55" i="138"/>
  <c r="R55" i="138" s="1"/>
  <c r="P23" i="138"/>
  <c r="R23" i="138" s="1"/>
  <c r="P39" i="138"/>
  <c r="R39" i="138" s="1"/>
  <c r="S5" i="138"/>
  <c r="S12" i="138"/>
  <c r="S33" i="138"/>
  <c r="S43" i="138"/>
  <c r="S53" i="138"/>
  <c r="S31" i="138"/>
  <c r="S14" i="138"/>
  <c r="T14" i="138" s="1"/>
  <c r="S46" i="138"/>
  <c r="S41" i="138"/>
  <c r="S15" i="138"/>
  <c r="T15" i="138" s="1"/>
  <c r="S35" i="138"/>
  <c r="S52" i="138"/>
  <c r="S8" i="138"/>
  <c r="T8" i="138" s="1"/>
  <c r="S45" i="138"/>
  <c r="T45" i="138" s="1"/>
  <c r="S56" i="138"/>
  <c r="S20" i="138"/>
  <c r="S39" i="138"/>
  <c r="S42" i="137"/>
  <c r="S54" i="137"/>
  <c r="S24" i="137"/>
  <c r="S41" i="137"/>
  <c r="S30" i="137"/>
  <c r="S48" i="137"/>
  <c r="S52" i="137"/>
  <c r="S23" i="137"/>
  <c r="S26" i="137"/>
  <c r="S47" i="137"/>
  <c r="P82" i="137"/>
  <c r="R82" i="137" s="1"/>
  <c r="T82" i="137" s="1"/>
  <c r="P9" i="137"/>
  <c r="R9" i="137" s="1"/>
  <c r="T9" i="137" s="1"/>
  <c r="P47" i="137"/>
  <c r="R47" i="137" s="1"/>
  <c r="P77" i="137"/>
  <c r="R77" i="137" s="1"/>
  <c r="P43" i="137"/>
  <c r="R43" i="137" s="1"/>
  <c r="P46" i="137"/>
  <c r="R46" i="137" s="1"/>
  <c r="P57" i="137"/>
  <c r="R57" i="137" s="1"/>
  <c r="T57" i="137" s="1"/>
  <c r="P29" i="137"/>
  <c r="R29" i="137" s="1"/>
  <c r="T29" i="137" s="1"/>
  <c r="P44" i="137"/>
  <c r="R44" i="137" s="1"/>
  <c r="P58" i="137"/>
  <c r="R58" i="137" s="1"/>
  <c r="T58" i="137" s="1"/>
  <c r="P61" i="137"/>
  <c r="R61" i="137" s="1"/>
  <c r="P64" i="137"/>
  <c r="R64" i="137" s="1"/>
  <c r="T64" i="137" s="1"/>
  <c r="P38" i="137"/>
  <c r="R38" i="137" s="1"/>
  <c r="T38" i="137" s="1"/>
  <c r="P15" i="137"/>
  <c r="R15" i="137" s="1"/>
  <c r="T15" i="137" s="1"/>
  <c r="P65" i="137"/>
  <c r="R65" i="137" s="1"/>
  <c r="T65" i="137" s="1"/>
  <c r="P10" i="137"/>
  <c r="R10" i="137" s="1"/>
  <c r="T10" i="137" s="1"/>
  <c r="P12" i="137"/>
  <c r="R12" i="137" s="1"/>
  <c r="P36" i="137"/>
  <c r="R36" i="137" s="1"/>
  <c r="P24" i="137"/>
  <c r="R24" i="137" s="1"/>
  <c r="T24" i="137" s="1"/>
  <c r="P25" i="137"/>
  <c r="R25" i="137" s="1"/>
  <c r="P39" i="137"/>
  <c r="R39" i="137" s="1"/>
  <c r="T39" i="137" s="1"/>
  <c r="P16" i="137"/>
  <c r="R16" i="137" s="1"/>
  <c r="T16" i="137" s="1"/>
  <c r="P45" i="137"/>
  <c r="R45" i="137" s="1"/>
  <c r="T45" i="137" s="1"/>
  <c r="P13" i="137"/>
  <c r="R13" i="137" s="1"/>
  <c r="P56" i="137"/>
  <c r="R56" i="137" s="1"/>
  <c r="P52" i="137"/>
  <c r="R52" i="137" s="1"/>
  <c r="T52" i="137" s="1"/>
  <c r="P32" i="137"/>
  <c r="R32" i="137" s="1"/>
  <c r="P8" i="137"/>
  <c r="R8" i="137" s="1"/>
  <c r="P37" i="137"/>
  <c r="R37" i="137" s="1"/>
  <c r="T37" i="137" s="1"/>
  <c r="P50" i="137"/>
  <c r="R50" i="137" s="1"/>
  <c r="T50" i="137" s="1"/>
  <c r="P49" i="137"/>
  <c r="R49" i="137" s="1"/>
  <c r="T49" i="137" s="1"/>
  <c r="P81" i="137"/>
  <c r="R81" i="137" s="1"/>
  <c r="T81" i="137" s="1"/>
  <c r="P79" i="137"/>
  <c r="R79" i="137" s="1"/>
  <c r="T79" i="137" s="1"/>
  <c r="P71" i="137"/>
  <c r="R71" i="137" s="1"/>
  <c r="T71" i="137" s="1"/>
  <c r="P51" i="137"/>
  <c r="R51" i="137" s="1"/>
  <c r="T51" i="137" s="1"/>
  <c r="P33" i="137"/>
  <c r="R33" i="137" s="1"/>
  <c r="T33" i="137" s="1"/>
  <c r="P41" i="137"/>
  <c r="R41" i="137" s="1"/>
  <c r="T41" i="137" s="1"/>
  <c r="P17" i="137"/>
  <c r="R17" i="137" s="1"/>
  <c r="P34" i="137"/>
  <c r="R34" i="137" s="1"/>
  <c r="T34" i="137" s="1"/>
  <c r="P5" i="137"/>
  <c r="R5" i="137" s="1"/>
  <c r="T5" i="137" s="1"/>
  <c r="P75" i="137"/>
  <c r="R75" i="137" s="1"/>
  <c r="T75" i="137" s="1"/>
  <c r="P6" i="137"/>
  <c r="R6" i="137" s="1"/>
  <c r="T6" i="137" s="1"/>
  <c r="P54" i="137"/>
  <c r="R54" i="137" s="1"/>
  <c r="T54" i="137" s="1"/>
  <c r="P59" i="137"/>
  <c r="R59" i="137" s="1"/>
  <c r="P63" i="137"/>
  <c r="R63" i="137" s="1"/>
  <c r="T63" i="137" s="1"/>
  <c r="P72" i="137"/>
  <c r="R72" i="137" s="1"/>
  <c r="T72" i="137" s="1"/>
  <c r="P83" i="137"/>
  <c r="R83" i="137" s="1"/>
  <c r="T83" i="137" s="1"/>
  <c r="P19" i="137"/>
  <c r="R19" i="137" s="1"/>
  <c r="T19" i="137" s="1"/>
  <c r="P28" i="137"/>
  <c r="R28" i="137" s="1"/>
  <c r="T28" i="137" s="1"/>
  <c r="P7" i="137"/>
  <c r="R7" i="137" s="1"/>
  <c r="P53" i="137"/>
  <c r="R53" i="137" s="1"/>
  <c r="T53" i="137" s="1"/>
  <c r="P42" i="137"/>
  <c r="R42" i="137" s="1"/>
  <c r="T42" i="137" s="1"/>
  <c r="P27" i="137"/>
  <c r="R27" i="137" s="1"/>
  <c r="P60" i="137"/>
  <c r="R60" i="137" s="1"/>
  <c r="T60" i="137" s="1"/>
  <c r="P62" i="137"/>
  <c r="R62" i="137" s="1"/>
  <c r="T62" i="137" s="1"/>
  <c r="T26" i="137"/>
  <c r="T61" i="137"/>
  <c r="T74" i="137"/>
  <c r="T80" i="137"/>
  <c r="T43" i="137"/>
  <c r="T36" i="137"/>
  <c r="T77" i="137"/>
  <c r="P20" i="137"/>
  <c r="R20" i="137" s="1"/>
  <c r="T20" i="137" s="1"/>
  <c r="P11" i="137"/>
  <c r="R11" i="137" s="1"/>
  <c r="P48" i="137"/>
  <c r="R48" i="137" s="1"/>
  <c r="T48" i="137" s="1"/>
  <c r="P68" i="137"/>
  <c r="R68" i="137" s="1"/>
  <c r="T68" i="137" s="1"/>
  <c r="P66" i="137"/>
  <c r="R66" i="137" s="1"/>
  <c r="T66" i="137" s="1"/>
  <c r="P73" i="137"/>
  <c r="R73" i="137" s="1"/>
  <c r="T73" i="137" s="1"/>
  <c r="P78" i="137"/>
  <c r="R78" i="137" s="1"/>
  <c r="T78" i="137" s="1"/>
  <c r="P70" i="137"/>
  <c r="R70" i="137" s="1"/>
  <c r="T70" i="137" s="1"/>
  <c r="P76" i="137"/>
  <c r="R76" i="137" s="1"/>
  <c r="P31" i="137"/>
  <c r="R31" i="137" s="1"/>
  <c r="P23" i="137"/>
  <c r="R23" i="137" s="1"/>
  <c r="T23" i="137" s="1"/>
  <c r="P35" i="137"/>
  <c r="R35" i="137" s="1"/>
  <c r="T35" i="137" s="1"/>
  <c r="P18" i="137"/>
  <c r="R18" i="137" s="1"/>
  <c r="P21" i="137"/>
  <c r="R21" i="137" s="1"/>
  <c r="P14" i="137"/>
  <c r="R14" i="137" s="1"/>
  <c r="P30" i="137"/>
  <c r="R30" i="137" s="1"/>
  <c r="T30" i="137" s="1"/>
  <c r="P55" i="137"/>
  <c r="R55" i="137" s="1"/>
  <c r="T55" i="137" s="1"/>
  <c r="P67" i="137"/>
  <c r="R67" i="137" s="1"/>
  <c r="T67" i="137" s="1"/>
  <c r="P22" i="137"/>
  <c r="R22" i="137" s="1"/>
  <c r="S18" i="137"/>
  <c r="S22" i="137"/>
  <c r="S21" i="137"/>
  <c r="S7" i="137"/>
  <c r="S32" i="137"/>
  <c r="S14" i="137"/>
  <c r="T14" i="137" s="1"/>
  <c r="S8" i="137"/>
  <c r="S25" i="137"/>
  <c r="S27" i="137"/>
  <c r="S17" i="137"/>
  <c r="S40" i="137"/>
  <c r="T40" i="137" s="1"/>
  <c r="S76" i="137"/>
  <c r="S44" i="137"/>
  <c r="S12" i="137"/>
  <c r="S56" i="137"/>
  <c r="S31" i="137"/>
  <c r="S13" i="137"/>
  <c r="S46" i="137"/>
  <c r="T46" i="137" s="1"/>
  <c r="S59" i="137"/>
  <c r="S11" i="137"/>
  <c r="S28" i="136"/>
  <c r="S59" i="136"/>
  <c r="S54" i="136"/>
  <c r="S55" i="136"/>
  <c r="S19" i="136"/>
  <c r="S12" i="136"/>
  <c r="S47" i="136"/>
  <c r="S20" i="136"/>
  <c r="S50" i="136"/>
  <c r="S35" i="136"/>
  <c r="S48" i="136"/>
  <c r="S36" i="136"/>
  <c r="S32" i="136"/>
  <c r="S34" i="136"/>
  <c r="P64" i="136"/>
  <c r="R64" i="136" s="1"/>
  <c r="P29" i="136"/>
  <c r="R29" i="136" s="1"/>
  <c r="T29" i="136" s="1"/>
  <c r="P65" i="136"/>
  <c r="R65" i="136" s="1"/>
  <c r="T65" i="136" s="1"/>
  <c r="P57" i="136"/>
  <c r="R57" i="136" s="1"/>
  <c r="T57" i="136" s="1"/>
  <c r="P61" i="136"/>
  <c r="R61" i="136" s="1"/>
  <c r="T61" i="136" s="1"/>
  <c r="P63" i="136"/>
  <c r="R63" i="136" s="1"/>
  <c r="T63" i="136" s="1"/>
  <c r="P31" i="136"/>
  <c r="R31" i="136" s="1"/>
  <c r="P36" i="136"/>
  <c r="R36" i="136" s="1"/>
  <c r="T36" i="136" s="1"/>
  <c r="P51" i="136"/>
  <c r="R51" i="136" s="1"/>
  <c r="T51" i="136" s="1"/>
  <c r="P37" i="136"/>
  <c r="R37" i="136" s="1"/>
  <c r="T37" i="136" s="1"/>
  <c r="P58" i="136"/>
  <c r="R58" i="136" s="1"/>
  <c r="T58" i="136" s="1"/>
  <c r="P10" i="136"/>
  <c r="R10" i="136" s="1"/>
  <c r="T10" i="136" s="1"/>
  <c r="P38" i="136"/>
  <c r="R38" i="136" s="1"/>
  <c r="P56" i="136"/>
  <c r="R56" i="136" s="1"/>
  <c r="P43" i="136"/>
  <c r="R43" i="136" s="1"/>
  <c r="P28" i="136"/>
  <c r="R28" i="136" s="1"/>
  <c r="T28" i="136" s="1"/>
  <c r="P12" i="136"/>
  <c r="R12" i="136" s="1"/>
  <c r="P47" i="136"/>
  <c r="R47" i="136" s="1"/>
  <c r="P22" i="136"/>
  <c r="R22" i="136" s="1"/>
  <c r="P5" i="136"/>
  <c r="R5" i="136" s="1"/>
  <c r="P8" i="136"/>
  <c r="R8" i="136" s="1"/>
  <c r="T8" i="136" s="1"/>
  <c r="P15" i="136"/>
  <c r="R15" i="136" s="1"/>
  <c r="P52" i="136"/>
  <c r="R52" i="136" s="1"/>
  <c r="P11" i="136"/>
  <c r="R11" i="136" s="1"/>
  <c r="P16" i="136"/>
  <c r="R16" i="136" s="1"/>
  <c r="T16" i="136" s="1"/>
  <c r="P26" i="136"/>
  <c r="R26" i="136" s="1"/>
  <c r="T26" i="136" s="1"/>
  <c r="P14" i="136"/>
  <c r="R14" i="136" s="1"/>
  <c r="T14" i="136" s="1"/>
  <c r="P25" i="136"/>
  <c r="R25" i="136" s="1"/>
  <c r="P40" i="136"/>
  <c r="R40" i="136" s="1"/>
  <c r="P81" i="136"/>
  <c r="R81" i="136" s="1"/>
  <c r="T81" i="136" s="1"/>
  <c r="P67" i="136"/>
  <c r="R67" i="136" s="1"/>
  <c r="T67" i="136" s="1"/>
  <c r="P78" i="136"/>
  <c r="R78" i="136" s="1"/>
  <c r="T78" i="136" s="1"/>
  <c r="P24" i="136"/>
  <c r="R24" i="136" s="1"/>
  <c r="T24" i="136" s="1"/>
  <c r="P69" i="136"/>
  <c r="R69" i="136" s="1"/>
  <c r="P34" i="136"/>
  <c r="R34" i="136" s="1"/>
  <c r="P6" i="136"/>
  <c r="R6" i="136" s="1"/>
  <c r="T6" i="136" s="1"/>
  <c r="P19" i="136"/>
  <c r="R19" i="136" s="1"/>
  <c r="P49" i="136"/>
  <c r="R49" i="136" s="1"/>
  <c r="T49" i="136" s="1"/>
  <c r="P53" i="136"/>
  <c r="R53" i="136" s="1"/>
  <c r="P35" i="136"/>
  <c r="R35" i="136" s="1"/>
  <c r="P42" i="136"/>
  <c r="R42" i="136" s="1"/>
  <c r="T42" i="136" s="1"/>
  <c r="P71" i="136"/>
  <c r="R71" i="136" s="1"/>
  <c r="T71" i="136" s="1"/>
  <c r="P79" i="136"/>
  <c r="R79" i="136" s="1"/>
  <c r="T79" i="136" s="1"/>
  <c r="P80" i="136"/>
  <c r="R80" i="136" s="1"/>
  <c r="T80" i="136" s="1"/>
  <c r="P68" i="136"/>
  <c r="R68" i="136" s="1"/>
  <c r="T68" i="136" s="1"/>
  <c r="P75" i="136"/>
  <c r="R75" i="136" s="1"/>
  <c r="T75" i="136" s="1"/>
  <c r="P82" i="136"/>
  <c r="R82" i="136" s="1"/>
  <c r="T82" i="136" s="1"/>
  <c r="T64" i="136"/>
  <c r="P21" i="136"/>
  <c r="R21" i="136" s="1"/>
  <c r="P23" i="136"/>
  <c r="R23" i="136" s="1"/>
  <c r="P70" i="136"/>
  <c r="R70" i="136" s="1"/>
  <c r="T70" i="136" s="1"/>
  <c r="P83" i="136"/>
  <c r="R83" i="136" s="1"/>
  <c r="T83" i="136" s="1"/>
  <c r="P50" i="136"/>
  <c r="R50" i="136" s="1"/>
  <c r="T50" i="136" s="1"/>
  <c r="P44" i="136"/>
  <c r="R44" i="136" s="1"/>
  <c r="P7" i="136"/>
  <c r="R7" i="136" s="1"/>
  <c r="P54" i="136"/>
  <c r="R54" i="136" s="1"/>
  <c r="T54" i="136" s="1"/>
  <c r="P72" i="136"/>
  <c r="R72" i="136" s="1"/>
  <c r="T72" i="136" s="1"/>
  <c r="P39" i="136"/>
  <c r="R39" i="136" s="1"/>
  <c r="P9" i="136"/>
  <c r="R9" i="136" s="1"/>
  <c r="P73" i="136"/>
  <c r="R73" i="136" s="1"/>
  <c r="T73" i="136" s="1"/>
  <c r="P33" i="136"/>
  <c r="R33" i="136" s="1"/>
  <c r="P17" i="136"/>
  <c r="R17" i="136" s="1"/>
  <c r="P27" i="136"/>
  <c r="R27" i="136" s="1"/>
  <c r="P62" i="136"/>
  <c r="R62" i="136" s="1"/>
  <c r="T62" i="136" s="1"/>
  <c r="P30" i="136"/>
  <c r="R30" i="136" s="1"/>
  <c r="P18" i="136"/>
  <c r="R18" i="136" s="1"/>
  <c r="P59" i="136"/>
  <c r="R59" i="136" s="1"/>
  <c r="T59" i="136" s="1"/>
  <c r="P32" i="136"/>
  <c r="R32" i="136" s="1"/>
  <c r="T32" i="136" s="1"/>
  <c r="P55" i="136"/>
  <c r="R55" i="136" s="1"/>
  <c r="T55" i="136" s="1"/>
  <c r="P13" i="136"/>
  <c r="R13" i="136" s="1"/>
  <c r="T13" i="136" s="1"/>
  <c r="P48" i="136"/>
  <c r="R48" i="136" s="1"/>
  <c r="P46" i="136"/>
  <c r="R46" i="136" s="1"/>
  <c r="T46" i="136" s="1"/>
  <c r="P60" i="136"/>
  <c r="R60" i="136" s="1"/>
  <c r="T60" i="136" s="1"/>
  <c r="P66" i="136"/>
  <c r="R66" i="136" s="1"/>
  <c r="T66" i="136" s="1"/>
  <c r="P76" i="136"/>
  <c r="R76" i="136" s="1"/>
  <c r="T76" i="136" s="1"/>
  <c r="P77" i="136"/>
  <c r="R77" i="136" s="1"/>
  <c r="T77" i="136" s="1"/>
  <c r="P20" i="136"/>
  <c r="R20" i="136" s="1"/>
  <c r="T20" i="136" s="1"/>
  <c r="P41" i="136"/>
  <c r="R41" i="136" s="1"/>
  <c r="T41" i="136" s="1"/>
  <c r="P45" i="136"/>
  <c r="R45" i="136" s="1"/>
  <c r="P74" i="136"/>
  <c r="R74" i="136" s="1"/>
  <c r="T74" i="136" s="1"/>
  <c r="T44" i="136"/>
  <c r="S30" i="136"/>
  <c r="S31" i="136"/>
  <c r="S45" i="136"/>
  <c r="S69" i="136"/>
  <c r="S15" i="136"/>
  <c r="S22" i="136"/>
  <c r="S11" i="136"/>
  <c r="S7" i="136"/>
  <c r="S52" i="136"/>
  <c r="S21" i="136"/>
  <c r="S17" i="136"/>
  <c r="S23" i="136"/>
  <c r="T23" i="136" s="1"/>
  <c r="S40" i="136"/>
  <c r="S33" i="136"/>
  <c r="S25" i="136"/>
  <c r="S5" i="136"/>
  <c r="S18" i="136"/>
  <c r="S27" i="136"/>
  <c r="S56" i="136"/>
  <c r="T56" i="136" s="1"/>
  <c r="S38" i="136"/>
  <c r="S43" i="136"/>
  <c r="S53" i="136"/>
  <c r="S9" i="136"/>
  <c r="S39" i="136"/>
  <c r="S23" i="135"/>
  <c r="S62" i="135"/>
  <c r="S55" i="135"/>
  <c r="S56" i="135"/>
  <c r="S31" i="135"/>
  <c r="S25" i="135"/>
  <c r="P6" i="135"/>
  <c r="R6" i="135" s="1"/>
  <c r="T6" i="135" s="1"/>
  <c r="P37" i="135"/>
  <c r="R37" i="135" s="1"/>
  <c r="T37" i="135" s="1"/>
  <c r="P54" i="135"/>
  <c r="R54" i="135" s="1"/>
  <c r="T54" i="135" s="1"/>
  <c r="P57" i="135"/>
  <c r="R57" i="135" s="1"/>
  <c r="T57" i="135" s="1"/>
  <c r="P51" i="135"/>
  <c r="R51" i="135" s="1"/>
  <c r="T51" i="135" s="1"/>
  <c r="P58" i="135"/>
  <c r="R58" i="135" s="1"/>
  <c r="T58" i="135" s="1"/>
  <c r="P50" i="135"/>
  <c r="R50" i="135" s="1"/>
  <c r="P43" i="135"/>
  <c r="R43" i="135" s="1"/>
  <c r="P10" i="135"/>
  <c r="R10" i="135" s="1"/>
  <c r="T10" i="135" s="1"/>
  <c r="P14" i="135"/>
  <c r="R14" i="135" s="1"/>
  <c r="P45" i="135"/>
  <c r="R45" i="135" s="1"/>
  <c r="P78" i="135"/>
  <c r="R78" i="135" s="1"/>
  <c r="T78" i="135" s="1"/>
  <c r="P69" i="135"/>
  <c r="R69" i="135" s="1"/>
  <c r="T69" i="135" s="1"/>
  <c r="P13" i="135"/>
  <c r="R13" i="135" s="1"/>
  <c r="P49" i="135"/>
  <c r="R49" i="135" s="1"/>
  <c r="T49" i="135" s="1"/>
  <c r="P65" i="135"/>
  <c r="R65" i="135" s="1"/>
  <c r="T65" i="135" s="1"/>
  <c r="P44" i="135"/>
  <c r="R44" i="135" s="1"/>
  <c r="P26" i="135"/>
  <c r="R26" i="135" s="1"/>
  <c r="T26" i="135" s="1"/>
  <c r="P28" i="135"/>
  <c r="R28" i="135" s="1"/>
  <c r="P30" i="135"/>
  <c r="R30" i="135" s="1"/>
  <c r="P17" i="135"/>
  <c r="R17" i="135" s="1"/>
  <c r="P21" i="135"/>
  <c r="R21" i="135" s="1"/>
  <c r="P60" i="135"/>
  <c r="R60" i="135" s="1"/>
  <c r="T60" i="135" s="1"/>
  <c r="P25" i="135"/>
  <c r="R25" i="135" s="1"/>
  <c r="T25" i="135" s="1"/>
  <c r="P53" i="135"/>
  <c r="R53" i="135" s="1"/>
  <c r="P12" i="135"/>
  <c r="R12" i="135" s="1"/>
  <c r="P20" i="135"/>
  <c r="R20" i="135" s="1"/>
  <c r="P46" i="135"/>
  <c r="R46" i="135" s="1"/>
  <c r="P80" i="135"/>
  <c r="R80" i="135" s="1"/>
  <c r="T80" i="135" s="1"/>
  <c r="P70" i="135"/>
  <c r="R70" i="135" s="1"/>
  <c r="T70" i="135" s="1"/>
  <c r="P79" i="135"/>
  <c r="R79" i="135" s="1"/>
  <c r="T79" i="135" s="1"/>
  <c r="P24" i="135"/>
  <c r="R24" i="135" s="1"/>
  <c r="P23" i="135"/>
  <c r="R23" i="135" s="1"/>
  <c r="T23" i="135" s="1"/>
  <c r="P29" i="135"/>
  <c r="R29" i="135" s="1"/>
  <c r="T29" i="135" s="1"/>
  <c r="P56" i="135"/>
  <c r="R56" i="135" s="1"/>
  <c r="T56" i="135" s="1"/>
  <c r="P76" i="135"/>
  <c r="R76" i="135" s="1"/>
  <c r="T76" i="135" s="1"/>
  <c r="P83" i="135"/>
  <c r="R83" i="135" s="1"/>
  <c r="T83" i="135" s="1"/>
  <c r="P81" i="135"/>
  <c r="R81" i="135" s="1"/>
  <c r="T81" i="135" s="1"/>
  <c r="P9" i="135"/>
  <c r="R9" i="135" s="1"/>
  <c r="P38" i="135"/>
  <c r="R38" i="135" s="1"/>
  <c r="P55" i="135"/>
  <c r="R55" i="135" s="1"/>
  <c r="T55" i="135" s="1"/>
  <c r="P35" i="135"/>
  <c r="R35" i="135" s="1"/>
  <c r="P16" i="135"/>
  <c r="R16" i="135" s="1"/>
  <c r="P22" i="135"/>
  <c r="R22" i="135" s="1"/>
  <c r="T22" i="135" s="1"/>
  <c r="P27" i="135"/>
  <c r="R27" i="135" s="1"/>
  <c r="T27" i="135" s="1"/>
  <c r="P18" i="135"/>
  <c r="R18" i="135" s="1"/>
  <c r="P61" i="135"/>
  <c r="R61" i="135" s="1"/>
  <c r="P64" i="135"/>
  <c r="R64" i="135" s="1"/>
  <c r="T64" i="135" s="1"/>
  <c r="P77" i="135"/>
  <c r="R77" i="135" s="1"/>
  <c r="T77" i="135" s="1"/>
  <c r="P62" i="135"/>
  <c r="R62" i="135" s="1"/>
  <c r="T62" i="135" s="1"/>
  <c r="P52" i="135"/>
  <c r="R52" i="135" s="1"/>
  <c r="P11" i="135"/>
  <c r="R11" i="135" s="1"/>
  <c r="P47" i="135"/>
  <c r="R47" i="135" s="1"/>
  <c r="P68" i="135"/>
  <c r="R68" i="135" s="1"/>
  <c r="T68" i="135" s="1"/>
  <c r="P32" i="135"/>
  <c r="R32" i="135" s="1"/>
  <c r="P42" i="135"/>
  <c r="R42" i="135" s="1"/>
  <c r="P7" i="135"/>
  <c r="R7" i="135" s="1"/>
  <c r="P8" i="135"/>
  <c r="R8" i="135" s="1"/>
  <c r="P33" i="135"/>
  <c r="R33" i="135" s="1"/>
  <c r="P34" i="135"/>
  <c r="R34" i="135" s="1"/>
  <c r="P40" i="135"/>
  <c r="R40" i="135" s="1"/>
  <c r="T40" i="135" s="1"/>
  <c r="P66" i="135"/>
  <c r="R66" i="135" s="1"/>
  <c r="P71" i="135"/>
  <c r="R71" i="135" s="1"/>
  <c r="T71" i="135" s="1"/>
  <c r="P74" i="135"/>
  <c r="R74" i="135" s="1"/>
  <c r="T74" i="135" s="1"/>
  <c r="P36" i="135"/>
  <c r="R36" i="135" s="1"/>
  <c r="P59" i="135"/>
  <c r="R59" i="135" s="1"/>
  <c r="T59" i="135" s="1"/>
  <c r="P5" i="135"/>
  <c r="R5" i="135" s="1"/>
  <c r="P19" i="135"/>
  <c r="R19" i="135" s="1"/>
  <c r="P72" i="135"/>
  <c r="R72" i="135" s="1"/>
  <c r="T72" i="135" s="1"/>
  <c r="P48" i="135"/>
  <c r="R48" i="135" s="1"/>
  <c r="P31" i="135"/>
  <c r="R31" i="135" s="1"/>
  <c r="T31" i="135" s="1"/>
  <c r="P63" i="135"/>
  <c r="R63" i="135" s="1"/>
  <c r="T63" i="135" s="1"/>
  <c r="P67" i="135"/>
  <c r="R67" i="135" s="1"/>
  <c r="T67" i="135" s="1"/>
  <c r="P82" i="135"/>
  <c r="R82" i="135" s="1"/>
  <c r="T82" i="135" s="1"/>
  <c r="P41" i="135"/>
  <c r="R41" i="135" s="1"/>
  <c r="T41" i="135" s="1"/>
  <c r="P15" i="135"/>
  <c r="R15" i="135" s="1"/>
  <c r="P39" i="135"/>
  <c r="R39" i="135" s="1"/>
  <c r="P75" i="135"/>
  <c r="R75" i="135" s="1"/>
  <c r="P73" i="135"/>
  <c r="R73" i="135" s="1"/>
  <c r="T73" i="135" s="1"/>
  <c r="S50" i="135"/>
  <c r="S14" i="135"/>
  <c r="S61" i="135"/>
  <c r="S32" i="135"/>
  <c r="S5" i="135"/>
  <c r="S15" i="135"/>
  <c r="S44" i="135"/>
  <c r="S28" i="135"/>
  <c r="S20" i="135"/>
  <c r="S48" i="135"/>
  <c r="S18" i="135"/>
  <c r="S46" i="135"/>
  <c r="S33" i="135"/>
  <c r="S53" i="135"/>
  <c r="S9" i="135"/>
  <c r="S45" i="135"/>
  <c r="S42" i="135"/>
  <c r="S17" i="135"/>
  <c r="S39" i="135"/>
  <c r="S66" i="135"/>
  <c r="S30" i="135"/>
  <c r="S35" i="135"/>
  <c r="S7" i="135"/>
  <c r="S21" i="135"/>
  <c r="S43" i="135"/>
  <c r="S11" i="135"/>
  <c r="S13" i="135"/>
  <c r="S75" i="135"/>
  <c r="S36" i="135"/>
  <c r="S24" i="135"/>
  <c r="S16" i="135"/>
  <c r="S52" i="135"/>
  <c r="S34" i="135"/>
  <c r="S12" i="135"/>
  <c r="S38" i="135"/>
  <c r="S8" i="135"/>
  <c r="S19" i="135"/>
  <c r="S47" i="135"/>
  <c r="S12" i="134"/>
  <c r="S32" i="134"/>
  <c r="S5" i="134"/>
  <c r="S22" i="134"/>
  <c r="S43" i="134"/>
  <c r="S67" i="134"/>
  <c r="S28" i="134"/>
  <c r="S66" i="134"/>
  <c r="S54" i="134"/>
  <c r="S61" i="134"/>
  <c r="S21" i="134"/>
  <c r="S9" i="134"/>
  <c r="S68" i="134"/>
  <c r="S13" i="134"/>
  <c r="S17" i="134"/>
  <c r="S11" i="134"/>
  <c r="S25" i="134"/>
  <c r="S18" i="134"/>
  <c r="S24" i="134"/>
  <c r="S20" i="134"/>
  <c r="S26" i="134"/>
  <c r="P15" i="134"/>
  <c r="R15" i="134" s="1"/>
  <c r="P6" i="134"/>
  <c r="R6" i="134" s="1"/>
  <c r="T6" i="134" s="1"/>
  <c r="P60" i="134"/>
  <c r="R60" i="134" s="1"/>
  <c r="T60" i="134" s="1"/>
  <c r="P66" i="134"/>
  <c r="R66" i="134" s="1"/>
  <c r="T66" i="134" s="1"/>
  <c r="P41" i="134"/>
  <c r="R41" i="134" s="1"/>
  <c r="P54" i="134"/>
  <c r="R54" i="134" s="1"/>
  <c r="T54" i="134" s="1"/>
  <c r="P45" i="134"/>
  <c r="R45" i="134" s="1"/>
  <c r="T45" i="134" s="1"/>
  <c r="P62" i="134"/>
  <c r="R62" i="134" s="1"/>
  <c r="T62" i="134" s="1"/>
  <c r="P65" i="134"/>
  <c r="R65" i="134" s="1"/>
  <c r="T65" i="134" s="1"/>
  <c r="P18" i="134"/>
  <c r="R18" i="134" s="1"/>
  <c r="T18" i="134" s="1"/>
  <c r="P70" i="134"/>
  <c r="R70" i="134" s="1"/>
  <c r="T70" i="134" s="1"/>
  <c r="P33" i="134"/>
  <c r="R33" i="134" s="1"/>
  <c r="T33" i="134" s="1"/>
  <c r="P48" i="134"/>
  <c r="R48" i="134" s="1"/>
  <c r="T48" i="134" s="1"/>
  <c r="P43" i="134"/>
  <c r="R43" i="134" s="1"/>
  <c r="T43" i="134" s="1"/>
  <c r="P78" i="134"/>
  <c r="R78" i="134" s="1"/>
  <c r="T78" i="134" s="1"/>
  <c r="P22" i="134"/>
  <c r="R22" i="134" s="1"/>
  <c r="T22" i="134" s="1"/>
  <c r="P46" i="134"/>
  <c r="R46" i="134" s="1"/>
  <c r="P23" i="134"/>
  <c r="R23" i="134" s="1"/>
  <c r="P61" i="134"/>
  <c r="R61" i="134" s="1"/>
  <c r="P64" i="133"/>
  <c r="R64" i="133" s="1"/>
  <c r="T64" i="133" s="1"/>
  <c r="P24" i="134"/>
  <c r="R24" i="134" s="1"/>
  <c r="T24" i="134" s="1"/>
  <c r="P14" i="134"/>
  <c r="R14" i="134" s="1"/>
  <c r="T14" i="134" s="1"/>
  <c r="P77" i="134"/>
  <c r="R77" i="134" s="1"/>
  <c r="T77" i="134" s="1"/>
  <c r="P5" i="134"/>
  <c r="R5" i="134" s="1"/>
  <c r="P53" i="134"/>
  <c r="R53" i="134" s="1"/>
  <c r="P69" i="134"/>
  <c r="R69" i="134" s="1"/>
  <c r="T69" i="134" s="1"/>
  <c r="P74" i="134"/>
  <c r="R74" i="134" s="1"/>
  <c r="T74" i="134" s="1"/>
  <c r="P76" i="134"/>
  <c r="R76" i="134" s="1"/>
  <c r="T76" i="134" s="1"/>
  <c r="P17" i="134"/>
  <c r="R17" i="134" s="1"/>
  <c r="P16" i="134"/>
  <c r="R16" i="134" s="1"/>
  <c r="T16" i="134" s="1"/>
  <c r="P27" i="134"/>
  <c r="R27" i="134" s="1"/>
  <c r="T27" i="134" s="1"/>
  <c r="P30" i="134"/>
  <c r="R30" i="134" s="1"/>
  <c r="T30" i="134" s="1"/>
  <c r="P29" i="134"/>
  <c r="R29" i="134" s="1"/>
  <c r="T29" i="134" s="1"/>
  <c r="P40" i="134"/>
  <c r="R40" i="134" s="1"/>
  <c r="T40" i="134" s="1"/>
  <c r="P44" i="134"/>
  <c r="R44" i="134" s="1"/>
  <c r="P28" i="134"/>
  <c r="R28" i="134" s="1"/>
  <c r="T28" i="134" s="1"/>
  <c r="P31" i="134"/>
  <c r="R31" i="134" s="1"/>
  <c r="P36" i="134"/>
  <c r="R36" i="134" s="1"/>
  <c r="P71" i="134"/>
  <c r="R71" i="134" s="1"/>
  <c r="T71" i="134" s="1"/>
  <c r="P55" i="134"/>
  <c r="R55" i="134" s="1"/>
  <c r="T55" i="134" s="1"/>
  <c r="P47" i="134"/>
  <c r="R47" i="134" s="1"/>
  <c r="T47" i="134" s="1"/>
  <c r="P68" i="134"/>
  <c r="R68" i="134" s="1"/>
  <c r="P59" i="134"/>
  <c r="R59" i="134" s="1"/>
  <c r="P37" i="134"/>
  <c r="R37" i="134" s="1"/>
  <c r="T37" i="134" s="1"/>
  <c r="P13" i="134"/>
  <c r="R13" i="134" s="1"/>
  <c r="T13" i="134" s="1"/>
  <c r="P57" i="134"/>
  <c r="R57" i="134" s="1"/>
  <c r="T57" i="134" s="1"/>
  <c r="P83" i="134"/>
  <c r="R83" i="134" s="1"/>
  <c r="T83" i="134" s="1"/>
  <c r="P42" i="134"/>
  <c r="R42" i="134" s="1"/>
  <c r="T42" i="134" s="1"/>
  <c r="P39" i="134"/>
  <c r="R39" i="134" s="1"/>
  <c r="P7" i="134"/>
  <c r="R7" i="134" s="1"/>
  <c r="T7" i="134" s="1"/>
  <c r="P10" i="134"/>
  <c r="R10" i="134" s="1"/>
  <c r="T10" i="134" s="1"/>
  <c r="P49" i="134"/>
  <c r="R49" i="134" s="1"/>
  <c r="T49" i="134" s="1"/>
  <c r="P25" i="134"/>
  <c r="R25" i="134" s="1"/>
  <c r="P34" i="134"/>
  <c r="R34" i="134" s="1"/>
  <c r="T34" i="134" s="1"/>
  <c r="P26" i="134"/>
  <c r="R26" i="134" s="1"/>
  <c r="T26" i="134" s="1"/>
  <c r="P72" i="134"/>
  <c r="R72" i="134" s="1"/>
  <c r="T72" i="134" s="1"/>
  <c r="P73" i="134"/>
  <c r="R73" i="134" s="1"/>
  <c r="T73" i="134" s="1"/>
  <c r="P50" i="134"/>
  <c r="R50" i="134" s="1"/>
  <c r="T50" i="134" s="1"/>
  <c r="P56" i="134"/>
  <c r="R56" i="134" s="1"/>
  <c r="T56" i="134" s="1"/>
  <c r="P64" i="134"/>
  <c r="R64" i="134" s="1"/>
  <c r="T64" i="134" s="1"/>
  <c r="P19" i="134"/>
  <c r="R19" i="134" s="1"/>
  <c r="T19" i="134" s="1"/>
  <c r="P63" i="134"/>
  <c r="R63" i="134" s="1"/>
  <c r="T63" i="134" s="1"/>
  <c r="P82" i="134"/>
  <c r="R82" i="134" s="1"/>
  <c r="T82" i="134" s="1"/>
  <c r="P21" i="134"/>
  <c r="R21" i="134" s="1"/>
  <c r="P20" i="134"/>
  <c r="R20" i="134" s="1"/>
  <c r="P11" i="134"/>
  <c r="R11" i="134" s="1"/>
  <c r="T11" i="134" s="1"/>
  <c r="P75" i="134"/>
  <c r="R75" i="134" s="1"/>
  <c r="T75" i="134" s="1"/>
  <c r="P12" i="134"/>
  <c r="R12" i="134" s="1"/>
  <c r="T12" i="134" s="1"/>
  <c r="P9" i="134"/>
  <c r="R9" i="134" s="1"/>
  <c r="T9" i="134" s="1"/>
  <c r="P51" i="134"/>
  <c r="R51" i="134" s="1"/>
  <c r="T51" i="134" s="1"/>
  <c r="P80" i="134"/>
  <c r="R80" i="134" s="1"/>
  <c r="T80" i="134" s="1"/>
  <c r="P67" i="134"/>
  <c r="R67" i="134" s="1"/>
  <c r="T67" i="134" s="1"/>
  <c r="P79" i="134"/>
  <c r="R79" i="134" s="1"/>
  <c r="T79" i="134" s="1"/>
  <c r="P35" i="134"/>
  <c r="R35" i="134" s="1"/>
  <c r="P8" i="134"/>
  <c r="R8" i="134" s="1"/>
  <c r="P38" i="134"/>
  <c r="R38" i="134" s="1"/>
  <c r="T38" i="134" s="1"/>
  <c r="P58" i="134"/>
  <c r="R58" i="134" s="1"/>
  <c r="T58" i="134" s="1"/>
  <c r="P81" i="134"/>
  <c r="R81" i="134" s="1"/>
  <c r="T81" i="134" s="1"/>
  <c r="P32" i="134"/>
  <c r="R32" i="134" s="1"/>
  <c r="T32" i="134" s="1"/>
  <c r="P52" i="134"/>
  <c r="R52" i="134" s="1"/>
  <c r="T52" i="134" s="1"/>
  <c r="S31" i="134"/>
  <c r="S46" i="134"/>
  <c r="S15" i="134"/>
  <c r="S44" i="134"/>
  <c r="S35" i="134"/>
  <c r="S41" i="134"/>
  <c r="S8" i="134"/>
  <c r="S53" i="134"/>
  <c r="S23" i="134"/>
  <c r="S39" i="134"/>
  <c r="S59" i="134"/>
  <c r="S36" i="134"/>
  <c r="T27" i="138" l="1"/>
  <c r="T46" i="138"/>
  <c r="T13" i="138"/>
  <c r="T55" i="138"/>
  <c r="T21" i="138"/>
  <c r="T34" i="138"/>
  <c r="T33" i="138"/>
  <c r="T35" i="138"/>
  <c r="T52" i="138"/>
  <c r="T41" i="138"/>
  <c r="T31" i="138"/>
  <c r="T43" i="138"/>
  <c r="T22" i="138"/>
  <c r="T53" i="138"/>
  <c r="T23" i="138"/>
  <c r="T12" i="138"/>
  <c r="T39" i="138"/>
  <c r="T56" i="138"/>
  <c r="T17" i="138"/>
  <c r="T19" i="138"/>
  <c r="T20" i="138"/>
  <c r="T5" i="138"/>
  <c r="T47" i="137"/>
  <c r="T76" i="137"/>
  <c r="T17" i="137"/>
  <c r="T25" i="137"/>
  <c r="T44" i="137"/>
  <c r="T56" i="137"/>
  <c r="T59" i="137"/>
  <c r="T13" i="137"/>
  <c r="T32" i="137"/>
  <c r="T12" i="137"/>
  <c r="T27" i="137"/>
  <c r="T11" i="137"/>
  <c r="T7" i="137"/>
  <c r="T8" i="137"/>
  <c r="T31" i="137"/>
  <c r="T21" i="137"/>
  <c r="T18" i="137"/>
  <c r="T22" i="137"/>
  <c r="T48" i="136"/>
  <c r="T43" i="136"/>
  <c r="T47" i="136"/>
  <c r="T12" i="136"/>
  <c r="T35" i="136"/>
  <c r="T5" i="136"/>
  <c r="T19" i="136"/>
  <c r="T34" i="136"/>
  <c r="T39" i="136"/>
  <c r="T15" i="136"/>
  <c r="T69" i="136"/>
  <c r="T53" i="136"/>
  <c r="T38" i="136"/>
  <c r="T11" i="136"/>
  <c r="T25" i="136"/>
  <c r="T31" i="136"/>
  <c r="T7" i="136"/>
  <c r="T22" i="136"/>
  <c r="T30" i="136"/>
  <c r="T21" i="136"/>
  <c r="T52" i="136"/>
  <c r="T40" i="136"/>
  <c r="T45" i="136"/>
  <c r="T33" i="136"/>
  <c r="T9" i="136"/>
  <c r="T17" i="136"/>
  <c r="T27" i="136"/>
  <c r="T18" i="136"/>
  <c r="T47" i="135"/>
  <c r="T16" i="135"/>
  <c r="T14" i="135"/>
  <c r="T11" i="135"/>
  <c r="T43" i="135"/>
  <c r="T50" i="135"/>
  <c r="T36" i="135"/>
  <c r="T9" i="135"/>
  <c r="T61" i="135"/>
  <c r="T28" i="135"/>
  <c r="T24" i="135"/>
  <c r="T53" i="135"/>
  <c r="T38" i="135"/>
  <c r="T45" i="135"/>
  <c r="T17" i="135"/>
  <c r="T13" i="135"/>
  <c r="T18" i="135"/>
  <c r="T52" i="135"/>
  <c r="T44" i="135"/>
  <c r="T32" i="135"/>
  <c r="T19" i="135"/>
  <c r="T12" i="135"/>
  <c r="T8" i="135"/>
  <c r="T42" i="135"/>
  <c r="T30" i="135"/>
  <c r="T48" i="135"/>
  <c r="T35" i="135"/>
  <c r="T20" i="135"/>
  <c r="T21" i="135"/>
  <c r="T46" i="135"/>
  <c r="T7" i="135"/>
  <c r="T75" i="135"/>
  <c r="T39" i="135"/>
  <c r="T15" i="135"/>
  <c r="T66" i="135"/>
  <c r="T5" i="135"/>
  <c r="T33" i="135"/>
  <c r="T34" i="135"/>
  <c r="T21" i="134"/>
  <c r="T5" i="134"/>
  <c r="T61" i="134"/>
  <c r="T68" i="134"/>
  <c r="T20" i="134"/>
  <c r="T25" i="134"/>
  <c r="T17" i="134"/>
  <c r="T41" i="134"/>
  <c r="T15" i="134"/>
  <c r="T23" i="134"/>
  <c r="T44" i="134"/>
  <c r="T46" i="134"/>
  <c r="T31" i="134"/>
  <c r="T39" i="134"/>
  <c r="T36" i="134"/>
  <c r="T53" i="134"/>
  <c r="T59" i="134"/>
  <c r="T35" i="134"/>
  <c r="T8" i="134"/>
  <c r="L69" i="133" l="1"/>
  <c r="M69" i="133"/>
  <c r="N69" i="133"/>
  <c r="S69" i="133"/>
  <c r="L67" i="133"/>
  <c r="M67" i="133"/>
  <c r="N67" i="133"/>
  <c r="S67" i="133"/>
  <c r="L66" i="133"/>
  <c r="M66" i="133"/>
  <c r="N66" i="133"/>
  <c r="S66" i="133"/>
  <c r="L70" i="133"/>
  <c r="M70" i="133"/>
  <c r="N70" i="133"/>
  <c r="S70" i="133"/>
  <c r="L65" i="133"/>
  <c r="M65" i="133"/>
  <c r="N65" i="133"/>
  <c r="S65" i="133"/>
  <c r="L54" i="133"/>
  <c r="M54" i="133"/>
  <c r="N54" i="133"/>
  <c r="S54" i="133"/>
  <c r="L58" i="133"/>
  <c r="M58" i="133"/>
  <c r="N58" i="133"/>
  <c r="S58" i="133"/>
  <c r="V72" i="132"/>
  <c r="V73" i="132"/>
  <c r="V74" i="132"/>
  <c r="V75" i="132"/>
  <c r="V71" i="132"/>
  <c r="S75" i="132"/>
  <c r="P75" i="132"/>
  <c r="R75" i="132" s="1"/>
  <c r="T75" i="132" s="1"/>
  <c r="N75" i="132"/>
  <c r="M75" i="132"/>
  <c r="L75" i="132"/>
  <c r="S74" i="132"/>
  <c r="N74" i="132"/>
  <c r="M74" i="132"/>
  <c r="P74" i="132" s="1"/>
  <c r="R74" i="132" s="1"/>
  <c r="T74" i="132" s="1"/>
  <c r="L74" i="132"/>
  <c r="S73" i="132"/>
  <c r="N73" i="132"/>
  <c r="M73" i="132"/>
  <c r="P73" i="132" s="1"/>
  <c r="R73" i="132" s="1"/>
  <c r="T73" i="132" s="1"/>
  <c r="L73" i="132"/>
  <c r="S72" i="132"/>
  <c r="P72" i="132"/>
  <c r="R72" i="132" s="1"/>
  <c r="T72" i="132" s="1"/>
  <c r="N72" i="132"/>
  <c r="M72" i="132"/>
  <c r="L72" i="132"/>
  <c r="S71" i="132"/>
  <c r="N71" i="132"/>
  <c r="M71" i="132"/>
  <c r="P71" i="132" s="1"/>
  <c r="R71" i="132" s="1"/>
  <c r="T71" i="132" s="1"/>
  <c r="L71" i="132"/>
  <c r="P67" i="133" l="1"/>
  <c r="R67" i="133" s="1"/>
  <c r="T67" i="133" s="1"/>
  <c r="P54" i="133"/>
  <c r="R54" i="133" s="1"/>
  <c r="T54" i="133" s="1"/>
  <c r="P58" i="133"/>
  <c r="R58" i="133" s="1"/>
  <c r="T58" i="133" s="1"/>
  <c r="P70" i="133"/>
  <c r="R70" i="133" s="1"/>
  <c r="T70" i="133" s="1"/>
  <c r="P69" i="133"/>
  <c r="R69" i="133" s="1"/>
  <c r="T69" i="133" s="1"/>
  <c r="P66" i="133"/>
  <c r="R66" i="133" s="1"/>
  <c r="T66" i="133" s="1"/>
  <c r="P65" i="133"/>
  <c r="R65" i="133" s="1"/>
  <c r="T65" i="133" s="1"/>
  <c r="L16" i="133"/>
  <c r="M16" i="133"/>
  <c r="N16" i="133"/>
  <c r="L19" i="133"/>
  <c r="M19" i="133"/>
  <c r="N19" i="133"/>
  <c r="L29" i="133"/>
  <c r="M29" i="133"/>
  <c r="N29" i="133"/>
  <c r="L9" i="133"/>
  <c r="M9" i="133"/>
  <c r="N9" i="133"/>
  <c r="L8" i="133"/>
  <c r="M8" i="133"/>
  <c r="N8" i="133"/>
  <c r="S83" i="133"/>
  <c r="N83" i="133"/>
  <c r="M83" i="133"/>
  <c r="L83" i="133"/>
  <c r="S82" i="133"/>
  <c r="N82" i="133"/>
  <c r="M82" i="133"/>
  <c r="L82" i="133"/>
  <c r="S81" i="133"/>
  <c r="N81" i="133"/>
  <c r="M81" i="133"/>
  <c r="L81" i="133"/>
  <c r="S80" i="133"/>
  <c r="N80" i="133"/>
  <c r="M80" i="133"/>
  <c r="L80" i="133"/>
  <c r="S79" i="133"/>
  <c r="N79" i="133"/>
  <c r="M79" i="133"/>
  <c r="L79" i="133"/>
  <c r="S78" i="133"/>
  <c r="N78" i="133"/>
  <c r="M78" i="133"/>
  <c r="L78" i="133"/>
  <c r="S77" i="133"/>
  <c r="N77" i="133"/>
  <c r="M77" i="133"/>
  <c r="L77" i="133"/>
  <c r="S76" i="133"/>
  <c r="N76" i="133"/>
  <c r="M76" i="133"/>
  <c r="L76" i="133"/>
  <c r="S75" i="133"/>
  <c r="N75" i="133"/>
  <c r="M75" i="133"/>
  <c r="L75" i="133"/>
  <c r="S74" i="133"/>
  <c r="N74" i="133"/>
  <c r="M74" i="133"/>
  <c r="L74" i="133"/>
  <c r="S73" i="133"/>
  <c r="N73" i="133"/>
  <c r="M73" i="133"/>
  <c r="L73" i="133"/>
  <c r="S72" i="133"/>
  <c r="N72" i="133"/>
  <c r="M72" i="133"/>
  <c r="L72" i="133"/>
  <c r="S71" i="133"/>
  <c r="N71" i="133"/>
  <c r="M71" i="133"/>
  <c r="L71" i="133"/>
  <c r="N57" i="133"/>
  <c r="M57" i="133"/>
  <c r="L57" i="133"/>
  <c r="N61" i="133"/>
  <c r="M61" i="133"/>
  <c r="L61" i="133"/>
  <c r="N56" i="133"/>
  <c r="M56" i="133"/>
  <c r="L56" i="133"/>
  <c r="S68" i="133"/>
  <c r="N68" i="133"/>
  <c r="M68" i="133"/>
  <c r="L68" i="133"/>
  <c r="S63" i="133"/>
  <c r="N63" i="133"/>
  <c r="M63" i="133"/>
  <c r="L63" i="133"/>
  <c r="N43" i="133"/>
  <c r="M43" i="133"/>
  <c r="L43" i="133"/>
  <c r="N37" i="133"/>
  <c r="M37" i="133"/>
  <c r="L37" i="133"/>
  <c r="N42" i="133"/>
  <c r="M42" i="133"/>
  <c r="L42" i="133"/>
  <c r="N39" i="133"/>
  <c r="M39" i="133"/>
  <c r="L39" i="133"/>
  <c r="N31" i="133"/>
  <c r="M31" i="133"/>
  <c r="L31" i="133"/>
  <c r="N44" i="133"/>
  <c r="M44" i="133"/>
  <c r="L44" i="133"/>
  <c r="N27" i="133"/>
  <c r="M27" i="133"/>
  <c r="L27" i="133"/>
  <c r="N23" i="133"/>
  <c r="M23" i="133"/>
  <c r="L23" i="133"/>
  <c r="S55" i="133"/>
  <c r="N55" i="133"/>
  <c r="M55" i="133"/>
  <c r="L55" i="133"/>
  <c r="N49" i="133"/>
  <c r="M49" i="133"/>
  <c r="L49" i="133"/>
  <c r="N21" i="133"/>
  <c r="M21" i="133"/>
  <c r="L21" i="133"/>
  <c r="N18" i="133"/>
  <c r="M18" i="133"/>
  <c r="L18" i="133"/>
  <c r="S52" i="133"/>
  <c r="N52" i="133"/>
  <c r="M52" i="133"/>
  <c r="L52" i="133"/>
  <c r="N25" i="133"/>
  <c r="M25" i="133"/>
  <c r="L25" i="133"/>
  <c r="N10" i="133"/>
  <c r="M10" i="133"/>
  <c r="L10" i="133"/>
  <c r="S51" i="133"/>
  <c r="N51" i="133"/>
  <c r="M51" i="133"/>
  <c r="L51" i="133"/>
  <c r="N17" i="133"/>
  <c r="M17" i="133"/>
  <c r="L17" i="133"/>
  <c r="N14" i="133"/>
  <c r="M14" i="133"/>
  <c r="L14" i="133"/>
  <c r="N13" i="133"/>
  <c r="M13" i="133"/>
  <c r="L13" i="133"/>
  <c r="N22" i="133"/>
  <c r="M22" i="133"/>
  <c r="L22" i="133"/>
  <c r="N20" i="133"/>
  <c r="M20" i="133"/>
  <c r="L20" i="133"/>
  <c r="N7" i="133"/>
  <c r="M7" i="133"/>
  <c r="L7" i="133"/>
  <c r="S46" i="133"/>
  <c r="N46" i="133"/>
  <c r="M46" i="133"/>
  <c r="L46" i="133"/>
  <c r="N6" i="133"/>
  <c r="M6" i="133"/>
  <c r="L6" i="133"/>
  <c r="N53" i="133"/>
  <c r="M53" i="133"/>
  <c r="L53" i="133"/>
  <c r="N62" i="133"/>
  <c r="M62" i="133"/>
  <c r="L62" i="133"/>
  <c r="S34" i="133"/>
  <c r="N34" i="133"/>
  <c r="M34" i="133"/>
  <c r="L34" i="133"/>
  <c r="S32" i="133"/>
  <c r="N32" i="133"/>
  <c r="M32" i="133"/>
  <c r="L32" i="133"/>
  <c r="N11" i="133"/>
  <c r="M11" i="133"/>
  <c r="L11" i="133"/>
  <c r="N50" i="133"/>
  <c r="M50" i="133"/>
  <c r="L50" i="133"/>
  <c r="S30" i="133"/>
  <c r="N30" i="133"/>
  <c r="M30" i="133"/>
  <c r="L30" i="133"/>
  <c r="N41" i="133"/>
  <c r="M41" i="133"/>
  <c r="L41" i="133"/>
  <c r="N45" i="133"/>
  <c r="M45" i="133"/>
  <c r="L45" i="133"/>
  <c r="S24" i="133"/>
  <c r="N24" i="133"/>
  <c r="M24" i="133"/>
  <c r="L24" i="133"/>
  <c r="N60" i="133"/>
  <c r="M60" i="133"/>
  <c r="L60" i="133"/>
  <c r="N59" i="133"/>
  <c r="M59" i="133"/>
  <c r="L59" i="133"/>
  <c r="N35" i="133"/>
  <c r="M35" i="133"/>
  <c r="L35" i="133"/>
  <c r="N48" i="133"/>
  <c r="M48" i="133"/>
  <c r="L48" i="133"/>
  <c r="N47" i="133"/>
  <c r="M47" i="133"/>
  <c r="L47" i="133"/>
  <c r="S15" i="133"/>
  <c r="N15" i="133"/>
  <c r="M15" i="133"/>
  <c r="L15" i="133"/>
  <c r="S12" i="133"/>
  <c r="N12" i="133"/>
  <c r="M12" i="133"/>
  <c r="L12" i="133"/>
  <c r="N36" i="133"/>
  <c r="M36" i="133"/>
  <c r="L36" i="133"/>
  <c r="N40" i="133"/>
  <c r="M40" i="133"/>
  <c r="L40" i="133"/>
  <c r="Y9" i="133"/>
  <c r="N38" i="133"/>
  <c r="M38" i="133"/>
  <c r="L38" i="133"/>
  <c r="Y8" i="133"/>
  <c r="S16" i="133" s="1"/>
  <c r="S33" i="133"/>
  <c r="N33" i="133"/>
  <c r="M33" i="133"/>
  <c r="L33" i="133"/>
  <c r="Y7" i="133"/>
  <c r="S27" i="133" s="1"/>
  <c r="N26" i="133"/>
  <c r="M26" i="133"/>
  <c r="L26" i="133"/>
  <c r="N28" i="133"/>
  <c r="M28" i="133"/>
  <c r="L28" i="133"/>
  <c r="Y5" i="133"/>
  <c r="S5" i="133"/>
  <c r="N5" i="133"/>
  <c r="M5" i="133"/>
  <c r="L5" i="133"/>
  <c r="Y4" i="133"/>
  <c r="Y3" i="133"/>
  <c r="B1" i="133"/>
  <c r="S51" i="132"/>
  <c r="N51" i="132"/>
  <c r="M51" i="132"/>
  <c r="L51" i="132"/>
  <c r="S43" i="132"/>
  <c r="N43" i="132"/>
  <c r="M43" i="132"/>
  <c r="L43" i="132"/>
  <c r="S65" i="132"/>
  <c r="N65" i="132"/>
  <c r="M65" i="132"/>
  <c r="L65" i="132"/>
  <c r="S62" i="132"/>
  <c r="N62" i="132"/>
  <c r="M62" i="132"/>
  <c r="L62" i="132"/>
  <c r="S66" i="132"/>
  <c r="N66" i="132"/>
  <c r="M66" i="132"/>
  <c r="L66" i="132"/>
  <c r="S54" i="132"/>
  <c r="N54" i="132"/>
  <c r="M54" i="132"/>
  <c r="L54" i="132"/>
  <c r="S55" i="132"/>
  <c r="N55" i="132"/>
  <c r="M55" i="132"/>
  <c r="L55" i="132"/>
  <c r="S70" i="132"/>
  <c r="N70" i="132"/>
  <c r="M70" i="132"/>
  <c r="L70" i="132"/>
  <c r="S69" i="132"/>
  <c r="N69" i="132"/>
  <c r="M69" i="132"/>
  <c r="L69" i="132"/>
  <c r="S52" i="132"/>
  <c r="N52" i="132"/>
  <c r="M52" i="132"/>
  <c r="L52" i="132"/>
  <c r="S64" i="132"/>
  <c r="N64" i="132"/>
  <c r="M64" i="132"/>
  <c r="L64" i="132"/>
  <c r="S57" i="132"/>
  <c r="N57" i="132"/>
  <c r="M57" i="132"/>
  <c r="L57" i="132"/>
  <c r="S47" i="132"/>
  <c r="N47" i="132"/>
  <c r="M47" i="132"/>
  <c r="L47" i="132"/>
  <c r="S56" i="132"/>
  <c r="N56" i="132"/>
  <c r="M56" i="132"/>
  <c r="L56" i="132"/>
  <c r="N23" i="132"/>
  <c r="M23" i="132"/>
  <c r="L23" i="132"/>
  <c r="S59" i="132"/>
  <c r="N59" i="132"/>
  <c r="M59" i="132"/>
  <c r="L59" i="132"/>
  <c r="S67" i="132"/>
  <c r="N67" i="132"/>
  <c r="M67" i="132"/>
  <c r="L67" i="132"/>
  <c r="N39" i="132"/>
  <c r="M39" i="132"/>
  <c r="L39" i="132"/>
  <c r="N33" i="132"/>
  <c r="M33" i="132"/>
  <c r="L33" i="132"/>
  <c r="N31" i="132"/>
  <c r="M31" i="132"/>
  <c r="L31" i="132"/>
  <c r="S44" i="132"/>
  <c r="N44" i="132"/>
  <c r="M44" i="132"/>
  <c r="L44" i="132"/>
  <c r="S68" i="132"/>
  <c r="N68" i="132"/>
  <c r="M68" i="132"/>
  <c r="L68" i="132"/>
  <c r="S42" i="132"/>
  <c r="N42" i="132"/>
  <c r="M42" i="132"/>
  <c r="L42" i="132"/>
  <c r="S58" i="132"/>
  <c r="N58" i="132"/>
  <c r="M58" i="132"/>
  <c r="L58" i="132"/>
  <c r="N16" i="132"/>
  <c r="M16" i="132"/>
  <c r="L16" i="132"/>
  <c r="N27" i="132"/>
  <c r="M27" i="132"/>
  <c r="L27" i="132"/>
  <c r="S46" i="132"/>
  <c r="N46" i="132"/>
  <c r="M46" i="132"/>
  <c r="L46" i="132"/>
  <c r="N32" i="132"/>
  <c r="M32" i="132"/>
  <c r="L32" i="132"/>
  <c r="S53" i="132"/>
  <c r="N53" i="132"/>
  <c r="M53" i="132"/>
  <c r="L53" i="132"/>
  <c r="N7" i="132"/>
  <c r="M7" i="132"/>
  <c r="L7" i="132"/>
  <c r="S37" i="132"/>
  <c r="N37" i="132"/>
  <c r="M37" i="132"/>
  <c r="L37" i="132"/>
  <c r="S21" i="132"/>
  <c r="N21" i="132"/>
  <c r="M21" i="132"/>
  <c r="L21" i="132"/>
  <c r="N36" i="132"/>
  <c r="M36" i="132"/>
  <c r="L36" i="132"/>
  <c r="S48" i="132"/>
  <c r="N48" i="132"/>
  <c r="M48" i="132"/>
  <c r="L48" i="132"/>
  <c r="N41" i="132"/>
  <c r="M41" i="132"/>
  <c r="L41" i="132"/>
  <c r="S50" i="132"/>
  <c r="N50" i="132"/>
  <c r="M50" i="132"/>
  <c r="L50" i="132"/>
  <c r="N22" i="132"/>
  <c r="M22" i="132"/>
  <c r="L22" i="132"/>
  <c r="S61" i="132"/>
  <c r="N61" i="132"/>
  <c r="M61" i="132"/>
  <c r="L61" i="132"/>
  <c r="S11" i="132"/>
  <c r="N11" i="132"/>
  <c r="M11" i="132"/>
  <c r="L11" i="132"/>
  <c r="N25" i="132"/>
  <c r="M25" i="132"/>
  <c r="L25" i="132"/>
  <c r="S30" i="132"/>
  <c r="N30" i="132"/>
  <c r="M30" i="132"/>
  <c r="L30" i="132"/>
  <c r="N20" i="132"/>
  <c r="M20" i="132"/>
  <c r="L20" i="132"/>
  <c r="S60" i="132"/>
  <c r="N60" i="132"/>
  <c r="M60" i="132"/>
  <c r="L60" i="132"/>
  <c r="S5" i="132"/>
  <c r="N5" i="132"/>
  <c r="M5" i="132"/>
  <c r="L5" i="132"/>
  <c r="S9" i="132"/>
  <c r="N9" i="132"/>
  <c r="M9" i="132"/>
  <c r="L9" i="132"/>
  <c r="S40" i="132"/>
  <c r="N40" i="132"/>
  <c r="M40" i="132"/>
  <c r="L40" i="132"/>
  <c r="N34" i="132"/>
  <c r="M34" i="132"/>
  <c r="L34" i="132"/>
  <c r="N6" i="132"/>
  <c r="M6" i="132"/>
  <c r="L6" i="132"/>
  <c r="N14" i="132"/>
  <c r="M14" i="132"/>
  <c r="L14" i="132"/>
  <c r="N17" i="132"/>
  <c r="M17" i="132"/>
  <c r="L17" i="132"/>
  <c r="N10" i="132"/>
  <c r="M10" i="132"/>
  <c r="L10" i="132"/>
  <c r="S49" i="132"/>
  <c r="N49" i="132"/>
  <c r="M49" i="132"/>
  <c r="L49" i="132"/>
  <c r="S63" i="132"/>
  <c r="N63" i="132"/>
  <c r="M63" i="132"/>
  <c r="L63" i="132"/>
  <c r="N35" i="132"/>
  <c r="M35" i="132"/>
  <c r="L35" i="132"/>
  <c r="N24" i="132"/>
  <c r="M24" i="132"/>
  <c r="L24" i="132"/>
  <c r="N38" i="132"/>
  <c r="M38" i="132"/>
  <c r="L38" i="132"/>
  <c r="N12" i="132"/>
  <c r="M12" i="132"/>
  <c r="L12" i="132"/>
  <c r="N13" i="132"/>
  <c r="M13" i="132"/>
  <c r="L13" i="132"/>
  <c r="N19" i="132"/>
  <c r="M19" i="132"/>
  <c r="L19" i="132"/>
  <c r="N29" i="132"/>
  <c r="M29" i="132"/>
  <c r="L29" i="132"/>
  <c r="N26" i="132"/>
  <c r="M26" i="132"/>
  <c r="L26" i="132"/>
  <c r="Y9" i="132"/>
  <c r="S28" i="132"/>
  <c r="N28" i="132"/>
  <c r="M28" i="132"/>
  <c r="L28" i="132"/>
  <c r="Y8" i="132"/>
  <c r="N8" i="132"/>
  <c r="M8" i="132"/>
  <c r="L8" i="132"/>
  <c r="Y7" i="132"/>
  <c r="N18" i="132"/>
  <c r="M18" i="132"/>
  <c r="L18" i="132"/>
  <c r="N15" i="132"/>
  <c r="M15" i="132"/>
  <c r="L15" i="132"/>
  <c r="Y5" i="132"/>
  <c r="S27" i="132" s="1"/>
  <c r="S45" i="132"/>
  <c r="N45" i="132"/>
  <c r="M45" i="132"/>
  <c r="L45" i="132"/>
  <c r="Y4" i="132"/>
  <c r="S36" i="132" s="1"/>
  <c r="Y3" i="132"/>
  <c r="S29" i="132" s="1"/>
  <c r="B1" i="132"/>
  <c r="S70" i="131"/>
  <c r="N70" i="131"/>
  <c r="M70" i="131"/>
  <c r="L70" i="131"/>
  <c r="S69" i="131"/>
  <c r="N69" i="131"/>
  <c r="M69" i="131"/>
  <c r="L69" i="131"/>
  <c r="S68" i="131"/>
  <c r="N68" i="131"/>
  <c r="M68" i="131"/>
  <c r="L68" i="131"/>
  <c r="S67" i="131"/>
  <c r="N67" i="131"/>
  <c r="M67" i="131"/>
  <c r="L67" i="131"/>
  <c r="S66" i="131"/>
  <c r="N66" i="131"/>
  <c r="M66" i="131"/>
  <c r="L66" i="131"/>
  <c r="S65" i="131"/>
  <c r="N65" i="131"/>
  <c r="M65" i="131"/>
  <c r="L65" i="131"/>
  <c r="S64" i="131"/>
  <c r="N64" i="131"/>
  <c r="M64" i="131"/>
  <c r="L64" i="131"/>
  <c r="S63" i="131"/>
  <c r="N63" i="131"/>
  <c r="M63" i="131"/>
  <c r="L63" i="131"/>
  <c r="S62" i="131"/>
  <c r="N62" i="131"/>
  <c r="M62" i="131"/>
  <c r="L62" i="131"/>
  <c r="S61" i="131"/>
  <c r="N61" i="131"/>
  <c r="M61" i="131"/>
  <c r="L61" i="131"/>
  <c r="S60" i="131"/>
  <c r="N60" i="131"/>
  <c r="M60" i="131"/>
  <c r="L60" i="131"/>
  <c r="S59" i="131"/>
  <c r="N59" i="131"/>
  <c r="M59" i="131"/>
  <c r="L59" i="131"/>
  <c r="S58" i="131"/>
  <c r="N58" i="131"/>
  <c r="M58" i="131"/>
  <c r="L58" i="131"/>
  <c r="N56" i="131"/>
  <c r="M56" i="131"/>
  <c r="L56" i="131"/>
  <c r="N52" i="131"/>
  <c r="M52" i="131"/>
  <c r="L52" i="131"/>
  <c r="S51" i="131"/>
  <c r="N51" i="131"/>
  <c r="M51" i="131"/>
  <c r="L51" i="131"/>
  <c r="S57" i="131"/>
  <c r="N57" i="131"/>
  <c r="M57" i="131"/>
  <c r="L57" i="131"/>
  <c r="S55" i="131"/>
  <c r="N55" i="131"/>
  <c r="M55" i="131"/>
  <c r="L55" i="131"/>
  <c r="S36" i="131"/>
  <c r="N36" i="131"/>
  <c r="M36" i="131"/>
  <c r="L36" i="131"/>
  <c r="N46" i="131"/>
  <c r="M46" i="131"/>
  <c r="L46" i="131"/>
  <c r="N53" i="131"/>
  <c r="M53" i="131"/>
  <c r="L53" i="131"/>
  <c r="S54" i="131"/>
  <c r="N54" i="131"/>
  <c r="M54" i="131"/>
  <c r="L54" i="131"/>
  <c r="N45" i="131"/>
  <c r="M45" i="131"/>
  <c r="L45" i="131"/>
  <c r="N34" i="131"/>
  <c r="M34" i="131"/>
  <c r="L34" i="131"/>
  <c r="S50" i="131"/>
  <c r="N50" i="131"/>
  <c r="M50" i="131"/>
  <c r="L50" i="131"/>
  <c r="S48" i="131"/>
  <c r="N48" i="131"/>
  <c r="M48" i="131"/>
  <c r="L48" i="131"/>
  <c r="N30" i="131"/>
  <c r="M30" i="131"/>
  <c r="L30" i="131"/>
  <c r="S47" i="131"/>
  <c r="N47" i="131"/>
  <c r="M47" i="131"/>
  <c r="L47" i="131"/>
  <c r="N15" i="131"/>
  <c r="M15" i="131"/>
  <c r="L15" i="131"/>
  <c r="N14" i="131"/>
  <c r="M14" i="131"/>
  <c r="L14" i="131"/>
  <c r="S44" i="131"/>
  <c r="N44" i="131"/>
  <c r="M44" i="131"/>
  <c r="L44" i="131"/>
  <c r="N13" i="131"/>
  <c r="M13" i="131"/>
  <c r="L13" i="131"/>
  <c r="N12" i="131"/>
  <c r="M12" i="131"/>
  <c r="L12" i="131"/>
  <c r="N27" i="131"/>
  <c r="M27" i="131"/>
  <c r="L27" i="131"/>
  <c r="S42" i="131"/>
  <c r="N42" i="131"/>
  <c r="M42" i="131"/>
  <c r="L42" i="131"/>
  <c r="S37" i="131"/>
  <c r="N37" i="131"/>
  <c r="M37" i="131"/>
  <c r="L37" i="131"/>
  <c r="S35" i="131"/>
  <c r="N35" i="131"/>
  <c r="M35" i="131"/>
  <c r="L35" i="131"/>
  <c r="S33" i="131"/>
  <c r="N33" i="131"/>
  <c r="M33" i="131"/>
  <c r="L33" i="131"/>
  <c r="N11" i="131"/>
  <c r="M11" i="131"/>
  <c r="L11" i="131"/>
  <c r="S28" i="131"/>
  <c r="N28" i="131"/>
  <c r="M28" i="131"/>
  <c r="L28" i="131"/>
  <c r="N9" i="131"/>
  <c r="M9" i="131"/>
  <c r="L9" i="131"/>
  <c r="N38" i="131"/>
  <c r="M38" i="131"/>
  <c r="L38" i="131"/>
  <c r="N8" i="131"/>
  <c r="M8" i="131"/>
  <c r="L8" i="131"/>
  <c r="N7" i="131"/>
  <c r="M7" i="131"/>
  <c r="L7" i="131"/>
  <c r="N6" i="131"/>
  <c r="M6" i="131"/>
  <c r="L6" i="131"/>
  <c r="N43" i="131"/>
  <c r="M43" i="131"/>
  <c r="L43" i="131"/>
  <c r="S19" i="131"/>
  <c r="N19" i="131"/>
  <c r="M19" i="131"/>
  <c r="L19" i="131"/>
  <c r="N31" i="131"/>
  <c r="M31" i="131"/>
  <c r="L31" i="131"/>
  <c r="S18" i="131"/>
  <c r="N18" i="131"/>
  <c r="M18" i="131"/>
  <c r="L18" i="131"/>
  <c r="N29" i="131"/>
  <c r="M29" i="131"/>
  <c r="L29" i="131"/>
  <c r="N26" i="131"/>
  <c r="M26" i="131"/>
  <c r="L26" i="131"/>
  <c r="N39" i="131"/>
  <c r="M39" i="131"/>
  <c r="L39" i="131"/>
  <c r="N41" i="131"/>
  <c r="M41" i="131"/>
  <c r="L41" i="131"/>
  <c r="N40" i="131"/>
  <c r="M40" i="131"/>
  <c r="L40" i="131"/>
  <c r="N17" i="131"/>
  <c r="M17" i="131"/>
  <c r="L17" i="131"/>
  <c r="N16" i="131"/>
  <c r="M16" i="131"/>
  <c r="L16" i="131"/>
  <c r="N25" i="131"/>
  <c r="M25" i="131"/>
  <c r="L25" i="131"/>
  <c r="N24" i="131"/>
  <c r="M24" i="131"/>
  <c r="L24" i="131"/>
  <c r="N23" i="131"/>
  <c r="M23" i="131"/>
  <c r="L23" i="131"/>
  <c r="N22" i="131"/>
  <c r="M22" i="131"/>
  <c r="L22" i="131"/>
  <c r="N21" i="131"/>
  <c r="M21" i="131"/>
  <c r="L21" i="131"/>
  <c r="Y9" i="131"/>
  <c r="N32" i="131"/>
  <c r="M32" i="131"/>
  <c r="L32" i="131"/>
  <c r="Y8" i="131"/>
  <c r="N20" i="131"/>
  <c r="M20" i="131"/>
  <c r="L20" i="131"/>
  <c r="Y7" i="131"/>
  <c r="S6" i="131" s="1"/>
  <c r="N49" i="131"/>
  <c r="M49" i="131"/>
  <c r="L49" i="131"/>
  <c r="S5" i="131"/>
  <c r="N5" i="131"/>
  <c r="M5" i="131"/>
  <c r="L5" i="131"/>
  <c r="Y5" i="131"/>
  <c r="S14" i="131" s="1"/>
  <c r="N10" i="131"/>
  <c r="M10" i="131"/>
  <c r="L10" i="131"/>
  <c r="Y4" i="131"/>
  <c r="S40" i="131" s="1"/>
  <c r="Y3" i="131"/>
  <c r="B1" i="131"/>
  <c r="S70" i="130"/>
  <c r="N70" i="130"/>
  <c r="M70" i="130"/>
  <c r="P70" i="130" s="1"/>
  <c r="R70" i="130" s="1"/>
  <c r="L70" i="130"/>
  <c r="S69" i="130"/>
  <c r="N69" i="130"/>
  <c r="M69" i="130"/>
  <c r="L69" i="130"/>
  <c r="S68" i="130"/>
  <c r="N68" i="130"/>
  <c r="M68" i="130"/>
  <c r="L68" i="130"/>
  <c r="S67" i="130"/>
  <c r="N67" i="130"/>
  <c r="M67" i="130"/>
  <c r="L67" i="130"/>
  <c r="S66" i="130"/>
  <c r="N66" i="130"/>
  <c r="M66" i="130"/>
  <c r="L66" i="130"/>
  <c r="S65" i="130"/>
  <c r="N65" i="130"/>
  <c r="M65" i="130"/>
  <c r="L65" i="130"/>
  <c r="S64" i="130"/>
  <c r="N64" i="130"/>
  <c r="M64" i="130"/>
  <c r="L64" i="130"/>
  <c r="S63" i="130"/>
  <c r="N63" i="130"/>
  <c r="M63" i="130"/>
  <c r="L63" i="130"/>
  <c r="S62" i="130"/>
  <c r="N62" i="130"/>
  <c r="M62" i="130"/>
  <c r="L62" i="130"/>
  <c r="N57" i="130"/>
  <c r="M57" i="130"/>
  <c r="L57" i="130"/>
  <c r="S61" i="130"/>
  <c r="N61" i="130"/>
  <c r="M61" i="130"/>
  <c r="L61" i="130"/>
  <c r="S60" i="130"/>
  <c r="N60" i="130"/>
  <c r="M60" i="130"/>
  <c r="L60" i="130"/>
  <c r="S59" i="130"/>
  <c r="N59" i="130"/>
  <c r="M59" i="130"/>
  <c r="L59" i="130"/>
  <c r="S58" i="130"/>
  <c r="N58" i="130"/>
  <c r="M58" i="130"/>
  <c r="L58" i="130"/>
  <c r="S54" i="130"/>
  <c r="N54" i="130"/>
  <c r="M54" i="130"/>
  <c r="L54" i="130"/>
  <c r="S53" i="130"/>
  <c r="N53" i="130"/>
  <c r="M53" i="130"/>
  <c r="L53" i="130"/>
  <c r="S56" i="130"/>
  <c r="N56" i="130"/>
  <c r="M56" i="130"/>
  <c r="L56" i="130"/>
  <c r="N55" i="130"/>
  <c r="M55" i="130"/>
  <c r="L55" i="130"/>
  <c r="S49" i="130"/>
  <c r="N49" i="130"/>
  <c r="M49" i="130"/>
  <c r="L49" i="130"/>
  <c r="S46" i="130"/>
  <c r="N46" i="130"/>
  <c r="M46" i="130"/>
  <c r="L46" i="130"/>
  <c r="S45" i="130"/>
  <c r="N45" i="130"/>
  <c r="M45" i="130"/>
  <c r="L45" i="130"/>
  <c r="S43" i="130"/>
  <c r="N43" i="130"/>
  <c r="M43" i="130"/>
  <c r="L43" i="130"/>
  <c r="S40" i="130"/>
  <c r="N40" i="130"/>
  <c r="M40" i="130"/>
  <c r="L40" i="130"/>
  <c r="S52" i="130"/>
  <c r="N52" i="130"/>
  <c r="M52" i="130"/>
  <c r="L52" i="130"/>
  <c r="N50" i="130"/>
  <c r="M50" i="130"/>
  <c r="L50" i="130"/>
  <c r="N48" i="130"/>
  <c r="M48" i="130"/>
  <c r="L48" i="130"/>
  <c r="S35" i="130"/>
  <c r="N35" i="130"/>
  <c r="M35" i="130"/>
  <c r="L35" i="130"/>
  <c r="N47" i="130"/>
  <c r="M47" i="130"/>
  <c r="L47" i="130"/>
  <c r="S34" i="130"/>
  <c r="N34" i="130"/>
  <c r="M34" i="130"/>
  <c r="L34" i="130"/>
  <c r="S33" i="130"/>
  <c r="N33" i="130"/>
  <c r="M33" i="130"/>
  <c r="L33" i="130"/>
  <c r="S51" i="130"/>
  <c r="N51" i="130"/>
  <c r="M51" i="130"/>
  <c r="L51" i="130"/>
  <c r="N29" i="130"/>
  <c r="M29" i="130"/>
  <c r="L29" i="130"/>
  <c r="N42" i="130"/>
  <c r="M42" i="130"/>
  <c r="L42" i="130"/>
  <c r="S41" i="130"/>
  <c r="N41" i="130"/>
  <c r="M41" i="130"/>
  <c r="L41" i="130"/>
  <c r="N7" i="130"/>
  <c r="M7" i="130"/>
  <c r="L7" i="130"/>
  <c r="N39" i="130"/>
  <c r="M39" i="130"/>
  <c r="L39" i="130"/>
  <c r="S44" i="130"/>
  <c r="N44" i="130"/>
  <c r="M44" i="130"/>
  <c r="L44" i="130"/>
  <c r="S36" i="130"/>
  <c r="N36" i="130"/>
  <c r="M36" i="130"/>
  <c r="L36" i="130"/>
  <c r="S24" i="130"/>
  <c r="N24" i="130"/>
  <c r="M24" i="130"/>
  <c r="L24" i="130"/>
  <c r="S22" i="130"/>
  <c r="N22" i="130"/>
  <c r="M22" i="130"/>
  <c r="L22" i="130"/>
  <c r="S38" i="130"/>
  <c r="N38" i="130"/>
  <c r="M38" i="130"/>
  <c r="P38" i="130" s="1"/>
  <c r="R38" i="130" s="1"/>
  <c r="L38" i="130"/>
  <c r="N28" i="130"/>
  <c r="M28" i="130"/>
  <c r="L28" i="130"/>
  <c r="S32" i="130"/>
  <c r="N32" i="130"/>
  <c r="M32" i="130"/>
  <c r="L32" i="130"/>
  <c r="S27" i="130"/>
  <c r="N27" i="130"/>
  <c r="M27" i="130"/>
  <c r="L27" i="130"/>
  <c r="N37" i="130"/>
  <c r="M37" i="130"/>
  <c r="L37" i="130"/>
  <c r="S26" i="130"/>
  <c r="N26" i="130"/>
  <c r="M26" i="130"/>
  <c r="L26" i="130"/>
  <c r="N25" i="130"/>
  <c r="M25" i="130"/>
  <c r="L25" i="130"/>
  <c r="N23" i="130"/>
  <c r="M23" i="130"/>
  <c r="L23" i="130"/>
  <c r="S21" i="130"/>
  <c r="N21" i="130"/>
  <c r="M21" i="130"/>
  <c r="L21" i="130"/>
  <c r="N30" i="130"/>
  <c r="M30" i="130"/>
  <c r="L30" i="130"/>
  <c r="N20" i="130"/>
  <c r="M20" i="130"/>
  <c r="L20" i="130"/>
  <c r="N18" i="130"/>
  <c r="M18" i="130"/>
  <c r="L18" i="130"/>
  <c r="S14" i="130"/>
  <c r="N14" i="130"/>
  <c r="M14" i="130"/>
  <c r="L14" i="130"/>
  <c r="S13" i="130"/>
  <c r="N13" i="130"/>
  <c r="M13" i="130"/>
  <c r="L13" i="130"/>
  <c r="S12" i="130"/>
  <c r="N12" i="130"/>
  <c r="M12" i="130"/>
  <c r="L12" i="130"/>
  <c r="S11" i="130"/>
  <c r="N11" i="130"/>
  <c r="M11" i="130"/>
  <c r="L11" i="130"/>
  <c r="S10" i="130"/>
  <c r="N10" i="130"/>
  <c r="M10" i="130"/>
  <c r="L10" i="130"/>
  <c r="S9" i="130"/>
  <c r="N9" i="130"/>
  <c r="M9" i="130"/>
  <c r="L9" i="130"/>
  <c r="S6" i="130"/>
  <c r="N6" i="130"/>
  <c r="M6" i="130"/>
  <c r="L6" i="130"/>
  <c r="S19" i="130"/>
  <c r="N19" i="130"/>
  <c r="M19" i="130"/>
  <c r="L19" i="130"/>
  <c r="N17" i="130"/>
  <c r="M17" i="130"/>
  <c r="L17" i="130"/>
  <c r="Y9" i="130"/>
  <c r="N16" i="130"/>
  <c r="M16" i="130"/>
  <c r="L16" i="130"/>
  <c r="Y8" i="130"/>
  <c r="N15" i="130"/>
  <c r="M15" i="130"/>
  <c r="L15" i="130"/>
  <c r="Y7" i="130"/>
  <c r="S50" i="130" s="1"/>
  <c r="S31" i="130"/>
  <c r="N31" i="130"/>
  <c r="M31" i="130"/>
  <c r="L31" i="130"/>
  <c r="N8" i="130"/>
  <c r="M8" i="130"/>
  <c r="L8" i="130"/>
  <c r="Y5" i="130"/>
  <c r="S57" i="130" s="1"/>
  <c r="S5" i="130"/>
  <c r="N5" i="130"/>
  <c r="M5" i="130"/>
  <c r="L5" i="130"/>
  <c r="Y4" i="130"/>
  <c r="S16" i="130" s="1"/>
  <c r="Y3" i="130"/>
  <c r="S7" i="130" s="1"/>
  <c r="B1" i="130"/>
  <c r="S70" i="129"/>
  <c r="N70" i="129"/>
  <c r="M70" i="129"/>
  <c r="L70" i="129"/>
  <c r="S69" i="129"/>
  <c r="N69" i="129"/>
  <c r="M69" i="129"/>
  <c r="L69" i="129"/>
  <c r="S68" i="129"/>
  <c r="N68" i="129"/>
  <c r="M68" i="129"/>
  <c r="L68" i="129"/>
  <c r="S67" i="129"/>
  <c r="N67" i="129"/>
  <c r="M67" i="129"/>
  <c r="L67" i="129"/>
  <c r="S66" i="129"/>
  <c r="N66" i="129"/>
  <c r="M66" i="129"/>
  <c r="L66" i="129"/>
  <c r="S65" i="129"/>
  <c r="N65" i="129"/>
  <c r="M65" i="129"/>
  <c r="L65" i="129"/>
  <c r="S64" i="129"/>
  <c r="N64" i="129"/>
  <c r="M64" i="129"/>
  <c r="L64" i="129"/>
  <c r="S63" i="129"/>
  <c r="N63" i="129"/>
  <c r="M63" i="129"/>
  <c r="L63" i="129"/>
  <c r="S62" i="129"/>
  <c r="N62" i="129"/>
  <c r="M62" i="129"/>
  <c r="L62" i="129"/>
  <c r="S61" i="129"/>
  <c r="N61" i="129"/>
  <c r="M61" i="129"/>
  <c r="L61" i="129"/>
  <c r="S60" i="129"/>
  <c r="N60" i="129"/>
  <c r="M60" i="129"/>
  <c r="L60" i="129"/>
  <c r="S59" i="129"/>
  <c r="N59" i="129"/>
  <c r="M59" i="129"/>
  <c r="L59" i="129"/>
  <c r="S58" i="129"/>
  <c r="N58" i="129"/>
  <c r="M58" i="129"/>
  <c r="L58" i="129"/>
  <c r="S57" i="129"/>
  <c r="N57" i="129"/>
  <c r="M57" i="129"/>
  <c r="L57" i="129"/>
  <c r="N53" i="129"/>
  <c r="M53" i="129"/>
  <c r="L53" i="129"/>
  <c r="N54" i="129"/>
  <c r="M54" i="129"/>
  <c r="L54" i="129"/>
  <c r="S56" i="129"/>
  <c r="N56" i="129"/>
  <c r="M56" i="129"/>
  <c r="L56" i="129"/>
  <c r="S55" i="129"/>
  <c r="N55" i="129"/>
  <c r="M55" i="129"/>
  <c r="L55" i="129"/>
  <c r="N38" i="129"/>
  <c r="M38" i="129"/>
  <c r="L38" i="129"/>
  <c r="S52" i="129"/>
  <c r="N52" i="129"/>
  <c r="M52" i="129"/>
  <c r="L52" i="129"/>
  <c r="N33" i="129"/>
  <c r="M33" i="129"/>
  <c r="L33" i="129"/>
  <c r="S51" i="129"/>
  <c r="N51" i="129"/>
  <c r="M51" i="129"/>
  <c r="L51" i="129"/>
  <c r="S50" i="129"/>
  <c r="N50" i="129"/>
  <c r="M50" i="129"/>
  <c r="L50" i="129"/>
  <c r="S49" i="129"/>
  <c r="N49" i="129"/>
  <c r="M49" i="129"/>
  <c r="L49" i="129"/>
  <c r="N37" i="129"/>
  <c r="M37" i="129"/>
  <c r="L37" i="129"/>
  <c r="S48" i="129"/>
  <c r="N48" i="129"/>
  <c r="M48" i="129"/>
  <c r="L48" i="129"/>
  <c r="N34" i="129"/>
  <c r="M34" i="129"/>
  <c r="L34" i="129"/>
  <c r="N46" i="129"/>
  <c r="M46" i="129"/>
  <c r="L46" i="129"/>
  <c r="S19" i="129"/>
  <c r="N19" i="129"/>
  <c r="M19" i="129"/>
  <c r="L19" i="129"/>
  <c r="N45" i="129"/>
  <c r="M45" i="129"/>
  <c r="L45" i="129"/>
  <c r="S44" i="129"/>
  <c r="N44" i="129"/>
  <c r="M44" i="129"/>
  <c r="L44" i="129"/>
  <c r="S42" i="129"/>
  <c r="N42" i="129"/>
  <c r="M42" i="129"/>
  <c r="L42" i="129"/>
  <c r="N25" i="129"/>
  <c r="M25" i="129"/>
  <c r="L25" i="129"/>
  <c r="S41" i="129"/>
  <c r="N41" i="129"/>
  <c r="M41" i="129"/>
  <c r="L41" i="129"/>
  <c r="S36" i="129"/>
  <c r="N36" i="129"/>
  <c r="M36" i="129"/>
  <c r="L36" i="129"/>
  <c r="S39" i="129"/>
  <c r="N39" i="129"/>
  <c r="M39" i="129"/>
  <c r="L39" i="129"/>
  <c r="N18" i="129"/>
  <c r="M18" i="129"/>
  <c r="L18" i="129"/>
  <c r="N14" i="129"/>
  <c r="M14" i="129"/>
  <c r="L14" i="129"/>
  <c r="N11" i="129"/>
  <c r="M11" i="129"/>
  <c r="L11" i="129"/>
  <c r="N30" i="129"/>
  <c r="M30" i="129"/>
  <c r="L30" i="129"/>
  <c r="S32" i="129"/>
  <c r="N32" i="129"/>
  <c r="M32" i="129"/>
  <c r="L32" i="129"/>
  <c r="S31" i="129"/>
  <c r="N31" i="129"/>
  <c r="M31" i="129"/>
  <c r="L31" i="129"/>
  <c r="N10" i="129"/>
  <c r="M10" i="129"/>
  <c r="L10" i="129"/>
  <c r="N9" i="129"/>
  <c r="M9" i="129"/>
  <c r="L9" i="129"/>
  <c r="N8" i="129"/>
  <c r="M8" i="129"/>
  <c r="L8" i="129"/>
  <c r="S13" i="129"/>
  <c r="N13" i="129"/>
  <c r="M13" i="129"/>
  <c r="L13" i="129"/>
  <c r="N7" i="129"/>
  <c r="M7" i="129"/>
  <c r="L7" i="129"/>
  <c r="N17" i="129"/>
  <c r="M17" i="129"/>
  <c r="L17" i="129"/>
  <c r="N27" i="129"/>
  <c r="M27" i="129"/>
  <c r="L27" i="129"/>
  <c r="N6" i="129"/>
  <c r="M6" i="129"/>
  <c r="L6" i="129"/>
  <c r="N43" i="129"/>
  <c r="M43" i="129"/>
  <c r="L43" i="129"/>
  <c r="N40" i="129"/>
  <c r="M40" i="129"/>
  <c r="L40" i="129"/>
  <c r="N47" i="129"/>
  <c r="M47" i="129"/>
  <c r="L47" i="129"/>
  <c r="N5" i="129"/>
  <c r="M5" i="129"/>
  <c r="L5" i="129"/>
  <c r="N29" i="129"/>
  <c r="M29" i="129"/>
  <c r="L29" i="129"/>
  <c r="S12" i="129"/>
  <c r="N12" i="129"/>
  <c r="M12" i="129"/>
  <c r="L12" i="129"/>
  <c r="N16" i="129"/>
  <c r="M16" i="129"/>
  <c r="L16" i="129"/>
  <c r="S15" i="129"/>
  <c r="N15" i="129"/>
  <c r="M15" i="129"/>
  <c r="L15" i="129"/>
  <c r="N26" i="129"/>
  <c r="M26" i="129"/>
  <c r="L26" i="129"/>
  <c r="N28" i="129"/>
  <c r="M28" i="129"/>
  <c r="L28" i="129"/>
  <c r="N24" i="129"/>
  <c r="M24" i="129"/>
  <c r="L24" i="129"/>
  <c r="Y9" i="129"/>
  <c r="N35" i="129"/>
  <c r="M35" i="129"/>
  <c r="L35" i="129"/>
  <c r="Y8" i="129"/>
  <c r="N23" i="129"/>
  <c r="M23" i="129"/>
  <c r="L23" i="129"/>
  <c r="Y7" i="129"/>
  <c r="S45" i="129" s="1"/>
  <c r="N22" i="129"/>
  <c r="M22" i="129"/>
  <c r="L22" i="129"/>
  <c r="N21" i="129"/>
  <c r="M21" i="129"/>
  <c r="L21" i="129"/>
  <c r="Y5" i="129"/>
  <c r="N20" i="129"/>
  <c r="M20" i="129"/>
  <c r="L20" i="129"/>
  <c r="Y4" i="129"/>
  <c r="S43" i="129" s="1"/>
  <c r="Y3" i="129"/>
  <c r="B1" i="129"/>
  <c r="S70" i="128"/>
  <c r="N70" i="128"/>
  <c r="M70" i="128"/>
  <c r="L70" i="128"/>
  <c r="S69" i="128"/>
  <c r="N69" i="128"/>
  <c r="M69" i="128"/>
  <c r="L69" i="128"/>
  <c r="S68" i="128"/>
  <c r="N68" i="128"/>
  <c r="M68" i="128"/>
  <c r="P68" i="128" s="1"/>
  <c r="R68" i="128" s="1"/>
  <c r="T68" i="128" s="1"/>
  <c r="L68" i="128"/>
  <c r="S67" i="128"/>
  <c r="N67" i="128"/>
  <c r="M67" i="128"/>
  <c r="L67" i="128"/>
  <c r="S66" i="128"/>
  <c r="N66" i="128"/>
  <c r="M66" i="128"/>
  <c r="L66" i="128"/>
  <c r="S65" i="128"/>
  <c r="N65" i="128"/>
  <c r="M65" i="128"/>
  <c r="L65" i="128"/>
  <c r="S64" i="128"/>
  <c r="N64" i="128"/>
  <c r="M64" i="128"/>
  <c r="L64" i="128"/>
  <c r="S63" i="128"/>
  <c r="N63" i="128"/>
  <c r="M63" i="128"/>
  <c r="L63" i="128"/>
  <c r="S62" i="128"/>
  <c r="N62" i="128"/>
  <c r="M62" i="128"/>
  <c r="P62" i="128" s="1"/>
  <c r="R62" i="128" s="1"/>
  <c r="T62" i="128" s="1"/>
  <c r="L62" i="128"/>
  <c r="S61" i="128"/>
  <c r="N61" i="128"/>
  <c r="M61" i="128"/>
  <c r="L61" i="128"/>
  <c r="S60" i="128"/>
  <c r="N60" i="128"/>
  <c r="M60" i="128"/>
  <c r="L60" i="128"/>
  <c r="S59" i="128"/>
  <c r="N59" i="128"/>
  <c r="M59" i="128"/>
  <c r="L59" i="128"/>
  <c r="S58" i="128"/>
  <c r="N58" i="128"/>
  <c r="M58" i="128"/>
  <c r="L58" i="128"/>
  <c r="S57" i="128"/>
  <c r="N57" i="128"/>
  <c r="M57" i="128"/>
  <c r="L57" i="128"/>
  <c r="S54" i="128"/>
  <c r="N54" i="128"/>
  <c r="M54" i="128"/>
  <c r="L54" i="128"/>
  <c r="N56" i="128"/>
  <c r="M56" i="128"/>
  <c r="L56" i="128"/>
  <c r="S53" i="128"/>
  <c r="N53" i="128"/>
  <c r="M53" i="128"/>
  <c r="L53" i="128"/>
  <c r="N55" i="128"/>
  <c r="M55" i="128"/>
  <c r="L55" i="128"/>
  <c r="S51" i="128"/>
  <c r="N51" i="128"/>
  <c r="M51" i="128"/>
  <c r="L51" i="128"/>
  <c r="S49" i="128"/>
  <c r="N49" i="128"/>
  <c r="M49" i="128"/>
  <c r="L49" i="128"/>
  <c r="S47" i="128"/>
  <c r="N47" i="128"/>
  <c r="M47" i="128"/>
  <c r="L47" i="128"/>
  <c r="S45" i="128"/>
  <c r="N45" i="128"/>
  <c r="M45" i="128"/>
  <c r="L45" i="128"/>
  <c r="S36" i="128"/>
  <c r="N36" i="128"/>
  <c r="M36" i="128"/>
  <c r="L36" i="128"/>
  <c r="S40" i="128"/>
  <c r="N40" i="128"/>
  <c r="M40" i="128"/>
  <c r="L40" i="128"/>
  <c r="S39" i="128"/>
  <c r="N39" i="128"/>
  <c r="M39" i="128"/>
  <c r="L39" i="128"/>
  <c r="N50" i="128"/>
  <c r="M50" i="128"/>
  <c r="L50" i="128"/>
  <c r="N52" i="128"/>
  <c r="M52" i="128"/>
  <c r="L52" i="128"/>
  <c r="S35" i="128"/>
  <c r="N35" i="128"/>
  <c r="M35" i="128"/>
  <c r="L35" i="128"/>
  <c r="N46" i="128"/>
  <c r="M46" i="128"/>
  <c r="L46" i="128"/>
  <c r="S30" i="128"/>
  <c r="N30" i="128"/>
  <c r="M30" i="128"/>
  <c r="L30" i="128"/>
  <c r="S29" i="128"/>
  <c r="N29" i="128"/>
  <c r="M29" i="128"/>
  <c r="L29" i="128"/>
  <c r="N18" i="128"/>
  <c r="M18" i="128"/>
  <c r="L18" i="128"/>
  <c r="N44" i="128"/>
  <c r="M44" i="128"/>
  <c r="L44" i="128"/>
  <c r="N48" i="128"/>
  <c r="M48" i="128"/>
  <c r="L48" i="128"/>
  <c r="N43" i="128"/>
  <c r="M43" i="128"/>
  <c r="L43" i="128"/>
  <c r="N41" i="128"/>
  <c r="M41" i="128"/>
  <c r="L41" i="128"/>
  <c r="N33" i="128"/>
  <c r="M33" i="128"/>
  <c r="L33" i="128"/>
  <c r="N38" i="128"/>
  <c r="M38" i="128"/>
  <c r="P38" i="128" s="1"/>
  <c r="R38" i="128" s="1"/>
  <c r="L38" i="128"/>
  <c r="N32" i="128"/>
  <c r="M32" i="128"/>
  <c r="L32" i="128"/>
  <c r="N28" i="128"/>
  <c r="M28" i="128"/>
  <c r="L28" i="128"/>
  <c r="N27" i="128"/>
  <c r="M27" i="128"/>
  <c r="L27" i="128"/>
  <c r="S26" i="128"/>
  <c r="N26" i="128"/>
  <c r="M26" i="128"/>
  <c r="L26" i="128"/>
  <c r="N42" i="128"/>
  <c r="M42" i="128"/>
  <c r="L42" i="128"/>
  <c r="N25" i="128"/>
  <c r="M25" i="128"/>
  <c r="L25" i="128"/>
  <c r="N24" i="128"/>
  <c r="M24" i="128"/>
  <c r="L24" i="128"/>
  <c r="N23" i="128"/>
  <c r="M23" i="128"/>
  <c r="L23" i="128"/>
  <c r="N22" i="128"/>
  <c r="M22" i="128"/>
  <c r="L22" i="128"/>
  <c r="N21" i="128"/>
  <c r="M21" i="128"/>
  <c r="L21" i="128"/>
  <c r="S20" i="128"/>
  <c r="N20" i="128"/>
  <c r="M20" i="128"/>
  <c r="L20" i="128"/>
  <c r="N34" i="128"/>
  <c r="M34" i="128"/>
  <c r="L34" i="128"/>
  <c r="S15" i="128"/>
  <c r="N15" i="128"/>
  <c r="M15" i="128"/>
  <c r="L15" i="128"/>
  <c r="N19" i="128"/>
  <c r="M19" i="128"/>
  <c r="P19" i="128" s="1"/>
  <c r="R19" i="128" s="1"/>
  <c r="L19" i="128"/>
  <c r="N37" i="128"/>
  <c r="M37" i="128"/>
  <c r="L37" i="128"/>
  <c r="N31" i="128"/>
  <c r="M31" i="128"/>
  <c r="L31" i="128"/>
  <c r="N16" i="128"/>
  <c r="M16" i="128"/>
  <c r="L16" i="128"/>
  <c r="N14" i="128"/>
  <c r="M14" i="128"/>
  <c r="L14" i="128"/>
  <c r="N12" i="128"/>
  <c r="M12" i="128"/>
  <c r="L12" i="128"/>
  <c r="N11" i="128"/>
  <c r="M11" i="128"/>
  <c r="L11" i="128"/>
  <c r="N10" i="128"/>
  <c r="M10" i="128"/>
  <c r="L10" i="128"/>
  <c r="N5" i="128"/>
  <c r="M5" i="128"/>
  <c r="L5" i="128"/>
  <c r="N13" i="128"/>
  <c r="M13" i="128"/>
  <c r="L13" i="128"/>
  <c r="Y9" i="128"/>
  <c r="N9" i="128"/>
  <c r="M9" i="128"/>
  <c r="L9" i="128"/>
  <c r="Y8" i="128"/>
  <c r="S14" i="128" s="1"/>
  <c r="N17" i="128"/>
  <c r="M17" i="128"/>
  <c r="L17" i="128"/>
  <c r="Y7" i="128"/>
  <c r="S48" i="128" s="1"/>
  <c r="N8" i="128"/>
  <c r="M8" i="128"/>
  <c r="L8" i="128"/>
  <c r="N7" i="128"/>
  <c r="M7" i="128"/>
  <c r="L7" i="128"/>
  <c r="Y5" i="128"/>
  <c r="S22" i="128" s="1"/>
  <c r="N6" i="128"/>
  <c r="M6" i="128"/>
  <c r="L6" i="128"/>
  <c r="Y4" i="128"/>
  <c r="S18" i="128" s="1"/>
  <c r="Y3" i="128"/>
  <c r="S8" i="128" s="1"/>
  <c r="B1" i="128"/>
  <c r="S70" i="127"/>
  <c r="N70" i="127"/>
  <c r="M70" i="127"/>
  <c r="L70" i="127"/>
  <c r="S69" i="127"/>
  <c r="N69" i="127"/>
  <c r="M69" i="127"/>
  <c r="L69" i="127"/>
  <c r="S68" i="127"/>
  <c r="N68" i="127"/>
  <c r="M68" i="127"/>
  <c r="L68" i="127"/>
  <c r="S67" i="127"/>
  <c r="N67" i="127"/>
  <c r="M67" i="127"/>
  <c r="L67" i="127"/>
  <c r="S66" i="127"/>
  <c r="N66" i="127"/>
  <c r="M66" i="127"/>
  <c r="L66" i="127"/>
  <c r="S65" i="127"/>
  <c r="N65" i="127"/>
  <c r="M65" i="127"/>
  <c r="L65" i="127"/>
  <c r="S64" i="127"/>
  <c r="N64" i="127"/>
  <c r="M64" i="127"/>
  <c r="L64" i="127"/>
  <c r="S63" i="127"/>
  <c r="N63" i="127"/>
  <c r="M63" i="127"/>
  <c r="L63" i="127"/>
  <c r="P63" i="127" s="1"/>
  <c r="R63" i="127" s="1"/>
  <c r="S62" i="127"/>
  <c r="N62" i="127"/>
  <c r="M62" i="127"/>
  <c r="L62" i="127"/>
  <c r="S61" i="127"/>
  <c r="N61" i="127"/>
  <c r="M61" i="127"/>
  <c r="L61" i="127"/>
  <c r="S60" i="127"/>
  <c r="N60" i="127"/>
  <c r="M60" i="127"/>
  <c r="L60" i="127"/>
  <c r="S59" i="127"/>
  <c r="N59" i="127"/>
  <c r="M59" i="127"/>
  <c r="L59" i="127"/>
  <c r="S58" i="127"/>
  <c r="N58" i="127"/>
  <c r="M58" i="127"/>
  <c r="L58" i="127"/>
  <c r="S57" i="127"/>
  <c r="N57" i="127"/>
  <c r="M57" i="127"/>
  <c r="L57" i="127"/>
  <c r="N55" i="127"/>
  <c r="M55" i="127"/>
  <c r="L55" i="127"/>
  <c r="N53" i="127"/>
  <c r="M53" i="127"/>
  <c r="L53" i="127"/>
  <c r="S56" i="127"/>
  <c r="N56" i="127"/>
  <c r="M56" i="127"/>
  <c r="L56" i="127"/>
  <c r="S54" i="127"/>
  <c r="N54" i="127"/>
  <c r="M54" i="127"/>
  <c r="L54" i="127"/>
  <c r="N45" i="127"/>
  <c r="M45" i="127"/>
  <c r="L45" i="127"/>
  <c r="S52" i="127"/>
  <c r="N52" i="127"/>
  <c r="M52" i="127"/>
  <c r="L52" i="127"/>
  <c r="S51" i="127"/>
  <c r="N51" i="127"/>
  <c r="M51" i="127"/>
  <c r="L51" i="127"/>
  <c r="S50" i="127"/>
  <c r="N50" i="127"/>
  <c r="M50" i="127"/>
  <c r="L50" i="127"/>
  <c r="S49" i="127"/>
  <c r="N49" i="127"/>
  <c r="M49" i="127"/>
  <c r="L49" i="127"/>
  <c r="N44" i="127"/>
  <c r="M44" i="127"/>
  <c r="L44" i="127"/>
  <c r="S47" i="127"/>
  <c r="N47" i="127"/>
  <c r="M47" i="127"/>
  <c r="L47" i="127"/>
  <c r="S48" i="127"/>
  <c r="N48" i="127"/>
  <c r="M48" i="127"/>
  <c r="L48" i="127"/>
  <c r="S46" i="127"/>
  <c r="N46" i="127"/>
  <c r="M46" i="127"/>
  <c r="L46" i="127"/>
  <c r="S43" i="127"/>
  <c r="N43" i="127"/>
  <c r="M43" i="127"/>
  <c r="L43" i="127"/>
  <c r="N21" i="127"/>
  <c r="M21" i="127"/>
  <c r="L21" i="127"/>
  <c r="N38" i="127"/>
  <c r="M38" i="127"/>
  <c r="L38" i="127"/>
  <c r="S41" i="127"/>
  <c r="N41" i="127"/>
  <c r="M41" i="127"/>
  <c r="L41" i="127"/>
  <c r="S40" i="127"/>
  <c r="N40" i="127"/>
  <c r="M40" i="127"/>
  <c r="L40" i="127"/>
  <c r="N25" i="127"/>
  <c r="M25" i="127"/>
  <c r="L25" i="127"/>
  <c r="N32" i="127"/>
  <c r="M32" i="127"/>
  <c r="L32" i="127"/>
  <c r="N35" i="127"/>
  <c r="M35" i="127"/>
  <c r="L35" i="127"/>
  <c r="S39" i="127"/>
  <c r="N39" i="127"/>
  <c r="M39" i="127"/>
  <c r="L39" i="127"/>
  <c r="N18" i="127"/>
  <c r="M18" i="127"/>
  <c r="L18" i="127"/>
  <c r="N15" i="127"/>
  <c r="M15" i="127"/>
  <c r="L15" i="127"/>
  <c r="N17" i="127"/>
  <c r="M17" i="127"/>
  <c r="L17" i="127"/>
  <c r="S14" i="127"/>
  <c r="N14" i="127"/>
  <c r="M14" i="127"/>
  <c r="L14" i="127"/>
  <c r="N19" i="127"/>
  <c r="M19" i="127"/>
  <c r="L19" i="127"/>
  <c r="N11" i="127"/>
  <c r="M11" i="127"/>
  <c r="L11" i="127"/>
  <c r="S16" i="127"/>
  <c r="N16" i="127"/>
  <c r="M16" i="127"/>
  <c r="L16" i="127"/>
  <c r="N10" i="127"/>
  <c r="M10" i="127"/>
  <c r="L10" i="127"/>
  <c r="N13" i="127"/>
  <c r="M13" i="127"/>
  <c r="L13" i="127"/>
  <c r="S20" i="127"/>
  <c r="N20" i="127"/>
  <c r="M20" i="127"/>
  <c r="L20" i="127"/>
  <c r="N9" i="127"/>
  <c r="M9" i="127"/>
  <c r="L9" i="127"/>
  <c r="N12" i="127"/>
  <c r="M12" i="127"/>
  <c r="L12" i="127"/>
  <c r="N8" i="127"/>
  <c r="M8" i="127"/>
  <c r="L8" i="127"/>
  <c r="N7" i="127"/>
  <c r="M7" i="127"/>
  <c r="L7" i="127"/>
  <c r="N6" i="127"/>
  <c r="M6" i="127"/>
  <c r="L6" i="127"/>
  <c r="N5" i="127"/>
  <c r="M5" i="127"/>
  <c r="L5" i="127"/>
  <c r="S31" i="127"/>
  <c r="N31" i="127"/>
  <c r="M31" i="127"/>
  <c r="L31" i="127"/>
  <c r="S30" i="127"/>
  <c r="N30" i="127"/>
  <c r="M30" i="127"/>
  <c r="L30" i="127"/>
  <c r="N36" i="127"/>
  <c r="M36" i="127"/>
  <c r="L36" i="127"/>
  <c r="N28" i="127"/>
  <c r="M28" i="127"/>
  <c r="L28" i="127"/>
  <c r="N27" i="127"/>
  <c r="M27" i="127"/>
  <c r="L27" i="127"/>
  <c r="S23" i="127"/>
  <c r="N23" i="127"/>
  <c r="M23" i="127"/>
  <c r="L23" i="127"/>
  <c r="S22" i="127"/>
  <c r="N22" i="127"/>
  <c r="M22" i="127"/>
  <c r="L22" i="127"/>
  <c r="S33" i="127"/>
  <c r="N33" i="127"/>
  <c r="M33" i="127"/>
  <c r="L33" i="127"/>
  <c r="N29" i="127"/>
  <c r="M29" i="127"/>
  <c r="L29" i="127"/>
  <c r="Y9" i="127"/>
  <c r="S37" i="127"/>
  <c r="N37" i="127"/>
  <c r="M37" i="127"/>
  <c r="L37" i="127"/>
  <c r="Y8" i="127"/>
  <c r="S15" i="127" s="1"/>
  <c r="S34" i="127"/>
  <c r="N34" i="127"/>
  <c r="M34" i="127"/>
  <c r="L34" i="127"/>
  <c r="Y7" i="127"/>
  <c r="S7" i="127" s="1"/>
  <c r="N42" i="127"/>
  <c r="M42" i="127"/>
  <c r="L42" i="127"/>
  <c r="S26" i="127"/>
  <c r="N26" i="127"/>
  <c r="M26" i="127"/>
  <c r="L26" i="127"/>
  <c r="Y5" i="127"/>
  <c r="S18" i="127" s="1"/>
  <c r="N24" i="127"/>
  <c r="M24" i="127"/>
  <c r="L24" i="127"/>
  <c r="Y4" i="127"/>
  <c r="S28" i="127" s="1"/>
  <c r="Y3" i="127"/>
  <c r="S29" i="127" s="1"/>
  <c r="B1" i="127"/>
  <c r="S70" i="126"/>
  <c r="N70" i="126"/>
  <c r="M70" i="126"/>
  <c r="L70" i="126"/>
  <c r="S69" i="126"/>
  <c r="N69" i="126"/>
  <c r="M69" i="126"/>
  <c r="L69" i="126"/>
  <c r="S68" i="126"/>
  <c r="N68" i="126"/>
  <c r="M68" i="126"/>
  <c r="L68" i="126"/>
  <c r="S67" i="126"/>
  <c r="N67" i="126"/>
  <c r="M67" i="126"/>
  <c r="L67" i="126"/>
  <c r="S66" i="126"/>
  <c r="N66" i="126"/>
  <c r="M66" i="126"/>
  <c r="L66" i="126"/>
  <c r="S65" i="126"/>
  <c r="N65" i="126"/>
  <c r="M65" i="126"/>
  <c r="L65" i="126"/>
  <c r="S64" i="126"/>
  <c r="N64" i="126"/>
  <c r="M64" i="126"/>
  <c r="L64" i="126"/>
  <c r="S63" i="126"/>
  <c r="N63" i="126"/>
  <c r="M63" i="126"/>
  <c r="L63" i="126"/>
  <c r="S62" i="126"/>
  <c r="N62" i="126"/>
  <c r="M62" i="126"/>
  <c r="L62" i="126"/>
  <c r="S61" i="126"/>
  <c r="N61" i="126"/>
  <c r="M61" i="126"/>
  <c r="L61" i="126"/>
  <c r="S60" i="126"/>
  <c r="N60" i="126"/>
  <c r="M60" i="126"/>
  <c r="L60" i="126"/>
  <c r="S59" i="126"/>
  <c r="N59" i="126"/>
  <c r="M59" i="126"/>
  <c r="L59" i="126"/>
  <c r="S58" i="126"/>
  <c r="N58" i="126"/>
  <c r="M58" i="126"/>
  <c r="L58" i="126"/>
  <c r="S57" i="126"/>
  <c r="N57" i="126"/>
  <c r="M57" i="126"/>
  <c r="L57" i="126"/>
  <c r="N56" i="126"/>
  <c r="M56" i="126"/>
  <c r="L56" i="126"/>
  <c r="S54" i="126"/>
  <c r="N54" i="126"/>
  <c r="M54" i="126"/>
  <c r="L54" i="126"/>
  <c r="S53" i="126"/>
  <c r="N53" i="126"/>
  <c r="M53" i="126"/>
  <c r="L53" i="126"/>
  <c r="N55" i="126"/>
  <c r="M55" i="126"/>
  <c r="L55" i="126"/>
  <c r="S51" i="126"/>
  <c r="N51" i="126"/>
  <c r="M51" i="126"/>
  <c r="L51" i="126"/>
  <c r="S50" i="126"/>
  <c r="N50" i="126"/>
  <c r="M50" i="126"/>
  <c r="L50" i="126"/>
  <c r="S49" i="126"/>
  <c r="N49" i="126"/>
  <c r="M49" i="126"/>
  <c r="L49" i="126"/>
  <c r="S48" i="126"/>
  <c r="N48" i="126"/>
  <c r="M48" i="126"/>
  <c r="L48" i="126"/>
  <c r="N52" i="126"/>
  <c r="M52" i="126"/>
  <c r="L52" i="126"/>
  <c r="S46" i="126"/>
  <c r="N46" i="126"/>
  <c r="M46" i="126"/>
  <c r="L46" i="126"/>
  <c r="S44" i="126"/>
  <c r="N44" i="126"/>
  <c r="M44" i="126"/>
  <c r="L44" i="126"/>
  <c r="S40" i="126"/>
  <c r="N40" i="126"/>
  <c r="M40" i="126"/>
  <c r="L40" i="126"/>
  <c r="S39" i="126"/>
  <c r="N39" i="126"/>
  <c r="M39" i="126"/>
  <c r="L39" i="126"/>
  <c r="N47" i="126"/>
  <c r="M47" i="126"/>
  <c r="P47" i="126" s="1"/>
  <c r="R47" i="126" s="1"/>
  <c r="L47" i="126"/>
  <c r="N45" i="126"/>
  <c r="M45" i="126"/>
  <c r="L45" i="126"/>
  <c r="S9" i="126"/>
  <c r="N9" i="126"/>
  <c r="M9" i="126"/>
  <c r="L9" i="126"/>
  <c r="N38" i="126"/>
  <c r="M38" i="126"/>
  <c r="L38" i="126"/>
  <c r="N37" i="126"/>
  <c r="M37" i="126"/>
  <c r="L37" i="126"/>
  <c r="N36" i="126"/>
  <c r="M36" i="126"/>
  <c r="L36" i="126"/>
  <c r="N41" i="126"/>
  <c r="M41" i="126"/>
  <c r="L41" i="126"/>
  <c r="S25" i="126"/>
  <c r="N25" i="126"/>
  <c r="M25" i="126"/>
  <c r="L25" i="126"/>
  <c r="N42" i="126"/>
  <c r="M42" i="126"/>
  <c r="L42" i="126"/>
  <c r="N33" i="126"/>
  <c r="M33" i="126"/>
  <c r="L33" i="126"/>
  <c r="N43" i="126"/>
  <c r="M43" i="126"/>
  <c r="L43" i="126"/>
  <c r="N30" i="126"/>
  <c r="M30" i="126"/>
  <c r="L30" i="126"/>
  <c r="N27" i="126"/>
  <c r="M27" i="126"/>
  <c r="L27" i="126"/>
  <c r="N32" i="126"/>
  <c r="M32" i="126"/>
  <c r="L32" i="126"/>
  <c r="N35" i="126"/>
  <c r="M35" i="126"/>
  <c r="L35" i="126"/>
  <c r="N26" i="126"/>
  <c r="M26" i="126"/>
  <c r="L26" i="126"/>
  <c r="N24" i="126"/>
  <c r="M24" i="126"/>
  <c r="L24" i="126"/>
  <c r="N23" i="126"/>
  <c r="M23" i="126"/>
  <c r="L23" i="126"/>
  <c r="N22" i="126"/>
  <c r="M22" i="126"/>
  <c r="L22" i="126"/>
  <c r="S34" i="126"/>
  <c r="N34" i="126"/>
  <c r="M34" i="126"/>
  <c r="L34" i="126"/>
  <c r="N21" i="126"/>
  <c r="M21" i="126"/>
  <c r="L21" i="126"/>
  <c r="N20" i="126"/>
  <c r="M20" i="126"/>
  <c r="L20" i="126"/>
  <c r="N19" i="126"/>
  <c r="M19" i="126"/>
  <c r="L19" i="126"/>
  <c r="N18" i="126"/>
  <c r="M18" i="126"/>
  <c r="L18" i="126"/>
  <c r="N17" i="126"/>
  <c r="M17" i="126"/>
  <c r="L17" i="126"/>
  <c r="N16" i="126"/>
  <c r="M16" i="126"/>
  <c r="L16" i="126"/>
  <c r="N29" i="126"/>
  <c r="M29" i="126"/>
  <c r="L29" i="126"/>
  <c r="N15" i="126"/>
  <c r="M15" i="126"/>
  <c r="L15" i="126"/>
  <c r="N10" i="126"/>
  <c r="M10" i="126"/>
  <c r="L10" i="126"/>
  <c r="N7" i="126"/>
  <c r="M7" i="126"/>
  <c r="L7" i="126"/>
  <c r="N6" i="126"/>
  <c r="M6" i="126"/>
  <c r="L6" i="126"/>
  <c r="S13" i="126"/>
  <c r="N13" i="126"/>
  <c r="M13" i="126"/>
  <c r="L13" i="126"/>
  <c r="S5" i="126"/>
  <c r="N5" i="126"/>
  <c r="M5" i="126"/>
  <c r="L5" i="126"/>
  <c r="N11" i="126"/>
  <c r="M11" i="126"/>
  <c r="L11" i="126"/>
  <c r="Y9" i="126"/>
  <c r="S31" i="126"/>
  <c r="N31" i="126"/>
  <c r="M31" i="126"/>
  <c r="L31" i="126"/>
  <c r="Y8" i="126"/>
  <c r="S10" i="126" s="1"/>
  <c r="N14" i="126"/>
  <c r="M14" i="126"/>
  <c r="L14" i="126"/>
  <c r="Y7" i="126"/>
  <c r="N28" i="126"/>
  <c r="M28" i="126"/>
  <c r="L28" i="126"/>
  <c r="N12" i="126"/>
  <c r="M12" i="126"/>
  <c r="L12" i="126"/>
  <c r="Y5" i="126"/>
  <c r="S29" i="126" s="1"/>
  <c r="N8" i="126"/>
  <c r="M8" i="126"/>
  <c r="L8" i="126"/>
  <c r="Y4" i="126"/>
  <c r="Y3" i="126"/>
  <c r="B1" i="126"/>
  <c r="S70" i="125"/>
  <c r="N70" i="125"/>
  <c r="M70" i="125"/>
  <c r="L70" i="125"/>
  <c r="S69" i="125"/>
  <c r="N69" i="125"/>
  <c r="M69" i="125"/>
  <c r="L69" i="125"/>
  <c r="N68" i="125"/>
  <c r="M68" i="125"/>
  <c r="L68" i="125"/>
  <c r="S67" i="125"/>
  <c r="N67" i="125"/>
  <c r="M67" i="125"/>
  <c r="L67" i="125"/>
  <c r="S66" i="125"/>
  <c r="N66" i="125"/>
  <c r="M66" i="125"/>
  <c r="L66" i="125"/>
  <c r="S65" i="125"/>
  <c r="N65" i="125"/>
  <c r="M65" i="125"/>
  <c r="L65" i="125"/>
  <c r="S64" i="125"/>
  <c r="N64" i="125"/>
  <c r="M64" i="125"/>
  <c r="L64" i="125"/>
  <c r="S63" i="125"/>
  <c r="N63" i="125"/>
  <c r="M63" i="125"/>
  <c r="L63" i="125"/>
  <c r="S62" i="125"/>
  <c r="N62" i="125"/>
  <c r="M62" i="125"/>
  <c r="L62" i="125"/>
  <c r="S61" i="125"/>
  <c r="N61" i="125"/>
  <c r="M61" i="125"/>
  <c r="L61" i="125"/>
  <c r="S60" i="125"/>
  <c r="N60" i="125"/>
  <c r="M60" i="125"/>
  <c r="L60" i="125"/>
  <c r="S59" i="125"/>
  <c r="N59" i="125"/>
  <c r="M59" i="125"/>
  <c r="L59" i="125"/>
  <c r="S58" i="125"/>
  <c r="N58" i="125"/>
  <c r="M58" i="125"/>
  <c r="L58" i="125"/>
  <c r="S57" i="125"/>
  <c r="N57" i="125"/>
  <c r="M57" i="125"/>
  <c r="L57" i="125"/>
  <c r="N53" i="125"/>
  <c r="M53" i="125"/>
  <c r="L53" i="125"/>
  <c r="S55" i="125"/>
  <c r="N55" i="125"/>
  <c r="M55" i="125"/>
  <c r="L55" i="125"/>
  <c r="S54" i="125"/>
  <c r="N54" i="125"/>
  <c r="M54" i="125"/>
  <c r="L54" i="125"/>
  <c r="N48" i="125"/>
  <c r="M48" i="125"/>
  <c r="L48" i="125"/>
  <c r="S52" i="125"/>
  <c r="N52" i="125"/>
  <c r="M52" i="125"/>
  <c r="L52" i="125"/>
  <c r="S51" i="125"/>
  <c r="N51" i="125"/>
  <c r="M51" i="125"/>
  <c r="P51" i="125" s="1"/>
  <c r="R51" i="125" s="1"/>
  <c r="L51" i="125"/>
  <c r="S50" i="125"/>
  <c r="N50" i="125"/>
  <c r="M50" i="125"/>
  <c r="L50" i="125"/>
  <c r="S49" i="125"/>
  <c r="N49" i="125"/>
  <c r="M49" i="125"/>
  <c r="L49" i="125"/>
  <c r="S47" i="125"/>
  <c r="N47" i="125"/>
  <c r="M47" i="125"/>
  <c r="L47" i="125"/>
  <c r="S46" i="125"/>
  <c r="N46" i="125"/>
  <c r="M46" i="125"/>
  <c r="L46" i="125"/>
  <c r="S42" i="125"/>
  <c r="N42" i="125"/>
  <c r="M42" i="125"/>
  <c r="L42" i="125"/>
  <c r="S45" i="125"/>
  <c r="N45" i="125"/>
  <c r="M45" i="125"/>
  <c r="L45" i="125"/>
  <c r="S44" i="125"/>
  <c r="N44" i="125"/>
  <c r="M44" i="125"/>
  <c r="L44" i="125"/>
  <c r="N33" i="125"/>
  <c r="M33" i="125"/>
  <c r="L33" i="125"/>
  <c r="N39" i="125"/>
  <c r="M39" i="125"/>
  <c r="L39" i="125"/>
  <c r="N37" i="125"/>
  <c r="M37" i="125"/>
  <c r="L37" i="125"/>
  <c r="N41" i="125"/>
  <c r="M41" i="125"/>
  <c r="L41" i="125"/>
  <c r="N16" i="125"/>
  <c r="M16" i="125"/>
  <c r="L16" i="125"/>
  <c r="N38" i="125"/>
  <c r="M38" i="125"/>
  <c r="L38" i="125"/>
  <c r="N30" i="125"/>
  <c r="M30" i="125"/>
  <c r="L30" i="125"/>
  <c r="N12" i="125"/>
  <c r="M12" i="125"/>
  <c r="L12" i="125"/>
  <c r="N9" i="125"/>
  <c r="M9" i="125"/>
  <c r="L9" i="125"/>
  <c r="S36" i="125"/>
  <c r="N36" i="125"/>
  <c r="M36" i="125"/>
  <c r="L36" i="125"/>
  <c r="N7" i="125"/>
  <c r="M7" i="125"/>
  <c r="L7" i="125"/>
  <c r="N27" i="125"/>
  <c r="M27" i="125"/>
  <c r="L27" i="125"/>
  <c r="N6" i="125"/>
  <c r="M6" i="125"/>
  <c r="L6" i="125"/>
  <c r="N8" i="125"/>
  <c r="M8" i="125"/>
  <c r="L8" i="125"/>
  <c r="N14" i="125"/>
  <c r="M14" i="125"/>
  <c r="L14" i="125"/>
  <c r="N29" i="125"/>
  <c r="M29" i="125"/>
  <c r="L29" i="125"/>
  <c r="N19" i="125"/>
  <c r="M19" i="125"/>
  <c r="L19" i="125"/>
  <c r="N5" i="125"/>
  <c r="M5" i="125"/>
  <c r="L5" i="125"/>
  <c r="N43" i="125"/>
  <c r="M43" i="125"/>
  <c r="L43" i="125"/>
  <c r="N35" i="125"/>
  <c r="M35" i="125"/>
  <c r="L35" i="125"/>
  <c r="N34" i="125"/>
  <c r="M34" i="125"/>
  <c r="L34" i="125"/>
  <c r="N32" i="125"/>
  <c r="M32" i="125"/>
  <c r="L32" i="125"/>
  <c r="N40" i="125"/>
  <c r="M40" i="125"/>
  <c r="L40" i="125"/>
  <c r="N31" i="125"/>
  <c r="M31" i="125"/>
  <c r="L31" i="125"/>
  <c r="N20" i="125"/>
  <c r="M20" i="125"/>
  <c r="L20" i="125"/>
  <c r="N17" i="125"/>
  <c r="M17" i="125"/>
  <c r="L17" i="125"/>
  <c r="N15" i="125"/>
  <c r="M15" i="125"/>
  <c r="L15" i="125"/>
  <c r="N24" i="125"/>
  <c r="M24" i="125"/>
  <c r="L24" i="125"/>
  <c r="S26" i="125"/>
  <c r="N26" i="125"/>
  <c r="M26" i="125"/>
  <c r="L26" i="125"/>
  <c r="S25" i="125"/>
  <c r="N25" i="125"/>
  <c r="M25" i="125"/>
  <c r="L25" i="125"/>
  <c r="N23" i="125"/>
  <c r="M23" i="125"/>
  <c r="L23" i="125"/>
  <c r="N22" i="125"/>
  <c r="M22" i="125"/>
  <c r="L22" i="125"/>
  <c r="S21" i="125"/>
  <c r="N21" i="125"/>
  <c r="M21" i="125"/>
  <c r="L21" i="125"/>
  <c r="S18" i="125"/>
  <c r="N18" i="125"/>
  <c r="M18" i="125"/>
  <c r="L18" i="125"/>
  <c r="Y9" i="125"/>
  <c r="S13" i="125"/>
  <c r="N13" i="125"/>
  <c r="M13" i="125"/>
  <c r="L13" i="125"/>
  <c r="Y8" i="125"/>
  <c r="S28" i="125"/>
  <c r="N28" i="125"/>
  <c r="M28" i="125"/>
  <c r="L28" i="125"/>
  <c r="Y7" i="125"/>
  <c r="S11" i="125"/>
  <c r="N11" i="125"/>
  <c r="M11" i="125"/>
  <c r="L11" i="125"/>
  <c r="S10" i="125"/>
  <c r="N10" i="125"/>
  <c r="M10" i="125"/>
  <c r="L10" i="125"/>
  <c r="Y5" i="125"/>
  <c r="S68" i="125" s="1"/>
  <c r="N56" i="125"/>
  <c r="M56" i="125"/>
  <c r="L56" i="125"/>
  <c r="Y4" i="125"/>
  <c r="S31" i="125" s="1"/>
  <c r="Y3" i="125"/>
  <c r="S23" i="125" s="1"/>
  <c r="B1" i="125"/>
  <c r="S50" i="133" l="1"/>
  <c r="S40" i="133"/>
  <c r="S36" i="133"/>
  <c r="S37" i="133"/>
  <c r="S48" i="133"/>
  <c r="S59" i="133"/>
  <c r="S45" i="133"/>
  <c r="S47" i="133"/>
  <c r="S28" i="133"/>
  <c r="S38" i="133"/>
  <c r="S60" i="133"/>
  <c r="S53" i="133"/>
  <c r="S8" i="133"/>
  <c r="S29" i="133"/>
  <c r="S19" i="133"/>
  <c r="S13" i="133"/>
  <c r="S43" i="133"/>
  <c r="S56" i="133"/>
  <c r="P12" i="133"/>
  <c r="R12" i="133" s="1"/>
  <c r="T12" i="133" s="1"/>
  <c r="S11" i="133"/>
  <c r="S62" i="133"/>
  <c r="S10" i="133"/>
  <c r="S9" i="133"/>
  <c r="S26" i="133"/>
  <c r="P29" i="133"/>
  <c r="R29" i="133" s="1"/>
  <c r="P48" i="133"/>
  <c r="R48" i="133" s="1"/>
  <c r="P19" i="133"/>
  <c r="R19" i="133" s="1"/>
  <c r="T19" i="133" s="1"/>
  <c r="P32" i="133"/>
  <c r="R32" i="133" s="1"/>
  <c r="T32" i="133" s="1"/>
  <c r="P73" i="133"/>
  <c r="R73" i="133" s="1"/>
  <c r="T73" i="133" s="1"/>
  <c r="P76" i="133"/>
  <c r="R76" i="133" s="1"/>
  <c r="T76" i="133" s="1"/>
  <c r="P15" i="133"/>
  <c r="R15" i="133" s="1"/>
  <c r="T15" i="133" s="1"/>
  <c r="P49" i="133"/>
  <c r="R49" i="133" s="1"/>
  <c r="P37" i="133"/>
  <c r="R37" i="133" s="1"/>
  <c r="P11" i="133"/>
  <c r="R11" i="133" s="1"/>
  <c r="P78" i="133"/>
  <c r="R78" i="133" s="1"/>
  <c r="T78" i="133" s="1"/>
  <c r="P81" i="133"/>
  <c r="R81" i="133" s="1"/>
  <c r="T81" i="133" s="1"/>
  <c r="P9" i="133"/>
  <c r="R9" i="133" s="1"/>
  <c r="P16" i="133"/>
  <c r="R16" i="133" s="1"/>
  <c r="T16" i="133" s="1"/>
  <c r="P8" i="133"/>
  <c r="R8" i="133" s="1"/>
  <c r="P38" i="133"/>
  <c r="R38" i="133" s="1"/>
  <c r="P10" i="133"/>
  <c r="R10" i="133" s="1"/>
  <c r="P39" i="133"/>
  <c r="R39" i="133" s="1"/>
  <c r="P53" i="133"/>
  <c r="R53" i="133" s="1"/>
  <c r="P7" i="133"/>
  <c r="R7" i="133" s="1"/>
  <c r="P14" i="133"/>
  <c r="R14" i="133" s="1"/>
  <c r="P6" i="133"/>
  <c r="R6" i="133" s="1"/>
  <c r="P50" i="133"/>
  <c r="R50" i="133" s="1"/>
  <c r="P34" i="133"/>
  <c r="R34" i="133" s="1"/>
  <c r="T34" i="133" s="1"/>
  <c r="P74" i="133"/>
  <c r="R74" i="133" s="1"/>
  <c r="T74" i="133" s="1"/>
  <c r="P83" i="133"/>
  <c r="R83" i="133" s="1"/>
  <c r="T83" i="133" s="1"/>
  <c r="P31" i="133"/>
  <c r="R31" i="133" s="1"/>
  <c r="P43" i="133"/>
  <c r="R43" i="133" s="1"/>
  <c r="P62" i="133"/>
  <c r="R62" i="133" s="1"/>
  <c r="P72" i="133"/>
  <c r="R72" i="133" s="1"/>
  <c r="T72" i="133" s="1"/>
  <c r="P40" i="133"/>
  <c r="R40" i="133" s="1"/>
  <c r="P17" i="133"/>
  <c r="R17" i="133" s="1"/>
  <c r="P25" i="133"/>
  <c r="R25" i="133" s="1"/>
  <c r="P51" i="133"/>
  <c r="R51" i="133" s="1"/>
  <c r="T51" i="133" s="1"/>
  <c r="P44" i="133"/>
  <c r="R44" i="133" s="1"/>
  <c r="P45" i="133"/>
  <c r="R45" i="133" s="1"/>
  <c r="P18" i="133"/>
  <c r="R18" i="133" s="1"/>
  <c r="P80" i="133"/>
  <c r="R80" i="133" s="1"/>
  <c r="T80" i="133" s="1"/>
  <c r="P33" i="133"/>
  <c r="R33" i="133" s="1"/>
  <c r="T33" i="133" s="1"/>
  <c r="P35" i="133"/>
  <c r="R35" i="133" s="1"/>
  <c r="P24" i="133"/>
  <c r="R24" i="133" s="1"/>
  <c r="T24" i="133" s="1"/>
  <c r="P30" i="133"/>
  <c r="R30" i="133" s="1"/>
  <c r="T30" i="133" s="1"/>
  <c r="P79" i="133"/>
  <c r="R79" i="133" s="1"/>
  <c r="T79" i="133" s="1"/>
  <c r="P36" i="133"/>
  <c r="R36" i="133" s="1"/>
  <c r="P23" i="133"/>
  <c r="R23" i="133" s="1"/>
  <c r="P71" i="133"/>
  <c r="R71" i="133" s="1"/>
  <c r="T71" i="133" s="1"/>
  <c r="P28" i="133"/>
  <c r="R28" i="133" s="1"/>
  <c r="P56" i="133"/>
  <c r="R56" i="133" s="1"/>
  <c r="P77" i="133"/>
  <c r="R77" i="133" s="1"/>
  <c r="T77" i="133" s="1"/>
  <c r="P82" i="133"/>
  <c r="R82" i="133" s="1"/>
  <c r="T82" i="133" s="1"/>
  <c r="P47" i="133"/>
  <c r="R47" i="133" s="1"/>
  <c r="P59" i="133"/>
  <c r="R59" i="133" s="1"/>
  <c r="T59" i="133" s="1"/>
  <c r="P20" i="133"/>
  <c r="R20" i="133" s="1"/>
  <c r="P21" i="133"/>
  <c r="R21" i="133" s="1"/>
  <c r="P22" i="133"/>
  <c r="R22" i="133" s="1"/>
  <c r="P27" i="133"/>
  <c r="R27" i="133" s="1"/>
  <c r="T27" i="133" s="1"/>
  <c r="P63" i="133"/>
  <c r="R63" i="133" s="1"/>
  <c r="T63" i="133" s="1"/>
  <c r="P75" i="133"/>
  <c r="R75" i="133" s="1"/>
  <c r="T75" i="133" s="1"/>
  <c r="P26" i="133"/>
  <c r="R26" i="133" s="1"/>
  <c r="P60" i="133"/>
  <c r="R60" i="133" s="1"/>
  <c r="P41" i="133"/>
  <c r="R41" i="133" s="1"/>
  <c r="P46" i="133"/>
  <c r="R46" i="133" s="1"/>
  <c r="T46" i="133" s="1"/>
  <c r="P52" i="133"/>
  <c r="R52" i="133" s="1"/>
  <c r="T52" i="133" s="1"/>
  <c r="P42" i="133"/>
  <c r="R42" i="133" s="1"/>
  <c r="P61" i="133"/>
  <c r="R61" i="133" s="1"/>
  <c r="P5" i="133"/>
  <c r="R5" i="133" s="1"/>
  <c r="T5" i="133" s="1"/>
  <c r="P13" i="133"/>
  <c r="R13" i="133" s="1"/>
  <c r="P57" i="133"/>
  <c r="R57" i="133" s="1"/>
  <c r="P55" i="133"/>
  <c r="R55" i="133" s="1"/>
  <c r="T55" i="133" s="1"/>
  <c r="P68" i="133"/>
  <c r="R68" i="133" s="1"/>
  <c r="T68" i="133" s="1"/>
  <c r="S6" i="133"/>
  <c r="S18" i="133"/>
  <c r="S17" i="133"/>
  <c r="S31" i="133"/>
  <c r="S7" i="133"/>
  <c r="S49" i="133"/>
  <c r="S42" i="133"/>
  <c r="S41" i="133"/>
  <c r="S22" i="133"/>
  <c r="S23" i="133"/>
  <c r="S57" i="133"/>
  <c r="S35" i="133"/>
  <c r="S14" i="133"/>
  <c r="S44" i="133"/>
  <c r="S21" i="133"/>
  <c r="S39" i="133"/>
  <c r="S20" i="133"/>
  <c r="S61" i="133"/>
  <c r="S25" i="133"/>
  <c r="S15" i="132"/>
  <c r="S6" i="132"/>
  <c r="S33" i="132"/>
  <c r="S23" i="132"/>
  <c r="S39" i="132"/>
  <c r="S8" i="132"/>
  <c r="S31" i="132"/>
  <c r="S35" i="132"/>
  <c r="P50" i="132"/>
  <c r="R50" i="132" s="1"/>
  <c r="P66" i="132"/>
  <c r="R66" i="132" s="1"/>
  <c r="T66" i="132" s="1"/>
  <c r="P65" i="132"/>
  <c r="R65" i="132" s="1"/>
  <c r="T65" i="132" s="1"/>
  <c r="P51" i="132"/>
  <c r="R51" i="132" s="1"/>
  <c r="T51" i="132" s="1"/>
  <c r="P17" i="132"/>
  <c r="R17" i="132" s="1"/>
  <c r="P36" i="132"/>
  <c r="R36" i="132" s="1"/>
  <c r="P7" i="132"/>
  <c r="R7" i="132" s="1"/>
  <c r="P24" i="132"/>
  <c r="R24" i="132" s="1"/>
  <c r="P13" i="132"/>
  <c r="R13" i="132" s="1"/>
  <c r="P35" i="132"/>
  <c r="R35" i="132" s="1"/>
  <c r="P5" i="132"/>
  <c r="R5" i="132" s="1"/>
  <c r="T5" i="132" s="1"/>
  <c r="P58" i="132"/>
  <c r="R58" i="132" s="1"/>
  <c r="T58" i="132" s="1"/>
  <c r="P44" i="132"/>
  <c r="R44" i="132" s="1"/>
  <c r="T44" i="132" s="1"/>
  <c r="P39" i="132"/>
  <c r="R39" i="132" s="1"/>
  <c r="P45" i="132"/>
  <c r="R45" i="132" s="1"/>
  <c r="T45" i="132" s="1"/>
  <c r="P40" i="132"/>
  <c r="R40" i="132" s="1"/>
  <c r="T40" i="132" s="1"/>
  <c r="P60" i="132"/>
  <c r="R60" i="132" s="1"/>
  <c r="T60" i="132" s="1"/>
  <c r="T36" i="132"/>
  <c r="P56" i="132"/>
  <c r="R56" i="132" s="1"/>
  <c r="T56" i="132" s="1"/>
  <c r="P29" i="132"/>
  <c r="R29" i="132" s="1"/>
  <c r="T29" i="132" s="1"/>
  <c r="P14" i="132"/>
  <c r="R14" i="132" s="1"/>
  <c r="P27" i="132"/>
  <c r="R27" i="132" s="1"/>
  <c r="T27" i="132" s="1"/>
  <c r="T50" i="132"/>
  <c r="P49" i="132"/>
  <c r="R49" i="132" s="1"/>
  <c r="T49" i="132" s="1"/>
  <c r="P26" i="132"/>
  <c r="R26" i="132" s="1"/>
  <c r="P25" i="132"/>
  <c r="R25" i="132" s="1"/>
  <c r="P19" i="132"/>
  <c r="R19" i="132" s="1"/>
  <c r="P68" i="132"/>
  <c r="R68" i="132" s="1"/>
  <c r="T68" i="132" s="1"/>
  <c r="P33" i="132"/>
  <c r="R33" i="132" s="1"/>
  <c r="T33" i="132" s="1"/>
  <c r="P62" i="132"/>
  <c r="R62" i="132" s="1"/>
  <c r="T62" i="132" s="1"/>
  <c r="P16" i="132"/>
  <c r="R16" i="132" s="1"/>
  <c r="P46" i="132"/>
  <c r="R46" i="132" s="1"/>
  <c r="T46" i="132" s="1"/>
  <c r="P37" i="132"/>
  <c r="R37" i="132" s="1"/>
  <c r="T37" i="132" s="1"/>
  <c r="P28" i="132"/>
  <c r="R28" i="132" s="1"/>
  <c r="T28" i="132" s="1"/>
  <c r="P6" i="132"/>
  <c r="R6" i="132" s="1"/>
  <c r="P10" i="132"/>
  <c r="R10" i="132" s="1"/>
  <c r="P61" i="132"/>
  <c r="R61" i="132" s="1"/>
  <c r="T61" i="132" s="1"/>
  <c r="P12" i="132"/>
  <c r="R12" i="132" s="1"/>
  <c r="P63" i="132"/>
  <c r="R63" i="132" s="1"/>
  <c r="T63" i="132" s="1"/>
  <c r="P23" i="132"/>
  <c r="R23" i="132" s="1"/>
  <c r="T23" i="132" s="1"/>
  <c r="P57" i="132"/>
  <c r="R57" i="132" s="1"/>
  <c r="T57" i="132" s="1"/>
  <c r="P69" i="132"/>
  <c r="R69" i="132" s="1"/>
  <c r="T69" i="132" s="1"/>
  <c r="P54" i="132"/>
  <c r="R54" i="132" s="1"/>
  <c r="T54" i="132" s="1"/>
  <c r="P15" i="132"/>
  <c r="R15" i="132" s="1"/>
  <c r="P9" i="132"/>
  <c r="R9" i="132" s="1"/>
  <c r="T9" i="132" s="1"/>
  <c r="P11" i="132"/>
  <c r="R11" i="132" s="1"/>
  <c r="T11" i="132" s="1"/>
  <c r="P8" i="132"/>
  <c r="R8" i="132" s="1"/>
  <c r="T8" i="132" s="1"/>
  <c r="P20" i="132"/>
  <c r="R20" i="132" s="1"/>
  <c r="P59" i="132"/>
  <c r="R59" i="132" s="1"/>
  <c r="T59" i="132" s="1"/>
  <c r="P64" i="132"/>
  <c r="R64" i="132" s="1"/>
  <c r="T64" i="132" s="1"/>
  <c r="P70" i="132"/>
  <c r="R70" i="132" s="1"/>
  <c r="T70" i="132" s="1"/>
  <c r="P43" i="132"/>
  <c r="R43" i="132" s="1"/>
  <c r="T43" i="132" s="1"/>
  <c r="P38" i="132"/>
  <c r="R38" i="132" s="1"/>
  <c r="P30" i="132"/>
  <c r="R30" i="132" s="1"/>
  <c r="T30" i="132" s="1"/>
  <c r="P52" i="132"/>
  <c r="R52" i="132" s="1"/>
  <c r="T52" i="132" s="1"/>
  <c r="P41" i="132"/>
  <c r="R41" i="132" s="1"/>
  <c r="P21" i="132"/>
  <c r="R21" i="132" s="1"/>
  <c r="T21" i="132" s="1"/>
  <c r="P55" i="132"/>
  <c r="R55" i="132" s="1"/>
  <c r="T55" i="132" s="1"/>
  <c r="P53" i="132"/>
  <c r="R53" i="132" s="1"/>
  <c r="T53" i="132" s="1"/>
  <c r="P42" i="132"/>
  <c r="R42" i="132" s="1"/>
  <c r="T42" i="132" s="1"/>
  <c r="P34" i="132"/>
  <c r="R34" i="132" s="1"/>
  <c r="P47" i="132"/>
  <c r="R47" i="132" s="1"/>
  <c r="T47" i="132" s="1"/>
  <c r="P18" i="132"/>
  <c r="R18" i="132" s="1"/>
  <c r="P48" i="132"/>
  <c r="R48" i="132" s="1"/>
  <c r="T48" i="132" s="1"/>
  <c r="P31" i="132"/>
  <c r="R31" i="132" s="1"/>
  <c r="T31" i="132" s="1"/>
  <c r="P22" i="132"/>
  <c r="R22" i="132" s="1"/>
  <c r="P32" i="132"/>
  <c r="R32" i="132" s="1"/>
  <c r="P67" i="132"/>
  <c r="R67" i="132" s="1"/>
  <c r="T67" i="132" s="1"/>
  <c r="S19" i="132"/>
  <c r="S34" i="132"/>
  <c r="S41" i="132"/>
  <c r="S25" i="132"/>
  <c r="S32" i="132"/>
  <c r="S12" i="132"/>
  <c r="T12" i="132" s="1"/>
  <c r="S17" i="132"/>
  <c r="S24" i="132"/>
  <c r="T24" i="132" s="1"/>
  <c r="S13" i="132"/>
  <c r="S10" i="132"/>
  <c r="S38" i="132"/>
  <c r="S18" i="132"/>
  <c r="S26" i="132"/>
  <c r="S14" i="132"/>
  <c r="S22" i="132"/>
  <c r="S16" i="132"/>
  <c r="S20" i="132"/>
  <c r="S7" i="132"/>
  <c r="S23" i="131"/>
  <c r="S27" i="131"/>
  <c r="S52" i="131"/>
  <c r="S30" i="131"/>
  <c r="S34" i="131"/>
  <c r="S53" i="131"/>
  <c r="S8" i="131"/>
  <c r="S21" i="131"/>
  <c r="S11" i="131"/>
  <c r="S12" i="131"/>
  <c r="S45" i="131"/>
  <c r="P63" i="131"/>
  <c r="R63" i="131" s="1"/>
  <c r="T63" i="131" s="1"/>
  <c r="P56" i="131"/>
  <c r="R56" i="131" s="1"/>
  <c r="P6" i="131"/>
  <c r="R6" i="131" s="1"/>
  <c r="T6" i="131" s="1"/>
  <c r="P49" i="131"/>
  <c r="R49" i="131" s="1"/>
  <c r="P21" i="131"/>
  <c r="R21" i="131" s="1"/>
  <c r="P43" i="131"/>
  <c r="R43" i="131" s="1"/>
  <c r="P13" i="131"/>
  <c r="R13" i="131" s="1"/>
  <c r="P53" i="131"/>
  <c r="R53" i="131" s="1"/>
  <c r="T53" i="131" s="1"/>
  <c r="P23" i="131"/>
  <c r="R23" i="131" s="1"/>
  <c r="T23" i="131" s="1"/>
  <c r="P7" i="131"/>
  <c r="R7" i="131" s="1"/>
  <c r="P65" i="131"/>
  <c r="R65" i="131" s="1"/>
  <c r="T65" i="131" s="1"/>
  <c r="P68" i="131"/>
  <c r="R68" i="131" s="1"/>
  <c r="T68" i="131" s="1"/>
  <c r="P32" i="131"/>
  <c r="R32" i="131" s="1"/>
  <c r="P44" i="131"/>
  <c r="R44" i="131" s="1"/>
  <c r="T44" i="131" s="1"/>
  <c r="P8" i="131"/>
  <c r="R8" i="131" s="1"/>
  <c r="T8" i="131" s="1"/>
  <c r="P66" i="131"/>
  <c r="R66" i="131" s="1"/>
  <c r="T66" i="131" s="1"/>
  <c r="P14" i="131"/>
  <c r="R14" i="131" s="1"/>
  <c r="T14" i="131" s="1"/>
  <c r="P57" i="131"/>
  <c r="R57" i="131" s="1"/>
  <c r="T57" i="131" s="1"/>
  <c r="P25" i="131"/>
  <c r="R25" i="131" s="1"/>
  <c r="P11" i="131"/>
  <c r="R11" i="131" s="1"/>
  <c r="P37" i="131"/>
  <c r="R37" i="131" s="1"/>
  <c r="P12" i="131"/>
  <c r="R12" i="131" s="1"/>
  <c r="T12" i="131" s="1"/>
  <c r="P10" i="131"/>
  <c r="R10" i="131" s="1"/>
  <c r="P20" i="131"/>
  <c r="R20" i="131" s="1"/>
  <c r="P48" i="131"/>
  <c r="R48" i="131" s="1"/>
  <c r="T48" i="131" s="1"/>
  <c r="P51" i="131"/>
  <c r="R51" i="131" s="1"/>
  <c r="T51" i="131" s="1"/>
  <c r="P31" i="131"/>
  <c r="R31" i="131" s="1"/>
  <c r="P9" i="131"/>
  <c r="R9" i="131" s="1"/>
  <c r="P42" i="131"/>
  <c r="R42" i="131" s="1"/>
  <c r="T42" i="131" s="1"/>
  <c r="P47" i="131"/>
  <c r="R47" i="131" s="1"/>
  <c r="T47" i="131" s="1"/>
  <c r="P50" i="131"/>
  <c r="R50" i="131" s="1"/>
  <c r="T50" i="131" s="1"/>
  <c r="P54" i="131"/>
  <c r="R54" i="131" s="1"/>
  <c r="T54" i="131" s="1"/>
  <c r="T37" i="131"/>
  <c r="P40" i="131"/>
  <c r="R40" i="131" s="1"/>
  <c r="T40" i="131" s="1"/>
  <c r="P59" i="131"/>
  <c r="R59" i="131" s="1"/>
  <c r="T59" i="131" s="1"/>
  <c r="P62" i="131"/>
  <c r="R62" i="131" s="1"/>
  <c r="T62" i="131" s="1"/>
  <c r="P29" i="131"/>
  <c r="R29" i="131" s="1"/>
  <c r="P30" i="131"/>
  <c r="R30" i="131" s="1"/>
  <c r="T30" i="131" s="1"/>
  <c r="P34" i="131"/>
  <c r="R34" i="131" s="1"/>
  <c r="T34" i="131" s="1"/>
  <c r="P55" i="131"/>
  <c r="R55" i="131" s="1"/>
  <c r="T55" i="131" s="1"/>
  <c r="P52" i="131"/>
  <c r="R52" i="131" s="1"/>
  <c r="T52" i="131" s="1"/>
  <c r="P41" i="131"/>
  <c r="R41" i="131" s="1"/>
  <c r="P18" i="131"/>
  <c r="R18" i="131" s="1"/>
  <c r="T18" i="131" s="1"/>
  <c r="P22" i="131"/>
  <c r="R22" i="131" s="1"/>
  <c r="P60" i="131"/>
  <c r="R60" i="131" s="1"/>
  <c r="T60" i="131" s="1"/>
  <c r="P69" i="131"/>
  <c r="R69" i="131" s="1"/>
  <c r="T69" i="131" s="1"/>
  <c r="P16" i="131"/>
  <c r="R16" i="131" s="1"/>
  <c r="P39" i="131"/>
  <c r="R39" i="131" s="1"/>
  <c r="P38" i="131"/>
  <c r="R38" i="131" s="1"/>
  <c r="P15" i="131"/>
  <c r="R15" i="131" s="1"/>
  <c r="P45" i="131"/>
  <c r="R45" i="131" s="1"/>
  <c r="P46" i="131"/>
  <c r="R46" i="131" s="1"/>
  <c r="P33" i="131"/>
  <c r="R33" i="131" s="1"/>
  <c r="T33" i="131" s="1"/>
  <c r="P61" i="131"/>
  <c r="R61" i="131" s="1"/>
  <c r="T61" i="131" s="1"/>
  <c r="P64" i="131"/>
  <c r="R64" i="131" s="1"/>
  <c r="T64" i="131" s="1"/>
  <c r="P67" i="131"/>
  <c r="R67" i="131" s="1"/>
  <c r="T67" i="131" s="1"/>
  <c r="P70" i="131"/>
  <c r="R70" i="131" s="1"/>
  <c r="T70" i="131" s="1"/>
  <c r="P5" i="131"/>
  <c r="R5" i="131" s="1"/>
  <c r="T5" i="131" s="1"/>
  <c r="P17" i="131"/>
  <c r="R17" i="131" s="1"/>
  <c r="P26" i="131"/>
  <c r="R26" i="131" s="1"/>
  <c r="P36" i="131"/>
  <c r="R36" i="131" s="1"/>
  <c r="T36" i="131" s="1"/>
  <c r="P58" i="131"/>
  <c r="R58" i="131" s="1"/>
  <c r="T58" i="131" s="1"/>
  <c r="P24" i="131"/>
  <c r="R24" i="131" s="1"/>
  <c r="P19" i="131"/>
  <c r="R19" i="131" s="1"/>
  <c r="T19" i="131" s="1"/>
  <c r="P28" i="131"/>
  <c r="R28" i="131" s="1"/>
  <c r="T28" i="131" s="1"/>
  <c r="P35" i="131"/>
  <c r="R35" i="131" s="1"/>
  <c r="T35" i="131" s="1"/>
  <c r="P27" i="131"/>
  <c r="R27" i="131" s="1"/>
  <c r="T27" i="131" s="1"/>
  <c r="S39" i="131"/>
  <c r="S32" i="131"/>
  <c r="S25" i="131"/>
  <c r="S29" i="131"/>
  <c r="S56" i="131"/>
  <c r="S22" i="131"/>
  <c r="S31" i="131"/>
  <c r="T31" i="131" s="1"/>
  <c r="S20" i="131"/>
  <c r="S41" i="131"/>
  <c r="S9" i="131"/>
  <c r="S15" i="131"/>
  <c r="S17" i="131"/>
  <c r="S24" i="131"/>
  <c r="S16" i="131"/>
  <c r="S7" i="131"/>
  <c r="S13" i="131"/>
  <c r="S46" i="131"/>
  <c r="S10" i="131"/>
  <c r="S43" i="131"/>
  <c r="S26" i="131"/>
  <c r="S49" i="131"/>
  <c r="S38" i="131"/>
  <c r="S17" i="130"/>
  <c r="S55" i="130"/>
  <c r="S15" i="130"/>
  <c r="S37" i="130"/>
  <c r="S28" i="130"/>
  <c r="S39" i="130"/>
  <c r="S42" i="130"/>
  <c r="S18" i="130"/>
  <c r="S20" i="130"/>
  <c r="S23" i="130"/>
  <c r="S8" i="130"/>
  <c r="S48" i="130"/>
  <c r="S29" i="130"/>
  <c r="S30" i="130"/>
  <c r="P53" i="130"/>
  <c r="R53" i="130" s="1"/>
  <c r="T53" i="130" s="1"/>
  <c r="P52" i="130"/>
  <c r="R52" i="130" s="1"/>
  <c r="T52" i="130" s="1"/>
  <c r="T38" i="130"/>
  <c r="P56" i="130"/>
  <c r="R56" i="130" s="1"/>
  <c r="T56" i="130" s="1"/>
  <c r="P23" i="130"/>
  <c r="R23" i="130" s="1"/>
  <c r="P15" i="130"/>
  <c r="R15" i="130" s="1"/>
  <c r="P19" i="130"/>
  <c r="R19" i="130" s="1"/>
  <c r="T19" i="130" s="1"/>
  <c r="P37" i="130"/>
  <c r="R37" i="130" s="1"/>
  <c r="T37" i="130" s="1"/>
  <c r="P28" i="130"/>
  <c r="R28" i="130" s="1"/>
  <c r="P35" i="130"/>
  <c r="R35" i="130" s="1"/>
  <c r="T35" i="130" s="1"/>
  <c r="P45" i="130"/>
  <c r="R45" i="130" s="1"/>
  <c r="T45" i="130" s="1"/>
  <c r="P55" i="130"/>
  <c r="R55" i="130" s="1"/>
  <c r="P65" i="130"/>
  <c r="R65" i="130" s="1"/>
  <c r="T65" i="130" s="1"/>
  <c r="P8" i="130"/>
  <c r="R8" i="130" s="1"/>
  <c r="P24" i="130"/>
  <c r="R24" i="130" s="1"/>
  <c r="T24" i="130" s="1"/>
  <c r="P39" i="130"/>
  <c r="R39" i="130" s="1"/>
  <c r="T39" i="130" s="1"/>
  <c r="P54" i="130"/>
  <c r="R54" i="130" s="1"/>
  <c r="T54" i="130" s="1"/>
  <c r="P60" i="130"/>
  <c r="R60" i="130" s="1"/>
  <c r="T60" i="130" s="1"/>
  <c r="P68" i="130"/>
  <c r="R68" i="130" s="1"/>
  <c r="T68" i="130" s="1"/>
  <c r="P11" i="130"/>
  <c r="R11" i="130" s="1"/>
  <c r="T11" i="130" s="1"/>
  <c r="P14" i="130"/>
  <c r="R14" i="130" s="1"/>
  <c r="T14" i="130" s="1"/>
  <c r="P16" i="130"/>
  <c r="R16" i="130" s="1"/>
  <c r="T16" i="130" s="1"/>
  <c r="P31" i="130"/>
  <c r="R31" i="130" s="1"/>
  <c r="T31" i="130" s="1"/>
  <c r="P36" i="130"/>
  <c r="R36" i="130" s="1"/>
  <c r="T36" i="130" s="1"/>
  <c r="P29" i="130"/>
  <c r="R29" i="130" s="1"/>
  <c r="T29" i="130" s="1"/>
  <c r="P34" i="130"/>
  <c r="R34" i="130" s="1"/>
  <c r="T34" i="130" s="1"/>
  <c r="P58" i="130"/>
  <c r="R58" i="130" s="1"/>
  <c r="T58" i="130" s="1"/>
  <c r="P63" i="130"/>
  <c r="R63" i="130" s="1"/>
  <c r="T63" i="130" s="1"/>
  <c r="P66" i="130"/>
  <c r="R66" i="130" s="1"/>
  <c r="T66" i="130" s="1"/>
  <c r="P18" i="130"/>
  <c r="R18" i="130" s="1"/>
  <c r="T18" i="130" s="1"/>
  <c r="P67" i="130"/>
  <c r="R67" i="130" s="1"/>
  <c r="T67" i="130" s="1"/>
  <c r="P22" i="130"/>
  <c r="R22" i="130" s="1"/>
  <c r="T22" i="130" s="1"/>
  <c r="P47" i="130"/>
  <c r="R47" i="130" s="1"/>
  <c r="P20" i="130"/>
  <c r="R20" i="130" s="1"/>
  <c r="T20" i="130" s="1"/>
  <c r="T70" i="130"/>
  <c r="P51" i="130"/>
  <c r="R51" i="130" s="1"/>
  <c r="T51" i="130" s="1"/>
  <c r="P6" i="130"/>
  <c r="R6" i="130" s="1"/>
  <c r="T6" i="130" s="1"/>
  <c r="P41" i="130"/>
  <c r="R41" i="130" s="1"/>
  <c r="T41" i="130" s="1"/>
  <c r="P50" i="130"/>
  <c r="R50" i="130" s="1"/>
  <c r="T50" i="130" s="1"/>
  <c r="P49" i="130"/>
  <c r="R49" i="130" s="1"/>
  <c r="T49" i="130" s="1"/>
  <c r="P61" i="130"/>
  <c r="R61" i="130" s="1"/>
  <c r="T61" i="130" s="1"/>
  <c r="P30" i="130"/>
  <c r="R30" i="130" s="1"/>
  <c r="T30" i="130" s="1"/>
  <c r="P43" i="130"/>
  <c r="R43" i="130" s="1"/>
  <c r="T43" i="130" s="1"/>
  <c r="P17" i="130"/>
  <c r="R17" i="130" s="1"/>
  <c r="T17" i="130" s="1"/>
  <c r="P25" i="130"/>
  <c r="R25" i="130" s="1"/>
  <c r="P27" i="130"/>
  <c r="R27" i="130" s="1"/>
  <c r="T27" i="130" s="1"/>
  <c r="P42" i="130"/>
  <c r="R42" i="130" s="1"/>
  <c r="T42" i="130" s="1"/>
  <c r="P33" i="130"/>
  <c r="R33" i="130" s="1"/>
  <c r="T33" i="130" s="1"/>
  <c r="P59" i="130"/>
  <c r="R59" i="130" s="1"/>
  <c r="T59" i="130" s="1"/>
  <c r="P69" i="130"/>
  <c r="R69" i="130" s="1"/>
  <c r="T69" i="130" s="1"/>
  <c r="P12" i="130"/>
  <c r="R12" i="130" s="1"/>
  <c r="T12" i="130" s="1"/>
  <c r="P64" i="130"/>
  <c r="R64" i="130" s="1"/>
  <c r="T64" i="130" s="1"/>
  <c r="P9" i="130"/>
  <c r="R9" i="130" s="1"/>
  <c r="T9" i="130" s="1"/>
  <c r="P21" i="130"/>
  <c r="R21" i="130" s="1"/>
  <c r="T21" i="130" s="1"/>
  <c r="P32" i="130"/>
  <c r="R32" i="130" s="1"/>
  <c r="T32" i="130" s="1"/>
  <c r="P7" i="130"/>
  <c r="R7" i="130" s="1"/>
  <c r="T7" i="130" s="1"/>
  <c r="P57" i="130"/>
  <c r="R57" i="130" s="1"/>
  <c r="T57" i="130" s="1"/>
  <c r="P26" i="130"/>
  <c r="R26" i="130" s="1"/>
  <c r="T26" i="130" s="1"/>
  <c r="P48" i="130"/>
  <c r="R48" i="130" s="1"/>
  <c r="P10" i="130"/>
  <c r="R10" i="130" s="1"/>
  <c r="T10" i="130" s="1"/>
  <c r="P13" i="130"/>
  <c r="R13" i="130" s="1"/>
  <c r="T13" i="130" s="1"/>
  <c r="P44" i="130"/>
  <c r="R44" i="130" s="1"/>
  <c r="T44" i="130" s="1"/>
  <c r="P40" i="130"/>
  <c r="R40" i="130" s="1"/>
  <c r="T40" i="130" s="1"/>
  <c r="P46" i="130"/>
  <c r="R46" i="130" s="1"/>
  <c r="T46" i="130" s="1"/>
  <c r="P62" i="130"/>
  <c r="R62" i="130" s="1"/>
  <c r="T62" i="130" s="1"/>
  <c r="P5" i="130"/>
  <c r="R5" i="130" s="1"/>
  <c r="T5" i="130" s="1"/>
  <c r="S25" i="130"/>
  <c r="S47" i="130"/>
  <c r="S5" i="129"/>
  <c r="S23" i="129"/>
  <c r="S20" i="129"/>
  <c r="S37" i="129"/>
  <c r="S47" i="129"/>
  <c r="S26" i="129"/>
  <c r="S24" i="129"/>
  <c r="P46" i="129"/>
  <c r="R46" i="129" s="1"/>
  <c r="P9" i="129"/>
  <c r="R9" i="129" s="1"/>
  <c r="P28" i="129"/>
  <c r="R28" i="129" s="1"/>
  <c r="P43" i="129"/>
  <c r="R43" i="129" s="1"/>
  <c r="T43" i="129" s="1"/>
  <c r="P70" i="129"/>
  <c r="R70" i="129" s="1"/>
  <c r="T70" i="129" s="1"/>
  <c r="P53" i="129"/>
  <c r="R53" i="129" s="1"/>
  <c r="P64" i="129"/>
  <c r="R64" i="129" s="1"/>
  <c r="T64" i="129" s="1"/>
  <c r="P67" i="129"/>
  <c r="R67" i="129" s="1"/>
  <c r="P65" i="129"/>
  <c r="R65" i="129" s="1"/>
  <c r="T65" i="129" s="1"/>
  <c r="P30" i="129"/>
  <c r="R30" i="129" s="1"/>
  <c r="P34" i="129"/>
  <c r="R34" i="129" s="1"/>
  <c r="P21" i="129"/>
  <c r="R21" i="129" s="1"/>
  <c r="P35" i="129"/>
  <c r="R35" i="129" s="1"/>
  <c r="P40" i="129"/>
  <c r="R40" i="129" s="1"/>
  <c r="P17" i="129"/>
  <c r="R17" i="129" s="1"/>
  <c r="P32" i="129"/>
  <c r="R32" i="129" s="1"/>
  <c r="T32" i="129" s="1"/>
  <c r="P14" i="129"/>
  <c r="R14" i="129" s="1"/>
  <c r="P22" i="129"/>
  <c r="R22" i="129" s="1"/>
  <c r="P5" i="129"/>
  <c r="R5" i="129" s="1"/>
  <c r="T5" i="129" s="1"/>
  <c r="P39" i="129"/>
  <c r="R39" i="129" s="1"/>
  <c r="T39" i="129" s="1"/>
  <c r="P56" i="129"/>
  <c r="R56" i="129" s="1"/>
  <c r="T56" i="129" s="1"/>
  <c r="P57" i="129"/>
  <c r="R57" i="129" s="1"/>
  <c r="T57" i="129" s="1"/>
  <c r="P69" i="129"/>
  <c r="R69" i="129" s="1"/>
  <c r="T69" i="129" s="1"/>
  <c r="P16" i="129"/>
  <c r="R16" i="129" s="1"/>
  <c r="P10" i="129"/>
  <c r="R10" i="129" s="1"/>
  <c r="P52" i="129"/>
  <c r="R52" i="129" s="1"/>
  <c r="T52" i="129" s="1"/>
  <c r="P50" i="129"/>
  <c r="R50" i="129" s="1"/>
  <c r="T50" i="129" s="1"/>
  <c r="P11" i="129"/>
  <c r="R11" i="129" s="1"/>
  <c r="P42" i="129"/>
  <c r="R42" i="129" s="1"/>
  <c r="T42" i="129" s="1"/>
  <c r="P19" i="129"/>
  <c r="R19" i="129" s="1"/>
  <c r="T19" i="129" s="1"/>
  <c r="P12" i="129"/>
  <c r="R12" i="129" s="1"/>
  <c r="T12" i="129" s="1"/>
  <c r="P31" i="129"/>
  <c r="R31" i="129" s="1"/>
  <c r="T31" i="129" s="1"/>
  <c r="P36" i="129"/>
  <c r="R36" i="129" s="1"/>
  <c r="T36" i="129" s="1"/>
  <c r="P54" i="129"/>
  <c r="R54" i="129" s="1"/>
  <c r="T67" i="129"/>
  <c r="P25" i="129"/>
  <c r="R25" i="129" s="1"/>
  <c r="P45" i="129"/>
  <c r="R45" i="129" s="1"/>
  <c r="T45" i="129" s="1"/>
  <c r="P49" i="129"/>
  <c r="R49" i="129" s="1"/>
  <c r="T49" i="129" s="1"/>
  <c r="P33" i="129"/>
  <c r="R33" i="129" s="1"/>
  <c r="P59" i="129"/>
  <c r="R59" i="129" s="1"/>
  <c r="T59" i="129" s="1"/>
  <c r="P62" i="129"/>
  <c r="R62" i="129" s="1"/>
  <c r="T62" i="129" s="1"/>
  <c r="P68" i="129"/>
  <c r="R68" i="129" s="1"/>
  <c r="T68" i="129" s="1"/>
  <c r="P15" i="129"/>
  <c r="R15" i="129" s="1"/>
  <c r="T15" i="129" s="1"/>
  <c r="P29" i="129"/>
  <c r="R29" i="129" s="1"/>
  <c r="P8" i="129"/>
  <c r="R8" i="129" s="1"/>
  <c r="P60" i="129"/>
  <c r="R60" i="129" s="1"/>
  <c r="T60" i="129" s="1"/>
  <c r="P63" i="129"/>
  <c r="R63" i="129" s="1"/>
  <c r="T63" i="129" s="1"/>
  <c r="P66" i="129"/>
  <c r="R66" i="129" s="1"/>
  <c r="T66" i="129" s="1"/>
  <c r="P27" i="129"/>
  <c r="R27" i="129" s="1"/>
  <c r="P24" i="129"/>
  <c r="R24" i="129" s="1"/>
  <c r="T24" i="129" s="1"/>
  <c r="P48" i="129"/>
  <c r="R48" i="129" s="1"/>
  <c r="T48" i="129" s="1"/>
  <c r="P23" i="129"/>
  <c r="R23" i="129" s="1"/>
  <c r="P7" i="129"/>
  <c r="R7" i="129" s="1"/>
  <c r="P41" i="129"/>
  <c r="R41" i="129" s="1"/>
  <c r="T41" i="129" s="1"/>
  <c r="P44" i="129"/>
  <c r="R44" i="129" s="1"/>
  <c r="T44" i="129" s="1"/>
  <c r="P51" i="129"/>
  <c r="R51" i="129" s="1"/>
  <c r="T51" i="129" s="1"/>
  <c r="P38" i="129"/>
  <c r="R38" i="129" s="1"/>
  <c r="P58" i="129"/>
  <c r="R58" i="129" s="1"/>
  <c r="T58" i="129" s="1"/>
  <c r="P61" i="129"/>
  <c r="R61" i="129" s="1"/>
  <c r="T61" i="129" s="1"/>
  <c r="P47" i="129"/>
  <c r="R47" i="129" s="1"/>
  <c r="T47" i="129" s="1"/>
  <c r="P18" i="129"/>
  <c r="R18" i="129" s="1"/>
  <c r="P37" i="129"/>
  <c r="R37" i="129" s="1"/>
  <c r="T37" i="129" s="1"/>
  <c r="P26" i="129"/>
  <c r="R26" i="129" s="1"/>
  <c r="T26" i="129" s="1"/>
  <c r="P6" i="129"/>
  <c r="R6" i="129" s="1"/>
  <c r="P13" i="129"/>
  <c r="R13" i="129" s="1"/>
  <c r="T13" i="129" s="1"/>
  <c r="P55" i="129"/>
  <c r="R55" i="129" s="1"/>
  <c r="T55" i="129" s="1"/>
  <c r="P20" i="129"/>
  <c r="R20" i="129" s="1"/>
  <c r="T20" i="129" s="1"/>
  <c r="S7" i="129"/>
  <c r="S40" i="129"/>
  <c r="S30" i="129"/>
  <c r="S46" i="129"/>
  <c r="S54" i="129"/>
  <c r="S35" i="129"/>
  <c r="S16" i="129"/>
  <c r="S8" i="129"/>
  <c r="S25" i="129"/>
  <c r="S33" i="129"/>
  <c r="S21" i="129"/>
  <c r="S6" i="129"/>
  <c r="S14" i="129"/>
  <c r="S29" i="129"/>
  <c r="S10" i="129"/>
  <c r="S38" i="129"/>
  <c r="S28" i="129"/>
  <c r="S17" i="129"/>
  <c r="S11" i="129"/>
  <c r="S34" i="129"/>
  <c r="S53" i="129"/>
  <c r="S9" i="129"/>
  <c r="S22" i="129"/>
  <c r="S27" i="129"/>
  <c r="S18" i="129"/>
  <c r="S32" i="128"/>
  <c r="S55" i="128"/>
  <c r="S52" i="128"/>
  <c r="S25" i="128"/>
  <c r="S33" i="128"/>
  <c r="S31" i="128"/>
  <c r="S13" i="128"/>
  <c r="P16" i="128"/>
  <c r="R16" i="128" s="1"/>
  <c r="P21" i="128"/>
  <c r="R21" i="128" s="1"/>
  <c r="P7" i="128"/>
  <c r="R7" i="128" s="1"/>
  <c r="P11" i="128"/>
  <c r="R11" i="128" s="1"/>
  <c r="P44" i="128"/>
  <c r="R44" i="128" s="1"/>
  <c r="P8" i="128"/>
  <c r="R8" i="128" s="1"/>
  <c r="T8" i="128" s="1"/>
  <c r="P12" i="128"/>
  <c r="R12" i="128" s="1"/>
  <c r="P23" i="128"/>
  <c r="R23" i="128" s="1"/>
  <c r="P39" i="128"/>
  <c r="R39" i="128" s="1"/>
  <c r="T39" i="128" s="1"/>
  <c r="P61" i="128"/>
  <c r="R61" i="128" s="1"/>
  <c r="T61" i="128" s="1"/>
  <c r="P24" i="128"/>
  <c r="R24" i="128" s="1"/>
  <c r="P25" i="128"/>
  <c r="R25" i="128" s="1"/>
  <c r="T25" i="128" s="1"/>
  <c r="P33" i="128"/>
  <c r="R33" i="128" s="1"/>
  <c r="P65" i="128"/>
  <c r="R65" i="128" s="1"/>
  <c r="T65" i="128" s="1"/>
  <c r="P63" i="128"/>
  <c r="R63" i="128" s="1"/>
  <c r="T63" i="128" s="1"/>
  <c r="P66" i="128"/>
  <c r="R66" i="128" s="1"/>
  <c r="T66" i="128" s="1"/>
  <c r="P13" i="128"/>
  <c r="R13" i="128" s="1"/>
  <c r="P42" i="128"/>
  <c r="R42" i="128" s="1"/>
  <c r="P37" i="128"/>
  <c r="R37" i="128" s="1"/>
  <c r="P20" i="128"/>
  <c r="R20" i="128" s="1"/>
  <c r="T20" i="128" s="1"/>
  <c r="P58" i="128"/>
  <c r="R58" i="128" s="1"/>
  <c r="T58" i="128" s="1"/>
  <c r="P67" i="128"/>
  <c r="R67" i="128" s="1"/>
  <c r="T67" i="128" s="1"/>
  <c r="P35" i="128"/>
  <c r="R35" i="128" s="1"/>
  <c r="T35" i="128" s="1"/>
  <c r="P45" i="128"/>
  <c r="R45" i="128" s="1"/>
  <c r="T45" i="128" s="1"/>
  <c r="P51" i="128"/>
  <c r="R51" i="128" s="1"/>
  <c r="T51" i="128" s="1"/>
  <c r="P70" i="128"/>
  <c r="R70" i="128" s="1"/>
  <c r="T70" i="128" s="1"/>
  <c r="P17" i="128"/>
  <c r="R17" i="128" s="1"/>
  <c r="P29" i="128"/>
  <c r="R29" i="128" s="1"/>
  <c r="T29" i="128" s="1"/>
  <c r="P48" i="128"/>
  <c r="R48" i="128" s="1"/>
  <c r="T48" i="128" s="1"/>
  <c r="P40" i="128"/>
  <c r="R40" i="128" s="1"/>
  <c r="T40" i="128" s="1"/>
  <c r="P30" i="128"/>
  <c r="R30" i="128" s="1"/>
  <c r="T30" i="128" s="1"/>
  <c r="P55" i="128"/>
  <c r="R55" i="128" s="1"/>
  <c r="T55" i="128" s="1"/>
  <c r="P5" i="128"/>
  <c r="R5" i="128" s="1"/>
  <c r="P41" i="128"/>
  <c r="R41" i="128" s="1"/>
  <c r="P50" i="128"/>
  <c r="R50" i="128" s="1"/>
  <c r="P36" i="128"/>
  <c r="R36" i="128" s="1"/>
  <c r="T36" i="128" s="1"/>
  <c r="P57" i="128"/>
  <c r="R57" i="128" s="1"/>
  <c r="T57" i="128" s="1"/>
  <c r="P14" i="128"/>
  <c r="R14" i="128" s="1"/>
  <c r="T14" i="128" s="1"/>
  <c r="P32" i="128"/>
  <c r="R32" i="128" s="1"/>
  <c r="T32" i="128" s="1"/>
  <c r="P18" i="128"/>
  <c r="R18" i="128" s="1"/>
  <c r="T18" i="128" s="1"/>
  <c r="P46" i="128"/>
  <c r="R46" i="128" s="1"/>
  <c r="P49" i="128"/>
  <c r="R49" i="128" s="1"/>
  <c r="T49" i="128" s="1"/>
  <c r="P53" i="128"/>
  <c r="R53" i="128" s="1"/>
  <c r="T53" i="128" s="1"/>
  <c r="P60" i="128"/>
  <c r="R60" i="128" s="1"/>
  <c r="T60" i="128" s="1"/>
  <c r="P9" i="128"/>
  <c r="R9" i="128" s="1"/>
  <c r="P10" i="128"/>
  <c r="R10" i="128" s="1"/>
  <c r="P26" i="128"/>
  <c r="R26" i="128" s="1"/>
  <c r="T26" i="128" s="1"/>
  <c r="P43" i="128"/>
  <c r="R43" i="128" s="1"/>
  <c r="P69" i="128"/>
  <c r="R69" i="128" s="1"/>
  <c r="T69" i="128" s="1"/>
  <c r="P56" i="128"/>
  <c r="R56" i="128" s="1"/>
  <c r="P15" i="128"/>
  <c r="R15" i="128" s="1"/>
  <c r="T15" i="128" s="1"/>
  <c r="P27" i="128"/>
  <c r="R27" i="128" s="1"/>
  <c r="P64" i="128"/>
  <c r="R64" i="128" s="1"/>
  <c r="T64" i="128" s="1"/>
  <c r="P31" i="128"/>
  <c r="R31" i="128" s="1"/>
  <c r="T31" i="128" s="1"/>
  <c r="P22" i="128"/>
  <c r="R22" i="128" s="1"/>
  <c r="T22" i="128" s="1"/>
  <c r="P34" i="128"/>
  <c r="R34" i="128" s="1"/>
  <c r="P28" i="128"/>
  <c r="R28" i="128" s="1"/>
  <c r="P52" i="128"/>
  <c r="R52" i="128" s="1"/>
  <c r="T52" i="128" s="1"/>
  <c r="P47" i="128"/>
  <c r="R47" i="128" s="1"/>
  <c r="T47" i="128" s="1"/>
  <c r="P54" i="128"/>
  <c r="R54" i="128" s="1"/>
  <c r="T54" i="128" s="1"/>
  <c r="P59" i="128"/>
  <c r="R59" i="128" s="1"/>
  <c r="T59" i="128" s="1"/>
  <c r="P6" i="128"/>
  <c r="R6" i="128" s="1"/>
  <c r="S10" i="128"/>
  <c r="S24" i="128"/>
  <c r="S43" i="128"/>
  <c r="S19" i="128"/>
  <c r="T19" i="128" s="1"/>
  <c r="S56" i="128"/>
  <c r="S9" i="128"/>
  <c r="S12" i="128"/>
  <c r="T12" i="128" s="1"/>
  <c r="S44" i="128"/>
  <c r="S7" i="128"/>
  <c r="S34" i="128"/>
  <c r="S38" i="128"/>
  <c r="T38" i="128" s="1"/>
  <c r="S50" i="128"/>
  <c r="S16" i="128"/>
  <c r="S42" i="128"/>
  <c r="S28" i="128"/>
  <c r="S5" i="128"/>
  <c r="S21" i="128"/>
  <c r="S41" i="128"/>
  <c r="S17" i="128"/>
  <c r="S37" i="128"/>
  <c r="T37" i="128" s="1"/>
  <c r="S27" i="128"/>
  <c r="S46" i="128"/>
  <c r="S6" i="128"/>
  <c r="S11" i="128"/>
  <c r="S23" i="128"/>
  <c r="S32" i="127"/>
  <c r="S45" i="127"/>
  <c r="S36" i="127"/>
  <c r="S5" i="127"/>
  <c r="S55" i="127"/>
  <c r="S25" i="127"/>
  <c r="S38" i="127"/>
  <c r="S44" i="127"/>
  <c r="S11" i="127"/>
  <c r="S17" i="127"/>
  <c r="S24" i="127"/>
  <c r="S12" i="127"/>
  <c r="S13" i="127"/>
  <c r="S6" i="127"/>
  <c r="S27" i="127"/>
  <c r="S35" i="127"/>
  <c r="S21" i="127"/>
  <c r="S19" i="127"/>
  <c r="S9" i="127"/>
  <c r="P64" i="127"/>
  <c r="R64" i="127" s="1"/>
  <c r="T64" i="127" s="1"/>
  <c r="P65" i="127"/>
  <c r="R65" i="127" s="1"/>
  <c r="T65" i="127" s="1"/>
  <c r="P5" i="127"/>
  <c r="R5" i="127" s="1"/>
  <c r="T5" i="127" s="1"/>
  <c r="P44" i="127"/>
  <c r="R44" i="127" s="1"/>
  <c r="T44" i="127" s="1"/>
  <c r="P38" i="127"/>
  <c r="R38" i="127" s="1"/>
  <c r="T38" i="127" s="1"/>
  <c r="P30" i="127"/>
  <c r="R30" i="127" s="1"/>
  <c r="T30" i="127" s="1"/>
  <c r="P26" i="127"/>
  <c r="R26" i="127" s="1"/>
  <c r="T26" i="127" s="1"/>
  <c r="P41" i="127"/>
  <c r="R41" i="127" s="1"/>
  <c r="P33" i="127"/>
  <c r="R33" i="127" s="1"/>
  <c r="T33" i="127" s="1"/>
  <c r="P14" i="127"/>
  <c r="R14" i="127" s="1"/>
  <c r="T14" i="127" s="1"/>
  <c r="P12" i="127"/>
  <c r="R12" i="127" s="1"/>
  <c r="T12" i="127" s="1"/>
  <c r="P59" i="127"/>
  <c r="R59" i="127" s="1"/>
  <c r="T59" i="127" s="1"/>
  <c r="P62" i="127"/>
  <c r="R62" i="127" s="1"/>
  <c r="T62" i="127" s="1"/>
  <c r="P27" i="127"/>
  <c r="R27" i="127" s="1"/>
  <c r="T27" i="127" s="1"/>
  <c r="P9" i="127"/>
  <c r="R9" i="127" s="1"/>
  <c r="T9" i="127" s="1"/>
  <c r="P10" i="127"/>
  <c r="R10" i="127" s="1"/>
  <c r="P48" i="127"/>
  <c r="R48" i="127" s="1"/>
  <c r="T48" i="127" s="1"/>
  <c r="P49" i="127"/>
  <c r="R49" i="127" s="1"/>
  <c r="P52" i="127"/>
  <c r="R52" i="127" s="1"/>
  <c r="T52" i="127" s="1"/>
  <c r="P16" i="127"/>
  <c r="R16" i="127" s="1"/>
  <c r="T16" i="127" s="1"/>
  <c r="P32" i="127"/>
  <c r="R32" i="127" s="1"/>
  <c r="T32" i="127" s="1"/>
  <c r="P36" i="127"/>
  <c r="R36" i="127" s="1"/>
  <c r="T36" i="127" s="1"/>
  <c r="P18" i="127"/>
  <c r="R18" i="127" s="1"/>
  <c r="T18" i="127" s="1"/>
  <c r="P43" i="127"/>
  <c r="R43" i="127" s="1"/>
  <c r="T43" i="127" s="1"/>
  <c r="P67" i="127"/>
  <c r="R67" i="127" s="1"/>
  <c r="T67" i="127" s="1"/>
  <c r="P70" i="127"/>
  <c r="R70" i="127" s="1"/>
  <c r="T70" i="127" s="1"/>
  <c r="P8" i="127"/>
  <c r="R8" i="127" s="1"/>
  <c r="P45" i="127"/>
  <c r="R45" i="127" s="1"/>
  <c r="T45" i="127" s="1"/>
  <c r="P53" i="127"/>
  <c r="R53" i="127" s="1"/>
  <c r="T63" i="127"/>
  <c r="T49" i="127"/>
  <c r="T41" i="127"/>
  <c r="P57" i="127"/>
  <c r="R57" i="127" s="1"/>
  <c r="T57" i="127" s="1"/>
  <c r="P37" i="127"/>
  <c r="R37" i="127" s="1"/>
  <c r="T37" i="127" s="1"/>
  <c r="P22" i="127"/>
  <c r="R22" i="127" s="1"/>
  <c r="T22" i="127" s="1"/>
  <c r="P13" i="127"/>
  <c r="R13" i="127" s="1"/>
  <c r="T13" i="127" s="1"/>
  <c r="P60" i="127"/>
  <c r="R60" i="127" s="1"/>
  <c r="T60" i="127" s="1"/>
  <c r="P11" i="127"/>
  <c r="R11" i="127" s="1"/>
  <c r="P28" i="127"/>
  <c r="R28" i="127" s="1"/>
  <c r="T28" i="127" s="1"/>
  <c r="P47" i="127"/>
  <c r="R47" i="127" s="1"/>
  <c r="T47" i="127" s="1"/>
  <c r="P66" i="127"/>
  <c r="R66" i="127" s="1"/>
  <c r="T66" i="127" s="1"/>
  <c r="P42" i="127"/>
  <c r="R42" i="127" s="1"/>
  <c r="P7" i="127"/>
  <c r="R7" i="127" s="1"/>
  <c r="T7" i="127" s="1"/>
  <c r="P39" i="127"/>
  <c r="R39" i="127" s="1"/>
  <c r="T39" i="127" s="1"/>
  <c r="P25" i="127"/>
  <c r="R25" i="127" s="1"/>
  <c r="T25" i="127" s="1"/>
  <c r="P50" i="127"/>
  <c r="R50" i="127" s="1"/>
  <c r="T50" i="127" s="1"/>
  <c r="P69" i="127"/>
  <c r="R69" i="127" s="1"/>
  <c r="T69" i="127" s="1"/>
  <c r="P29" i="127"/>
  <c r="R29" i="127" s="1"/>
  <c r="T29" i="127" s="1"/>
  <c r="P58" i="127"/>
  <c r="R58" i="127" s="1"/>
  <c r="T58" i="127" s="1"/>
  <c r="P15" i="127"/>
  <c r="R15" i="127" s="1"/>
  <c r="T15" i="127" s="1"/>
  <c r="P35" i="127"/>
  <c r="R35" i="127" s="1"/>
  <c r="T35" i="127" s="1"/>
  <c r="P40" i="127"/>
  <c r="R40" i="127" s="1"/>
  <c r="T40" i="127" s="1"/>
  <c r="P46" i="127"/>
  <c r="R46" i="127" s="1"/>
  <c r="T46" i="127" s="1"/>
  <c r="P51" i="127"/>
  <c r="R51" i="127" s="1"/>
  <c r="T51" i="127" s="1"/>
  <c r="P54" i="127"/>
  <c r="R54" i="127" s="1"/>
  <c r="T54" i="127" s="1"/>
  <c r="P68" i="127"/>
  <c r="R68" i="127" s="1"/>
  <c r="T68" i="127" s="1"/>
  <c r="P21" i="127"/>
  <c r="R21" i="127" s="1"/>
  <c r="T21" i="127" s="1"/>
  <c r="P24" i="127"/>
  <c r="R24" i="127" s="1"/>
  <c r="P31" i="127"/>
  <c r="R31" i="127" s="1"/>
  <c r="T31" i="127" s="1"/>
  <c r="P61" i="127"/>
  <c r="R61" i="127" s="1"/>
  <c r="T61" i="127" s="1"/>
  <c r="P6" i="127"/>
  <c r="R6" i="127" s="1"/>
  <c r="T6" i="127" s="1"/>
  <c r="P34" i="127"/>
  <c r="R34" i="127" s="1"/>
  <c r="T34" i="127" s="1"/>
  <c r="P23" i="127"/>
  <c r="R23" i="127" s="1"/>
  <c r="T23" i="127" s="1"/>
  <c r="P17" i="127"/>
  <c r="R17" i="127" s="1"/>
  <c r="T17" i="127" s="1"/>
  <c r="P55" i="127"/>
  <c r="R55" i="127" s="1"/>
  <c r="T55" i="127" s="1"/>
  <c r="P19" i="127"/>
  <c r="R19" i="127" s="1"/>
  <c r="T19" i="127" s="1"/>
  <c r="P56" i="127"/>
  <c r="R56" i="127" s="1"/>
  <c r="T56" i="127" s="1"/>
  <c r="P20" i="127"/>
  <c r="R20" i="127" s="1"/>
  <c r="T20" i="127" s="1"/>
  <c r="S53" i="127"/>
  <c r="S10" i="127"/>
  <c r="S42" i="127"/>
  <c r="S8" i="127"/>
  <c r="S55" i="126"/>
  <c r="P49" i="126"/>
  <c r="R49" i="126" s="1"/>
  <c r="T49" i="126" s="1"/>
  <c r="P48" i="126"/>
  <c r="R48" i="126" s="1"/>
  <c r="T48" i="126" s="1"/>
  <c r="P29" i="126"/>
  <c r="R29" i="126" s="1"/>
  <c r="T29" i="126" s="1"/>
  <c r="P65" i="126"/>
  <c r="R65" i="126" s="1"/>
  <c r="T65" i="126" s="1"/>
  <c r="P68" i="126"/>
  <c r="R68" i="126" s="1"/>
  <c r="T68" i="126" s="1"/>
  <c r="P6" i="126"/>
  <c r="R6" i="126" s="1"/>
  <c r="P25" i="126"/>
  <c r="R25" i="126" s="1"/>
  <c r="T25" i="126" s="1"/>
  <c r="P57" i="126"/>
  <c r="R57" i="126" s="1"/>
  <c r="T57" i="126" s="1"/>
  <c r="P60" i="126"/>
  <c r="R60" i="126" s="1"/>
  <c r="T60" i="126" s="1"/>
  <c r="P66" i="126"/>
  <c r="R66" i="126" s="1"/>
  <c r="T66" i="126" s="1"/>
  <c r="P69" i="126"/>
  <c r="R69" i="126" s="1"/>
  <c r="T69" i="126" s="1"/>
  <c r="P36" i="126"/>
  <c r="R36" i="126" s="1"/>
  <c r="P64" i="126"/>
  <c r="R64" i="126" s="1"/>
  <c r="T64" i="126" s="1"/>
  <c r="P67" i="126"/>
  <c r="R67" i="126" s="1"/>
  <c r="T67" i="126" s="1"/>
  <c r="P17" i="126"/>
  <c r="R17" i="126" s="1"/>
  <c r="P26" i="126"/>
  <c r="R26" i="126" s="1"/>
  <c r="P28" i="126"/>
  <c r="R28" i="126" s="1"/>
  <c r="P37" i="126"/>
  <c r="R37" i="126" s="1"/>
  <c r="P62" i="126"/>
  <c r="R62" i="126" s="1"/>
  <c r="T62" i="126" s="1"/>
  <c r="P14" i="126"/>
  <c r="R14" i="126" s="1"/>
  <c r="P5" i="126"/>
  <c r="R5" i="126" s="1"/>
  <c r="T5" i="126" s="1"/>
  <c r="P22" i="126"/>
  <c r="R22" i="126" s="1"/>
  <c r="P41" i="126"/>
  <c r="R41" i="126" s="1"/>
  <c r="P46" i="126"/>
  <c r="R46" i="126" s="1"/>
  <c r="T46" i="126" s="1"/>
  <c r="P9" i="126"/>
  <c r="R9" i="126" s="1"/>
  <c r="T9" i="126" s="1"/>
  <c r="P53" i="126"/>
  <c r="R53" i="126" s="1"/>
  <c r="T53" i="126" s="1"/>
  <c r="P40" i="126"/>
  <c r="R40" i="126" s="1"/>
  <c r="T40" i="126" s="1"/>
  <c r="P52" i="126"/>
  <c r="R52" i="126" s="1"/>
  <c r="P58" i="126"/>
  <c r="R58" i="126" s="1"/>
  <c r="T58" i="126" s="1"/>
  <c r="P15" i="126"/>
  <c r="R15" i="126" s="1"/>
  <c r="P27" i="126"/>
  <c r="R27" i="126" s="1"/>
  <c r="P42" i="126"/>
  <c r="R42" i="126" s="1"/>
  <c r="P45" i="126"/>
  <c r="R45" i="126" s="1"/>
  <c r="P43" i="126"/>
  <c r="R43" i="126" s="1"/>
  <c r="P38" i="126"/>
  <c r="R38" i="126" s="1"/>
  <c r="P51" i="126"/>
  <c r="R51" i="126" s="1"/>
  <c r="T51" i="126" s="1"/>
  <c r="P70" i="126"/>
  <c r="R70" i="126" s="1"/>
  <c r="T70" i="126" s="1"/>
  <c r="P13" i="126"/>
  <c r="R13" i="126" s="1"/>
  <c r="T13" i="126" s="1"/>
  <c r="P32" i="126"/>
  <c r="R32" i="126" s="1"/>
  <c r="P12" i="126"/>
  <c r="R12" i="126" s="1"/>
  <c r="P31" i="126"/>
  <c r="R31" i="126" s="1"/>
  <c r="T31" i="126" s="1"/>
  <c r="P21" i="126"/>
  <c r="R21" i="126" s="1"/>
  <c r="P23" i="126"/>
  <c r="R23" i="126" s="1"/>
  <c r="P33" i="126"/>
  <c r="R33" i="126" s="1"/>
  <c r="P39" i="126"/>
  <c r="R39" i="126" s="1"/>
  <c r="T39" i="126" s="1"/>
  <c r="P56" i="126"/>
  <c r="R56" i="126" s="1"/>
  <c r="P59" i="126"/>
  <c r="R59" i="126" s="1"/>
  <c r="T59" i="126" s="1"/>
  <c r="P11" i="126"/>
  <c r="R11" i="126" s="1"/>
  <c r="P18" i="126"/>
  <c r="R18" i="126" s="1"/>
  <c r="P34" i="126"/>
  <c r="R34" i="126" s="1"/>
  <c r="T34" i="126" s="1"/>
  <c r="P24" i="126"/>
  <c r="R24" i="126" s="1"/>
  <c r="P55" i="126"/>
  <c r="R55" i="126" s="1"/>
  <c r="P63" i="126"/>
  <c r="R63" i="126" s="1"/>
  <c r="T63" i="126" s="1"/>
  <c r="P19" i="126"/>
  <c r="R19" i="126" s="1"/>
  <c r="P50" i="126"/>
  <c r="R50" i="126" s="1"/>
  <c r="T50" i="126" s="1"/>
  <c r="P7" i="126"/>
  <c r="R7" i="126" s="1"/>
  <c r="P16" i="126"/>
  <c r="R16" i="126" s="1"/>
  <c r="P20" i="126"/>
  <c r="R20" i="126" s="1"/>
  <c r="P35" i="126"/>
  <c r="R35" i="126" s="1"/>
  <c r="P30" i="126"/>
  <c r="R30" i="126" s="1"/>
  <c r="P44" i="126"/>
  <c r="R44" i="126" s="1"/>
  <c r="T44" i="126" s="1"/>
  <c r="P54" i="126"/>
  <c r="R54" i="126" s="1"/>
  <c r="T54" i="126" s="1"/>
  <c r="P61" i="126"/>
  <c r="R61" i="126" s="1"/>
  <c r="T61" i="126" s="1"/>
  <c r="P10" i="126"/>
  <c r="R10" i="126" s="1"/>
  <c r="T10" i="126" s="1"/>
  <c r="P8" i="126"/>
  <c r="R8" i="126" s="1"/>
  <c r="S52" i="126"/>
  <c r="S17" i="126"/>
  <c r="S27" i="126"/>
  <c r="S47" i="126"/>
  <c r="T47" i="126" s="1"/>
  <c r="S7" i="126"/>
  <c r="S36" i="126"/>
  <c r="S12" i="126"/>
  <c r="S19" i="126"/>
  <c r="S43" i="126"/>
  <c r="S23" i="126"/>
  <c r="S15" i="126"/>
  <c r="S26" i="126"/>
  <c r="S38" i="126"/>
  <c r="S42" i="126"/>
  <c r="S14" i="126"/>
  <c r="S16" i="126"/>
  <c r="S32" i="126"/>
  <c r="S45" i="126"/>
  <c r="S21" i="126"/>
  <c r="S8" i="126"/>
  <c r="S6" i="126"/>
  <c r="S22" i="126"/>
  <c r="S41" i="126"/>
  <c r="S56" i="126"/>
  <c r="S30" i="126"/>
  <c r="S24" i="126"/>
  <c r="S37" i="126"/>
  <c r="S18" i="126"/>
  <c r="S28" i="126"/>
  <c r="S11" i="126"/>
  <c r="S20" i="126"/>
  <c r="S33" i="126"/>
  <c r="S35" i="126"/>
  <c r="P15" i="125"/>
  <c r="R15" i="125" s="1"/>
  <c r="P38" i="125"/>
  <c r="R38" i="125" s="1"/>
  <c r="P52" i="125"/>
  <c r="R52" i="125" s="1"/>
  <c r="T52" i="125" s="1"/>
  <c r="P44" i="125"/>
  <c r="R44" i="125" s="1"/>
  <c r="T44" i="125" s="1"/>
  <c r="P14" i="125"/>
  <c r="R14" i="125" s="1"/>
  <c r="P40" i="125"/>
  <c r="R40" i="125" s="1"/>
  <c r="P48" i="125"/>
  <c r="R48" i="125" s="1"/>
  <c r="P21" i="125"/>
  <c r="R21" i="125" s="1"/>
  <c r="T21" i="125" s="1"/>
  <c r="P22" i="125"/>
  <c r="R22" i="125" s="1"/>
  <c r="P6" i="125"/>
  <c r="R6" i="125" s="1"/>
  <c r="P28" i="125"/>
  <c r="R28" i="125" s="1"/>
  <c r="T28" i="125" s="1"/>
  <c r="P12" i="125"/>
  <c r="R12" i="125" s="1"/>
  <c r="P41" i="125"/>
  <c r="R41" i="125" s="1"/>
  <c r="P57" i="125"/>
  <c r="R57" i="125" s="1"/>
  <c r="T57" i="125" s="1"/>
  <c r="P7" i="125"/>
  <c r="R7" i="125" s="1"/>
  <c r="P37" i="125"/>
  <c r="R37" i="125" s="1"/>
  <c r="P45" i="125"/>
  <c r="R45" i="125" s="1"/>
  <c r="T45" i="125" s="1"/>
  <c r="P54" i="125"/>
  <c r="R54" i="125" s="1"/>
  <c r="T54" i="125" s="1"/>
  <c r="P10" i="125"/>
  <c r="R10" i="125" s="1"/>
  <c r="T10" i="125" s="1"/>
  <c r="P43" i="125"/>
  <c r="R43" i="125" s="1"/>
  <c r="P50" i="125"/>
  <c r="R50" i="125" s="1"/>
  <c r="T50" i="125" s="1"/>
  <c r="P53" i="125"/>
  <c r="R53" i="125" s="1"/>
  <c r="P59" i="125"/>
  <c r="R59" i="125" s="1"/>
  <c r="T59" i="125" s="1"/>
  <c r="P62" i="125"/>
  <c r="R62" i="125" s="1"/>
  <c r="T62" i="125" s="1"/>
  <c r="P65" i="125"/>
  <c r="R65" i="125" s="1"/>
  <c r="T65" i="125" s="1"/>
  <c r="P68" i="125"/>
  <c r="R68" i="125" s="1"/>
  <c r="T68" i="125" s="1"/>
  <c r="P5" i="125"/>
  <c r="R5" i="125" s="1"/>
  <c r="P30" i="125"/>
  <c r="R30" i="125" s="1"/>
  <c r="P46" i="125"/>
  <c r="R46" i="125" s="1"/>
  <c r="T46" i="125" s="1"/>
  <c r="P8" i="125"/>
  <c r="R8" i="125" s="1"/>
  <c r="P69" i="125"/>
  <c r="R69" i="125" s="1"/>
  <c r="T69" i="125" s="1"/>
  <c r="P17" i="125"/>
  <c r="R17" i="125" s="1"/>
  <c r="P26" i="125"/>
  <c r="R26" i="125" s="1"/>
  <c r="T26" i="125" s="1"/>
  <c r="P32" i="125"/>
  <c r="R32" i="125" s="1"/>
  <c r="P13" i="125"/>
  <c r="R13" i="125" s="1"/>
  <c r="T13" i="125" s="1"/>
  <c r="P20" i="125"/>
  <c r="R20" i="125" s="1"/>
  <c r="P36" i="125"/>
  <c r="R36" i="125" s="1"/>
  <c r="T36" i="125" s="1"/>
  <c r="P63" i="125"/>
  <c r="R63" i="125" s="1"/>
  <c r="T63" i="125" s="1"/>
  <c r="P66" i="125"/>
  <c r="R66" i="125" s="1"/>
  <c r="T66" i="125" s="1"/>
  <c r="P11" i="125"/>
  <c r="R11" i="125" s="1"/>
  <c r="T11" i="125" s="1"/>
  <c r="P34" i="125"/>
  <c r="R34" i="125" s="1"/>
  <c r="P19" i="125"/>
  <c r="R19" i="125" s="1"/>
  <c r="T51" i="125"/>
  <c r="P39" i="125"/>
  <c r="R39" i="125" s="1"/>
  <c r="P47" i="125"/>
  <c r="R47" i="125" s="1"/>
  <c r="T47" i="125" s="1"/>
  <c r="P60" i="125"/>
  <c r="R60" i="125" s="1"/>
  <c r="T60" i="125" s="1"/>
  <c r="P23" i="125"/>
  <c r="R23" i="125" s="1"/>
  <c r="T23" i="125" s="1"/>
  <c r="P24" i="125"/>
  <c r="R24" i="125" s="1"/>
  <c r="P31" i="125"/>
  <c r="R31" i="125" s="1"/>
  <c r="T31" i="125" s="1"/>
  <c r="P18" i="125"/>
  <c r="R18" i="125" s="1"/>
  <c r="T18" i="125" s="1"/>
  <c r="P9" i="125"/>
  <c r="R9" i="125" s="1"/>
  <c r="P16" i="125"/>
  <c r="R16" i="125" s="1"/>
  <c r="P64" i="125"/>
  <c r="R64" i="125" s="1"/>
  <c r="T64" i="125" s="1"/>
  <c r="P35" i="125"/>
  <c r="R35" i="125" s="1"/>
  <c r="P29" i="125"/>
  <c r="R29" i="125" s="1"/>
  <c r="P27" i="125"/>
  <c r="R27" i="125" s="1"/>
  <c r="P33" i="125"/>
  <c r="R33" i="125" s="1"/>
  <c r="P42" i="125"/>
  <c r="R42" i="125" s="1"/>
  <c r="T42" i="125" s="1"/>
  <c r="P49" i="125"/>
  <c r="R49" i="125" s="1"/>
  <c r="T49" i="125" s="1"/>
  <c r="P55" i="125"/>
  <c r="R55" i="125" s="1"/>
  <c r="T55" i="125" s="1"/>
  <c r="P58" i="125"/>
  <c r="R58" i="125" s="1"/>
  <c r="T58" i="125" s="1"/>
  <c r="P61" i="125"/>
  <c r="R61" i="125" s="1"/>
  <c r="T61" i="125" s="1"/>
  <c r="P67" i="125"/>
  <c r="R67" i="125" s="1"/>
  <c r="T67" i="125" s="1"/>
  <c r="P70" i="125"/>
  <c r="R70" i="125" s="1"/>
  <c r="T70" i="125" s="1"/>
  <c r="P25" i="125"/>
  <c r="R25" i="125" s="1"/>
  <c r="T25" i="125" s="1"/>
  <c r="P56" i="125"/>
  <c r="R56" i="125" s="1"/>
  <c r="S19" i="125"/>
  <c r="S32" i="125"/>
  <c r="S15" i="125"/>
  <c r="S14" i="125"/>
  <c r="S37" i="125"/>
  <c r="S48" i="125"/>
  <c r="S22" i="125"/>
  <c r="S35" i="125"/>
  <c r="S12" i="125"/>
  <c r="S6" i="125"/>
  <c r="S20" i="125"/>
  <c r="S40" i="125"/>
  <c r="S33" i="125"/>
  <c r="S5" i="125"/>
  <c r="S38" i="125"/>
  <c r="S29" i="125"/>
  <c r="S41" i="125"/>
  <c r="S34" i="125"/>
  <c r="S8" i="125"/>
  <c r="S56" i="125"/>
  <c r="S43" i="125"/>
  <c r="S30" i="125"/>
  <c r="S16" i="125"/>
  <c r="S7" i="125"/>
  <c r="S24" i="125"/>
  <c r="S9" i="125"/>
  <c r="S17" i="125"/>
  <c r="S39" i="125"/>
  <c r="S27" i="125"/>
  <c r="S53" i="125"/>
  <c r="S70" i="124"/>
  <c r="N70" i="124"/>
  <c r="M70" i="124"/>
  <c r="L70" i="124"/>
  <c r="S69" i="124"/>
  <c r="N69" i="124"/>
  <c r="M69" i="124"/>
  <c r="L69" i="124"/>
  <c r="S67" i="124"/>
  <c r="N67" i="124"/>
  <c r="M67" i="124"/>
  <c r="L67" i="124"/>
  <c r="S66" i="124"/>
  <c r="N66" i="124"/>
  <c r="M66" i="124"/>
  <c r="L66" i="124"/>
  <c r="S65" i="124"/>
  <c r="N65" i="124"/>
  <c r="M65" i="124"/>
  <c r="L65" i="124"/>
  <c r="S64" i="124"/>
  <c r="N64" i="124"/>
  <c r="M64" i="124"/>
  <c r="L64" i="124"/>
  <c r="S63" i="124"/>
  <c r="N63" i="124"/>
  <c r="M63" i="124"/>
  <c r="L63" i="124"/>
  <c r="S62" i="124"/>
  <c r="N62" i="124"/>
  <c r="M62" i="124"/>
  <c r="L62" i="124"/>
  <c r="S61" i="124"/>
  <c r="N61" i="124"/>
  <c r="M61" i="124"/>
  <c r="L61" i="124"/>
  <c r="S60" i="124"/>
  <c r="N60" i="124"/>
  <c r="M60" i="124"/>
  <c r="L60" i="124"/>
  <c r="N68" i="124"/>
  <c r="M68" i="124"/>
  <c r="L68" i="124"/>
  <c r="S59" i="124"/>
  <c r="N59" i="124"/>
  <c r="M59" i="124"/>
  <c r="L59" i="124"/>
  <c r="S58" i="124"/>
  <c r="N58" i="124"/>
  <c r="M58" i="124"/>
  <c r="L58" i="124"/>
  <c r="S57" i="124"/>
  <c r="N57" i="124"/>
  <c r="M57" i="124"/>
  <c r="L57" i="124"/>
  <c r="S55" i="124"/>
  <c r="N55" i="124"/>
  <c r="M55" i="124"/>
  <c r="L55" i="124"/>
  <c r="S54" i="124"/>
  <c r="N54" i="124"/>
  <c r="M54" i="124"/>
  <c r="L54" i="124"/>
  <c r="N56" i="124"/>
  <c r="M56" i="124"/>
  <c r="L56" i="124"/>
  <c r="N53" i="124"/>
  <c r="M53" i="124"/>
  <c r="L53" i="124"/>
  <c r="S51" i="124"/>
  <c r="N51" i="124"/>
  <c r="M51" i="124"/>
  <c r="L51" i="124"/>
  <c r="S50" i="124"/>
  <c r="N50" i="124"/>
  <c r="M50" i="124"/>
  <c r="L50" i="124"/>
  <c r="S48" i="124"/>
  <c r="N48" i="124"/>
  <c r="M48" i="124"/>
  <c r="L48" i="124"/>
  <c r="S47" i="124"/>
  <c r="N47" i="124"/>
  <c r="M47" i="124"/>
  <c r="L47" i="124"/>
  <c r="S45" i="124"/>
  <c r="N45" i="124"/>
  <c r="M45" i="124"/>
  <c r="L45" i="124"/>
  <c r="S44" i="124"/>
  <c r="N44" i="124"/>
  <c r="M44" i="124"/>
  <c r="L44" i="124"/>
  <c r="S52" i="124"/>
  <c r="N52" i="124"/>
  <c r="M52" i="124"/>
  <c r="P52" i="124" s="1"/>
  <c r="R52" i="124" s="1"/>
  <c r="L52" i="124"/>
  <c r="N49" i="124"/>
  <c r="M49" i="124"/>
  <c r="L49" i="124"/>
  <c r="N43" i="124"/>
  <c r="M43" i="124"/>
  <c r="L43" i="124"/>
  <c r="N40" i="124"/>
  <c r="M40" i="124"/>
  <c r="L40" i="124"/>
  <c r="N38" i="124"/>
  <c r="M38" i="124"/>
  <c r="L38" i="124"/>
  <c r="S34" i="124"/>
  <c r="N34" i="124"/>
  <c r="M34" i="124"/>
  <c r="L34" i="124"/>
  <c r="N32" i="124"/>
  <c r="M32" i="124"/>
  <c r="L32" i="124"/>
  <c r="N35" i="124"/>
  <c r="M35" i="124"/>
  <c r="L35" i="124"/>
  <c r="N42" i="124"/>
  <c r="M42" i="124"/>
  <c r="L42" i="124"/>
  <c r="N36" i="124"/>
  <c r="M36" i="124"/>
  <c r="L36" i="124"/>
  <c r="N46" i="124"/>
  <c r="M46" i="124"/>
  <c r="L46" i="124"/>
  <c r="N33" i="124"/>
  <c r="M33" i="124"/>
  <c r="L33" i="124"/>
  <c r="S41" i="124"/>
  <c r="N41" i="124"/>
  <c r="M41" i="124"/>
  <c r="L41" i="124"/>
  <c r="N31" i="124"/>
  <c r="M31" i="124"/>
  <c r="L31" i="124"/>
  <c r="S29" i="124"/>
  <c r="N29" i="124"/>
  <c r="M29" i="124"/>
  <c r="L29" i="124"/>
  <c r="N39" i="124"/>
  <c r="M39" i="124"/>
  <c r="L39" i="124"/>
  <c r="N26" i="124"/>
  <c r="M26" i="124"/>
  <c r="L26" i="124"/>
  <c r="N23" i="124"/>
  <c r="M23" i="124"/>
  <c r="L23" i="124"/>
  <c r="S30" i="124"/>
  <c r="N30" i="124"/>
  <c r="M30" i="124"/>
  <c r="L30" i="124"/>
  <c r="S27" i="124"/>
  <c r="N27" i="124"/>
  <c r="M27" i="124"/>
  <c r="L27" i="124"/>
  <c r="N25" i="124"/>
  <c r="M25" i="124"/>
  <c r="L25" i="124"/>
  <c r="N24" i="124"/>
  <c r="M24" i="124"/>
  <c r="L24" i="124"/>
  <c r="N28" i="124"/>
  <c r="M28" i="124"/>
  <c r="L28" i="124"/>
  <c r="N22" i="124"/>
  <c r="M22" i="124"/>
  <c r="L22" i="124"/>
  <c r="N37" i="124"/>
  <c r="M37" i="124"/>
  <c r="L37" i="124"/>
  <c r="N20" i="124"/>
  <c r="M20" i="124"/>
  <c r="L20" i="124"/>
  <c r="S21" i="124"/>
  <c r="N21" i="124"/>
  <c r="M21" i="124"/>
  <c r="L21" i="124"/>
  <c r="N19" i="124"/>
  <c r="M19" i="124"/>
  <c r="L19" i="124"/>
  <c r="N18" i="124"/>
  <c r="M18" i="124"/>
  <c r="L18" i="124"/>
  <c r="N17" i="124"/>
  <c r="M17" i="124"/>
  <c r="L17" i="124"/>
  <c r="N10" i="124"/>
  <c r="M10" i="124"/>
  <c r="L10" i="124"/>
  <c r="N12" i="124"/>
  <c r="M12" i="124"/>
  <c r="L12" i="124"/>
  <c r="N9" i="124"/>
  <c r="M9" i="124"/>
  <c r="L9" i="124"/>
  <c r="N8" i="124"/>
  <c r="M8" i="124"/>
  <c r="L8" i="124"/>
  <c r="N7" i="124"/>
  <c r="M7" i="124"/>
  <c r="L7" i="124"/>
  <c r="N6" i="124"/>
  <c r="M6" i="124"/>
  <c r="L6" i="124"/>
  <c r="N16" i="124"/>
  <c r="M16" i="124"/>
  <c r="L16" i="124"/>
  <c r="Y9" i="124"/>
  <c r="N15" i="124"/>
  <c r="M15" i="124"/>
  <c r="L15" i="124"/>
  <c r="Y8" i="124"/>
  <c r="S8" i="124" s="1"/>
  <c r="N14" i="124"/>
  <c r="M14" i="124"/>
  <c r="L14" i="124"/>
  <c r="Y7" i="124"/>
  <c r="S13" i="124"/>
  <c r="N13" i="124"/>
  <c r="M13" i="124"/>
  <c r="L13" i="124"/>
  <c r="S11" i="124"/>
  <c r="N11" i="124"/>
  <c r="M11" i="124"/>
  <c r="L11" i="124"/>
  <c r="Y5" i="124"/>
  <c r="S43" i="124" s="1"/>
  <c r="N5" i="124"/>
  <c r="M5" i="124"/>
  <c r="L5" i="124"/>
  <c r="Y4" i="124"/>
  <c r="S17" i="124" s="1"/>
  <c r="Y3" i="124"/>
  <c r="B1" i="124"/>
  <c r="T50" i="133" l="1"/>
  <c r="T37" i="133"/>
  <c r="T53" i="133"/>
  <c r="T48" i="133"/>
  <c r="T36" i="133"/>
  <c r="T40" i="133"/>
  <c r="T43" i="133"/>
  <c r="T38" i="133"/>
  <c r="T29" i="133"/>
  <c r="T62" i="133"/>
  <c r="T47" i="133"/>
  <c r="T8" i="133"/>
  <c r="T60" i="133"/>
  <c r="T45" i="133"/>
  <c r="T28" i="133"/>
  <c r="T56" i="133"/>
  <c r="T11" i="133"/>
  <c r="T13" i="133"/>
  <c r="T26" i="133"/>
  <c r="T9" i="133"/>
  <c r="T10" i="133"/>
  <c r="T22" i="133"/>
  <c r="T31" i="133"/>
  <c r="T18" i="133"/>
  <c r="T49" i="133"/>
  <c r="T41" i="133"/>
  <c r="T23" i="133"/>
  <c r="T42" i="133"/>
  <c r="T44" i="133"/>
  <c r="T14" i="133"/>
  <c r="T6" i="133"/>
  <c r="V67" i="133" s="1"/>
  <c r="T7" i="133"/>
  <c r="T6" i="132"/>
  <c r="T20" i="132"/>
  <c r="T35" i="132"/>
  <c r="T15" i="132"/>
  <c r="T7" i="132"/>
  <c r="T39" i="132"/>
  <c r="T20" i="133"/>
  <c r="T39" i="133"/>
  <c r="T25" i="133"/>
  <c r="T61" i="133"/>
  <c r="T17" i="133"/>
  <c r="T21" i="133"/>
  <c r="T35" i="133"/>
  <c r="T57" i="133"/>
  <c r="T17" i="132"/>
  <c r="T19" i="132"/>
  <c r="T26" i="132"/>
  <c r="T16" i="132"/>
  <c r="T25" i="132"/>
  <c r="T10" i="132"/>
  <c r="T32" i="132"/>
  <c r="T38" i="132"/>
  <c r="T14" i="132"/>
  <c r="T13" i="132"/>
  <c r="T34" i="132"/>
  <c r="T22" i="132"/>
  <c r="T41" i="132"/>
  <c r="T18" i="132"/>
  <c r="T11" i="131"/>
  <c r="T21" i="131"/>
  <c r="T45" i="131"/>
  <c r="T49" i="131"/>
  <c r="T43" i="131"/>
  <c r="T9" i="131"/>
  <c r="T56" i="131"/>
  <c r="T15" i="131"/>
  <c r="T22" i="131"/>
  <c r="T13" i="131"/>
  <c r="T46" i="131"/>
  <c r="T17" i="131"/>
  <c r="T10" i="131"/>
  <c r="T24" i="131"/>
  <c r="T7" i="131"/>
  <c r="T16" i="131"/>
  <c r="T20" i="131"/>
  <c r="T25" i="131"/>
  <c r="T32" i="131"/>
  <c r="T38" i="131"/>
  <c r="T29" i="131"/>
  <c r="T39" i="131"/>
  <c r="T41" i="131"/>
  <c r="T26" i="131"/>
  <c r="T28" i="130"/>
  <c r="T15" i="130"/>
  <c r="T23" i="130"/>
  <c r="T8" i="130"/>
  <c r="T55" i="130"/>
  <c r="T48" i="130"/>
  <c r="T47" i="130"/>
  <c r="T25" i="130"/>
  <c r="T23" i="129"/>
  <c r="T46" i="129"/>
  <c r="T9" i="129"/>
  <c r="T34" i="129"/>
  <c r="T53" i="129"/>
  <c r="T28" i="129"/>
  <c r="T21" i="129"/>
  <c r="T22" i="129"/>
  <c r="T30" i="129"/>
  <c r="T35" i="129"/>
  <c r="T17" i="129"/>
  <c r="T40" i="129"/>
  <c r="T14" i="129"/>
  <c r="T10" i="129"/>
  <c r="T11" i="129"/>
  <c r="T16" i="129"/>
  <c r="T8" i="129"/>
  <c r="T54" i="129"/>
  <c r="T38" i="129"/>
  <c r="T29" i="129"/>
  <c r="T7" i="129"/>
  <c r="T33" i="129"/>
  <c r="T18" i="129"/>
  <c r="T27" i="129"/>
  <c r="T6" i="129"/>
  <c r="T25" i="129"/>
  <c r="T13" i="128"/>
  <c r="T33" i="128"/>
  <c r="T28" i="128"/>
  <c r="T21" i="128"/>
  <c r="T11" i="128"/>
  <c r="T42" i="128"/>
  <c r="T7" i="128"/>
  <c r="T6" i="128"/>
  <c r="T16" i="128"/>
  <c r="T17" i="128"/>
  <c r="T23" i="128"/>
  <c r="T44" i="128"/>
  <c r="T56" i="128"/>
  <c r="T43" i="128"/>
  <c r="T24" i="128"/>
  <c r="T50" i="128"/>
  <c r="T9" i="128"/>
  <c r="T5" i="128"/>
  <c r="T46" i="128"/>
  <c r="T34" i="128"/>
  <c r="T41" i="128"/>
  <c r="T10" i="128"/>
  <c r="T27" i="128"/>
  <c r="T11" i="127"/>
  <c r="T24" i="127"/>
  <c r="T10" i="127"/>
  <c r="T53" i="127"/>
  <c r="T8" i="127"/>
  <c r="T42" i="127"/>
  <c r="T55" i="126"/>
  <c r="T15" i="126"/>
  <c r="T52" i="126"/>
  <c r="T16" i="126"/>
  <c r="T6" i="126"/>
  <c r="T43" i="126"/>
  <c r="T20" i="126"/>
  <c r="T12" i="126"/>
  <c r="T36" i="126"/>
  <c r="T37" i="126"/>
  <c r="T22" i="126"/>
  <c r="T45" i="126"/>
  <c r="T27" i="126"/>
  <c r="T42" i="126"/>
  <c r="T28" i="126"/>
  <c r="T41" i="126"/>
  <c r="T32" i="126"/>
  <c r="T14" i="126"/>
  <c r="T17" i="126"/>
  <c r="T26" i="126"/>
  <c r="T19" i="126"/>
  <c r="T24" i="126"/>
  <c r="T33" i="126"/>
  <c r="T21" i="126"/>
  <c r="T35" i="126"/>
  <c r="T8" i="126"/>
  <c r="T11" i="126"/>
  <c r="T7" i="126"/>
  <c r="T18" i="126"/>
  <c r="T56" i="126"/>
  <c r="T30" i="126"/>
  <c r="T38" i="126"/>
  <c r="T23" i="126"/>
  <c r="T40" i="125"/>
  <c r="T15" i="125"/>
  <c r="T22" i="125"/>
  <c r="T43" i="125"/>
  <c r="T14" i="125"/>
  <c r="T41" i="125"/>
  <c r="T27" i="125"/>
  <c r="T38" i="125"/>
  <c r="T39" i="125"/>
  <c r="T37" i="125"/>
  <c r="T24" i="125"/>
  <c r="T35" i="125"/>
  <c r="T6" i="125"/>
  <c r="T48" i="125"/>
  <c r="T7" i="125"/>
  <c r="T20" i="125"/>
  <c r="T12" i="125"/>
  <c r="T19" i="125"/>
  <c r="T16" i="125"/>
  <c r="T34" i="125"/>
  <c r="T32" i="125"/>
  <c r="T53" i="125"/>
  <c r="T56" i="125"/>
  <c r="T29" i="125"/>
  <c r="T17" i="125"/>
  <c r="T9" i="125"/>
  <c r="T5" i="125"/>
  <c r="T8" i="125"/>
  <c r="T30" i="125"/>
  <c r="T33" i="125"/>
  <c r="S36" i="124"/>
  <c r="S16" i="124"/>
  <c r="S35" i="124"/>
  <c r="S37" i="124"/>
  <c r="S32" i="124"/>
  <c r="S23" i="124"/>
  <c r="S53" i="124"/>
  <c r="P62" i="124"/>
  <c r="R62" i="124" s="1"/>
  <c r="P22" i="124"/>
  <c r="R22" i="124" s="1"/>
  <c r="P67" i="124"/>
  <c r="R67" i="124" s="1"/>
  <c r="T67" i="124" s="1"/>
  <c r="P6" i="124"/>
  <c r="R6" i="124" s="1"/>
  <c r="P37" i="124"/>
  <c r="R37" i="124" s="1"/>
  <c r="T37" i="124" s="1"/>
  <c r="P56" i="124"/>
  <c r="R56" i="124" s="1"/>
  <c r="P19" i="124"/>
  <c r="R19" i="124" s="1"/>
  <c r="P18" i="124"/>
  <c r="R18" i="124" s="1"/>
  <c r="P14" i="124"/>
  <c r="R14" i="124" s="1"/>
  <c r="P25" i="124"/>
  <c r="R25" i="124" s="1"/>
  <c r="P44" i="124"/>
  <c r="R44" i="124" s="1"/>
  <c r="T44" i="124" s="1"/>
  <c r="P64" i="124"/>
  <c r="R64" i="124" s="1"/>
  <c r="T64" i="124" s="1"/>
  <c r="P5" i="124"/>
  <c r="R5" i="124" s="1"/>
  <c r="P53" i="124"/>
  <c r="R53" i="124" s="1"/>
  <c r="T53" i="124" s="1"/>
  <c r="P26" i="124"/>
  <c r="R26" i="124" s="1"/>
  <c r="P65" i="124"/>
  <c r="R65" i="124" s="1"/>
  <c r="T65" i="124" s="1"/>
  <c r="P41" i="124"/>
  <c r="R41" i="124" s="1"/>
  <c r="T41" i="124" s="1"/>
  <c r="P50" i="124"/>
  <c r="R50" i="124" s="1"/>
  <c r="T50" i="124" s="1"/>
  <c r="P33" i="124"/>
  <c r="R33" i="124" s="1"/>
  <c r="P28" i="124"/>
  <c r="R28" i="124" s="1"/>
  <c r="P13" i="124"/>
  <c r="R13" i="124" s="1"/>
  <c r="T13" i="124" s="1"/>
  <c r="P16" i="124"/>
  <c r="R16" i="124" s="1"/>
  <c r="T16" i="124" s="1"/>
  <c r="P38" i="124"/>
  <c r="R38" i="124" s="1"/>
  <c r="P58" i="124"/>
  <c r="R58" i="124" s="1"/>
  <c r="T58" i="124" s="1"/>
  <c r="T62" i="124"/>
  <c r="T52" i="124"/>
  <c r="P7" i="124"/>
  <c r="R7" i="124" s="1"/>
  <c r="P46" i="124"/>
  <c r="R46" i="124" s="1"/>
  <c r="P47" i="124"/>
  <c r="R47" i="124" s="1"/>
  <c r="T47" i="124" s="1"/>
  <c r="P54" i="124"/>
  <c r="R54" i="124" s="1"/>
  <c r="T54" i="124" s="1"/>
  <c r="P60" i="124"/>
  <c r="R60" i="124" s="1"/>
  <c r="T60" i="124" s="1"/>
  <c r="P40" i="124"/>
  <c r="R40" i="124" s="1"/>
  <c r="P66" i="124"/>
  <c r="R66" i="124" s="1"/>
  <c r="T66" i="124" s="1"/>
  <c r="P21" i="124"/>
  <c r="R21" i="124" s="1"/>
  <c r="T21" i="124" s="1"/>
  <c r="P70" i="124"/>
  <c r="R70" i="124" s="1"/>
  <c r="T70" i="124" s="1"/>
  <c r="P8" i="124"/>
  <c r="R8" i="124" s="1"/>
  <c r="T8" i="124" s="1"/>
  <c r="P36" i="124"/>
  <c r="R36" i="124" s="1"/>
  <c r="T36" i="124" s="1"/>
  <c r="P17" i="124"/>
  <c r="R17" i="124" s="1"/>
  <c r="T17" i="124" s="1"/>
  <c r="P43" i="124"/>
  <c r="R43" i="124" s="1"/>
  <c r="T43" i="124" s="1"/>
  <c r="P48" i="124"/>
  <c r="R48" i="124" s="1"/>
  <c r="T48" i="124" s="1"/>
  <c r="P55" i="124"/>
  <c r="R55" i="124" s="1"/>
  <c r="T55" i="124" s="1"/>
  <c r="P59" i="124"/>
  <c r="R59" i="124" s="1"/>
  <c r="T59" i="124" s="1"/>
  <c r="P61" i="124"/>
  <c r="R61" i="124" s="1"/>
  <c r="T61" i="124" s="1"/>
  <c r="P24" i="124"/>
  <c r="R24" i="124" s="1"/>
  <c r="P45" i="124"/>
  <c r="R45" i="124" s="1"/>
  <c r="T45" i="124" s="1"/>
  <c r="P11" i="124"/>
  <c r="R11" i="124" s="1"/>
  <c r="T11" i="124" s="1"/>
  <c r="P23" i="124"/>
  <c r="R23" i="124" s="1"/>
  <c r="T23" i="124" s="1"/>
  <c r="P15" i="124"/>
  <c r="R15" i="124" s="1"/>
  <c r="P10" i="124"/>
  <c r="R10" i="124" s="1"/>
  <c r="P51" i="124"/>
  <c r="R51" i="124" s="1"/>
  <c r="T51" i="124" s="1"/>
  <c r="P63" i="124"/>
  <c r="R63" i="124" s="1"/>
  <c r="T63" i="124" s="1"/>
  <c r="P31" i="124"/>
  <c r="R31" i="124" s="1"/>
  <c r="P32" i="124"/>
  <c r="R32" i="124" s="1"/>
  <c r="T32" i="124" s="1"/>
  <c r="P27" i="124"/>
  <c r="R27" i="124" s="1"/>
  <c r="T27" i="124" s="1"/>
  <c r="P9" i="124"/>
  <c r="R9" i="124" s="1"/>
  <c r="P20" i="124"/>
  <c r="R20" i="124" s="1"/>
  <c r="P30" i="124"/>
  <c r="R30" i="124" s="1"/>
  <c r="T30" i="124" s="1"/>
  <c r="P39" i="124"/>
  <c r="R39" i="124" s="1"/>
  <c r="P42" i="124"/>
  <c r="R42" i="124" s="1"/>
  <c r="P34" i="124"/>
  <c r="R34" i="124" s="1"/>
  <c r="T34" i="124" s="1"/>
  <c r="P49" i="124"/>
  <c r="R49" i="124" s="1"/>
  <c r="P12" i="124"/>
  <c r="R12" i="124" s="1"/>
  <c r="P29" i="124"/>
  <c r="R29" i="124" s="1"/>
  <c r="T29" i="124" s="1"/>
  <c r="P35" i="124"/>
  <c r="R35" i="124" s="1"/>
  <c r="T35" i="124" s="1"/>
  <c r="P68" i="124"/>
  <c r="R68" i="124" s="1"/>
  <c r="P69" i="124"/>
  <c r="R69" i="124" s="1"/>
  <c r="T69" i="124" s="1"/>
  <c r="P57" i="124"/>
  <c r="R57" i="124" s="1"/>
  <c r="T57" i="124" s="1"/>
  <c r="S46" i="124"/>
  <c r="S68" i="124"/>
  <c r="S19" i="124"/>
  <c r="S39" i="124"/>
  <c r="S40" i="124"/>
  <c r="S12" i="124"/>
  <c r="S7" i="124"/>
  <c r="S28" i="124"/>
  <c r="S15" i="124"/>
  <c r="S9" i="124"/>
  <c r="S25" i="124"/>
  <c r="S42" i="124"/>
  <c r="S20" i="124"/>
  <c r="S31" i="124"/>
  <c r="S49" i="124"/>
  <c r="S10" i="124"/>
  <c r="S6" i="124"/>
  <c r="S22" i="124"/>
  <c r="S33" i="124"/>
  <c r="S18" i="124"/>
  <c r="S26" i="124"/>
  <c r="S38" i="124"/>
  <c r="S56" i="124"/>
  <c r="S14" i="124"/>
  <c r="S5" i="124"/>
  <c r="S24" i="124"/>
  <c r="S70" i="123"/>
  <c r="N70" i="123"/>
  <c r="M70" i="123"/>
  <c r="L70" i="123"/>
  <c r="S69" i="123"/>
  <c r="N69" i="123"/>
  <c r="M69" i="123"/>
  <c r="L69" i="123"/>
  <c r="S68" i="123"/>
  <c r="N68" i="123"/>
  <c r="M68" i="123"/>
  <c r="L68" i="123"/>
  <c r="S67" i="123"/>
  <c r="N67" i="123"/>
  <c r="M67" i="123"/>
  <c r="L67" i="123"/>
  <c r="S66" i="123"/>
  <c r="N66" i="123"/>
  <c r="M66" i="123"/>
  <c r="L66" i="123"/>
  <c r="S65" i="123"/>
  <c r="N65" i="123"/>
  <c r="M65" i="123"/>
  <c r="L65" i="123"/>
  <c r="S64" i="123"/>
  <c r="N64" i="123"/>
  <c r="M64" i="123"/>
  <c r="L64" i="123"/>
  <c r="S60" i="123"/>
  <c r="N60" i="123"/>
  <c r="M60" i="123"/>
  <c r="L60" i="123"/>
  <c r="S63" i="123"/>
  <c r="N63" i="123"/>
  <c r="M63" i="123"/>
  <c r="L63" i="123"/>
  <c r="S62" i="123"/>
  <c r="N62" i="123"/>
  <c r="M62" i="123"/>
  <c r="L62" i="123"/>
  <c r="S61" i="123"/>
  <c r="N61" i="123"/>
  <c r="M61" i="123"/>
  <c r="L61" i="123"/>
  <c r="S59" i="123"/>
  <c r="N59" i="123"/>
  <c r="M59" i="123"/>
  <c r="L59" i="123"/>
  <c r="S58" i="123"/>
  <c r="N58" i="123"/>
  <c r="M58" i="123"/>
  <c r="L58" i="123"/>
  <c r="S57" i="123"/>
  <c r="N57" i="123"/>
  <c r="M57" i="123"/>
  <c r="L57" i="123"/>
  <c r="S53" i="123"/>
  <c r="N53" i="123"/>
  <c r="M53" i="123"/>
  <c r="L53" i="123"/>
  <c r="S54" i="123"/>
  <c r="N54" i="123"/>
  <c r="M54" i="123"/>
  <c r="L54" i="123"/>
  <c r="S56" i="123"/>
  <c r="N56" i="123"/>
  <c r="M56" i="123"/>
  <c r="L56" i="123"/>
  <c r="S55" i="123"/>
  <c r="N55" i="123"/>
  <c r="M55" i="123"/>
  <c r="L55" i="123"/>
  <c r="S52" i="123"/>
  <c r="N52" i="123"/>
  <c r="M52" i="123"/>
  <c r="L52" i="123"/>
  <c r="S51" i="123"/>
  <c r="N51" i="123"/>
  <c r="M51" i="123"/>
  <c r="L51" i="123"/>
  <c r="S46" i="123"/>
  <c r="N46" i="123"/>
  <c r="M46" i="123"/>
  <c r="L46" i="123"/>
  <c r="S50" i="123"/>
  <c r="N50" i="123"/>
  <c r="M50" i="123"/>
  <c r="L50" i="123"/>
  <c r="S49" i="123"/>
  <c r="N49" i="123"/>
  <c r="M49" i="123"/>
  <c r="L49" i="123"/>
  <c r="S47" i="123"/>
  <c r="N47" i="123"/>
  <c r="M47" i="123"/>
  <c r="L47" i="123"/>
  <c r="N38" i="123"/>
  <c r="M38" i="123"/>
  <c r="L38" i="123"/>
  <c r="S26" i="123"/>
  <c r="N26" i="123"/>
  <c r="M26" i="123"/>
  <c r="L26" i="123"/>
  <c r="N43" i="123"/>
  <c r="M43" i="123"/>
  <c r="L43" i="123"/>
  <c r="N44" i="123"/>
  <c r="M44" i="123"/>
  <c r="L44" i="123"/>
  <c r="N45" i="123"/>
  <c r="M45" i="123"/>
  <c r="L45" i="123"/>
  <c r="N35" i="123"/>
  <c r="M35" i="123"/>
  <c r="L35" i="123"/>
  <c r="S41" i="123"/>
  <c r="N41" i="123"/>
  <c r="M41" i="123"/>
  <c r="L41" i="123"/>
  <c r="N18" i="123"/>
  <c r="M18" i="123"/>
  <c r="L18" i="123"/>
  <c r="N36" i="123"/>
  <c r="M36" i="123"/>
  <c r="L36" i="123"/>
  <c r="N16" i="123"/>
  <c r="M16" i="123"/>
  <c r="L16" i="123"/>
  <c r="S15" i="123"/>
  <c r="N15" i="123"/>
  <c r="M15" i="123"/>
  <c r="L15" i="123"/>
  <c r="N24" i="123"/>
  <c r="M24" i="123"/>
  <c r="L24" i="123"/>
  <c r="N20" i="123"/>
  <c r="M20" i="123"/>
  <c r="L20" i="123"/>
  <c r="S14" i="123"/>
  <c r="N14" i="123"/>
  <c r="M14" i="123"/>
  <c r="L14" i="123"/>
  <c r="S23" i="123"/>
  <c r="N23" i="123"/>
  <c r="M23" i="123"/>
  <c r="L23" i="123"/>
  <c r="S13" i="123"/>
  <c r="N13" i="123"/>
  <c r="M13" i="123"/>
  <c r="L13" i="123"/>
  <c r="N12" i="123"/>
  <c r="M12" i="123"/>
  <c r="L12" i="123"/>
  <c r="N11" i="123"/>
  <c r="M11" i="123"/>
  <c r="L11" i="123"/>
  <c r="N10" i="123"/>
  <c r="M10" i="123"/>
  <c r="L10" i="123"/>
  <c r="N9" i="123"/>
  <c r="M9" i="123"/>
  <c r="L9" i="123"/>
  <c r="N8" i="123"/>
  <c r="M8" i="123"/>
  <c r="L8" i="123"/>
  <c r="N7" i="123"/>
  <c r="M7" i="123"/>
  <c r="L7" i="123"/>
  <c r="S17" i="123"/>
  <c r="N17" i="123"/>
  <c r="M17" i="123"/>
  <c r="L17" i="123"/>
  <c r="N21" i="123"/>
  <c r="M21" i="123"/>
  <c r="L21" i="123"/>
  <c r="N22" i="123"/>
  <c r="M22" i="123"/>
  <c r="L22" i="123"/>
  <c r="S6" i="123"/>
  <c r="N6" i="123"/>
  <c r="M6" i="123"/>
  <c r="L6" i="123"/>
  <c r="S19" i="123"/>
  <c r="N19" i="123"/>
  <c r="M19" i="123"/>
  <c r="L19" i="123"/>
  <c r="N39" i="123"/>
  <c r="M39" i="123"/>
  <c r="L39" i="123"/>
  <c r="N31" i="123"/>
  <c r="M31" i="123"/>
  <c r="L31" i="123"/>
  <c r="N32" i="123"/>
  <c r="M32" i="123"/>
  <c r="L32" i="123"/>
  <c r="N30" i="123"/>
  <c r="M30" i="123"/>
  <c r="L30" i="123"/>
  <c r="N48" i="123"/>
  <c r="M48" i="123"/>
  <c r="L48" i="123"/>
  <c r="N34" i="123"/>
  <c r="M34" i="123"/>
  <c r="L34" i="123"/>
  <c r="N40" i="123"/>
  <c r="M40" i="123"/>
  <c r="L40" i="123"/>
  <c r="S42" i="123"/>
  <c r="N42" i="123"/>
  <c r="M42" i="123"/>
  <c r="L42" i="123"/>
  <c r="N29" i="123"/>
  <c r="M29" i="123"/>
  <c r="L29" i="123"/>
  <c r="N37" i="123"/>
  <c r="M37" i="123"/>
  <c r="L37" i="123"/>
  <c r="Y9" i="123"/>
  <c r="N28" i="123"/>
  <c r="M28" i="123"/>
  <c r="L28" i="123"/>
  <c r="Y8" i="123"/>
  <c r="N27" i="123"/>
  <c r="M27" i="123"/>
  <c r="L27" i="123"/>
  <c r="Y7" i="123"/>
  <c r="S43" i="123" s="1"/>
  <c r="N33" i="123"/>
  <c r="M33" i="123"/>
  <c r="L33" i="123"/>
  <c r="N25" i="123"/>
  <c r="M25" i="123"/>
  <c r="L25" i="123"/>
  <c r="Y5" i="123"/>
  <c r="N5" i="123"/>
  <c r="M5" i="123"/>
  <c r="L5" i="123"/>
  <c r="Y4" i="123"/>
  <c r="S32" i="123" s="1"/>
  <c r="Y3" i="123"/>
  <c r="S37" i="123" s="1"/>
  <c r="B1" i="123"/>
  <c r="V54" i="133" l="1"/>
  <c r="V70" i="133"/>
  <c r="V69" i="133"/>
  <c r="V66" i="133"/>
  <c r="V64" i="133"/>
  <c r="V58" i="133"/>
  <c r="V65" i="133"/>
  <c r="T5" i="124"/>
  <c r="T6" i="124"/>
  <c r="T22" i="124"/>
  <c r="T33" i="124"/>
  <c r="T19" i="124"/>
  <c r="T28" i="124"/>
  <c r="T56" i="124"/>
  <c r="T46" i="124"/>
  <c r="T14" i="124"/>
  <c r="T38" i="124"/>
  <c r="T7" i="124"/>
  <c r="T26" i="124"/>
  <c r="T10" i="124"/>
  <c r="T25" i="124"/>
  <c r="T18" i="124"/>
  <c r="T24" i="124"/>
  <c r="T15" i="124"/>
  <c r="T20" i="124"/>
  <c r="T40" i="124"/>
  <c r="T39" i="124"/>
  <c r="T49" i="124"/>
  <c r="T31" i="124"/>
  <c r="T68" i="124"/>
  <c r="T42" i="124"/>
  <c r="T9" i="124"/>
  <c r="T12" i="124"/>
  <c r="S44" i="123"/>
  <c r="S35" i="123"/>
  <c r="P70" i="123"/>
  <c r="R70" i="123" s="1"/>
  <c r="T70" i="123" s="1"/>
  <c r="P43" i="123"/>
  <c r="R43" i="123" s="1"/>
  <c r="T43" i="123" s="1"/>
  <c r="P59" i="123"/>
  <c r="R59" i="123" s="1"/>
  <c r="T59" i="123" s="1"/>
  <c r="P63" i="123"/>
  <c r="R63" i="123" s="1"/>
  <c r="P68" i="123"/>
  <c r="R68" i="123" s="1"/>
  <c r="T68" i="123" s="1"/>
  <c r="P51" i="123"/>
  <c r="R51" i="123" s="1"/>
  <c r="T51" i="123" s="1"/>
  <c r="P56" i="123"/>
  <c r="R56" i="123" s="1"/>
  <c r="T56" i="123" s="1"/>
  <c r="P40" i="123"/>
  <c r="R40" i="123" s="1"/>
  <c r="P24" i="123"/>
  <c r="R24" i="123" s="1"/>
  <c r="P46" i="123"/>
  <c r="R46" i="123" s="1"/>
  <c r="T46" i="123" s="1"/>
  <c r="P33" i="123"/>
  <c r="R33" i="123" s="1"/>
  <c r="P27" i="123"/>
  <c r="R27" i="123" s="1"/>
  <c r="P53" i="123"/>
  <c r="R53" i="123" s="1"/>
  <c r="T53" i="123" s="1"/>
  <c r="P28" i="123"/>
  <c r="R28" i="123" s="1"/>
  <c r="P8" i="123"/>
  <c r="R8" i="123" s="1"/>
  <c r="P18" i="123"/>
  <c r="R18" i="123" s="1"/>
  <c r="P38" i="123"/>
  <c r="R38" i="123" s="1"/>
  <c r="P52" i="123"/>
  <c r="R52" i="123" s="1"/>
  <c r="T52" i="123" s="1"/>
  <c r="P58" i="123"/>
  <c r="R58" i="123" s="1"/>
  <c r="T58" i="123" s="1"/>
  <c r="P22" i="123"/>
  <c r="R22" i="123" s="1"/>
  <c r="P47" i="123"/>
  <c r="R47" i="123" s="1"/>
  <c r="T47" i="123" s="1"/>
  <c r="P9" i="123"/>
  <c r="R9" i="123" s="1"/>
  <c r="P13" i="123"/>
  <c r="R13" i="123" s="1"/>
  <c r="T13" i="123" s="1"/>
  <c r="P20" i="123"/>
  <c r="R20" i="123" s="1"/>
  <c r="P36" i="123"/>
  <c r="R36" i="123" s="1"/>
  <c r="P66" i="123"/>
  <c r="R66" i="123" s="1"/>
  <c r="T66" i="123" s="1"/>
  <c r="P69" i="123"/>
  <c r="R69" i="123" s="1"/>
  <c r="T69" i="123" s="1"/>
  <c r="P55" i="123"/>
  <c r="R55" i="123" s="1"/>
  <c r="T55" i="123" s="1"/>
  <c r="P42" i="123"/>
  <c r="R42" i="123" s="1"/>
  <c r="T42" i="123" s="1"/>
  <c r="P16" i="123"/>
  <c r="R16" i="123" s="1"/>
  <c r="P17" i="123"/>
  <c r="R17" i="123" s="1"/>
  <c r="T17" i="123" s="1"/>
  <c r="P45" i="123"/>
  <c r="R45" i="123" s="1"/>
  <c r="P26" i="123"/>
  <c r="R26" i="123" s="1"/>
  <c r="T26" i="123" s="1"/>
  <c r="P23" i="123"/>
  <c r="R23" i="123" s="1"/>
  <c r="T23" i="123" s="1"/>
  <c r="P37" i="123"/>
  <c r="R37" i="123" s="1"/>
  <c r="T37" i="123" s="1"/>
  <c r="P54" i="123"/>
  <c r="R54" i="123" s="1"/>
  <c r="T54" i="123" s="1"/>
  <c r="P34" i="123"/>
  <c r="R34" i="123" s="1"/>
  <c r="P31" i="123"/>
  <c r="R31" i="123" s="1"/>
  <c r="T63" i="123"/>
  <c r="P65" i="123"/>
  <c r="R65" i="123" s="1"/>
  <c r="T65" i="123" s="1"/>
  <c r="P35" i="123"/>
  <c r="R35" i="123" s="1"/>
  <c r="P32" i="123"/>
  <c r="R32" i="123" s="1"/>
  <c r="T32" i="123" s="1"/>
  <c r="P6" i="123"/>
  <c r="R6" i="123" s="1"/>
  <c r="T6" i="123" s="1"/>
  <c r="P10" i="123"/>
  <c r="R10" i="123" s="1"/>
  <c r="P49" i="123"/>
  <c r="R49" i="123" s="1"/>
  <c r="T49" i="123" s="1"/>
  <c r="P29" i="123"/>
  <c r="R29" i="123" s="1"/>
  <c r="P7" i="123"/>
  <c r="R7" i="123" s="1"/>
  <c r="P57" i="123"/>
  <c r="R57" i="123" s="1"/>
  <c r="T57" i="123" s="1"/>
  <c r="P61" i="123"/>
  <c r="R61" i="123" s="1"/>
  <c r="T61" i="123" s="1"/>
  <c r="P60" i="123"/>
  <c r="R60" i="123" s="1"/>
  <c r="T60" i="123" s="1"/>
  <c r="P48" i="123"/>
  <c r="R48" i="123" s="1"/>
  <c r="P39" i="123"/>
  <c r="R39" i="123" s="1"/>
  <c r="P11" i="123"/>
  <c r="R11" i="123" s="1"/>
  <c r="P15" i="123"/>
  <c r="R15" i="123" s="1"/>
  <c r="T15" i="123" s="1"/>
  <c r="P44" i="123"/>
  <c r="R44" i="123" s="1"/>
  <c r="T44" i="123" s="1"/>
  <c r="P50" i="123"/>
  <c r="R50" i="123" s="1"/>
  <c r="T50" i="123" s="1"/>
  <c r="P25" i="123"/>
  <c r="R25" i="123" s="1"/>
  <c r="P12" i="123"/>
  <c r="R12" i="123" s="1"/>
  <c r="P14" i="123"/>
  <c r="R14" i="123" s="1"/>
  <c r="T14" i="123" s="1"/>
  <c r="P41" i="123"/>
  <c r="R41" i="123" s="1"/>
  <c r="T41" i="123" s="1"/>
  <c r="P62" i="123"/>
  <c r="R62" i="123" s="1"/>
  <c r="T62" i="123" s="1"/>
  <c r="P64" i="123"/>
  <c r="R64" i="123" s="1"/>
  <c r="T64" i="123" s="1"/>
  <c r="P67" i="123"/>
  <c r="R67" i="123" s="1"/>
  <c r="T67" i="123" s="1"/>
  <c r="P30" i="123"/>
  <c r="R30" i="123" s="1"/>
  <c r="P19" i="123"/>
  <c r="R19" i="123" s="1"/>
  <c r="T19" i="123" s="1"/>
  <c r="P21" i="123"/>
  <c r="R21" i="123" s="1"/>
  <c r="P5" i="123"/>
  <c r="R5" i="123" s="1"/>
  <c r="S28" i="123"/>
  <c r="T28" i="123" s="1"/>
  <c r="S34" i="123"/>
  <c r="S8" i="123"/>
  <c r="S36" i="123"/>
  <c r="S39" i="123"/>
  <c r="S10" i="123"/>
  <c r="S21" i="123"/>
  <c r="S27" i="123"/>
  <c r="S12" i="123"/>
  <c r="S25" i="123"/>
  <c r="S30" i="123"/>
  <c r="S29" i="123"/>
  <c r="S24" i="123"/>
  <c r="S31" i="123"/>
  <c r="S45" i="123"/>
  <c r="S5" i="123"/>
  <c r="S40" i="123"/>
  <c r="S7" i="123"/>
  <c r="S16" i="123"/>
  <c r="S48" i="123"/>
  <c r="S9" i="123"/>
  <c r="S18" i="123"/>
  <c r="S33" i="123"/>
  <c r="S22" i="123"/>
  <c r="S20" i="123"/>
  <c r="S38" i="123"/>
  <c r="S11" i="123"/>
  <c r="S70" i="122"/>
  <c r="N70" i="122"/>
  <c r="M70" i="122"/>
  <c r="L70" i="122"/>
  <c r="S69" i="122"/>
  <c r="N69" i="122"/>
  <c r="M69" i="122"/>
  <c r="L69" i="122"/>
  <c r="S68" i="122"/>
  <c r="N68" i="122"/>
  <c r="M68" i="122"/>
  <c r="L68" i="122"/>
  <c r="S67" i="122"/>
  <c r="N67" i="122"/>
  <c r="M67" i="122"/>
  <c r="L67" i="122"/>
  <c r="S66" i="122"/>
  <c r="N66" i="122"/>
  <c r="M66" i="122"/>
  <c r="L66" i="122"/>
  <c r="S65" i="122"/>
  <c r="N65" i="122"/>
  <c r="M65" i="122"/>
  <c r="L65" i="122"/>
  <c r="S64" i="122"/>
  <c r="N64" i="122"/>
  <c r="M64" i="122"/>
  <c r="L64" i="122"/>
  <c r="S63" i="122"/>
  <c r="N63" i="122"/>
  <c r="M63" i="122"/>
  <c r="L63" i="122"/>
  <c r="S62" i="122"/>
  <c r="N62" i="122"/>
  <c r="M62" i="122"/>
  <c r="L62" i="122"/>
  <c r="S61" i="122"/>
  <c r="N61" i="122"/>
  <c r="M61" i="122"/>
  <c r="L61" i="122"/>
  <c r="S60" i="122"/>
  <c r="N60" i="122"/>
  <c r="M60" i="122"/>
  <c r="L60" i="122"/>
  <c r="S59" i="122"/>
  <c r="N59" i="122"/>
  <c r="M59" i="122"/>
  <c r="L59" i="122"/>
  <c r="S58" i="122"/>
  <c r="N58" i="122"/>
  <c r="M58" i="122"/>
  <c r="L58" i="122"/>
  <c r="S57" i="122"/>
  <c r="N57" i="122"/>
  <c r="M57" i="122"/>
  <c r="L57" i="122"/>
  <c r="N56" i="122"/>
  <c r="M56" i="122"/>
  <c r="L56" i="122"/>
  <c r="N55" i="122"/>
  <c r="M55" i="122"/>
  <c r="L55" i="122"/>
  <c r="S54" i="122"/>
  <c r="N54" i="122"/>
  <c r="M54" i="122"/>
  <c r="L54" i="122"/>
  <c r="S53" i="122"/>
  <c r="N53" i="122"/>
  <c r="M53" i="122"/>
  <c r="L53" i="122"/>
  <c r="S52" i="122"/>
  <c r="N52" i="122"/>
  <c r="M52" i="122"/>
  <c r="L52" i="122"/>
  <c r="S51" i="122"/>
  <c r="N51" i="122"/>
  <c r="M51" i="122"/>
  <c r="L51" i="122"/>
  <c r="S50" i="122"/>
  <c r="N50" i="122"/>
  <c r="M50" i="122"/>
  <c r="L50" i="122"/>
  <c r="S49" i="122"/>
  <c r="N49" i="122"/>
  <c r="M49" i="122"/>
  <c r="L49" i="122"/>
  <c r="S48" i="122"/>
  <c r="N48" i="122"/>
  <c r="M48" i="122"/>
  <c r="L48" i="122"/>
  <c r="N46" i="122"/>
  <c r="M46" i="122"/>
  <c r="L46" i="122"/>
  <c r="S47" i="122"/>
  <c r="N47" i="122"/>
  <c r="M47" i="122"/>
  <c r="L47" i="122"/>
  <c r="N39" i="122"/>
  <c r="M39" i="122"/>
  <c r="L39" i="122"/>
  <c r="N44" i="122"/>
  <c r="M44" i="122"/>
  <c r="L44" i="122"/>
  <c r="N42" i="122"/>
  <c r="M42" i="122"/>
  <c r="L42" i="122"/>
  <c r="N45" i="122"/>
  <c r="M45" i="122"/>
  <c r="L45" i="122"/>
  <c r="N43" i="122"/>
  <c r="M43" i="122"/>
  <c r="L43" i="122"/>
  <c r="P43" i="122" s="1"/>
  <c r="R43" i="122" s="1"/>
  <c r="N34" i="122"/>
  <c r="M34" i="122"/>
  <c r="L34" i="122"/>
  <c r="N32" i="122"/>
  <c r="M32" i="122"/>
  <c r="L32" i="122"/>
  <c r="N41" i="122"/>
  <c r="M41" i="122"/>
  <c r="L41" i="122"/>
  <c r="S40" i="122"/>
  <c r="N40" i="122"/>
  <c r="M40" i="122"/>
  <c r="L40" i="122"/>
  <c r="N24" i="122"/>
  <c r="M24" i="122"/>
  <c r="L24" i="122"/>
  <c r="N30" i="122"/>
  <c r="M30" i="122"/>
  <c r="L30" i="122"/>
  <c r="N38" i="122"/>
  <c r="M38" i="122"/>
  <c r="L38" i="122"/>
  <c r="N28" i="122"/>
  <c r="M28" i="122"/>
  <c r="L28" i="122"/>
  <c r="N27" i="122"/>
  <c r="M27" i="122"/>
  <c r="L27" i="122"/>
  <c r="N26" i="122"/>
  <c r="M26" i="122"/>
  <c r="L26" i="122"/>
  <c r="N25" i="122"/>
  <c r="M25" i="122"/>
  <c r="L25" i="122"/>
  <c r="N16" i="122"/>
  <c r="M16" i="122"/>
  <c r="L16" i="122"/>
  <c r="N35" i="122"/>
  <c r="M35" i="122"/>
  <c r="L35" i="122"/>
  <c r="N13" i="122"/>
  <c r="M13" i="122"/>
  <c r="L13" i="122"/>
  <c r="N22" i="122"/>
  <c r="M22" i="122"/>
  <c r="L22" i="122"/>
  <c r="N10" i="122"/>
  <c r="M10" i="122"/>
  <c r="L10" i="122"/>
  <c r="N14" i="122"/>
  <c r="M14" i="122"/>
  <c r="L14" i="122"/>
  <c r="N9" i="122"/>
  <c r="M9" i="122"/>
  <c r="L9" i="122"/>
  <c r="N15" i="122"/>
  <c r="M15" i="122"/>
  <c r="L15" i="122"/>
  <c r="N11" i="122"/>
  <c r="M11" i="122"/>
  <c r="L11" i="122"/>
  <c r="N7" i="122"/>
  <c r="M7" i="122"/>
  <c r="L7" i="122"/>
  <c r="N12" i="122"/>
  <c r="M12" i="122"/>
  <c r="L12" i="122"/>
  <c r="N6" i="122"/>
  <c r="M6" i="122"/>
  <c r="L6" i="122"/>
  <c r="N29" i="122"/>
  <c r="M29" i="122"/>
  <c r="L29" i="122"/>
  <c r="N19" i="122"/>
  <c r="M19" i="122"/>
  <c r="L19" i="122"/>
  <c r="N36" i="122"/>
  <c r="M36" i="122"/>
  <c r="L36" i="122"/>
  <c r="N21" i="122"/>
  <c r="M21" i="122"/>
  <c r="L21" i="122"/>
  <c r="N31" i="122"/>
  <c r="M31" i="122"/>
  <c r="L31" i="122"/>
  <c r="S17" i="122"/>
  <c r="N17" i="122"/>
  <c r="M17" i="122"/>
  <c r="L17" i="122"/>
  <c r="N37" i="122"/>
  <c r="M37" i="122"/>
  <c r="L37" i="122"/>
  <c r="N8" i="122"/>
  <c r="M8" i="122"/>
  <c r="L8" i="122"/>
  <c r="Y9" i="122"/>
  <c r="N20" i="122"/>
  <c r="M20" i="122"/>
  <c r="L20" i="122"/>
  <c r="Y8" i="122"/>
  <c r="N23" i="122"/>
  <c r="M23" i="122"/>
  <c r="L23" i="122"/>
  <c r="Y7" i="122"/>
  <c r="N18" i="122"/>
  <c r="M18" i="122"/>
  <c r="L18" i="122"/>
  <c r="N33" i="122"/>
  <c r="M33" i="122"/>
  <c r="L33" i="122"/>
  <c r="Y5" i="122"/>
  <c r="S39" i="122" s="1"/>
  <c r="N5" i="122"/>
  <c r="M5" i="122"/>
  <c r="L5" i="122"/>
  <c r="Y4" i="122"/>
  <c r="Y3" i="122"/>
  <c r="S11" i="122" s="1"/>
  <c r="B1" i="122"/>
  <c r="T35" i="123" l="1"/>
  <c r="T18" i="123"/>
  <c r="T8" i="123"/>
  <c r="T20" i="123"/>
  <c r="T27" i="123"/>
  <c r="T11" i="123"/>
  <c r="T40" i="123"/>
  <c r="T24" i="123"/>
  <c r="T7" i="123"/>
  <c r="T34" i="123"/>
  <c r="T38" i="123"/>
  <c r="T45" i="123"/>
  <c r="T33" i="123"/>
  <c r="T9" i="123"/>
  <c r="T12" i="123"/>
  <c r="T31" i="123"/>
  <c r="T29" i="123"/>
  <c r="T22" i="123"/>
  <c r="T16" i="123"/>
  <c r="T36" i="123"/>
  <c r="T10" i="123"/>
  <c r="T21" i="123"/>
  <c r="T39" i="123"/>
  <c r="T48" i="123"/>
  <c r="T25" i="123"/>
  <c r="T30" i="123"/>
  <c r="T5" i="123"/>
  <c r="S12" i="122"/>
  <c r="S29" i="122"/>
  <c r="S26" i="122"/>
  <c r="S14" i="122"/>
  <c r="S20" i="122"/>
  <c r="S8" i="122"/>
  <c r="S43" i="122"/>
  <c r="S24" i="122"/>
  <c r="S22" i="122"/>
  <c r="S28" i="122"/>
  <c r="S42" i="122"/>
  <c r="S34" i="122"/>
  <c r="S56" i="122"/>
  <c r="S16" i="122"/>
  <c r="S19" i="122"/>
  <c r="S41" i="122"/>
  <c r="S21" i="122"/>
  <c r="S35" i="122"/>
  <c r="P35" i="122"/>
  <c r="R35" i="122" s="1"/>
  <c r="P20" i="122"/>
  <c r="R20" i="122" s="1"/>
  <c r="T20" i="122" s="1"/>
  <c r="P19" i="122"/>
  <c r="R19" i="122" s="1"/>
  <c r="P58" i="122"/>
  <c r="R58" i="122" s="1"/>
  <c r="T58" i="122" s="1"/>
  <c r="P52" i="122"/>
  <c r="R52" i="122" s="1"/>
  <c r="T52" i="122" s="1"/>
  <c r="P70" i="122"/>
  <c r="R70" i="122" s="1"/>
  <c r="T70" i="122" s="1"/>
  <c r="P34" i="122"/>
  <c r="R34" i="122" s="1"/>
  <c r="P50" i="122"/>
  <c r="R50" i="122" s="1"/>
  <c r="T50" i="122" s="1"/>
  <c r="P13" i="122"/>
  <c r="R13" i="122" s="1"/>
  <c r="P21" i="122"/>
  <c r="R21" i="122" s="1"/>
  <c r="P6" i="122"/>
  <c r="R6" i="122" s="1"/>
  <c r="P10" i="122"/>
  <c r="R10" i="122" s="1"/>
  <c r="P22" i="122"/>
  <c r="R22" i="122" s="1"/>
  <c r="P47" i="122"/>
  <c r="R47" i="122" s="1"/>
  <c r="T47" i="122" s="1"/>
  <c r="P8" i="122"/>
  <c r="R8" i="122" s="1"/>
  <c r="P14" i="122"/>
  <c r="R14" i="122" s="1"/>
  <c r="P44" i="122"/>
  <c r="R44" i="122" s="1"/>
  <c r="P56" i="122"/>
  <c r="R56" i="122" s="1"/>
  <c r="P41" i="122"/>
  <c r="R41" i="122" s="1"/>
  <c r="T41" i="122" s="1"/>
  <c r="P68" i="122"/>
  <c r="R68" i="122" s="1"/>
  <c r="T68" i="122" s="1"/>
  <c r="P32" i="122"/>
  <c r="R32" i="122" s="1"/>
  <c r="P15" i="122"/>
  <c r="R15" i="122" s="1"/>
  <c r="P54" i="122"/>
  <c r="R54" i="122" s="1"/>
  <c r="T54" i="122" s="1"/>
  <c r="P57" i="122"/>
  <c r="R57" i="122" s="1"/>
  <c r="T57" i="122" s="1"/>
  <c r="P60" i="122"/>
  <c r="R60" i="122" s="1"/>
  <c r="T60" i="122" s="1"/>
  <c r="P12" i="122"/>
  <c r="R12" i="122" s="1"/>
  <c r="T12" i="122" s="1"/>
  <c r="P17" i="122"/>
  <c r="R17" i="122" s="1"/>
  <c r="T17" i="122" s="1"/>
  <c r="P27" i="122"/>
  <c r="R27" i="122" s="1"/>
  <c r="P36" i="122"/>
  <c r="R36" i="122" s="1"/>
  <c r="P33" i="122"/>
  <c r="R33" i="122" s="1"/>
  <c r="P45" i="122"/>
  <c r="R45" i="122" s="1"/>
  <c r="P18" i="122"/>
  <c r="R18" i="122" s="1"/>
  <c r="P40" i="122"/>
  <c r="R40" i="122" s="1"/>
  <c r="T40" i="122" s="1"/>
  <c r="P55" i="122"/>
  <c r="R55" i="122" s="1"/>
  <c r="P61" i="122"/>
  <c r="R61" i="122" s="1"/>
  <c r="T61" i="122" s="1"/>
  <c r="P64" i="122"/>
  <c r="R64" i="122" s="1"/>
  <c r="T64" i="122" s="1"/>
  <c r="P38" i="122"/>
  <c r="R38" i="122" s="1"/>
  <c r="P29" i="122"/>
  <c r="R29" i="122" s="1"/>
  <c r="T29" i="122" s="1"/>
  <c r="T43" i="122"/>
  <c r="P53" i="122"/>
  <c r="R53" i="122" s="1"/>
  <c r="T53" i="122" s="1"/>
  <c r="P59" i="122"/>
  <c r="R59" i="122" s="1"/>
  <c r="T59" i="122" s="1"/>
  <c r="P48" i="122"/>
  <c r="R48" i="122" s="1"/>
  <c r="T48" i="122" s="1"/>
  <c r="P65" i="122"/>
  <c r="R65" i="122" s="1"/>
  <c r="T65" i="122" s="1"/>
  <c r="P31" i="122"/>
  <c r="R31" i="122" s="1"/>
  <c r="P9" i="122"/>
  <c r="R9" i="122" s="1"/>
  <c r="P16" i="122"/>
  <c r="R16" i="122" s="1"/>
  <c r="P24" i="122"/>
  <c r="R24" i="122" s="1"/>
  <c r="P39" i="122"/>
  <c r="R39" i="122" s="1"/>
  <c r="T39" i="122" s="1"/>
  <c r="P51" i="122"/>
  <c r="R51" i="122" s="1"/>
  <c r="T51" i="122" s="1"/>
  <c r="P63" i="122"/>
  <c r="R63" i="122" s="1"/>
  <c r="T63" i="122" s="1"/>
  <c r="P7" i="122"/>
  <c r="R7" i="122" s="1"/>
  <c r="P28" i="122"/>
  <c r="R28" i="122" s="1"/>
  <c r="T28" i="122" s="1"/>
  <c r="P66" i="122"/>
  <c r="R66" i="122" s="1"/>
  <c r="T66" i="122" s="1"/>
  <c r="P69" i="122"/>
  <c r="R69" i="122" s="1"/>
  <c r="T69" i="122" s="1"/>
  <c r="P23" i="122"/>
  <c r="R23" i="122" s="1"/>
  <c r="P25" i="122"/>
  <c r="R25" i="122" s="1"/>
  <c r="P49" i="122"/>
  <c r="R49" i="122" s="1"/>
  <c r="T49" i="122" s="1"/>
  <c r="P42" i="122"/>
  <c r="R42" i="122" s="1"/>
  <c r="P30" i="122"/>
  <c r="R30" i="122" s="1"/>
  <c r="P11" i="122"/>
  <c r="R11" i="122" s="1"/>
  <c r="T11" i="122" s="1"/>
  <c r="P26" i="122"/>
  <c r="R26" i="122" s="1"/>
  <c r="T26" i="122" s="1"/>
  <c r="P67" i="122"/>
  <c r="R67" i="122" s="1"/>
  <c r="T67" i="122" s="1"/>
  <c r="P37" i="122"/>
  <c r="R37" i="122" s="1"/>
  <c r="P46" i="122"/>
  <c r="R46" i="122" s="1"/>
  <c r="P62" i="122"/>
  <c r="R62" i="122" s="1"/>
  <c r="T62" i="122" s="1"/>
  <c r="P5" i="122"/>
  <c r="R5" i="122" s="1"/>
  <c r="S55" i="122"/>
  <c r="S33" i="122"/>
  <c r="S37" i="122"/>
  <c r="S9" i="122"/>
  <c r="S30" i="122"/>
  <c r="S46" i="122"/>
  <c r="S23" i="122"/>
  <c r="S6" i="122"/>
  <c r="S25" i="122"/>
  <c r="S45" i="122"/>
  <c r="S5" i="122"/>
  <c r="S31" i="122"/>
  <c r="S10" i="122"/>
  <c r="S27" i="122"/>
  <c r="S36" i="122"/>
  <c r="S32" i="122"/>
  <c r="S18" i="122"/>
  <c r="S15" i="122"/>
  <c r="S38" i="122"/>
  <c r="S7" i="122"/>
  <c r="S44" i="122"/>
  <c r="T44" i="122" s="1"/>
  <c r="S13" i="122"/>
  <c r="L55" i="121"/>
  <c r="M55" i="121"/>
  <c r="N55" i="121"/>
  <c r="S55" i="121"/>
  <c r="S70" i="121"/>
  <c r="N70" i="121"/>
  <c r="M70" i="121"/>
  <c r="L70" i="121"/>
  <c r="S69" i="121"/>
  <c r="N69" i="121"/>
  <c r="M69" i="121"/>
  <c r="L69" i="121"/>
  <c r="S68" i="121"/>
  <c r="N68" i="121"/>
  <c r="M68" i="121"/>
  <c r="L68" i="121"/>
  <c r="S67" i="121"/>
  <c r="N67" i="121"/>
  <c r="M67" i="121"/>
  <c r="L67" i="121"/>
  <c r="S66" i="121"/>
  <c r="N66" i="121"/>
  <c r="M66" i="121"/>
  <c r="L66" i="121"/>
  <c r="S65" i="121"/>
  <c r="N65" i="121"/>
  <c r="M65" i="121"/>
  <c r="L65" i="121"/>
  <c r="S64" i="121"/>
  <c r="N64" i="121"/>
  <c r="M64" i="121"/>
  <c r="L64" i="121"/>
  <c r="S62" i="121"/>
  <c r="N62" i="121"/>
  <c r="M62" i="121"/>
  <c r="L62" i="121"/>
  <c r="S61" i="121"/>
  <c r="N61" i="121"/>
  <c r="M61" i="121"/>
  <c r="L61" i="121"/>
  <c r="S60" i="121"/>
  <c r="N60" i="121"/>
  <c r="M60" i="121"/>
  <c r="L60" i="121"/>
  <c r="S59" i="121"/>
  <c r="N59" i="121"/>
  <c r="M59" i="121"/>
  <c r="L59" i="121"/>
  <c r="S58" i="121"/>
  <c r="N58" i="121"/>
  <c r="M58" i="121"/>
  <c r="L58" i="121"/>
  <c r="N63" i="121"/>
  <c r="M63" i="121"/>
  <c r="L63" i="121"/>
  <c r="S57" i="121"/>
  <c r="N57" i="121"/>
  <c r="M57" i="121"/>
  <c r="L57" i="121"/>
  <c r="S56" i="121"/>
  <c r="N56" i="121"/>
  <c r="M56" i="121"/>
  <c r="L56" i="121"/>
  <c r="S54" i="121"/>
  <c r="N54" i="121"/>
  <c r="M54" i="121"/>
  <c r="L54" i="121"/>
  <c r="S53" i="121"/>
  <c r="N53" i="121"/>
  <c r="M53" i="121"/>
  <c r="L53" i="121"/>
  <c r="N50" i="121"/>
  <c r="M50" i="121"/>
  <c r="L50" i="121"/>
  <c r="S52" i="121"/>
  <c r="N52" i="121"/>
  <c r="M52" i="121"/>
  <c r="L52" i="121"/>
  <c r="S51" i="121"/>
  <c r="N51" i="121"/>
  <c r="M51" i="121"/>
  <c r="L51" i="121"/>
  <c r="S49" i="121"/>
  <c r="N49" i="121"/>
  <c r="M49" i="121"/>
  <c r="L49" i="121"/>
  <c r="S48" i="121"/>
  <c r="N48" i="121"/>
  <c r="M48" i="121"/>
  <c r="L48" i="121"/>
  <c r="N47" i="121"/>
  <c r="M47" i="121"/>
  <c r="L47" i="121"/>
  <c r="S46" i="121"/>
  <c r="N46" i="121"/>
  <c r="M46" i="121"/>
  <c r="L46" i="121"/>
  <c r="N34" i="121"/>
  <c r="M34" i="121"/>
  <c r="L34" i="121"/>
  <c r="N43" i="121"/>
  <c r="M43" i="121"/>
  <c r="L43" i="121"/>
  <c r="N24" i="121"/>
  <c r="M24" i="121"/>
  <c r="L24" i="121"/>
  <c r="N22" i="121"/>
  <c r="M22" i="121"/>
  <c r="L22" i="121"/>
  <c r="S37" i="121"/>
  <c r="N37" i="121"/>
  <c r="M37" i="121"/>
  <c r="L37" i="121"/>
  <c r="N20" i="121"/>
  <c r="M20" i="121"/>
  <c r="L20" i="121"/>
  <c r="N18" i="121"/>
  <c r="M18" i="121"/>
  <c r="L18" i="121"/>
  <c r="S28" i="121"/>
  <c r="N28" i="121"/>
  <c r="M28" i="121"/>
  <c r="L28" i="121"/>
  <c r="N16" i="121"/>
  <c r="M16" i="121"/>
  <c r="L16" i="121"/>
  <c r="N23" i="121"/>
  <c r="M23" i="121"/>
  <c r="L23" i="121"/>
  <c r="N41" i="121"/>
  <c r="M41" i="121"/>
  <c r="L41" i="121"/>
  <c r="N14" i="121"/>
  <c r="M14" i="121"/>
  <c r="L14" i="121"/>
  <c r="N21" i="121"/>
  <c r="M21" i="121"/>
  <c r="L21" i="121"/>
  <c r="N9" i="121"/>
  <c r="M9" i="121"/>
  <c r="L9" i="121"/>
  <c r="S11" i="121"/>
  <c r="N11" i="121"/>
  <c r="M11" i="121"/>
  <c r="L11" i="121"/>
  <c r="N12" i="121"/>
  <c r="M12" i="121"/>
  <c r="L12" i="121"/>
  <c r="S7" i="121"/>
  <c r="N7" i="121"/>
  <c r="M7" i="121"/>
  <c r="L7" i="121"/>
  <c r="N8" i="121"/>
  <c r="M8" i="121"/>
  <c r="L8" i="121"/>
  <c r="N10" i="121"/>
  <c r="M10" i="121"/>
  <c r="L10" i="121"/>
  <c r="N25" i="121"/>
  <c r="M25" i="121"/>
  <c r="L25" i="121"/>
  <c r="N19" i="121"/>
  <c r="M19" i="121"/>
  <c r="L19" i="121"/>
  <c r="N17" i="121"/>
  <c r="M17" i="121"/>
  <c r="L17" i="121"/>
  <c r="N13" i="121"/>
  <c r="M13" i="121"/>
  <c r="L13" i="121"/>
  <c r="N26" i="121"/>
  <c r="M26" i="121"/>
  <c r="L26" i="121"/>
  <c r="N15" i="121"/>
  <c r="M15" i="121"/>
  <c r="L15" i="121"/>
  <c r="N6" i="121"/>
  <c r="M6" i="121"/>
  <c r="L6" i="121"/>
  <c r="N35" i="121"/>
  <c r="M35" i="121"/>
  <c r="L35" i="121"/>
  <c r="N42" i="121"/>
  <c r="M42" i="121"/>
  <c r="L42" i="121"/>
  <c r="N33" i="121"/>
  <c r="M33" i="121"/>
  <c r="L33" i="121"/>
  <c r="N32" i="121"/>
  <c r="M32" i="121"/>
  <c r="L32" i="121"/>
  <c r="N31" i="121"/>
  <c r="M31" i="121"/>
  <c r="L31" i="121"/>
  <c r="N30" i="121"/>
  <c r="M30" i="121"/>
  <c r="L30" i="121"/>
  <c r="N27" i="121"/>
  <c r="M27" i="121"/>
  <c r="L27" i="121"/>
  <c r="N39" i="121"/>
  <c r="M39" i="121"/>
  <c r="L39" i="121"/>
  <c r="N36" i="121"/>
  <c r="M36" i="121"/>
  <c r="L36" i="121"/>
  <c r="N38" i="121"/>
  <c r="M38" i="121"/>
  <c r="L38" i="121"/>
  <c r="Y9" i="121"/>
  <c r="S25" i="121" s="1"/>
  <c r="S44" i="121"/>
  <c r="N44" i="121"/>
  <c r="M44" i="121"/>
  <c r="L44" i="121"/>
  <c r="Y8" i="121"/>
  <c r="S16" i="121" s="1"/>
  <c r="N45" i="121"/>
  <c r="M45" i="121"/>
  <c r="L45" i="121"/>
  <c r="Y7" i="121"/>
  <c r="N29" i="121"/>
  <c r="M29" i="121"/>
  <c r="L29" i="121"/>
  <c r="N40" i="121"/>
  <c r="M40" i="121"/>
  <c r="L40" i="121"/>
  <c r="Y5" i="121"/>
  <c r="N5" i="121"/>
  <c r="M5" i="121"/>
  <c r="L5" i="121"/>
  <c r="Y4" i="121"/>
  <c r="Y3" i="121"/>
  <c r="B1" i="121"/>
  <c r="T24" i="122" l="1"/>
  <c r="T42" i="122"/>
  <c r="T16" i="122"/>
  <c r="T56" i="122"/>
  <c r="T14" i="122"/>
  <c r="T8" i="122"/>
  <c r="T19" i="122"/>
  <c r="T22" i="122"/>
  <c r="T35" i="122"/>
  <c r="T21" i="122"/>
  <c r="T33" i="122"/>
  <c r="T34" i="122"/>
  <c r="T27" i="122"/>
  <c r="T10" i="122"/>
  <c r="T36" i="122"/>
  <c r="T25" i="122"/>
  <c r="T6" i="122"/>
  <c r="T55" i="122"/>
  <c r="T31" i="122"/>
  <c r="T13" i="122"/>
  <c r="T45" i="122"/>
  <c r="T38" i="122"/>
  <c r="T18" i="122"/>
  <c r="T30" i="122"/>
  <c r="T32" i="122"/>
  <c r="T15" i="122"/>
  <c r="T9" i="122"/>
  <c r="T23" i="122"/>
  <c r="T46" i="122"/>
  <c r="T7" i="122"/>
  <c r="T5" i="122"/>
  <c r="T37" i="122"/>
  <c r="S32" i="121"/>
  <c r="S29" i="121"/>
  <c r="S40" i="121"/>
  <c r="S19" i="121"/>
  <c r="S33" i="121"/>
  <c r="S24" i="121"/>
  <c r="S26" i="121"/>
  <c r="S5" i="121"/>
  <c r="S50" i="121"/>
  <c r="P20" i="121"/>
  <c r="R20" i="121" s="1"/>
  <c r="P31" i="121"/>
  <c r="R31" i="121" s="1"/>
  <c r="P52" i="121"/>
  <c r="R52" i="121" s="1"/>
  <c r="T52" i="121" s="1"/>
  <c r="P42" i="121"/>
  <c r="R42" i="121" s="1"/>
  <c r="P17" i="121"/>
  <c r="R17" i="121" s="1"/>
  <c r="P55" i="121"/>
  <c r="R55" i="121" s="1"/>
  <c r="T55" i="121" s="1"/>
  <c r="P56" i="121"/>
  <c r="R56" i="121" s="1"/>
  <c r="T56" i="121" s="1"/>
  <c r="P63" i="121"/>
  <c r="R63" i="121" s="1"/>
  <c r="P70" i="121"/>
  <c r="R70" i="121" s="1"/>
  <c r="T70" i="121" s="1"/>
  <c r="P24" i="121"/>
  <c r="R24" i="121" s="1"/>
  <c r="T24" i="121" s="1"/>
  <c r="P6" i="121"/>
  <c r="R6" i="121" s="1"/>
  <c r="P9" i="121"/>
  <c r="R9" i="121" s="1"/>
  <c r="P14" i="121"/>
  <c r="R14" i="121" s="1"/>
  <c r="P29" i="121"/>
  <c r="R29" i="121" s="1"/>
  <c r="T29" i="121" s="1"/>
  <c r="P8" i="121"/>
  <c r="R8" i="121" s="1"/>
  <c r="P22" i="121"/>
  <c r="R22" i="121" s="1"/>
  <c r="P58" i="121"/>
  <c r="R58" i="121" s="1"/>
  <c r="T58" i="121" s="1"/>
  <c r="P61" i="121"/>
  <c r="R61" i="121" s="1"/>
  <c r="T61" i="121" s="1"/>
  <c r="P68" i="121"/>
  <c r="R68" i="121" s="1"/>
  <c r="T68" i="121" s="1"/>
  <c r="P10" i="121"/>
  <c r="R10" i="121" s="1"/>
  <c r="P33" i="121"/>
  <c r="R33" i="121" s="1"/>
  <c r="P11" i="121"/>
  <c r="R11" i="121" s="1"/>
  <c r="T11" i="121" s="1"/>
  <c r="P15" i="121"/>
  <c r="R15" i="121" s="1"/>
  <c r="P18" i="121"/>
  <c r="R18" i="121" s="1"/>
  <c r="P50" i="121"/>
  <c r="R50" i="121" s="1"/>
  <c r="T50" i="121" s="1"/>
  <c r="P46" i="121"/>
  <c r="R46" i="121" s="1"/>
  <c r="T46" i="121" s="1"/>
  <c r="P69" i="121"/>
  <c r="R69" i="121" s="1"/>
  <c r="T69" i="121" s="1"/>
  <c r="P7" i="121"/>
  <c r="R7" i="121" s="1"/>
  <c r="T7" i="121" s="1"/>
  <c r="P35" i="121"/>
  <c r="R35" i="121" s="1"/>
  <c r="P47" i="121"/>
  <c r="R47" i="121" s="1"/>
  <c r="P54" i="121"/>
  <c r="R54" i="121" s="1"/>
  <c r="T54" i="121" s="1"/>
  <c r="P59" i="121"/>
  <c r="R59" i="121" s="1"/>
  <c r="T59" i="121" s="1"/>
  <c r="P32" i="121"/>
  <c r="R32" i="121" s="1"/>
  <c r="T32" i="121" s="1"/>
  <c r="P12" i="121"/>
  <c r="R12" i="121" s="1"/>
  <c r="P37" i="121"/>
  <c r="R37" i="121" s="1"/>
  <c r="T37" i="121" s="1"/>
  <c r="P43" i="121"/>
  <c r="R43" i="121" s="1"/>
  <c r="P60" i="121"/>
  <c r="R60" i="121" s="1"/>
  <c r="T60" i="121" s="1"/>
  <c r="P64" i="121"/>
  <c r="R64" i="121" s="1"/>
  <c r="T64" i="121" s="1"/>
  <c r="P38" i="121"/>
  <c r="R38" i="121" s="1"/>
  <c r="P30" i="121"/>
  <c r="R30" i="121" s="1"/>
  <c r="P53" i="121"/>
  <c r="R53" i="121" s="1"/>
  <c r="T53" i="121" s="1"/>
  <c r="P57" i="121"/>
  <c r="R57" i="121" s="1"/>
  <c r="T57" i="121" s="1"/>
  <c r="P62" i="121"/>
  <c r="R62" i="121" s="1"/>
  <c r="T62" i="121" s="1"/>
  <c r="P66" i="121"/>
  <c r="R66" i="121" s="1"/>
  <c r="T66" i="121" s="1"/>
  <c r="P16" i="121"/>
  <c r="R16" i="121" s="1"/>
  <c r="T16" i="121" s="1"/>
  <c r="P45" i="121"/>
  <c r="R45" i="121" s="1"/>
  <c r="P36" i="121"/>
  <c r="R36" i="121" s="1"/>
  <c r="P19" i="121"/>
  <c r="R19" i="121" s="1"/>
  <c r="T19" i="121" s="1"/>
  <c r="P28" i="121"/>
  <c r="R28" i="121" s="1"/>
  <c r="T28" i="121" s="1"/>
  <c r="P21" i="121"/>
  <c r="R21" i="121" s="1"/>
  <c r="P51" i="121"/>
  <c r="R51" i="121" s="1"/>
  <c r="T51" i="121" s="1"/>
  <c r="P39" i="121"/>
  <c r="R39" i="121" s="1"/>
  <c r="P26" i="121"/>
  <c r="R26" i="121" s="1"/>
  <c r="T26" i="121" s="1"/>
  <c r="P41" i="121"/>
  <c r="R41" i="121" s="1"/>
  <c r="P48" i="121"/>
  <c r="R48" i="121" s="1"/>
  <c r="T48" i="121" s="1"/>
  <c r="P67" i="121"/>
  <c r="R67" i="121" s="1"/>
  <c r="T67" i="121" s="1"/>
  <c r="P40" i="121"/>
  <c r="R40" i="121" s="1"/>
  <c r="T40" i="121" s="1"/>
  <c r="P44" i="121"/>
  <c r="R44" i="121" s="1"/>
  <c r="T44" i="121" s="1"/>
  <c r="P25" i="121"/>
  <c r="R25" i="121" s="1"/>
  <c r="T25" i="121" s="1"/>
  <c r="P23" i="121"/>
  <c r="R23" i="121" s="1"/>
  <c r="P34" i="121"/>
  <c r="R34" i="121" s="1"/>
  <c r="P27" i="121"/>
  <c r="R27" i="121" s="1"/>
  <c r="P13" i="121"/>
  <c r="R13" i="121" s="1"/>
  <c r="P49" i="121"/>
  <c r="R49" i="121" s="1"/>
  <c r="T49" i="121" s="1"/>
  <c r="P65" i="121"/>
  <c r="R65" i="121" s="1"/>
  <c r="T65" i="121" s="1"/>
  <c r="P5" i="121"/>
  <c r="R5" i="121" s="1"/>
  <c r="S36" i="121"/>
  <c r="S13" i="121"/>
  <c r="S41" i="121"/>
  <c r="S47" i="121"/>
  <c r="S45" i="121"/>
  <c r="S42" i="121"/>
  <c r="S12" i="121"/>
  <c r="S22" i="121"/>
  <c r="S6" i="121"/>
  <c r="S9" i="121"/>
  <c r="S43" i="121"/>
  <c r="S27" i="121"/>
  <c r="S31" i="121"/>
  <c r="S10" i="121"/>
  <c r="S18" i="121"/>
  <c r="S38" i="121"/>
  <c r="S14" i="121"/>
  <c r="S39" i="121"/>
  <c r="S17" i="121"/>
  <c r="S23" i="121"/>
  <c r="S35" i="121"/>
  <c r="S30" i="121"/>
  <c r="S15" i="121"/>
  <c r="S21" i="121"/>
  <c r="S34" i="121"/>
  <c r="S63" i="121"/>
  <c r="T63" i="121" s="1"/>
  <c r="S8" i="121"/>
  <c r="S20" i="121"/>
  <c r="S69" i="120"/>
  <c r="N69" i="120"/>
  <c r="M69" i="120"/>
  <c r="L69" i="120"/>
  <c r="S68" i="120"/>
  <c r="N68" i="120"/>
  <c r="M68" i="120"/>
  <c r="L68" i="120"/>
  <c r="S67" i="120"/>
  <c r="N67" i="120"/>
  <c r="M67" i="120"/>
  <c r="L67" i="120"/>
  <c r="S66" i="120"/>
  <c r="N66" i="120"/>
  <c r="M66" i="120"/>
  <c r="L66" i="120"/>
  <c r="S65" i="120"/>
  <c r="N65" i="120"/>
  <c r="M65" i="120"/>
  <c r="L65" i="120"/>
  <c r="S64" i="120"/>
  <c r="N64" i="120"/>
  <c r="M64" i="120"/>
  <c r="L64" i="120"/>
  <c r="S63" i="120"/>
  <c r="N63" i="120"/>
  <c r="M63" i="120"/>
  <c r="L63" i="120"/>
  <c r="S62" i="120"/>
  <c r="N62" i="120"/>
  <c r="M62" i="120"/>
  <c r="L62" i="120"/>
  <c r="S61" i="120"/>
  <c r="N61" i="120"/>
  <c r="M61" i="120"/>
  <c r="L61" i="120"/>
  <c r="S60" i="120"/>
  <c r="N60" i="120"/>
  <c r="M60" i="120"/>
  <c r="L60" i="120"/>
  <c r="S59" i="120"/>
  <c r="N59" i="120"/>
  <c r="M59" i="120"/>
  <c r="L59" i="120"/>
  <c r="S58" i="120"/>
  <c r="N58" i="120"/>
  <c r="M58" i="120"/>
  <c r="L58" i="120"/>
  <c r="N57" i="120"/>
  <c r="M57" i="120"/>
  <c r="L57" i="120"/>
  <c r="S56" i="120"/>
  <c r="N56" i="120"/>
  <c r="M56" i="120"/>
  <c r="L56" i="120"/>
  <c r="S52" i="120"/>
  <c r="N52" i="120"/>
  <c r="M52" i="120"/>
  <c r="L52" i="120"/>
  <c r="N55" i="120"/>
  <c r="M55" i="120"/>
  <c r="L55" i="120"/>
  <c r="S54" i="120"/>
  <c r="N54" i="120"/>
  <c r="M54" i="120"/>
  <c r="L54" i="120"/>
  <c r="S53" i="120"/>
  <c r="N53" i="120"/>
  <c r="M53" i="120"/>
  <c r="L53" i="120"/>
  <c r="S51" i="120"/>
  <c r="N51" i="120"/>
  <c r="M51" i="120"/>
  <c r="L51" i="120"/>
  <c r="S50" i="120"/>
  <c r="N50" i="120"/>
  <c r="M50" i="120"/>
  <c r="L50" i="120"/>
  <c r="S49" i="120"/>
  <c r="N49" i="120"/>
  <c r="M49" i="120"/>
  <c r="L49" i="120"/>
  <c r="S48" i="120"/>
  <c r="N48" i="120"/>
  <c r="M48" i="120"/>
  <c r="L48" i="120"/>
  <c r="S47" i="120"/>
  <c r="N47" i="120"/>
  <c r="M47" i="120"/>
  <c r="L47" i="120"/>
  <c r="S45" i="120"/>
  <c r="N45" i="120"/>
  <c r="M45" i="120"/>
  <c r="L45" i="120"/>
  <c r="N40" i="120"/>
  <c r="M40" i="120"/>
  <c r="L40" i="120"/>
  <c r="S29" i="120"/>
  <c r="N29" i="120"/>
  <c r="M29" i="120"/>
  <c r="L29" i="120"/>
  <c r="N34" i="120"/>
  <c r="M34" i="120"/>
  <c r="L34" i="120"/>
  <c r="S44" i="120"/>
  <c r="N44" i="120"/>
  <c r="M44" i="120"/>
  <c r="L44" i="120"/>
  <c r="N46" i="120"/>
  <c r="M46" i="120"/>
  <c r="L46" i="120"/>
  <c r="N38" i="120"/>
  <c r="M38" i="120"/>
  <c r="L38" i="120"/>
  <c r="S37" i="120"/>
  <c r="N37" i="120"/>
  <c r="M37" i="120"/>
  <c r="L37" i="120"/>
  <c r="S33" i="120"/>
  <c r="N33" i="120"/>
  <c r="M33" i="120"/>
  <c r="L33" i="120"/>
  <c r="S32" i="120"/>
  <c r="N32" i="120"/>
  <c r="M32" i="120"/>
  <c r="L32" i="120"/>
  <c r="N22" i="120"/>
  <c r="M22" i="120"/>
  <c r="L22" i="120"/>
  <c r="S21" i="120"/>
  <c r="N21" i="120"/>
  <c r="M21" i="120"/>
  <c r="L21" i="120"/>
  <c r="S20" i="120"/>
  <c r="N20" i="120"/>
  <c r="M20" i="120"/>
  <c r="L20" i="120"/>
  <c r="N19" i="120"/>
  <c r="M19" i="120"/>
  <c r="L19" i="120"/>
  <c r="N13" i="120"/>
  <c r="M13" i="120"/>
  <c r="L13" i="120"/>
  <c r="S39" i="120"/>
  <c r="N39" i="120"/>
  <c r="M39" i="120"/>
  <c r="L39" i="120"/>
  <c r="N14" i="120"/>
  <c r="M14" i="120"/>
  <c r="L14" i="120"/>
  <c r="N28" i="120"/>
  <c r="M28" i="120"/>
  <c r="L28" i="120"/>
  <c r="N12" i="120"/>
  <c r="M12" i="120"/>
  <c r="L12" i="120"/>
  <c r="N8" i="120"/>
  <c r="M8" i="120"/>
  <c r="L8" i="120"/>
  <c r="S26" i="120"/>
  <c r="N26" i="120"/>
  <c r="M26" i="120"/>
  <c r="L26" i="120"/>
  <c r="S41" i="120"/>
  <c r="N41" i="120"/>
  <c r="M41" i="120"/>
  <c r="L41" i="120"/>
  <c r="N25" i="120"/>
  <c r="M25" i="120"/>
  <c r="L25" i="120"/>
  <c r="N18" i="120"/>
  <c r="M18" i="120"/>
  <c r="L18" i="120"/>
  <c r="S35" i="120"/>
  <c r="N35" i="120"/>
  <c r="M35" i="120"/>
  <c r="L35" i="120"/>
  <c r="S17" i="120"/>
  <c r="N17" i="120"/>
  <c r="M17" i="120"/>
  <c r="L17" i="120"/>
  <c r="S9" i="120"/>
  <c r="N9" i="120"/>
  <c r="M9" i="120"/>
  <c r="L9" i="120"/>
  <c r="S6" i="120"/>
  <c r="N6" i="120"/>
  <c r="M6" i="120"/>
  <c r="L6" i="120"/>
  <c r="S10" i="120"/>
  <c r="N10" i="120"/>
  <c r="M10" i="120"/>
  <c r="L10" i="120"/>
  <c r="N30" i="120"/>
  <c r="M30" i="120"/>
  <c r="L30" i="120"/>
  <c r="N43" i="120"/>
  <c r="M43" i="120"/>
  <c r="L43" i="120"/>
  <c r="N27" i="120"/>
  <c r="M27" i="120"/>
  <c r="L27" i="120"/>
  <c r="N42" i="120"/>
  <c r="M42" i="120"/>
  <c r="L42" i="120"/>
  <c r="N31" i="120"/>
  <c r="M31" i="120"/>
  <c r="L31" i="120"/>
  <c r="N23" i="120"/>
  <c r="M23" i="120"/>
  <c r="L23" i="120"/>
  <c r="S36" i="120"/>
  <c r="N36" i="120"/>
  <c r="M36" i="120"/>
  <c r="L36" i="120"/>
  <c r="S24" i="120"/>
  <c r="N24" i="120"/>
  <c r="M24" i="120"/>
  <c r="L24" i="120"/>
  <c r="Y9" i="120"/>
  <c r="S38" i="120" s="1"/>
  <c r="N11" i="120"/>
  <c r="M11" i="120"/>
  <c r="L11" i="120"/>
  <c r="Y8" i="120"/>
  <c r="S43" i="120" s="1"/>
  <c r="S16" i="120"/>
  <c r="N16" i="120"/>
  <c r="M16" i="120"/>
  <c r="L16" i="120"/>
  <c r="Y7" i="120"/>
  <c r="N15" i="120"/>
  <c r="M15" i="120"/>
  <c r="L15" i="120"/>
  <c r="S7" i="120"/>
  <c r="N7" i="120"/>
  <c r="M7" i="120"/>
  <c r="L7" i="120"/>
  <c r="Y5" i="120"/>
  <c r="S34" i="120" s="1"/>
  <c r="S5" i="120"/>
  <c r="N5" i="120"/>
  <c r="M5" i="120"/>
  <c r="L5" i="120"/>
  <c r="Y4" i="120"/>
  <c r="S19" i="120" s="1"/>
  <c r="Y3" i="120"/>
  <c r="S8" i="120" s="1"/>
  <c r="B1" i="120"/>
  <c r="T33" i="121" l="1"/>
  <c r="T5" i="121"/>
  <c r="T20" i="121"/>
  <c r="T43" i="121"/>
  <c r="T31" i="121"/>
  <c r="T42" i="121"/>
  <c r="T30" i="121"/>
  <c r="T47" i="121"/>
  <c r="T8" i="121"/>
  <c r="T18" i="121"/>
  <c r="T15" i="121"/>
  <c r="T10" i="121"/>
  <c r="T17" i="121"/>
  <c r="T14" i="121"/>
  <c r="T6" i="121"/>
  <c r="T13" i="121"/>
  <c r="T9" i="121"/>
  <c r="T39" i="121"/>
  <c r="T36" i="121"/>
  <c r="T22" i="121"/>
  <c r="T12" i="121"/>
  <c r="T35" i="121"/>
  <c r="T23" i="121"/>
  <c r="T45" i="121"/>
  <c r="T41" i="121"/>
  <c r="T27" i="121"/>
  <c r="T38" i="121"/>
  <c r="T21" i="121"/>
  <c r="T34" i="121"/>
  <c r="S11" i="120"/>
  <c r="S13" i="120"/>
  <c r="S55" i="120"/>
  <c r="S18" i="120"/>
  <c r="S15" i="120"/>
  <c r="S14" i="120"/>
  <c r="P32" i="120"/>
  <c r="R32" i="120" s="1"/>
  <c r="T32" i="120" s="1"/>
  <c r="P49" i="120"/>
  <c r="R49" i="120" s="1"/>
  <c r="T49" i="120" s="1"/>
  <c r="P31" i="120"/>
  <c r="R31" i="120" s="1"/>
  <c r="P30" i="120"/>
  <c r="R30" i="120" s="1"/>
  <c r="P17" i="120"/>
  <c r="R17" i="120" s="1"/>
  <c r="T17" i="120" s="1"/>
  <c r="P54" i="120"/>
  <c r="R54" i="120" s="1"/>
  <c r="P41" i="120"/>
  <c r="R41" i="120" s="1"/>
  <c r="T41" i="120" s="1"/>
  <c r="P28" i="120"/>
  <c r="R28" i="120" s="1"/>
  <c r="P40" i="120"/>
  <c r="R40" i="120" s="1"/>
  <c r="P48" i="120"/>
  <c r="R48" i="120" s="1"/>
  <c r="T48" i="120" s="1"/>
  <c r="P57" i="120"/>
  <c r="R57" i="120" s="1"/>
  <c r="P60" i="120"/>
  <c r="R60" i="120" s="1"/>
  <c r="T60" i="120" s="1"/>
  <c r="P35" i="120"/>
  <c r="R35" i="120" s="1"/>
  <c r="T35" i="120" s="1"/>
  <c r="P25" i="120"/>
  <c r="R25" i="120" s="1"/>
  <c r="P45" i="120"/>
  <c r="R45" i="120" s="1"/>
  <c r="T45" i="120" s="1"/>
  <c r="P14" i="120"/>
  <c r="R14" i="120" s="1"/>
  <c r="T14" i="120" s="1"/>
  <c r="P23" i="120"/>
  <c r="R23" i="120" s="1"/>
  <c r="P8" i="120"/>
  <c r="R8" i="120" s="1"/>
  <c r="T8" i="120" s="1"/>
  <c r="P16" i="120"/>
  <c r="R16" i="120" s="1"/>
  <c r="T16" i="120" s="1"/>
  <c r="P44" i="120"/>
  <c r="R44" i="120" s="1"/>
  <c r="T44" i="120" s="1"/>
  <c r="P55" i="120"/>
  <c r="R55" i="120" s="1"/>
  <c r="T55" i="120" s="1"/>
  <c r="P19" i="120"/>
  <c r="R19" i="120" s="1"/>
  <c r="T19" i="120" s="1"/>
  <c r="P61" i="120"/>
  <c r="R61" i="120" s="1"/>
  <c r="T61" i="120" s="1"/>
  <c r="P51" i="120"/>
  <c r="R51" i="120" s="1"/>
  <c r="T51" i="120" s="1"/>
  <c r="P34" i="120"/>
  <c r="R34" i="120" s="1"/>
  <c r="T34" i="120" s="1"/>
  <c r="P64" i="120"/>
  <c r="R64" i="120" s="1"/>
  <c r="T64" i="120" s="1"/>
  <c r="P36" i="120"/>
  <c r="R36" i="120" s="1"/>
  <c r="T36" i="120" s="1"/>
  <c r="P38" i="120"/>
  <c r="R38" i="120" s="1"/>
  <c r="T38" i="120" s="1"/>
  <c r="P59" i="120"/>
  <c r="R59" i="120" s="1"/>
  <c r="T59" i="120" s="1"/>
  <c r="P7" i="120"/>
  <c r="R7" i="120" s="1"/>
  <c r="T7" i="120" s="1"/>
  <c r="P46" i="120"/>
  <c r="R46" i="120" s="1"/>
  <c r="P50" i="120"/>
  <c r="R50" i="120" s="1"/>
  <c r="T50" i="120" s="1"/>
  <c r="P12" i="120"/>
  <c r="R12" i="120" s="1"/>
  <c r="P69" i="120"/>
  <c r="R69" i="120" s="1"/>
  <c r="T69" i="120" s="1"/>
  <c r="T54" i="120"/>
  <c r="P65" i="120"/>
  <c r="R65" i="120" s="1"/>
  <c r="T65" i="120" s="1"/>
  <c r="P68" i="120"/>
  <c r="R68" i="120" s="1"/>
  <c r="T68" i="120" s="1"/>
  <c r="P5" i="120"/>
  <c r="R5" i="120" s="1"/>
  <c r="T5" i="120" s="1"/>
  <c r="P39" i="120"/>
  <c r="R39" i="120" s="1"/>
  <c r="T39" i="120" s="1"/>
  <c r="P52" i="120"/>
  <c r="R52" i="120" s="1"/>
  <c r="T52" i="120" s="1"/>
  <c r="P58" i="120"/>
  <c r="R58" i="120" s="1"/>
  <c r="T58" i="120" s="1"/>
  <c r="P11" i="120"/>
  <c r="R11" i="120" s="1"/>
  <c r="T11" i="120" s="1"/>
  <c r="P6" i="120"/>
  <c r="R6" i="120" s="1"/>
  <c r="T6" i="120" s="1"/>
  <c r="P20" i="120"/>
  <c r="R20" i="120" s="1"/>
  <c r="T20" i="120" s="1"/>
  <c r="P53" i="120"/>
  <c r="R53" i="120" s="1"/>
  <c r="T53" i="120" s="1"/>
  <c r="P67" i="120"/>
  <c r="R67" i="120" s="1"/>
  <c r="T67" i="120" s="1"/>
  <c r="P47" i="120"/>
  <c r="R47" i="120" s="1"/>
  <c r="T47" i="120" s="1"/>
  <c r="P43" i="120"/>
  <c r="R43" i="120" s="1"/>
  <c r="T43" i="120" s="1"/>
  <c r="P13" i="120"/>
  <c r="R13" i="120" s="1"/>
  <c r="P21" i="120"/>
  <c r="R21" i="120" s="1"/>
  <c r="T21" i="120" s="1"/>
  <c r="P33" i="120"/>
  <c r="R33" i="120" s="1"/>
  <c r="T33" i="120" s="1"/>
  <c r="P56" i="120"/>
  <c r="R56" i="120" s="1"/>
  <c r="T56" i="120" s="1"/>
  <c r="P62" i="120"/>
  <c r="R62" i="120" s="1"/>
  <c r="T62" i="120" s="1"/>
  <c r="P15" i="120"/>
  <c r="R15" i="120" s="1"/>
  <c r="T15" i="120" s="1"/>
  <c r="P24" i="120"/>
  <c r="R24" i="120" s="1"/>
  <c r="T24" i="120" s="1"/>
  <c r="P9" i="120"/>
  <c r="R9" i="120" s="1"/>
  <c r="T9" i="120" s="1"/>
  <c r="P18" i="120"/>
  <c r="R18" i="120" s="1"/>
  <c r="T18" i="120" s="1"/>
  <c r="P26" i="120"/>
  <c r="R26" i="120" s="1"/>
  <c r="T26" i="120" s="1"/>
  <c r="P29" i="120"/>
  <c r="R29" i="120" s="1"/>
  <c r="T29" i="120" s="1"/>
  <c r="P42" i="120"/>
  <c r="R42" i="120" s="1"/>
  <c r="P10" i="120"/>
  <c r="R10" i="120" s="1"/>
  <c r="T10" i="120" s="1"/>
  <c r="P22" i="120"/>
  <c r="R22" i="120" s="1"/>
  <c r="P37" i="120"/>
  <c r="R37" i="120" s="1"/>
  <c r="T37" i="120" s="1"/>
  <c r="P63" i="120"/>
  <c r="R63" i="120" s="1"/>
  <c r="T63" i="120" s="1"/>
  <c r="P66" i="120"/>
  <c r="R66" i="120" s="1"/>
  <c r="T66" i="120" s="1"/>
  <c r="P27" i="120"/>
  <c r="R27" i="120" s="1"/>
  <c r="S31" i="120"/>
  <c r="S27" i="120"/>
  <c r="S30" i="120"/>
  <c r="S28" i="120"/>
  <c r="S46" i="120"/>
  <c r="T46" i="120" s="1"/>
  <c r="S23" i="120"/>
  <c r="S25" i="120"/>
  <c r="S22" i="120"/>
  <c r="S40" i="120"/>
  <c r="S57" i="120"/>
  <c r="S42" i="120"/>
  <c r="S12" i="120"/>
  <c r="S63" i="119"/>
  <c r="N63" i="119"/>
  <c r="M63" i="119"/>
  <c r="L63" i="119"/>
  <c r="S62" i="119"/>
  <c r="N62" i="119"/>
  <c r="M62" i="119"/>
  <c r="L62" i="119"/>
  <c r="N8" i="119"/>
  <c r="M8" i="119"/>
  <c r="L8" i="119"/>
  <c r="N46" i="119"/>
  <c r="M46" i="119"/>
  <c r="L46" i="119"/>
  <c r="N5" i="119"/>
  <c r="M5" i="119"/>
  <c r="L5" i="119"/>
  <c r="S55" i="119"/>
  <c r="N55" i="119"/>
  <c r="M55" i="119"/>
  <c r="L55" i="119"/>
  <c r="N31" i="119"/>
  <c r="M31" i="119"/>
  <c r="L31" i="119"/>
  <c r="S66" i="119"/>
  <c r="N66" i="119"/>
  <c r="M66" i="119"/>
  <c r="L66" i="119"/>
  <c r="N16" i="119"/>
  <c r="M16" i="119"/>
  <c r="L16" i="119"/>
  <c r="N57" i="119"/>
  <c r="M57" i="119"/>
  <c r="L57" i="119"/>
  <c r="N22" i="119"/>
  <c r="M22" i="119"/>
  <c r="L22" i="119"/>
  <c r="S59" i="119"/>
  <c r="N59" i="119"/>
  <c r="M59" i="119"/>
  <c r="L59" i="119"/>
  <c r="N12" i="119"/>
  <c r="M12" i="119"/>
  <c r="L12" i="119"/>
  <c r="N43" i="119"/>
  <c r="M43" i="119"/>
  <c r="L43" i="119"/>
  <c r="N24" i="119"/>
  <c r="M24" i="119"/>
  <c r="L24" i="119"/>
  <c r="N41" i="119"/>
  <c r="M41" i="119"/>
  <c r="L41" i="119"/>
  <c r="S67" i="119"/>
  <c r="N67" i="119"/>
  <c r="M67" i="119"/>
  <c r="L67" i="119"/>
  <c r="N21" i="119"/>
  <c r="M21" i="119"/>
  <c r="L21" i="119"/>
  <c r="N7" i="119"/>
  <c r="M7" i="119"/>
  <c r="L7" i="119"/>
  <c r="N34" i="119"/>
  <c r="M34" i="119"/>
  <c r="L34" i="119"/>
  <c r="S52" i="119"/>
  <c r="N52" i="119"/>
  <c r="M52" i="119"/>
  <c r="L52" i="119"/>
  <c r="S50" i="119"/>
  <c r="N50" i="119"/>
  <c r="M50" i="119"/>
  <c r="L50" i="119"/>
  <c r="N30" i="119"/>
  <c r="M30" i="119"/>
  <c r="L30" i="119"/>
  <c r="S58" i="119"/>
  <c r="N58" i="119"/>
  <c r="M58" i="119"/>
  <c r="L58" i="119"/>
  <c r="S53" i="119"/>
  <c r="N53" i="119"/>
  <c r="M53" i="119"/>
  <c r="L53" i="119"/>
  <c r="S64" i="119"/>
  <c r="N64" i="119"/>
  <c r="M64" i="119"/>
  <c r="L64" i="119"/>
  <c r="S65" i="119"/>
  <c r="N65" i="119"/>
  <c r="M65" i="119"/>
  <c r="L65" i="119"/>
  <c r="N15" i="119"/>
  <c r="M15" i="119"/>
  <c r="L15" i="119"/>
  <c r="N9" i="119"/>
  <c r="M9" i="119"/>
  <c r="L9" i="119"/>
  <c r="N54" i="119"/>
  <c r="M54" i="119"/>
  <c r="L54" i="119"/>
  <c r="S61" i="119"/>
  <c r="N61" i="119"/>
  <c r="M61" i="119"/>
  <c r="L61" i="119"/>
  <c r="N45" i="119"/>
  <c r="M45" i="119"/>
  <c r="L45" i="119"/>
  <c r="N47" i="119"/>
  <c r="M47" i="119"/>
  <c r="L47" i="119"/>
  <c r="N35" i="119"/>
  <c r="M35" i="119"/>
  <c r="L35" i="119"/>
  <c r="S60" i="119"/>
  <c r="N60" i="119"/>
  <c r="M60" i="119"/>
  <c r="L60" i="119"/>
  <c r="S69" i="119"/>
  <c r="N69" i="119"/>
  <c r="M69" i="119"/>
  <c r="L69" i="119"/>
  <c r="N19" i="119"/>
  <c r="M19" i="119"/>
  <c r="L19" i="119"/>
  <c r="N13" i="119"/>
  <c r="M13" i="119"/>
  <c r="L13" i="119"/>
  <c r="S48" i="119"/>
  <c r="N48" i="119"/>
  <c r="M48" i="119"/>
  <c r="L48" i="119"/>
  <c r="N14" i="119"/>
  <c r="M14" i="119"/>
  <c r="L14" i="119"/>
  <c r="N36" i="119"/>
  <c r="M36" i="119"/>
  <c r="L36" i="119"/>
  <c r="S49" i="119"/>
  <c r="N49" i="119"/>
  <c r="M49" i="119"/>
  <c r="L49" i="119"/>
  <c r="S56" i="119"/>
  <c r="N56" i="119"/>
  <c r="M56" i="119"/>
  <c r="L56" i="119"/>
  <c r="N33" i="119"/>
  <c r="M33" i="119"/>
  <c r="L33" i="119"/>
  <c r="N42" i="119"/>
  <c r="M42" i="119"/>
  <c r="L42" i="119"/>
  <c r="N6" i="119"/>
  <c r="M6" i="119"/>
  <c r="L6" i="119"/>
  <c r="N28" i="119"/>
  <c r="M28" i="119"/>
  <c r="L28" i="119"/>
  <c r="N10" i="119"/>
  <c r="M10" i="119"/>
  <c r="L10" i="119"/>
  <c r="N29" i="119"/>
  <c r="M29" i="119"/>
  <c r="L29" i="119"/>
  <c r="N32" i="119"/>
  <c r="M32" i="119"/>
  <c r="L32" i="119"/>
  <c r="N17" i="119"/>
  <c r="M17" i="119"/>
  <c r="L17" i="119"/>
  <c r="N11" i="119"/>
  <c r="M11" i="119"/>
  <c r="L11" i="119"/>
  <c r="S25" i="119"/>
  <c r="N25" i="119"/>
  <c r="M25" i="119"/>
  <c r="L25" i="119"/>
  <c r="N26" i="119"/>
  <c r="M26" i="119"/>
  <c r="L26" i="119"/>
  <c r="S51" i="119"/>
  <c r="N51" i="119"/>
  <c r="M51" i="119"/>
  <c r="L51" i="119"/>
  <c r="S68" i="119"/>
  <c r="N68" i="119"/>
  <c r="M68" i="119"/>
  <c r="L68" i="119"/>
  <c r="N27" i="119"/>
  <c r="M27" i="119"/>
  <c r="L27" i="119"/>
  <c r="N18" i="119"/>
  <c r="M18" i="119"/>
  <c r="L18" i="119"/>
  <c r="N44" i="119"/>
  <c r="M44" i="119"/>
  <c r="L44" i="119"/>
  <c r="N20" i="119"/>
  <c r="M20" i="119"/>
  <c r="L20" i="119"/>
  <c r="Y9" i="119"/>
  <c r="S23" i="119" s="1"/>
  <c r="N23" i="119"/>
  <c r="M23" i="119"/>
  <c r="L23" i="119"/>
  <c r="Y8" i="119"/>
  <c r="N38" i="119"/>
  <c r="M38" i="119"/>
  <c r="L38" i="119"/>
  <c r="Y7" i="119"/>
  <c r="S39" i="119"/>
  <c r="N39" i="119"/>
  <c r="M39" i="119"/>
  <c r="L39" i="119"/>
  <c r="N37" i="119"/>
  <c r="M37" i="119"/>
  <c r="L37" i="119"/>
  <c r="Y5" i="119"/>
  <c r="S26" i="119" s="1"/>
  <c r="N40" i="119"/>
  <c r="M40" i="119"/>
  <c r="L40" i="119"/>
  <c r="Y4" i="119"/>
  <c r="S29" i="119" s="1"/>
  <c r="Y3" i="119"/>
  <c r="S37" i="119" s="1"/>
  <c r="B1" i="119"/>
  <c r="T13" i="120" l="1"/>
  <c r="T40" i="120"/>
  <c r="T30" i="120"/>
  <c r="T31" i="120"/>
  <c r="T25" i="120"/>
  <c r="T28" i="120"/>
  <c r="T42" i="120"/>
  <c r="T57" i="120"/>
  <c r="T23" i="120"/>
  <c r="T12" i="120"/>
  <c r="T22" i="120"/>
  <c r="T27" i="120"/>
  <c r="S46" i="119"/>
  <c r="S57" i="119"/>
  <c r="S54" i="119"/>
  <c r="S41" i="119"/>
  <c r="P63" i="119"/>
  <c r="R63" i="119" s="1"/>
  <c r="T63" i="119" s="1"/>
  <c r="P19" i="119"/>
  <c r="R19" i="119" s="1"/>
  <c r="P12" i="119"/>
  <c r="R12" i="119" s="1"/>
  <c r="P57" i="119"/>
  <c r="R57" i="119" s="1"/>
  <c r="T57" i="119" s="1"/>
  <c r="P56" i="119"/>
  <c r="R56" i="119" s="1"/>
  <c r="T56" i="119" s="1"/>
  <c r="P46" i="119"/>
  <c r="R46" i="119" s="1"/>
  <c r="P61" i="119"/>
  <c r="R61" i="119" s="1"/>
  <c r="T61" i="119" s="1"/>
  <c r="P21" i="119"/>
  <c r="R21" i="119" s="1"/>
  <c r="P29" i="119"/>
  <c r="R29" i="119" s="1"/>
  <c r="P17" i="119"/>
  <c r="R17" i="119" s="1"/>
  <c r="P28" i="119"/>
  <c r="R28" i="119" s="1"/>
  <c r="P25" i="119"/>
  <c r="R25" i="119" s="1"/>
  <c r="T25" i="119" s="1"/>
  <c r="P36" i="119"/>
  <c r="R36" i="119" s="1"/>
  <c r="P65" i="119"/>
  <c r="R65" i="119" s="1"/>
  <c r="T65" i="119" s="1"/>
  <c r="P58" i="119"/>
  <c r="R58" i="119" s="1"/>
  <c r="T58" i="119" s="1"/>
  <c r="P67" i="119"/>
  <c r="R67" i="119" s="1"/>
  <c r="T67" i="119" s="1"/>
  <c r="P38" i="119"/>
  <c r="R38" i="119" s="1"/>
  <c r="P51" i="119"/>
  <c r="R51" i="119" s="1"/>
  <c r="T51" i="119" s="1"/>
  <c r="P34" i="119"/>
  <c r="R34" i="119" s="1"/>
  <c r="P33" i="119"/>
  <c r="R33" i="119" s="1"/>
  <c r="P14" i="119"/>
  <c r="R14" i="119" s="1"/>
  <c r="P47" i="119"/>
  <c r="R47" i="119" s="1"/>
  <c r="P10" i="119"/>
  <c r="R10" i="119" s="1"/>
  <c r="P23" i="119"/>
  <c r="R23" i="119" s="1"/>
  <c r="T23" i="119" s="1"/>
  <c r="P18" i="119"/>
  <c r="R18" i="119" s="1"/>
  <c r="P9" i="119"/>
  <c r="R9" i="119" s="1"/>
  <c r="P5" i="119"/>
  <c r="R5" i="119" s="1"/>
  <c r="P11" i="119"/>
  <c r="R11" i="119" s="1"/>
  <c r="P53" i="119"/>
  <c r="R53" i="119" s="1"/>
  <c r="T53" i="119" s="1"/>
  <c r="P27" i="119"/>
  <c r="R27" i="119" s="1"/>
  <c r="P26" i="119"/>
  <c r="R26" i="119" s="1"/>
  <c r="T26" i="119" s="1"/>
  <c r="P66" i="119"/>
  <c r="R66" i="119" s="1"/>
  <c r="T66" i="119" s="1"/>
  <c r="P13" i="119"/>
  <c r="R13" i="119" s="1"/>
  <c r="P43" i="119"/>
  <c r="R43" i="119" s="1"/>
  <c r="P31" i="119"/>
  <c r="R31" i="119" s="1"/>
  <c r="P45" i="119"/>
  <c r="R45" i="119" s="1"/>
  <c r="P8" i="119"/>
  <c r="R8" i="119" s="1"/>
  <c r="P6" i="119"/>
  <c r="R6" i="119" s="1"/>
  <c r="P60" i="119"/>
  <c r="R60" i="119" s="1"/>
  <c r="T60" i="119" s="1"/>
  <c r="P50" i="119"/>
  <c r="R50" i="119" s="1"/>
  <c r="T50" i="119" s="1"/>
  <c r="P55" i="119"/>
  <c r="R55" i="119" s="1"/>
  <c r="T55" i="119" s="1"/>
  <c r="P42" i="119"/>
  <c r="R42" i="119" s="1"/>
  <c r="P15" i="119"/>
  <c r="R15" i="119" s="1"/>
  <c r="P59" i="119"/>
  <c r="R59" i="119" s="1"/>
  <c r="T59" i="119" s="1"/>
  <c r="P16" i="119"/>
  <c r="R16" i="119" s="1"/>
  <c r="P62" i="119"/>
  <c r="R62" i="119" s="1"/>
  <c r="T62" i="119" s="1"/>
  <c r="P39" i="119"/>
  <c r="R39" i="119" s="1"/>
  <c r="T39" i="119" s="1"/>
  <c r="P20" i="119"/>
  <c r="R20" i="119" s="1"/>
  <c r="P49" i="119"/>
  <c r="R49" i="119" s="1"/>
  <c r="T49" i="119" s="1"/>
  <c r="P48" i="119"/>
  <c r="R48" i="119" s="1"/>
  <c r="T48" i="119" s="1"/>
  <c r="P44" i="119"/>
  <c r="R44" i="119" s="1"/>
  <c r="P52" i="119"/>
  <c r="R52" i="119" s="1"/>
  <c r="T52" i="119" s="1"/>
  <c r="P24" i="119"/>
  <c r="R24" i="119" s="1"/>
  <c r="P7" i="119"/>
  <c r="R7" i="119" s="1"/>
  <c r="P41" i="119"/>
  <c r="R41" i="119" s="1"/>
  <c r="T41" i="119" s="1"/>
  <c r="P68" i="119"/>
  <c r="R68" i="119" s="1"/>
  <c r="T68" i="119" s="1"/>
  <c r="P35" i="119"/>
  <c r="R35" i="119" s="1"/>
  <c r="P22" i="119"/>
  <c r="R22" i="119" s="1"/>
  <c r="P37" i="119"/>
  <c r="R37" i="119" s="1"/>
  <c r="T37" i="119" s="1"/>
  <c r="P54" i="119"/>
  <c r="R54" i="119" s="1"/>
  <c r="T54" i="119" s="1"/>
  <c r="P32" i="119"/>
  <c r="R32" i="119" s="1"/>
  <c r="P69" i="119"/>
  <c r="R69" i="119" s="1"/>
  <c r="T69" i="119" s="1"/>
  <c r="P64" i="119"/>
  <c r="R64" i="119" s="1"/>
  <c r="T64" i="119" s="1"/>
  <c r="P30" i="119"/>
  <c r="R30" i="119" s="1"/>
  <c r="P40" i="119"/>
  <c r="R40" i="119" s="1"/>
  <c r="T29" i="119"/>
  <c r="S21" i="119"/>
  <c r="S44" i="119"/>
  <c r="S28" i="119"/>
  <c r="S30" i="119"/>
  <c r="S22" i="119"/>
  <c r="S10" i="119"/>
  <c r="S11" i="119"/>
  <c r="S15" i="119"/>
  <c r="S40" i="119"/>
  <c r="S27" i="119"/>
  <c r="S42" i="119"/>
  <c r="S47" i="119"/>
  <c r="S16" i="119"/>
  <c r="S38" i="119"/>
  <c r="S14" i="119"/>
  <c r="S32" i="119"/>
  <c r="S13" i="119"/>
  <c r="S43" i="119"/>
  <c r="S7" i="119"/>
  <c r="S31" i="119"/>
  <c r="S36" i="119"/>
  <c r="S9" i="119"/>
  <c r="S5" i="119"/>
  <c r="S18" i="119"/>
  <c r="S6" i="119"/>
  <c r="S35" i="119"/>
  <c r="S20" i="119"/>
  <c r="S17" i="119"/>
  <c r="T17" i="119" s="1"/>
  <c r="S24" i="119"/>
  <c r="S8" i="119"/>
  <c r="S33" i="119"/>
  <c r="S45" i="119"/>
  <c r="S34" i="119"/>
  <c r="S19" i="119"/>
  <c r="S12" i="119"/>
  <c r="T12" i="119" s="1"/>
  <c r="S34" i="118"/>
  <c r="N34" i="118"/>
  <c r="M34" i="118"/>
  <c r="L34" i="118"/>
  <c r="S14" i="118"/>
  <c r="N14" i="118"/>
  <c r="M14" i="118"/>
  <c r="L14" i="118"/>
  <c r="S53" i="118"/>
  <c r="N53" i="118"/>
  <c r="M53" i="118"/>
  <c r="L53" i="118"/>
  <c r="S62" i="118"/>
  <c r="N62" i="118"/>
  <c r="M62" i="118"/>
  <c r="L62" i="118"/>
  <c r="S43" i="118"/>
  <c r="N43" i="118"/>
  <c r="M43" i="118"/>
  <c r="L43" i="118"/>
  <c r="S44" i="118"/>
  <c r="N44" i="118"/>
  <c r="M44" i="118"/>
  <c r="L44" i="118"/>
  <c r="S69" i="118"/>
  <c r="N69" i="118"/>
  <c r="M69" i="118"/>
  <c r="L69" i="118"/>
  <c r="S68" i="118"/>
  <c r="N68" i="118"/>
  <c r="M68" i="118"/>
  <c r="L68" i="118"/>
  <c r="S39" i="118"/>
  <c r="N39" i="118"/>
  <c r="M39" i="118"/>
  <c r="L39" i="118"/>
  <c r="S35" i="118"/>
  <c r="N35" i="118"/>
  <c r="M35" i="118"/>
  <c r="L35" i="118"/>
  <c r="S58" i="118"/>
  <c r="N58" i="118"/>
  <c r="M58" i="118"/>
  <c r="L58" i="118"/>
  <c r="S46" i="118"/>
  <c r="N46" i="118"/>
  <c r="M46" i="118"/>
  <c r="L46" i="118"/>
  <c r="N60" i="118"/>
  <c r="M60" i="118"/>
  <c r="L60" i="118"/>
  <c r="S27" i="118"/>
  <c r="N27" i="118"/>
  <c r="M27" i="118"/>
  <c r="L27" i="118"/>
  <c r="S40" i="118"/>
  <c r="N40" i="118"/>
  <c r="M40" i="118"/>
  <c r="L40" i="118"/>
  <c r="S64" i="118"/>
  <c r="N64" i="118"/>
  <c r="M64" i="118"/>
  <c r="L64" i="118"/>
  <c r="S45" i="118"/>
  <c r="N45" i="118"/>
  <c r="M45" i="118"/>
  <c r="L45" i="118"/>
  <c r="S49" i="118"/>
  <c r="N49" i="118"/>
  <c r="M49" i="118"/>
  <c r="L49" i="118"/>
  <c r="N48" i="118"/>
  <c r="M48" i="118"/>
  <c r="L48" i="118"/>
  <c r="N25" i="118"/>
  <c r="M25" i="118"/>
  <c r="L25" i="118"/>
  <c r="S15" i="118"/>
  <c r="N15" i="118"/>
  <c r="M15" i="118"/>
  <c r="L15" i="118"/>
  <c r="N66" i="118"/>
  <c r="M66" i="118"/>
  <c r="L66" i="118"/>
  <c r="S28" i="118"/>
  <c r="N28" i="118"/>
  <c r="M28" i="118"/>
  <c r="L28" i="118"/>
  <c r="S31" i="118"/>
  <c r="N31" i="118"/>
  <c r="M31" i="118"/>
  <c r="L31" i="118"/>
  <c r="N32" i="118"/>
  <c r="M32" i="118"/>
  <c r="L32" i="118"/>
  <c r="N54" i="118"/>
  <c r="M54" i="118"/>
  <c r="L54" i="118"/>
  <c r="N41" i="118"/>
  <c r="M41" i="118"/>
  <c r="L41" i="118"/>
  <c r="S9" i="118"/>
  <c r="N9" i="118"/>
  <c r="M9" i="118"/>
  <c r="L9" i="118"/>
  <c r="S55" i="118"/>
  <c r="N55" i="118"/>
  <c r="M55" i="118"/>
  <c r="L55" i="118"/>
  <c r="N22" i="118"/>
  <c r="M22" i="118"/>
  <c r="L22" i="118"/>
  <c r="N10" i="118"/>
  <c r="M10" i="118"/>
  <c r="L10" i="118"/>
  <c r="N24" i="118"/>
  <c r="M24" i="118"/>
  <c r="L24" i="118"/>
  <c r="N59" i="118"/>
  <c r="M59" i="118"/>
  <c r="L59" i="118"/>
  <c r="N19" i="118"/>
  <c r="M19" i="118"/>
  <c r="L19" i="118"/>
  <c r="N13" i="118"/>
  <c r="M13" i="118"/>
  <c r="L13" i="118"/>
  <c r="N57" i="118"/>
  <c r="M57" i="118"/>
  <c r="L57" i="118"/>
  <c r="N33" i="118"/>
  <c r="M33" i="118"/>
  <c r="L33" i="118"/>
  <c r="N51" i="118"/>
  <c r="M51" i="118"/>
  <c r="L51" i="118"/>
  <c r="N21" i="118"/>
  <c r="M21" i="118"/>
  <c r="L21" i="118"/>
  <c r="N23" i="118"/>
  <c r="M23" i="118"/>
  <c r="L23" i="118"/>
  <c r="N61" i="118"/>
  <c r="M61" i="118"/>
  <c r="L61" i="118"/>
  <c r="N26" i="118"/>
  <c r="M26" i="118"/>
  <c r="L26" i="118"/>
  <c r="N38" i="118"/>
  <c r="M38" i="118"/>
  <c r="L38" i="118"/>
  <c r="N52" i="118"/>
  <c r="M52" i="118"/>
  <c r="L52" i="118"/>
  <c r="N29" i="118"/>
  <c r="M29" i="118"/>
  <c r="L29" i="118"/>
  <c r="N30" i="118"/>
  <c r="M30" i="118"/>
  <c r="L30" i="118"/>
  <c r="S17" i="118"/>
  <c r="N17" i="118"/>
  <c r="M17" i="118"/>
  <c r="L17" i="118"/>
  <c r="N37" i="118"/>
  <c r="M37" i="118"/>
  <c r="L37" i="118"/>
  <c r="N63" i="118"/>
  <c r="M63" i="118"/>
  <c r="L63" i="118"/>
  <c r="N5" i="118"/>
  <c r="M5" i="118"/>
  <c r="L5" i="118"/>
  <c r="S12" i="118"/>
  <c r="N12" i="118"/>
  <c r="M12" i="118"/>
  <c r="L12" i="118"/>
  <c r="N36" i="118"/>
  <c r="M36" i="118"/>
  <c r="L36" i="118"/>
  <c r="N50" i="118"/>
  <c r="M50" i="118"/>
  <c r="L50" i="118"/>
  <c r="S42" i="118"/>
  <c r="N42" i="118"/>
  <c r="M42" i="118"/>
  <c r="L42" i="118"/>
  <c r="N47" i="118"/>
  <c r="M47" i="118"/>
  <c r="L47" i="118"/>
  <c r="N7" i="118"/>
  <c r="M7" i="118"/>
  <c r="L7" i="118"/>
  <c r="N11" i="118"/>
  <c r="M11" i="118"/>
  <c r="L11" i="118"/>
  <c r="N18" i="118"/>
  <c r="M18" i="118"/>
  <c r="L18" i="118"/>
  <c r="N16" i="118"/>
  <c r="M16" i="118"/>
  <c r="L16" i="118"/>
  <c r="N67" i="118"/>
  <c r="M67" i="118"/>
  <c r="L67" i="118"/>
  <c r="Y9" i="118"/>
  <c r="S22" i="118" s="1"/>
  <c r="N8" i="118"/>
  <c r="M8" i="118"/>
  <c r="L8" i="118"/>
  <c r="Y8" i="118"/>
  <c r="N56" i="118"/>
  <c r="M56" i="118"/>
  <c r="L56" i="118"/>
  <c r="Y7" i="118"/>
  <c r="S8" i="118" s="1"/>
  <c r="N6" i="118"/>
  <c r="M6" i="118"/>
  <c r="L6" i="118"/>
  <c r="N20" i="118"/>
  <c r="M20" i="118"/>
  <c r="L20" i="118"/>
  <c r="Y5" i="118"/>
  <c r="S25" i="118" s="1"/>
  <c r="S65" i="118"/>
  <c r="N65" i="118"/>
  <c r="M65" i="118"/>
  <c r="L65" i="118"/>
  <c r="Y4" i="118"/>
  <c r="S47" i="118" s="1"/>
  <c r="Y3" i="118"/>
  <c r="S37" i="118" s="1"/>
  <c r="B1" i="118"/>
  <c r="T46" i="119" l="1"/>
  <c r="T34" i="119"/>
  <c r="T36" i="119"/>
  <c r="T14" i="119"/>
  <c r="T10" i="119"/>
  <c r="T13" i="119"/>
  <c r="T19" i="119"/>
  <c r="T28" i="119"/>
  <c r="T32" i="119"/>
  <c r="T20" i="119"/>
  <c r="T21" i="119"/>
  <c r="T18" i="119"/>
  <c r="T47" i="119"/>
  <c r="T30" i="119"/>
  <c r="T22" i="119"/>
  <c r="T5" i="119"/>
  <c r="T8" i="119"/>
  <c r="T31" i="119"/>
  <c r="T33" i="119"/>
  <c r="T38" i="119"/>
  <c r="T7" i="119"/>
  <c r="T11" i="119"/>
  <c r="T43" i="119"/>
  <c r="T45" i="119"/>
  <c r="T24" i="119"/>
  <c r="T9" i="119"/>
  <c r="T27" i="119"/>
  <c r="T6" i="119"/>
  <c r="T44" i="119"/>
  <c r="T35" i="119"/>
  <c r="T16" i="119"/>
  <c r="T42" i="119"/>
  <c r="T15" i="119"/>
  <c r="T40" i="119"/>
  <c r="S6" i="118"/>
  <c r="S11" i="118"/>
  <c r="S59" i="118"/>
  <c r="S67" i="118"/>
  <c r="S57" i="118"/>
  <c r="S23" i="118"/>
  <c r="S56" i="118"/>
  <c r="S50" i="118"/>
  <c r="S7" i="118"/>
  <c r="S36" i="118"/>
  <c r="S20" i="118"/>
  <c r="S29" i="118"/>
  <c r="S61" i="118"/>
  <c r="P56" i="118"/>
  <c r="R56" i="118" s="1"/>
  <c r="P53" i="118"/>
  <c r="R53" i="118" s="1"/>
  <c r="T53" i="118" s="1"/>
  <c r="P42" i="118"/>
  <c r="R42" i="118" s="1"/>
  <c r="T42" i="118" s="1"/>
  <c r="P18" i="118"/>
  <c r="R18" i="118" s="1"/>
  <c r="P54" i="118"/>
  <c r="R54" i="118" s="1"/>
  <c r="P23" i="118"/>
  <c r="R23" i="118" s="1"/>
  <c r="P51" i="118"/>
  <c r="R51" i="118" s="1"/>
  <c r="P21" i="118"/>
  <c r="R21" i="118" s="1"/>
  <c r="P9" i="118"/>
  <c r="R9" i="118" s="1"/>
  <c r="T9" i="118" s="1"/>
  <c r="P16" i="118"/>
  <c r="R16" i="118" s="1"/>
  <c r="P36" i="118"/>
  <c r="R36" i="118" s="1"/>
  <c r="P40" i="118"/>
  <c r="R40" i="118" s="1"/>
  <c r="T40" i="118" s="1"/>
  <c r="P31" i="118"/>
  <c r="R31" i="118" s="1"/>
  <c r="T31" i="118" s="1"/>
  <c r="P41" i="118"/>
  <c r="R41" i="118" s="1"/>
  <c r="P25" i="118"/>
  <c r="R25" i="118" s="1"/>
  <c r="T25" i="118" s="1"/>
  <c r="P27" i="118"/>
  <c r="R27" i="118" s="1"/>
  <c r="T27" i="118" s="1"/>
  <c r="P14" i="118"/>
  <c r="R14" i="118" s="1"/>
  <c r="T14" i="118" s="1"/>
  <c r="P12" i="118"/>
  <c r="R12" i="118" s="1"/>
  <c r="T12" i="118" s="1"/>
  <c r="P6" i="118"/>
  <c r="R6" i="118" s="1"/>
  <c r="P11" i="118"/>
  <c r="R11" i="118" s="1"/>
  <c r="P35" i="118"/>
  <c r="R35" i="118" s="1"/>
  <c r="T35" i="118" s="1"/>
  <c r="P5" i="118"/>
  <c r="R5" i="118" s="1"/>
  <c r="P55" i="118"/>
  <c r="R55" i="118" s="1"/>
  <c r="T55" i="118" s="1"/>
  <c r="P7" i="118"/>
  <c r="R7" i="118" s="1"/>
  <c r="P60" i="118"/>
  <c r="R60" i="118" s="1"/>
  <c r="P34" i="118"/>
  <c r="R34" i="118" s="1"/>
  <c r="T34" i="118" s="1"/>
  <c r="P19" i="118"/>
  <c r="R19" i="118" s="1"/>
  <c r="P10" i="118"/>
  <c r="R10" i="118" s="1"/>
  <c r="P24" i="118"/>
  <c r="R24" i="118" s="1"/>
  <c r="P22" i="118"/>
  <c r="R22" i="118" s="1"/>
  <c r="T22" i="118" s="1"/>
  <c r="P67" i="118"/>
  <c r="R67" i="118" s="1"/>
  <c r="T67" i="118" s="1"/>
  <c r="P33" i="118"/>
  <c r="R33" i="118" s="1"/>
  <c r="P58" i="118"/>
  <c r="R58" i="118" s="1"/>
  <c r="T58" i="118" s="1"/>
  <c r="P68" i="118"/>
  <c r="R68" i="118" s="1"/>
  <c r="T68" i="118" s="1"/>
  <c r="P43" i="118"/>
  <c r="R43" i="118" s="1"/>
  <c r="T43" i="118" s="1"/>
  <c r="P69" i="118"/>
  <c r="R69" i="118" s="1"/>
  <c r="T69" i="118" s="1"/>
  <c r="P52" i="118"/>
  <c r="R52" i="118" s="1"/>
  <c r="P45" i="118"/>
  <c r="R45" i="118" s="1"/>
  <c r="T45" i="118" s="1"/>
  <c r="P17" i="118"/>
  <c r="R17" i="118" s="1"/>
  <c r="T17" i="118" s="1"/>
  <c r="P50" i="118"/>
  <c r="R50" i="118" s="1"/>
  <c r="T50" i="118" s="1"/>
  <c r="P59" i="118"/>
  <c r="R59" i="118" s="1"/>
  <c r="T59" i="118" s="1"/>
  <c r="P28" i="118"/>
  <c r="R28" i="118" s="1"/>
  <c r="T28" i="118" s="1"/>
  <c r="P64" i="118"/>
  <c r="R64" i="118" s="1"/>
  <c r="T64" i="118" s="1"/>
  <c r="P26" i="118"/>
  <c r="R26" i="118" s="1"/>
  <c r="P48" i="118"/>
  <c r="R48" i="118" s="1"/>
  <c r="P30" i="118"/>
  <c r="R30" i="118" s="1"/>
  <c r="P38" i="118"/>
  <c r="R38" i="118" s="1"/>
  <c r="P57" i="118"/>
  <c r="R57" i="118" s="1"/>
  <c r="P62" i="118"/>
  <c r="R62" i="118" s="1"/>
  <c r="T62" i="118" s="1"/>
  <c r="P63" i="118"/>
  <c r="R63" i="118" s="1"/>
  <c r="P66" i="118"/>
  <c r="R66" i="118" s="1"/>
  <c r="P20" i="118"/>
  <c r="R20" i="118" s="1"/>
  <c r="P47" i="118"/>
  <c r="R47" i="118" s="1"/>
  <c r="T47" i="118" s="1"/>
  <c r="P32" i="118"/>
  <c r="R32" i="118" s="1"/>
  <c r="P29" i="118"/>
  <c r="R29" i="118" s="1"/>
  <c r="P13" i="118"/>
  <c r="R13" i="118" s="1"/>
  <c r="P49" i="118"/>
  <c r="R49" i="118" s="1"/>
  <c r="T49" i="118" s="1"/>
  <c r="P8" i="118"/>
  <c r="R8" i="118" s="1"/>
  <c r="T8" i="118" s="1"/>
  <c r="P37" i="118"/>
  <c r="R37" i="118" s="1"/>
  <c r="T37" i="118" s="1"/>
  <c r="P61" i="118"/>
  <c r="R61" i="118" s="1"/>
  <c r="T61" i="118" s="1"/>
  <c r="P15" i="118"/>
  <c r="R15" i="118" s="1"/>
  <c r="T15" i="118" s="1"/>
  <c r="P46" i="118"/>
  <c r="R46" i="118" s="1"/>
  <c r="T46" i="118" s="1"/>
  <c r="P39" i="118"/>
  <c r="R39" i="118" s="1"/>
  <c r="T39" i="118" s="1"/>
  <c r="P44" i="118"/>
  <c r="R44" i="118" s="1"/>
  <c r="T44" i="118" s="1"/>
  <c r="P65" i="118"/>
  <c r="R65" i="118" s="1"/>
  <c r="T65" i="118" s="1"/>
  <c r="S16" i="118"/>
  <c r="S13" i="118"/>
  <c r="S5" i="118"/>
  <c r="S51" i="118"/>
  <c r="S54" i="118"/>
  <c r="S38" i="118"/>
  <c r="S10" i="118"/>
  <c r="S48" i="118"/>
  <c r="S18" i="118"/>
  <c r="S30" i="118"/>
  <c r="S19" i="118"/>
  <c r="S66" i="118"/>
  <c r="S21" i="118"/>
  <c r="S41" i="118"/>
  <c r="S52" i="118"/>
  <c r="S24" i="118"/>
  <c r="S63" i="118"/>
  <c r="S33" i="118"/>
  <c r="S32" i="118"/>
  <c r="S60" i="118"/>
  <c r="S26" i="118"/>
  <c r="S69" i="117"/>
  <c r="N69" i="117"/>
  <c r="M69" i="117"/>
  <c r="L69" i="117"/>
  <c r="S68" i="117"/>
  <c r="N68" i="117"/>
  <c r="M68" i="117"/>
  <c r="L68" i="117"/>
  <c r="S67" i="117"/>
  <c r="N67" i="117"/>
  <c r="M67" i="117"/>
  <c r="L67" i="117"/>
  <c r="S66" i="117"/>
  <c r="N66" i="117"/>
  <c r="M66" i="117"/>
  <c r="L66" i="117"/>
  <c r="S65" i="117"/>
  <c r="N65" i="117"/>
  <c r="M65" i="117"/>
  <c r="L65" i="117"/>
  <c r="S64" i="117"/>
  <c r="N64" i="117"/>
  <c r="M64" i="117"/>
  <c r="L64" i="117"/>
  <c r="S62" i="117"/>
  <c r="N62" i="117"/>
  <c r="M62" i="117"/>
  <c r="L62" i="117"/>
  <c r="S61" i="117"/>
  <c r="N61" i="117"/>
  <c r="M61" i="117"/>
  <c r="L61" i="117"/>
  <c r="S60" i="117"/>
  <c r="N60" i="117"/>
  <c r="M60" i="117"/>
  <c r="L60" i="117"/>
  <c r="N57" i="117"/>
  <c r="M57" i="117"/>
  <c r="L57" i="117"/>
  <c r="S59" i="117"/>
  <c r="N59" i="117"/>
  <c r="M59" i="117"/>
  <c r="L59" i="117"/>
  <c r="S58" i="117"/>
  <c r="N58" i="117"/>
  <c r="M58" i="117"/>
  <c r="L58" i="117"/>
  <c r="N63" i="117"/>
  <c r="M63" i="117"/>
  <c r="L63" i="117"/>
  <c r="S56" i="117"/>
  <c r="N56" i="117"/>
  <c r="M56" i="117"/>
  <c r="L56" i="117"/>
  <c r="S55" i="117"/>
  <c r="N55" i="117"/>
  <c r="M55" i="117"/>
  <c r="L55" i="117"/>
  <c r="S54" i="117"/>
  <c r="N54" i="117"/>
  <c r="M54" i="117"/>
  <c r="L54" i="117"/>
  <c r="S53" i="117"/>
  <c r="N53" i="117"/>
  <c r="M53" i="117"/>
  <c r="L53" i="117"/>
  <c r="S52" i="117"/>
  <c r="N52" i="117"/>
  <c r="M52" i="117"/>
  <c r="L52" i="117"/>
  <c r="N51" i="117"/>
  <c r="M51" i="117"/>
  <c r="L51" i="117"/>
  <c r="S50" i="117"/>
  <c r="N50" i="117"/>
  <c r="M50" i="117"/>
  <c r="L50" i="117"/>
  <c r="N48" i="117"/>
  <c r="M48" i="117"/>
  <c r="L48" i="117"/>
  <c r="N42" i="117"/>
  <c r="M42" i="117"/>
  <c r="L42" i="117"/>
  <c r="S47" i="117"/>
  <c r="N47" i="117"/>
  <c r="M47" i="117"/>
  <c r="L47" i="117"/>
  <c r="N27" i="117"/>
  <c r="M27" i="117"/>
  <c r="L27" i="117"/>
  <c r="N30" i="117"/>
  <c r="M30" i="117"/>
  <c r="L30" i="117"/>
  <c r="N26" i="117"/>
  <c r="M26" i="117"/>
  <c r="L26" i="117"/>
  <c r="S46" i="117"/>
  <c r="N46" i="117"/>
  <c r="M46" i="117"/>
  <c r="L46" i="117"/>
  <c r="N25" i="117"/>
  <c r="M25" i="117"/>
  <c r="L25" i="117"/>
  <c r="N41" i="117"/>
  <c r="M41" i="117"/>
  <c r="L41" i="117"/>
  <c r="N22" i="117"/>
  <c r="M22" i="117"/>
  <c r="L22" i="117"/>
  <c r="N21" i="117"/>
  <c r="M21" i="117"/>
  <c r="L21" i="117"/>
  <c r="N29" i="117"/>
  <c r="M29" i="117"/>
  <c r="L29" i="117"/>
  <c r="N34" i="117"/>
  <c r="M34" i="117"/>
  <c r="L34" i="117"/>
  <c r="N19" i="117"/>
  <c r="M19" i="117"/>
  <c r="L19" i="117"/>
  <c r="N18" i="117"/>
  <c r="M18" i="117"/>
  <c r="L18" i="117"/>
  <c r="N17" i="117"/>
  <c r="M17" i="117"/>
  <c r="L17" i="117"/>
  <c r="N14" i="117"/>
  <c r="M14" i="117"/>
  <c r="L14" i="117"/>
  <c r="N16" i="117"/>
  <c r="M16" i="117"/>
  <c r="L16" i="117"/>
  <c r="N15" i="117"/>
  <c r="M15" i="117"/>
  <c r="L15" i="117"/>
  <c r="N24" i="117"/>
  <c r="M24" i="117"/>
  <c r="L24" i="117"/>
  <c r="N9" i="117"/>
  <c r="M9" i="117"/>
  <c r="L9" i="117"/>
  <c r="N12" i="117"/>
  <c r="M12" i="117"/>
  <c r="L12" i="117"/>
  <c r="N11" i="117"/>
  <c r="M11" i="117"/>
  <c r="L11" i="117"/>
  <c r="N7" i="117"/>
  <c r="M7" i="117"/>
  <c r="L7" i="117"/>
  <c r="N10" i="117"/>
  <c r="M10" i="117"/>
  <c r="L10" i="117"/>
  <c r="N13" i="117"/>
  <c r="M13" i="117"/>
  <c r="L13" i="117"/>
  <c r="N6" i="117"/>
  <c r="M6" i="117"/>
  <c r="L6" i="117"/>
  <c r="N8" i="117"/>
  <c r="M8" i="117"/>
  <c r="L8" i="117"/>
  <c r="N20" i="117"/>
  <c r="M20" i="117"/>
  <c r="L20" i="117"/>
  <c r="N31" i="117"/>
  <c r="M31" i="117"/>
  <c r="L31" i="117"/>
  <c r="N33" i="117"/>
  <c r="M33" i="117"/>
  <c r="L33" i="117"/>
  <c r="N32" i="117"/>
  <c r="M32" i="117"/>
  <c r="L32" i="117"/>
  <c r="N49" i="117"/>
  <c r="M49" i="117"/>
  <c r="L49" i="117"/>
  <c r="N38" i="117"/>
  <c r="M38" i="117"/>
  <c r="L38" i="117"/>
  <c r="N37" i="117"/>
  <c r="M37" i="117"/>
  <c r="L37" i="117"/>
  <c r="N28" i="117"/>
  <c r="M28" i="117"/>
  <c r="L28" i="117"/>
  <c r="S23" i="117"/>
  <c r="N23" i="117"/>
  <c r="M23" i="117"/>
  <c r="L23" i="117"/>
  <c r="N43" i="117"/>
  <c r="M43" i="117"/>
  <c r="L43" i="117"/>
  <c r="N45" i="117"/>
  <c r="M45" i="117"/>
  <c r="L45" i="117"/>
  <c r="S35" i="117"/>
  <c r="N35" i="117"/>
  <c r="M35" i="117"/>
  <c r="L35" i="117"/>
  <c r="N40" i="117"/>
  <c r="M40" i="117"/>
  <c r="L40" i="117"/>
  <c r="N39" i="117"/>
  <c r="M39" i="117"/>
  <c r="L39" i="117"/>
  <c r="N36" i="117"/>
  <c r="M36" i="117"/>
  <c r="L36" i="117"/>
  <c r="N44" i="117"/>
  <c r="M44" i="117"/>
  <c r="L44" i="117"/>
  <c r="N5" i="117"/>
  <c r="M5" i="117"/>
  <c r="L5" i="117"/>
  <c r="Y9" i="117"/>
  <c r="S44" i="117" s="1"/>
  <c r="Y8" i="117"/>
  <c r="S19" i="117" s="1"/>
  <c r="Y7" i="117"/>
  <c r="Y5" i="117"/>
  <c r="Y4" i="117"/>
  <c r="S33" i="117" s="1"/>
  <c r="Y3" i="117"/>
  <c r="B1" i="117"/>
  <c r="T6" i="118" l="1"/>
  <c r="T11" i="118"/>
  <c r="T29" i="118"/>
  <c r="T23" i="118"/>
  <c r="T57" i="118"/>
  <c r="T36" i="118"/>
  <c r="T20" i="118"/>
  <c r="T56" i="118"/>
  <c r="T7" i="118"/>
  <c r="T66" i="118"/>
  <c r="T63" i="118"/>
  <c r="T19" i="118"/>
  <c r="T38" i="118"/>
  <c r="T13" i="118"/>
  <c r="T54" i="118"/>
  <c r="T18" i="118"/>
  <c r="T33" i="118"/>
  <c r="T5" i="118"/>
  <c r="T51" i="118"/>
  <c r="T41" i="118"/>
  <c r="T21" i="118"/>
  <c r="T16" i="118"/>
  <c r="T26" i="118"/>
  <c r="T48" i="118"/>
  <c r="T32" i="118"/>
  <c r="T10" i="118"/>
  <c r="T30" i="118"/>
  <c r="T60" i="118"/>
  <c r="T24" i="118"/>
  <c r="T52" i="118"/>
  <c r="S57" i="117"/>
  <c r="S21" i="117"/>
  <c r="S20" i="117"/>
  <c r="S51" i="117"/>
  <c r="S42" i="117"/>
  <c r="S28" i="117"/>
  <c r="S43" i="117"/>
  <c r="S40" i="117"/>
  <c r="P22" i="117"/>
  <c r="R22" i="117" s="1"/>
  <c r="P36" i="117"/>
  <c r="R36" i="117" s="1"/>
  <c r="P45" i="117"/>
  <c r="R45" i="117" s="1"/>
  <c r="P41" i="117"/>
  <c r="R41" i="117" s="1"/>
  <c r="P60" i="117"/>
  <c r="R60" i="117" s="1"/>
  <c r="T60" i="117" s="1"/>
  <c r="P62" i="117"/>
  <c r="R62" i="117" s="1"/>
  <c r="T62" i="117" s="1"/>
  <c r="P16" i="117"/>
  <c r="R16" i="117" s="1"/>
  <c r="P5" i="117"/>
  <c r="R5" i="117" s="1"/>
  <c r="P33" i="117"/>
  <c r="R33" i="117" s="1"/>
  <c r="T33" i="117" s="1"/>
  <c r="P11" i="117"/>
  <c r="R11" i="117" s="1"/>
  <c r="P18" i="117"/>
  <c r="R18" i="117" s="1"/>
  <c r="P53" i="117"/>
  <c r="R53" i="117" s="1"/>
  <c r="T53" i="117" s="1"/>
  <c r="P26" i="117"/>
  <c r="R26" i="117" s="1"/>
  <c r="P51" i="117"/>
  <c r="R51" i="117" s="1"/>
  <c r="P25" i="117"/>
  <c r="R25" i="117" s="1"/>
  <c r="P39" i="117"/>
  <c r="R39" i="117" s="1"/>
  <c r="P28" i="117"/>
  <c r="R28" i="117" s="1"/>
  <c r="P29" i="117"/>
  <c r="R29" i="117" s="1"/>
  <c r="P42" i="117"/>
  <c r="R42" i="117" s="1"/>
  <c r="P23" i="117"/>
  <c r="R23" i="117" s="1"/>
  <c r="T23" i="117" s="1"/>
  <c r="P30" i="117"/>
  <c r="R30" i="117" s="1"/>
  <c r="P61" i="117"/>
  <c r="R61" i="117" s="1"/>
  <c r="T61" i="117" s="1"/>
  <c r="P21" i="117"/>
  <c r="R21" i="117" s="1"/>
  <c r="P65" i="117"/>
  <c r="R65" i="117" s="1"/>
  <c r="T65" i="117" s="1"/>
  <c r="P66" i="117"/>
  <c r="R66" i="117" s="1"/>
  <c r="T66" i="117" s="1"/>
  <c r="P68" i="117"/>
  <c r="R68" i="117" s="1"/>
  <c r="T68" i="117" s="1"/>
  <c r="P12" i="117"/>
  <c r="R12" i="117" s="1"/>
  <c r="P27" i="117"/>
  <c r="R27" i="117" s="1"/>
  <c r="P44" i="117"/>
  <c r="R44" i="117" s="1"/>
  <c r="T44" i="117" s="1"/>
  <c r="P38" i="117"/>
  <c r="R38" i="117" s="1"/>
  <c r="P20" i="117"/>
  <c r="R20" i="117" s="1"/>
  <c r="T20" i="117" s="1"/>
  <c r="P50" i="117"/>
  <c r="R50" i="117" s="1"/>
  <c r="T50" i="117" s="1"/>
  <c r="P56" i="117"/>
  <c r="R56" i="117" s="1"/>
  <c r="T56" i="117" s="1"/>
  <c r="P63" i="117"/>
  <c r="R63" i="117" s="1"/>
  <c r="P13" i="117"/>
  <c r="R13" i="117" s="1"/>
  <c r="P37" i="117"/>
  <c r="R37" i="117" s="1"/>
  <c r="P9" i="117"/>
  <c r="R9" i="117" s="1"/>
  <c r="P54" i="117"/>
  <c r="R54" i="117" s="1"/>
  <c r="T54" i="117" s="1"/>
  <c r="P64" i="117"/>
  <c r="R64" i="117" s="1"/>
  <c r="T64" i="117" s="1"/>
  <c r="P49" i="117"/>
  <c r="R49" i="117" s="1"/>
  <c r="P8" i="117"/>
  <c r="R8" i="117" s="1"/>
  <c r="P10" i="117"/>
  <c r="R10" i="117" s="1"/>
  <c r="P14" i="117"/>
  <c r="R14" i="117" s="1"/>
  <c r="P34" i="117"/>
  <c r="R34" i="117" s="1"/>
  <c r="P59" i="117"/>
  <c r="R59" i="117" s="1"/>
  <c r="T59" i="117" s="1"/>
  <c r="P67" i="117"/>
  <c r="R67" i="117" s="1"/>
  <c r="T67" i="117" s="1"/>
  <c r="P43" i="117"/>
  <c r="R43" i="117" s="1"/>
  <c r="T43" i="117" s="1"/>
  <c r="P40" i="117"/>
  <c r="R40" i="117" s="1"/>
  <c r="T40" i="117" s="1"/>
  <c r="P6" i="117"/>
  <c r="R6" i="117" s="1"/>
  <c r="P24" i="117"/>
  <c r="R24" i="117" s="1"/>
  <c r="P17" i="117"/>
  <c r="R17" i="117" s="1"/>
  <c r="P47" i="117"/>
  <c r="R47" i="117" s="1"/>
  <c r="T47" i="117" s="1"/>
  <c r="P52" i="117"/>
  <c r="R52" i="117" s="1"/>
  <c r="T52" i="117" s="1"/>
  <c r="P31" i="117"/>
  <c r="R31" i="117" s="1"/>
  <c r="P7" i="117"/>
  <c r="R7" i="117" s="1"/>
  <c r="P35" i="117"/>
  <c r="R35" i="117" s="1"/>
  <c r="T35" i="117" s="1"/>
  <c r="P32" i="117"/>
  <c r="R32" i="117" s="1"/>
  <c r="P15" i="117"/>
  <c r="R15" i="117" s="1"/>
  <c r="P57" i="117"/>
  <c r="R57" i="117" s="1"/>
  <c r="P55" i="117"/>
  <c r="R55" i="117" s="1"/>
  <c r="T55" i="117" s="1"/>
  <c r="P19" i="117"/>
  <c r="R19" i="117" s="1"/>
  <c r="T19" i="117" s="1"/>
  <c r="P46" i="117"/>
  <c r="R46" i="117" s="1"/>
  <c r="T46" i="117" s="1"/>
  <c r="P58" i="117"/>
  <c r="R58" i="117" s="1"/>
  <c r="T58" i="117" s="1"/>
  <c r="P48" i="117"/>
  <c r="R48" i="117" s="1"/>
  <c r="P69" i="117"/>
  <c r="R69" i="117" s="1"/>
  <c r="T69" i="117" s="1"/>
  <c r="S45" i="117"/>
  <c r="S38" i="117"/>
  <c r="S6" i="117"/>
  <c r="S16" i="117"/>
  <c r="S22" i="117"/>
  <c r="S48" i="117"/>
  <c r="S17" i="117"/>
  <c r="S26" i="117"/>
  <c r="T26" i="117" s="1"/>
  <c r="S39" i="117"/>
  <c r="S9" i="117"/>
  <c r="S29" i="117"/>
  <c r="S27" i="117"/>
  <c r="S7" i="117"/>
  <c r="S25" i="117"/>
  <c r="S8" i="117"/>
  <c r="S15" i="117"/>
  <c r="S5" i="117"/>
  <c r="S37" i="117"/>
  <c r="S31" i="117"/>
  <c r="S11" i="117"/>
  <c r="S18" i="117"/>
  <c r="S49" i="117"/>
  <c r="S14" i="117"/>
  <c r="S63" i="117"/>
  <c r="S13" i="117"/>
  <c r="S36" i="117"/>
  <c r="S12" i="117"/>
  <c r="S34" i="117"/>
  <c r="S30" i="117"/>
  <c r="S32" i="117"/>
  <c r="S10" i="117"/>
  <c r="S41" i="117"/>
  <c r="S24" i="117"/>
  <c r="T57" i="117" l="1"/>
  <c r="T21" i="117"/>
  <c r="T28" i="117"/>
  <c r="T51" i="117"/>
  <c r="T42" i="117"/>
  <c r="T63" i="117"/>
  <c r="T15" i="117"/>
  <c r="T29" i="117"/>
  <c r="T36" i="117"/>
  <c r="T45" i="117"/>
  <c r="T17" i="117"/>
  <c r="T7" i="117"/>
  <c r="T11" i="117"/>
  <c r="T22" i="117"/>
  <c r="T13" i="117"/>
  <c r="T16" i="117"/>
  <c r="T18" i="117"/>
  <c r="T41" i="117"/>
  <c r="T31" i="117"/>
  <c r="T30" i="117"/>
  <c r="T5" i="117"/>
  <c r="T27" i="117"/>
  <c r="T39" i="117"/>
  <c r="T32" i="117"/>
  <c r="T12" i="117"/>
  <c r="T37" i="117"/>
  <c r="T48" i="117"/>
  <c r="T9" i="117"/>
  <c r="T25" i="117"/>
  <c r="T38" i="117"/>
  <c r="T24" i="117"/>
  <c r="T10" i="117"/>
  <c r="T34" i="117"/>
  <c r="T6" i="117"/>
  <c r="T8" i="117"/>
  <c r="T14" i="117"/>
  <c r="T49" i="117"/>
</calcChain>
</file>

<file path=xl/sharedStrings.xml><?xml version="1.0" encoding="utf-8"?>
<sst xmlns="http://schemas.openxmlformats.org/spreadsheetml/2006/main" count="4632" uniqueCount="161">
  <si>
    <t>礼包类别</t>
  </si>
  <si>
    <t>备注</t>
  </si>
  <si>
    <t>编号</t>
  </si>
  <si>
    <t>昵称</t>
  </si>
  <si>
    <t>曾用名</t>
  </si>
  <si>
    <t>分包</t>
  </si>
  <si>
    <t>礼包耗费</t>
  </si>
  <si>
    <t>分包总分</t>
  </si>
  <si>
    <t>Forever`随风</t>
  </si>
  <si>
    <t>Forever`二傻</t>
  </si>
  <si>
    <t>Forever`帆锅</t>
  </si>
  <si>
    <t>Forever`小傻</t>
  </si>
  <si>
    <t>人数</t>
  </si>
  <si>
    <t>消耗分数</t>
  </si>
  <si>
    <t>封印卷個數</t>
  </si>
  <si>
    <t>通靈卷個數</t>
  </si>
  <si>
    <t>價值（金幣）</t>
  </si>
  <si>
    <t>参战</t>
  </si>
  <si>
    <t>新人战力排名</t>
  </si>
  <si>
    <t>新人初始分</t>
  </si>
  <si>
    <t>人物信息</t>
  </si>
  <si>
    <t>积分统计</t>
  </si>
  <si>
    <t>a跨服传说礼包</t>
  </si>
  <si>
    <t>人物账号</t>
  </si>
  <si>
    <t>参战得分</t>
  </si>
  <si>
    <t>本周得分</t>
  </si>
  <si>
    <t>上周得分</t>
  </si>
  <si>
    <t>结余分数</t>
  </si>
  <si>
    <t>b跨服英雄礼包</t>
  </si>
  <si>
    <t>c跨服精英礼包</t>
  </si>
  <si>
    <t>(未分包)</t>
  </si>
  <si>
    <t>Forever`大九</t>
  </si>
  <si>
    <t>周贡献参数</t>
  </si>
  <si>
    <t>礼包消耗参数</t>
  </si>
  <si>
    <t>年</t>
  </si>
  <si>
    <t>月</t>
  </si>
  <si>
    <t>日</t>
  </si>
  <si>
    <t>爱思妍</t>
  </si>
  <si>
    <t>Forever`hill</t>
  </si>
  <si>
    <t>组织集结</t>
  </si>
  <si>
    <t>次数</t>
  </si>
  <si>
    <t>组织集结得分</t>
  </si>
  <si>
    <t>*组织集结指数</t>
  </si>
  <si>
    <t>Forever`熊猫</t>
  </si>
  <si>
    <t>永恒小雨</t>
  </si>
  <si>
    <t>奖励得分</t>
  </si>
  <si>
    <t>Forever`玩偶</t>
  </si>
  <si>
    <t>Forever`白嫖</t>
  </si>
  <si>
    <t>LENG男妓</t>
  </si>
  <si>
    <t>泷泽晚剑心</t>
  </si>
  <si>
    <t>陌上花开·鼬</t>
  </si>
  <si>
    <t>a传说功勋礼包</t>
  </si>
  <si>
    <t>b英雄功勋礼包</t>
  </si>
  <si>
    <t>c精英功勋礼包</t>
  </si>
  <si>
    <t>Mr丶Hinata</t>
    <phoneticPr fontId="12" type="noConversion"/>
  </si>
  <si>
    <r>
      <t>Mr丶AA1妖妖</t>
    </r>
    <r>
      <rPr>
        <b/>
        <sz val="14"/>
        <rFont val="Nirmala UI"/>
        <family val="2"/>
        <charset val="134"/>
      </rPr>
      <t>এ</t>
    </r>
    <phoneticPr fontId="12" type="noConversion"/>
  </si>
  <si>
    <t>原石</t>
  </si>
  <si>
    <t>Mr丶随风এ</t>
  </si>
  <si>
    <t>Mr丶一二三এ</t>
  </si>
  <si>
    <t>Mr丶帆锅锅এ</t>
  </si>
  <si>
    <t>Ms丶山栀এ</t>
  </si>
  <si>
    <t>Mr丶爱思妍এ</t>
  </si>
  <si>
    <t>Mr丶小萌新এ</t>
  </si>
  <si>
    <t>Mr丶玄月এ</t>
  </si>
  <si>
    <t>Mr丶TRUEএ</t>
  </si>
  <si>
    <t>Mr丶止水এ</t>
  </si>
  <si>
    <t>Mr丶潇梦临এ</t>
  </si>
  <si>
    <t>Mr丶阳光幽灵এ</t>
  </si>
  <si>
    <t>Mr丶星辰এ</t>
  </si>
  <si>
    <t>Mr丶上头猫এ</t>
  </si>
  <si>
    <t>Mr丶花满溪এ</t>
  </si>
  <si>
    <t>Mr丶盖世英雄এ</t>
  </si>
  <si>
    <t>Mr丶飞段এ</t>
  </si>
  <si>
    <t>Ms丶惜悦এ</t>
  </si>
  <si>
    <t>Mr丶桜咲এ</t>
  </si>
  <si>
    <t>の不诉离殇</t>
  </si>
  <si>
    <t>Mr丶橘子এ</t>
  </si>
  <si>
    <t>Mr丶阿修罗এ</t>
  </si>
  <si>
    <t>Mr丶路槡এ</t>
  </si>
  <si>
    <t>Mr丶晚剑心এ</t>
  </si>
  <si>
    <t>Mr丶userএ</t>
  </si>
  <si>
    <t>ぜ八岐信ぜ</t>
    <phoneticPr fontId="4" type="noConversion"/>
  </si>
  <si>
    <t>哦豁</t>
  </si>
  <si>
    <t>持久的蛤蟆助</t>
  </si>
  <si>
    <t>帅气的蟾蜍</t>
  </si>
  <si>
    <t>Mr丶蛤蟆助এ</t>
  </si>
  <si>
    <r>
      <t>Mr丶浅陌璃殇</t>
    </r>
    <r>
      <rPr>
        <b/>
        <sz val="14"/>
        <rFont val="Nirmala UI"/>
        <family val="2"/>
        <charset val="134"/>
      </rPr>
      <t>এ</t>
    </r>
  </si>
  <si>
    <t>裤裤里丝</t>
  </si>
  <si>
    <t>Mr丶春野樱এ</t>
  </si>
  <si>
    <t>Mr丶上步এ</t>
    <phoneticPr fontId="11" type="noConversion"/>
  </si>
  <si>
    <t>Mr丶王富贵এ</t>
  </si>
  <si>
    <t>打满或漏1</t>
    <phoneticPr fontId="12" type="noConversion"/>
  </si>
  <si>
    <t>Mr丶影诠释এ</t>
  </si>
  <si>
    <t>古月哥欠</t>
  </si>
  <si>
    <r>
      <t>Mr丶追梦</t>
    </r>
    <r>
      <rPr>
        <sz val="14"/>
        <rFont val="Nirmala UI"/>
        <family val="2"/>
        <charset val="134"/>
      </rPr>
      <t>এ</t>
    </r>
    <phoneticPr fontId="12" type="noConversion"/>
  </si>
  <si>
    <t>山茶花开时候</t>
    <phoneticPr fontId="12" type="noConversion"/>
  </si>
  <si>
    <r>
      <t>Mr丶山茶花</t>
    </r>
    <r>
      <rPr>
        <sz val="14"/>
        <rFont val="Nirmala UI"/>
        <family val="2"/>
        <charset val="134"/>
      </rPr>
      <t>এ</t>
    </r>
    <phoneticPr fontId="12" type="noConversion"/>
  </si>
  <si>
    <t>别天神</t>
    <phoneticPr fontId="12" type="noConversion"/>
  </si>
  <si>
    <t>黑泽镜君</t>
    <phoneticPr fontId="12" type="noConversion"/>
  </si>
  <si>
    <t>通灵训练</t>
    <phoneticPr fontId="12" type="noConversion"/>
  </si>
  <si>
    <t>伤</t>
    <phoneticPr fontId="12" type="noConversion"/>
  </si>
  <si>
    <t>追</t>
    <phoneticPr fontId="12" type="noConversion"/>
  </si>
  <si>
    <t>异</t>
    <phoneticPr fontId="12" type="noConversion"/>
  </si>
  <si>
    <t>通灵训练参数</t>
    <phoneticPr fontId="12" type="noConversion"/>
  </si>
  <si>
    <t>通灵训练得分</t>
    <phoneticPr fontId="12" type="noConversion"/>
  </si>
  <si>
    <r>
      <t>Mr丶小傻傻</t>
    </r>
    <r>
      <rPr>
        <sz val="14"/>
        <rFont val="Nirmala UI"/>
        <family val="2"/>
        <charset val="134"/>
      </rPr>
      <t>এ</t>
    </r>
    <phoneticPr fontId="12" type="noConversion"/>
  </si>
  <si>
    <t>卡卡西分身</t>
    <phoneticPr fontId="12" type="noConversion"/>
  </si>
  <si>
    <t>剑影疾风</t>
    <phoneticPr fontId="12" type="noConversion"/>
  </si>
  <si>
    <t>宇智波有话</t>
    <phoneticPr fontId="12" type="noConversion"/>
  </si>
  <si>
    <t>前列腺</t>
    <phoneticPr fontId="12" type="noConversion"/>
  </si>
  <si>
    <r>
      <t>Mr丶Pretender</t>
    </r>
    <r>
      <rPr>
        <sz val="14"/>
        <rFont val="Nirmala UI"/>
        <family val="2"/>
        <charset val="134"/>
      </rPr>
      <t>এ</t>
    </r>
    <phoneticPr fontId="12" type="noConversion"/>
  </si>
  <si>
    <t>Mr丶蓝染এ</t>
  </si>
  <si>
    <t>Mr丶宇智波鼬এ</t>
  </si>
  <si>
    <t>秦无炎</t>
  </si>
  <si>
    <t>叶霸虎</t>
  </si>
  <si>
    <t>Mr丶谜语人এ</t>
  </si>
  <si>
    <t>神乐鹿悟</t>
  </si>
  <si>
    <t>活跃</t>
  </si>
  <si>
    <t>Mr丶水果</t>
  </si>
  <si>
    <t>Mr丶书生</t>
  </si>
  <si>
    <t>诸汪盛</t>
  </si>
  <si>
    <t>Mr丶汪富贵এ</t>
  </si>
  <si>
    <t>Ms丶丫丫এ</t>
  </si>
  <si>
    <t>蛤蟆土龙</t>
  </si>
  <si>
    <t>SanNIAn7</t>
  </si>
  <si>
    <t>张伟字益达</t>
  </si>
  <si>
    <t>积分计算规则：
1.每周礼包按照分包总分由高到低分配。组织成员的结余分数=分包总分-礼包耗费。结余分数将计入下周表格的上周得分。
2.分包总分=本周得分+上周得分。
3.本周得分=参战得分+组织集结得分+奖励得分。
4.参战得分= 组织成员本周参战次数,参战两次以上，每次有1分额外奖励。
5.组织集结得分：打满或漏一天得（组织集结指数）分，其余没分
6.奖励得分包含并不限于：满参战，分包统计，接引新人。详情见备注
7.通灵训练得分：通灵训练上榜次数*通灵训练参数。通灵训练榜以每周日凌晨（5点之前）为准</t>
  </si>
  <si>
    <t>Mr丶赵发财এ</t>
  </si>
  <si>
    <t>Mr丶肯帕蕾拉এ</t>
  </si>
  <si>
    <t>Ms丶小滑头এ</t>
  </si>
  <si>
    <t>Mr丶阿劈এ</t>
  </si>
  <si>
    <t>沉南</t>
  </si>
  <si>
    <t>晴天</t>
  </si>
  <si>
    <t>哈哈哈哈哈</t>
  </si>
  <si>
    <t>Mr丶王姐এ</t>
  </si>
  <si>
    <t>Mr丶小楚楚এ</t>
  </si>
  <si>
    <t>Mr丶光头</t>
  </si>
  <si>
    <t>Mr丶乃子এ</t>
  </si>
  <si>
    <t>捉小鸡吃米</t>
  </si>
  <si>
    <t>织梦 平凡</t>
  </si>
  <si>
    <t>织梦 天权</t>
  </si>
  <si>
    <t>织梦 霄云端</t>
  </si>
  <si>
    <t>织梦 曱甴</t>
  </si>
  <si>
    <t>织梦 贪狼</t>
  </si>
  <si>
    <t>Mr丶张益达এ</t>
  </si>
  <si>
    <t>Mr丶裤裤撕破এ</t>
  </si>
  <si>
    <t>Mr丶TONNIএ</t>
  </si>
  <si>
    <t>Mr丶桔梨萝柚এ</t>
  </si>
  <si>
    <t>Mr丶哦豁এ</t>
  </si>
  <si>
    <t>织梦 海洋</t>
  </si>
  <si>
    <t>织梦 张凯枫</t>
  </si>
  <si>
    <t>织梦 镜像</t>
  </si>
  <si>
    <t>织梦 人生</t>
  </si>
  <si>
    <t>织梦 子夜</t>
  </si>
  <si>
    <t>Vergil</t>
  </si>
  <si>
    <t>爷不穿底裤</t>
  </si>
  <si>
    <r>
      <t>Mr丶雷锋</t>
    </r>
    <r>
      <rPr>
        <sz val="14"/>
        <rFont val="Nirmala UI"/>
        <family val="2"/>
        <charset val="134"/>
      </rPr>
      <t>এ</t>
    </r>
  </si>
  <si>
    <r>
      <t>Mr丶毛球</t>
    </r>
    <r>
      <rPr>
        <sz val="14"/>
        <rFont val="Nirmala UI"/>
        <family val="2"/>
        <charset val="134"/>
      </rPr>
      <t>এ</t>
    </r>
  </si>
  <si>
    <t>Mr丶小土龙এ</t>
  </si>
  <si>
    <t>狱染星辰</t>
  </si>
  <si>
    <t>Mr丶爷不穿底裤এ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</si>
</sst>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21">
    <font>
      <sz val="11"/>
      <name val="宋体"/>
      <charset val="134"/>
    </font>
    <font>
      <b/>
      <sz val="16"/>
      <color rgb="FF1E1E1E"/>
      <name val="黑体"/>
      <family val="3"/>
      <charset val="134"/>
    </font>
    <font>
      <b/>
      <sz val="12"/>
      <color rgb="FF1E1E1E"/>
      <name val="黑体"/>
      <family val="3"/>
      <charset val="134"/>
    </font>
    <font>
      <b/>
      <sz val="14"/>
      <name val="楷体"/>
      <family val="3"/>
      <charset val="134"/>
    </font>
    <font>
      <sz val="11"/>
      <color theme="9" tint="-0.249977111117893"/>
      <name val="宋体"/>
      <family val="3"/>
      <charset val="134"/>
    </font>
    <font>
      <b/>
      <sz val="14"/>
      <color rgb="FF1E1E1E"/>
      <name val="楷体"/>
      <family val="3"/>
      <charset val="134"/>
    </font>
    <font>
      <b/>
      <sz val="12"/>
      <color rgb="FFE36B09"/>
      <name val="宋体"/>
      <family val="3"/>
      <charset val="134"/>
    </font>
    <font>
      <b/>
      <sz val="12"/>
      <color rgb="FF7030A0"/>
      <name val="宋体"/>
      <family val="3"/>
      <charset val="134"/>
    </font>
    <font>
      <b/>
      <sz val="12"/>
      <color rgb="FF0070C0"/>
      <name val="宋体"/>
      <family val="3"/>
      <charset val="134"/>
    </font>
    <font>
      <b/>
      <sz val="16"/>
      <name val="黑体"/>
      <family val="3"/>
      <charset val="134"/>
    </font>
    <font>
      <b/>
      <sz val="14"/>
      <color rgb="FFFF0000"/>
      <name val="楷体"/>
      <family val="3"/>
      <charset val="134"/>
    </font>
    <font>
      <b/>
      <sz val="14"/>
      <name val="宋体"/>
      <family val="3"/>
      <charset val="134"/>
    </font>
    <font>
      <sz val="9"/>
      <name val="宋体"/>
      <family val="3"/>
      <charset val="134"/>
    </font>
    <font>
      <b/>
      <sz val="14"/>
      <name val="Nirmala UI"/>
      <family val="2"/>
      <charset val="134"/>
    </font>
    <font>
      <sz val="14"/>
      <name val="黑体"/>
      <family val="3"/>
      <charset val="134"/>
    </font>
    <font>
      <sz val="11"/>
      <name val="黑体"/>
      <family val="3"/>
      <charset val="134"/>
    </font>
    <font>
      <sz val="14"/>
      <color rgb="FF1E1E1E"/>
      <name val="黑体"/>
      <family val="3"/>
      <charset val="134"/>
    </font>
    <font>
      <sz val="14"/>
      <name val="楷体"/>
      <family val="3"/>
      <charset val="134"/>
    </font>
    <font>
      <sz val="14"/>
      <name val="黑体"/>
      <family val="3"/>
      <charset val="134"/>
    </font>
    <font>
      <sz val="14"/>
      <name val="Nirmala UI"/>
      <family val="2"/>
      <charset val="134"/>
    </font>
    <font>
      <sz val="14"/>
      <color theme="1"/>
      <name val="黑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7" fillId="0" borderId="4" xfId="0" applyFont="1" applyFill="1" applyBorder="1" applyAlignment="1" applyProtection="1">
      <alignment horizontal="center" vertical="center"/>
    </xf>
    <xf numFmtId="0" fontId="8" fillId="0" borderId="4" xfId="0" applyFont="1" applyFill="1" applyBorder="1" applyAlignment="1" applyProtection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64" fontId="10" fillId="0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2" borderId="1" xfId="0" applyFont="1" applyFill="1" applyBorder="1">
      <alignment vertical="center"/>
    </xf>
    <xf numFmtId="0" fontId="0" fillId="2" borderId="1" xfId="0" applyFill="1" applyBorder="1" applyProtection="1">
      <alignment vertical="center"/>
    </xf>
    <xf numFmtId="0" fontId="0" fillId="7" borderId="1" xfId="0" applyFont="1" applyFill="1" applyBorder="1" applyProtection="1">
      <alignment vertical="center"/>
    </xf>
    <xf numFmtId="0" fontId="0" fillId="2" borderId="1" xfId="0" applyFont="1" applyFill="1" applyBorder="1" applyProtection="1">
      <alignment vertical="center"/>
    </xf>
    <xf numFmtId="0" fontId="0" fillId="2" borderId="1" xfId="0" applyFont="1" applyFill="1" applyBorder="1" applyAlignment="1" applyProtection="1">
      <alignment vertical="center" wrapText="1"/>
    </xf>
    <xf numFmtId="0" fontId="6" fillId="2" borderId="4" xfId="0" applyFont="1" applyFill="1" applyBorder="1" applyAlignment="1" applyProtection="1">
      <alignment horizontal="center" vertical="center"/>
    </xf>
    <xf numFmtId="0" fontId="0" fillId="7" borderId="1" xfId="0" applyFill="1" applyBorder="1" applyProtection="1">
      <alignment vertical="center"/>
    </xf>
    <xf numFmtId="0" fontId="7" fillId="2" borderId="4" xfId="0" applyFont="1" applyFill="1" applyBorder="1" applyAlignment="1" applyProtection="1">
      <alignment horizontal="center" vertical="center"/>
    </xf>
    <xf numFmtId="0" fontId="0" fillId="0" borderId="1" xfId="0" applyFill="1" applyBorder="1" applyProtection="1">
      <alignment vertical="center"/>
    </xf>
    <xf numFmtId="0" fontId="11" fillId="0" borderId="1" xfId="0" applyFont="1" applyFill="1" applyBorder="1">
      <alignment vertical="center"/>
    </xf>
    <xf numFmtId="0" fontId="11" fillId="2" borderId="1" xfId="0" applyFont="1" applyFill="1" applyBorder="1">
      <alignment vertical="center"/>
    </xf>
    <xf numFmtId="0" fontId="0" fillId="0" borderId="4" xfId="0" applyFill="1" applyBorder="1">
      <alignment vertical="center"/>
    </xf>
    <xf numFmtId="0" fontId="0" fillId="5" borderId="0" xfId="0" applyFill="1">
      <alignment vertical="center"/>
    </xf>
    <xf numFmtId="0" fontId="0" fillId="4" borderId="0" xfId="0" applyFill="1" applyBorder="1">
      <alignment vertical="center"/>
    </xf>
    <xf numFmtId="0" fontId="0" fillId="7" borderId="0" xfId="0" applyFill="1" applyBorder="1">
      <alignment vertical="center"/>
    </xf>
    <xf numFmtId="0" fontId="0" fillId="0" borderId="0" xfId="0" applyFill="1" applyBorder="1">
      <alignment vertical="center"/>
    </xf>
    <xf numFmtId="0" fontId="0" fillId="5" borderId="0" xfId="0" applyFont="1" applyFill="1">
      <alignment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>
      <alignment vertical="center"/>
    </xf>
    <xf numFmtId="0" fontId="14" fillId="0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0" fontId="15" fillId="0" borderId="1" xfId="0" applyFont="1" applyFill="1" applyBorder="1">
      <alignment vertical="center"/>
    </xf>
    <xf numFmtId="0" fontId="14" fillId="0" borderId="1" xfId="0" applyFont="1" applyFill="1" applyBorder="1">
      <alignment vertical="center"/>
    </xf>
    <xf numFmtId="0" fontId="20" fillId="0" borderId="1" xfId="0" applyFont="1" applyFill="1" applyBorder="1" applyAlignment="1">
      <alignment horizontal="left" vertical="center"/>
    </xf>
    <xf numFmtId="0" fontId="3" fillId="0" borderId="4" xfId="0" applyNumberFormat="1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0" fillId="0" borderId="0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1" fillId="2" borderId="0" xfId="0" applyFont="1" applyFill="1" applyBorder="1">
      <alignment vertical="center"/>
    </xf>
    <xf numFmtId="0" fontId="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7572-73F1-43A6-82BD-F58AB29FD538}">
  <dimension ref="A1:AC69"/>
  <sheetViews>
    <sheetView zoomScale="85" zoomScaleNormal="85" workbookViewId="0">
      <selection activeCell="A3" sqref="A3"/>
    </sheetView>
  </sheetViews>
  <sheetFormatPr defaultColWidth="9" defaultRowHeight="14.4"/>
  <cols>
    <col min="2" max="2" width="6.6640625" style="4" customWidth="1"/>
    <col min="3" max="3" width="19.77734375" style="5" customWidth="1"/>
    <col min="4" max="4" width="21.21875" style="5" customWidth="1"/>
    <col min="5" max="5" width="18.33203125" style="4" customWidth="1"/>
    <col min="6" max="6" width="13.109375" style="4" customWidth="1"/>
    <col min="7" max="7" width="13.77734375" style="4" customWidth="1"/>
    <col min="8" max="8" width="5.77734375" style="4" customWidth="1"/>
    <col min="9" max="9" width="5.88671875" style="4" customWidth="1"/>
    <col min="10" max="10" width="5.77734375" style="4" customWidth="1"/>
    <col min="11" max="11" width="20" style="4" customWidth="1"/>
    <col min="12" max="12" width="9" style="4" customWidth="1"/>
    <col min="13" max="13" width="12.109375" style="4" customWidth="1"/>
    <col min="14" max="14" width="11.33203125" style="4" customWidth="1"/>
    <col min="15" max="15" width="10" style="4" customWidth="1"/>
    <col min="16" max="16" width="9" style="4" customWidth="1"/>
    <col min="17" max="17" width="12.88671875" style="4" customWidth="1"/>
    <col min="18" max="18" width="12" style="4" customWidth="1"/>
    <col min="19" max="19" width="9.21875" style="4" customWidth="1"/>
    <col min="20" max="20" width="12.6640625" style="4" customWidth="1"/>
    <col min="21" max="23" width="11.109375" style="21" customWidth="1"/>
    <col min="24" max="24" width="30.44140625" customWidth="1"/>
  </cols>
  <sheetData>
    <row r="1" spans="1:29" ht="36.6" customHeight="1">
      <c r="B1" s="99" t="str">
        <f>CONCATENATE("157区 活动中心",Y15,"年",Y16,"月",Y17,"日","分包贡献明细"," 统计：一二三")</f>
        <v>157区 活动中心2021年8月7日分包贡献明细 统计：一二三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55"/>
      <c r="V1" s="55"/>
      <c r="W1" s="55"/>
      <c r="X1" s="22" t="s">
        <v>12</v>
      </c>
      <c r="Y1" s="5">
        <v>67</v>
      </c>
      <c r="Z1" s="3"/>
      <c r="AA1" s="3"/>
      <c r="AB1" s="3"/>
      <c r="AC1" s="3"/>
    </row>
    <row r="2" spans="1:29" ht="117.6" customHeight="1">
      <c r="B2" s="101" t="s">
        <v>126</v>
      </c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56"/>
      <c r="V2" s="56"/>
      <c r="W2" s="56"/>
      <c r="X2" s="23" t="s">
        <v>0</v>
      </c>
      <c r="Y2" s="24" t="s">
        <v>13</v>
      </c>
      <c r="Z2" s="25" t="s">
        <v>14</v>
      </c>
      <c r="AA2" s="25" t="s">
        <v>15</v>
      </c>
      <c r="AB2" s="25" t="s">
        <v>56</v>
      </c>
      <c r="AC2" s="26" t="s">
        <v>16</v>
      </c>
    </row>
    <row r="3" spans="1:29" ht="20.399999999999999">
      <c r="B3" s="104" t="s">
        <v>20</v>
      </c>
      <c r="C3" s="104"/>
      <c r="D3" s="104"/>
      <c r="E3" s="104"/>
      <c r="F3" s="57" t="s">
        <v>17</v>
      </c>
      <c r="G3" s="58" t="s">
        <v>39</v>
      </c>
      <c r="H3" s="105" t="s">
        <v>99</v>
      </c>
      <c r="I3" s="105"/>
      <c r="J3" s="105"/>
      <c r="K3" s="106" t="s">
        <v>21</v>
      </c>
      <c r="L3" s="107"/>
      <c r="M3" s="107"/>
      <c r="N3" s="107"/>
      <c r="O3" s="107"/>
      <c r="P3" s="107"/>
      <c r="Q3" s="107"/>
      <c r="R3" s="107"/>
      <c r="S3" s="107"/>
      <c r="T3" s="108"/>
      <c r="U3" s="54"/>
      <c r="V3" s="54"/>
      <c r="W3" s="54"/>
      <c r="X3" s="27" t="s">
        <v>22</v>
      </c>
      <c r="Y3" s="28">
        <f>AC3/$Y$13</f>
        <v>11.875</v>
      </c>
      <c r="Z3" s="23">
        <v>5</v>
      </c>
      <c r="AA3" s="23">
        <v>7</v>
      </c>
      <c r="AB3" s="23">
        <v>20</v>
      </c>
      <c r="AC3" s="23">
        <v>1900</v>
      </c>
    </row>
    <row r="4" spans="1:29" ht="40.799999999999997">
      <c r="A4" s="52" t="s">
        <v>117</v>
      </c>
      <c r="B4" s="52" t="s">
        <v>2</v>
      </c>
      <c r="C4" s="53" t="s">
        <v>23</v>
      </c>
      <c r="D4" s="52" t="s">
        <v>3</v>
      </c>
      <c r="E4" s="52" t="s">
        <v>4</v>
      </c>
      <c r="F4" s="6" t="s">
        <v>40</v>
      </c>
      <c r="G4" s="7" t="s">
        <v>91</v>
      </c>
      <c r="H4" s="7" t="s">
        <v>100</v>
      </c>
      <c r="I4" s="7" t="s">
        <v>101</v>
      </c>
      <c r="J4" s="7" t="s">
        <v>102</v>
      </c>
      <c r="K4" s="6" t="s">
        <v>5</v>
      </c>
      <c r="L4" s="6" t="s">
        <v>24</v>
      </c>
      <c r="M4" s="7" t="s">
        <v>41</v>
      </c>
      <c r="N4" s="7" t="s">
        <v>104</v>
      </c>
      <c r="O4" s="7" t="s">
        <v>45</v>
      </c>
      <c r="P4" s="15" t="s">
        <v>25</v>
      </c>
      <c r="Q4" s="53" t="s">
        <v>26</v>
      </c>
      <c r="R4" s="16" t="s">
        <v>7</v>
      </c>
      <c r="S4" s="53" t="s">
        <v>6</v>
      </c>
      <c r="T4" s="53" t="s">
        <v>27</v>
      </c>
      <c r="U4" s="53" t="s">
        <v>18</v>
      </c>
      <c r="V4" s="53" t="s">
        <v>19</v>
      </c>
      <c r="W4" s="53" t="s">
        <v>1</v>
      </c>
      <c r="X4" s="29" t="s">
        <v>28</v>
      </c>
      <c r="Y4" s="28">
        <f>AC4/$Y$13</f>
        <v>9.6875</v>
      </c>
      <c r="Z4" s="23">
        <v>4</v>
      </c>
      <c r="AA4" s="23">
        <v>6</v>
      </c>
      <c r="AB4" s="23">
        <v>15</v>
      </c>
      <c r="AC4" s="23">
        <v>1550</v>
      </c>
    </row>
    <row r="5" spans="1:29" s="1" customFormat="1" ht="17.399999999999999">
      <c r="A5" s="9">
        <v>1</v>
      </c>
      <c r="B5" s="8">
        <v>240</v>
      </c>
      <c r="C5" s="8">
        <v>289805855</v>
      </c>
      <c r="D5" s="42" t="s">
        <v>123</v>
      </c>
      <c r="E5" s="4"/>
      <c r="F5" s="10">
        <v>4</v>
      </c>
      <c r="G5" s="10">
        <v>0</v>
      </c>
      <c r="H5" s="50">
        <v>0</v>
      </c>
      <c r="I5" s="50">
        <v>0</v>
      </c>
      <c r="J5" s="50">
        <v>0</v>
      </c>
      <c r="K5" s="14" t="s">
        <v>53</v>
      </c>
      <c r="L5" s="11">
        <f t="shared" ref="L5:L36" si="0">F5+IF(F5&gt;2,(F5-2)*1,0)</f>
        <v>6</v>
      </c>
      <c r="M5" s="10">
        <f>G5*$Y$14</f>
        <v>0</v>
      </c>
      <c r="N5" s="10">
        <f t="shared" ref="N5:N36" si="1">SUM(H5:J5)*$Y$18</f>
        <v>0</v>
      </c>
      <c r="O5" s="10">
        <v>0</v>
      </c>
      <c r="P5" s="10">
        <f t="shared" ref="P5:P36" si="2">SUM(M5+L5+O5+N5)</f>
        <v>6</v>
      </c>
      <c r="Q5" s="17">
        <v>26.012499999999996</v>
      </c>
      <c r="R5" s="18">
        <f t="shared" ref="R5:R36" si="3">P5+Q5</f>
        <v>32.012499999999996</v>
      </c>
      <c r="S5" s="19">
        <f t="shared" ref="S5:S36" si="4">VLOOKUP(K5,$X$3:$Y$10,2,FALSE)</f>
        <v>1.09375</v>
      </c>
      <c r="T5" s="20">
        <f t="shared" ref="T5:T36" si="5">R5-S5</f>
        <v>30.918749999999996</v>
      </c>
      <c r="U5" s="4"/>
      <c r="V5" s="4"/>
      <c r="W5" s="4"/>
      <c r="X5" s="14" t="s">
        <v>29</v>
      </c>
      <c r="Y5" s="28">
        <f>AC5/$Y$13/4</f>
        <v>1.875</v>
      </c>
      <c r="Z5" s="30">
        <v>3</v>
      </c>
      <c r="AA5" s="30">
        <v>5</v>
      </c>
      <c r="AB5" s="30">
        <v>10</v>
      </c>
      <c r="AC5" s="30">
        <v>1200</v>
      </c>
    </row>
    <row r="6" spans="1:29" s="1" customFormat="1" ht="17.399999999999999">
      <c r="A6" s="9">
        <v>1</v>
      </c>
      <c r="B6" s="8">
        <v>178</v>
      </c>
      <c r="C6" s="8">
        <v>1059185275</v>
      </c>
      <c r="D6" s="42" t="s">
        <v>66</v>
      </c>
      <c r="E6" s="47"/>
      <c r="F6" s="10">
        <v>4</v>
      </c>
      <c r="G6" s="10">
        <v>1</v>
      </c>
      <c r="H6" s="50">
        <v>0</v>
      </c>
      <c r="I6" s="50">
        <v>1</v>
      </c>
      <c r="J6" s="50">
        <v>1</v>
      </c>
      <c r="K6" s="12" t="s">
        <v>51</v>
      </c>
      <c r="L6" s="11">
        <f t="shared" si="0"/>
        <v>6</v>
      </c>
      <c r="M6" s="10">
        <f>G6*$Y$14</f>
        <v>1.2</v>
      </c>
      <c r="N6" s="10">
        <f t="shared" si="1"/>
        <v>0.8</v>
      </c>
      <c r="O6" s="10">
        <v>0</v>
      </c>
      <c r="P6" s="10">
        <f t="shared" si="2"/>
        <v>8</v>
      </c>
      <c r="Q6" s="17">
        <v>21.574999999999996</v>
      </c>
      <c r="R6" s="18">
        <f t="shared" si="3"/>
        <v>29.574999999999996</v>
      </c>
      <c r="S6" s="19">
        <f t="shared" si="4"/>
        <v>8.125</v>
      </c>
      <c r="T6" s="20">
        <f t="shared" si="5"/>
        <v>21.449999999999996</v>
      </c>
      <c r="U6" s="4"/>
      <c r="V6" s="4"/>
      <c r="W6" s="4"/>
      <c r="X6" s="14"/>
      <c r="Y6" s="28"/>
      <c r="Z6" s="30"/>
      <c r="AA6" s="30"/>
      <c r="AB6" s="30"/>
      <c r="AC6" s="30"/>
    </row>
    <row r="7" spans="1:29" s="1" customFormat="1" ht="17.399999999999999">
      <c r="A7" s="9">
        <v>1</v>
      </c>
      <c r="B7" s="9">
        <v>26</v>
      </c>
      <c r="C7" s="8">
        <v>1754932067</v>
      </c>
      <c r="D7" s="42" t="s">
        <v>58</v>
      </c>
      <c r="E7" s="42" t="s">
        <v>9</v>
      </c>
      <c r="F7" s="10">
        <v>4</v>
      </c>
      <c r="G7" s="10">
        <v>1</v>
      </c>
      <c r="H7" s="50">
        <v>0</v>
      </c>
      <c r="I7" s="50">
        <v>1</v>
      </c>
      <c r="J7" s="50">
        <v>1</v>
      </c>
      <c r="K7" s="12" t="s">
        <v>51</v>
      </c>
      <c r="L7" s="11">
        <f t="shared" si="0"/>
        <v>6</v>
      </c>
      <c r="M7" s="10">
        <f>G7*$Y$14</f>
        <v>1.2</v>
      </c>
      <c r="N7" s="10">
        <f t="shared" si="1"/>
        <v>0.8</v>
      </c>
      <c r="O7" s="10">
        <v>0</v>
      </c>
      <c r="P7" s="10">
        <f t="shared" si="2"/>
        <v>8</v>
      </c>
      <c r="Q7" s="17">
        <v>21.168749999999999</v>
      </c>
      <c r="R7" s="18">
        <f t="shared" si="3"/>
        <v>29.168749999999999</v>
      </c>
      <c r="S7" s="19">
        <f t="shared" si="4"/>
        <v>8.125</v>
      </c>
      <c r="T7" s="20">
        <f t="shared" si="5"/>
        <v>21.043749999999999</v>
      </c>
      <c r="U7" s="11"/>
      <c r="V7" s="11"/>
      <c r="W7" s="11"/>
      <c r="X7" s="12" t="s">
        <v>51</v>
      </c>
      <c r="Y7" s="28">
        <f>AC7/$Y$13</f>
        <v>8.125</v>
      </c>
      <c r="Z7" s="30">
        <v>4</v>
      </c>
      <c r="AA7" s="30">
        <v>5</v>
      </c>
      <c r="AB7" s="30"/>
      <c r="AC7" s="30">
        <v>1300</v>
      </c>
    </row>
    <row r="8" spans="1:29" s="1" customFormat="1" ht="17.399999999999999">
      <c r="A8" s="9">
        <v>1</v>
      </c>
      <c r="B8" s="9">
        <v>231</v>
      </c>
      <c r="C8" s="8">
        <v>1725915293</v>
      </c>
      <c r="D8" s="42" t="s">
        <v>112</v>
      </c>
      <c r="E8" s="4"/>
      <c r="F8" s="10">
        <v>4</v>
      </c>
      <c r="G8" s="10">
        <v>1</v>
      </c>
      <c r="H8" s="50">
        <v>0</v>
      </c>
      <c r="I8" s="50">
        <v>0</v>
      </c>
      <c r="J8" s="50">
        <v>0</v>
      </c>
      <c r="K8" s="12" t="s">
        <v>51</v>
      </c>
      <c r="L8" s="11">
        <f t="shared" si="0"/>
        <v>6</v>
      </c>
      <c r="M8" s="10">
        <f>G8*$Y$14</f>
        <v>1.2</v>
      </c>
      <c r="N8" s="10">
        <f t="shared" si="1"/>
        <v>0</v>
      </c>
      <c r="O8" s="10">
        <v>0</v>
      </c>
      <c r="P8" s="10">
        <f t="shared" si="2"/>
        <v>7.2</v>
      </c>
      <c r="Q8" s="17">
        <v>21.674999999999997</v>
      </c>
      <c r="R8" s="18">
        <f t="shared" si="3"/>
        <v>28.874999999999996</v>
      </c>
      <c r="S8" s="19">
        <f t="shared" si="4"/>
        <v>8.125</v>
      </c>
      <c r="T8" s="20">
        <f t="shared" si="5"/>
        <v>20.749999999999996</v>
      </c>
      <c r="U8" s="4"/>
      <c r="V8" s="4"/>
      <c r="W8" s="4"/>
      <c r="X8" s="13" t="s">
        <v>52</v>
      </c>
      <c r="Y8" s="28">
        <f>AC8/$Y$13</f>
        <v>6.25</v>
      </c>
      <c r="Z8" s="30">
        <v>3</v>
      </c>
      <c r="AA8" s="30">
        <v>4</v>
      </c>
      <c r="AB8" s="30"/>
      <c r="AC8" s="30">
        <v>1000</v>
      </c>
    </row>
    <row r="9" spans="1:29" s="1" customFormat="1" ht="20.399999999999999">
      <c r="A9" s="9">
        <v>1</v>
      </c>
      <c r="B9" s="9">
        <v>49</v>
      </c>
      <c r="C9" s="8">
        <v>311361673</v>
      </c>
      <c r="D9" s="43" t="s">
        <v>105</v>
      </c>
      <c r="E9" s="49" t="s">
        <v>11</v>
      </c>
      <c r="F9" s="10">
        <v>4</v>
      </c>
      <c r="G9" s="10">
        <v>1</v>
      </c>
      <c r="H9" s="50">
        <v>0</v>
      </c>
      <c r="I9" s="50">
        <v>1</v>
      </c>
      <c r="J9" s="50">
        <v>1</v>
      </c>
      <c r="K9" s="12" t="s">
        <v>51</v>
      </c>
      <c r="L9" s="11">
        <f t="shared" si="0"/>
        <v>6</v>
      </c>
      <c r="M9" s="10">
        <f>IF(G9&gt;0,1,0)*$Y$14</f>
        <v>1.2</v>
      </c>
      <c r="N9" s="10">
        <f t="shared" si="1"/>
        <v>0.8</v>
      </c>
      <c r="O9" s="10">
        <v>0</v>
      </c>
      <c r="P9" s="10">
        <f t="shared" si="2"/>
        <v>8</v>
      </c>
      <c r="Q9" s="17">
        <v>20.831250000000001</v>
      </c>
      <c r="R9" s="18">
        <f t="shared" si="3"/>
        <v>28.831250000000001</v>
      </c>
      <c r="S9" s="19">
        <f t="shared" si="4"/>
        <v>8.125</v>
      </c>
      <c r="T9" s="20">
        <f t="shared" si="5"/>
        <v>20.706250000000001</v>
      </c>
      <c r="U9" s="11"/>
      <c r="V9" s="11"/>
      <c r="W9" s="11"/>
      <c r="X9" s="14" t="s">
        <v>53</v>
      </c>
      <c r="Y9" s="28">
        <f>AC9/$Y$13/4</f>
        <v>1.09375</v>
      </c>
      <c r="Z9" s="30">
        <v>2</v>
      </c>
      <c r="AA9" s="30">
        <v>3</v>
      </c>
      <c r="AB9" s="30"/>
      <c r="AC9" s="30">
        <v>700</v>
      </c>
    </row>
    <row r="10" spans="1:29" s="1" customFormat="1" ht="17.399999999999999">
      <c r="A10" s="9">
        <v>1</v>
      </c>
      <c r="B10" s="8">
        <v>242</v>
      </c>
      <c r="C10" s="8">
        <v>1381736232</v>
      </c>
      <c r="D10" s="42" t="s">
        <v>125</v>
      </c>
      <c r="E10" s="4"/>
      <c r="F10" s="10">
        <v>4</v>
      </c>
      <c r="G10" s="10">
        <v>1</v>
      </c>
      <c r="H10" s="50">
        <v>0</v>
      </c>
      <c r="I10" s="50">
        <v>0</v>
      </c>
      <c r="J10" s="50">
        <v>0</v>
      </c>
      <c r="K10" s="12" t="s">
        <v>51</v>
      </c>
      <c r="L10" s="11">
        <f t="shared" si="0"/>
        <v>6</v>
      </c>
      <c r="M10" s="10">
        <f t="shared" ref="M10:M41" si="6">G10*$Y$14</f>
        <v>1.2</v>
      </c>
      <c r="N10" s="10">
        <f t="shared" si="1"/>
        <v>0</v>
      </c>
      <c r="O10" s="10">
        <v>0</v>
      </c>
      <c r="P10" s="10">
        <f t="shared" si="2"/>
        <v>7.2</v>
      </c>
      <c r="Q10" s="17">
        <v>21.212499999999995</v>
      </c>
      <c r="R10" s="18">
        <f t="shared" si="3"/>
        <v>28.412499999999994</v>
      </c>
      <c r="S10" s="19">
        <f t="shared" si="4"/>
        <v>8.125</v>
      </c>
      <c r="T10" s="20">
        <f t="shared" si="5"/>
        <v>20.287499999999994</v>
      </c>
      <c r="U10" s="4"/>
      <c r="V10" s="4"/>
      <c r="W10" s="4"/>
      <c r="X10" s="33" t="s">
        <v>30</v>
      </c>
      <c r="Y10" s="2">
        <v>0</v>
      </c>
      <c r="Z10" s="2"/>
      <c r="AA10" s="2"/>
      <c r="AB10" s="2"/>
      <c r="AC10" s="2"/>
    </row>
    <row r="11" spans="1:29" s="1" customFormat="1" ht="17.399999999999999">
      <c r="A11" s="9">
        <v>1</v>
      </c>
      <c r="B11" s="8">
        <v>156</v>
      </c>
      <c r="C11" s="8">
        <v>1744610165</v>
      </c>
      <c r="D11" s="42" t="s">
        <v>64</v>
      </c>
      <c r="E11" s="42"/>
      <c r="F11" s="10">
        <v>4</v>
      </c>
      <c r="G11" s="10">
        <v>1</v>
      </c>
      <c r="H11" s="50">
        <v>0</v>
      </c>
      <c r="I11" s="50">
        <v>0</v>
      </c>
      <c r="J11" s="50">
        <v>0</v>
      </c>
      <c r="K11" s="12" t="s">
        <v>51</v>
      </c>
      <c r="L11" s="11">
        <f t="shared" si="0"/>
        <v>6</v>
      </c>
      <c r="M11" s="10">
        <f t="shared" si="6"/>
        <v>1.2</v>
      </c>
      <c r="N11" s="10">
        <f t="shared" si="1"/>
        <v>0</v>
      </c>
      <c r="O11" s="10">
        <v>0</v>
      </c>
      <c r="P11" s="10">
        <f t="shared" si="2"/>
        <v>7.2</v>
      </c>
      <c r="Q11" s="17">
        <v>21.161266129032246</v>
      </c>
      <c r="R11" s="18">
        <f t="shared" si="3"/>
        <v>28.361266129032245</v>
      </c>
      <c r="S11" s="19">
        <f t="shared" si="4"/>
        <v>8.125</v>
      </c>
      <c r="T11" s="20">
        <f t="shared" si="5"/>
        <v>20.236266129032245</v>
      </c>
      <c r="U11" s="4"/>
      <c r="V11" s="4"/>
      <c r="W11" s="4"/>
      <c r="X11" s="34"/>
    </row>
    <row r="12" spans="1:29" s="1" customFormat="1" ht="17.399999999999999">
      <c r="A12" s="9">
        <v>1</v>
      </c>
      <c r="B12" s="8">
        <v>172</v>
      </c>
      <c r="C12" s="8">
        <v>724061220</v>
      </c>
      <c r="D12" s="42" t="s">
        <v>65</v>
      </c>
      <c r="E12" s="42" t="s">
        <v>50</v>
      </c>
      <c r="F12" s="10">
        <v>4</v>
      </c>
      <c r="G12" s="10">
        <v>1</v>
      </c>
      <c r="H12" s="50">
        <v>0</v>
      </c>
      <c r="I12" s="50">
        <v>0</v>
      </c>
      <c r="J12" s="50">
        <v>0</v>
      </c>
      <c r="K12" s="12" t="s">
        <v>51</v>
      </c>
      <c r="L12" s="11">
        <f t="shared" si="0"/>
        <v>6</v>
      </c>
      <c r="M12" s="10">
        <f t="shared" si="6"/>
        <v>1.2</v>
      </c>
      <c r="N12" s="10">
        <f t="shared" si="1"/>
        <v>0</v>
      </c>
      <c r="O12" s="10">
        <v>0</v>
      </c>
      <c r="P12" s="10">
        <f t="shared" si="2"/>
        <v>7.2</v>
      </c>
      <c r="Q12" s="17">
        <v>21.15</v>
      </c>
      <c r="R12" s="18">
        <f t="shared" si="3"/>
        <v>28.349999999999998</v>
      </c>
      <c r="S12" s="19">
        <f t="shared" si="4"/>
        <v>8.125</v>
      </c>
      <c r="T12" s="20">
        <f t="shared" si="5"/>
        <v>20.224999999999998</v>
      </c>
      <c r="U12" s="4"/>
      <c r="V12" s="4"/>
      <c r="W12" s="4"/>
      <c r="X12" s="35" t="s">
        <v>32</v>
      </c>
      <c r="Y12" s="1">
        <v>15000</v>
      </c>
    </row>
    <row r="13" spans="1:29" s="2" customFormat="1" ht="17.399999999999999">
      <c r="A13" s="9">
        <v>1</v>
      </c>
      <c r="B13" s="8">
        <v>116</v>
      </c>
      <c r="C13" s="8">
        <v>2122596917</v>
      </c>
      <c r="D13" s="42" t="s">
        <v>61</v>
      </c>
      <c r="E13" s="42" t="s">
        <v>37</v>
      </c>
      <c r="F13" s="10">
        <v>3</v>
      </c>
      <c r="G13" s="10">
        <v>1</v>
      </c>
      <c r="H13" s="50">
        <v>0</v>
      </c>
      <c r="I13" s="50">
        <v>1</v>
      </c>
      <c r="J13" s="50">
        <v>1</v>
      </c>
      <c r="K13" s="13" t="s">
        <v>52</v>
      </c>
      <c r="L13" s="11">
        <f t="shared" si="0"/>
        <v>4</v>
      </c>
      <c r="M13" s="10">
        <f t="shared" si="6"/>
        <v>1.2</v>
      </c>
      <c r="N13" s="10">
        <f t="shared" si="1"/>
        <v>0.8</v>
      </c>
      <c r="O13" s="10">
        <v>0</v>
      </c>
      <c r="P13" s="10">
        <f t="shared" si="2"/>
        <v>6</v>
      </c>
      <c r="Q13" s="17">
        <v>21.531249999999996</v>
      </c>
      <c r="R13" s="18">
        <f t="shared" si="3"/>
        <v>27.531249999999996</v>
      </c>
      <c r="S13" s="19">
        <f t="shared" si="4"/>
        <v>6.25</v>
      </c>
      <c r="T13" s="20">
        <f t="shared" si="5"/>
        <v>21.281249999999996</v>
      </c>
      <c r="U13" s="11"/>
      <c r="V13" s="11"/>
      <c r="W13" s="32"/>
      <c r="X13" s="36" t="s">
        <v>33</v>
      </c>
      <c r="Y13" s="37">
        <v>160</v>
      </c>
      <c r="Z13" s="1"/>
      <c r="AA13" s="1"/>
      <c r="AB13" s="1"/>
      <c r="AC13" s="1"/>
    </row>
    <row r="14" spans="1:29" s="2" customFormat="1" ht="17.399999999999999">
      <c r="A14" s="9">
        <v>1</v>
      </c>
      <c r="B14" s="9">
        <v>46</v>
      </c>
      <c r="C14" s="8">
        <v>2109182835</v>
      </c>
      <c r="D14" s="42" t="s">
        <v>59</v>
      </c>
      <c r="E14" s="42" t="s">
        <v>10</v>
      </c>
      <c r="F14" s="10">
        <v>4</v>
      </c>
      <c r="G14" s="10">
        <v>1</v>
      </c>
      <c r="H14" s="50">
        <v>0</v>
      </c>
      <c r="I14" s="50">
        <v>1</v>
      </c>
      <c r="J14" s="50">
        <v>0</v>
      </c>
      <c r="K14" s="13" t="s">
        <v>52</v>
      </c>
      <c r="L14" s="11">
        <f t="shared" si="0"/>
        <v>6</v>
      </c>
      <c r="M14" s="10">
        <f t="shared" si="6"/>
        <v>1.2</v>
      </c>
      <c r="N14" s="10">
        <f t="shared" si="1"/>
        <v>0.4</v>
      </c>
      <c r="O14" s="10">
        <v>0</v>
      </c>
      <c r="P14" s="10">
        <f t="shared" si="2"/>
        <v>7.6000000000000005</v>
      </c>
      <c r="Q14" s="17">
        <v>19.873750000000005</v>
      </c>
      <c r="R14" s="18">
        <f t="shared" si="3"/>
        <v>27.473750000000006</v>
      </c>
      <c r="S14" s="19">
        <f t="shared" si="4"/>
        <v>6.25</v>
      </c>
      <c r="T14" s="20">
        <f t="shared" si="5"/>
        <v>21.223750000000006</v>
      </c>
      <c r="U14" s="11"/>
      <c r="V14" s="11"/>
      <c r="W14" s="11"/>
      <c r="X14" s="38" t="s">
        <v>42</v>
      </c>
      <c r="Y14" s="37">
        <v>1.2</v>
      </c>
      <c r="Z14" s="1"/>
      <c r="AA14" s="1"/>
      <c r="AB14" s="1"/>
      <c r="AC14" s="1"/>
    </row>
    <row r="15" spans="1:29" s="2" customFormat="1" ht="20.399999999999999">
      <c r="A15" s="9">
        <v>1</v>
      </c>
      <c r="B15" s="8">
        <v>221</v>
      </c>
      <c r="C15" s="8">
        <v>790956883</v>
      </c>
      <c r="D15" s="42" t="s">
        <v>96</v>
      </c>
      <c r="E15" s="42" t="s">
        <v>95</v>
      </c>
      <c r="F15" s="10">
        <v>4</v>
      </c>
      <c r="G15" s="10">
        <v>1</v>
      </c>
      <c r="H15" s="50">
        <v>0</v>
      </c>
      <c r="I15" s="50">
        <v>0</v>
      </c>
      <c r="J15" s="50">
        <v>0</v>
      </c>
      <c r="K15" s="13" t="s">
        <v>52</v>
      </c>
      <c r="L15" s="11">
        <f t="shared" si="0"/>
        <v>6</v>
      </c>
      <c r="M15" s="10">
        <f t="shared" si="6"/>
        <v>1.2</v>
      </c>
      <c r="N15" s="10">
        <f t="shared" si="1"/>
        <v>0</v>
      </c>
      <c r="O15" s="10">
        <v>0</v>
      </c>
      <c r="P15" s="10">
        <f t="shared" si="2"/>
        <v>7.2</v>
      </c>
      <c r="Q15" s="17">
        <v>20.193749999999998</v>
      </c>
      <c r="R15" s="18">
        <f t="shared" si="3"/>
        <v>27.393749999999997</v>
      </c>
      <c r="S15" s="19">
        <f t="shared" si="4"/>
        <v>6.25</v>
      </c>
      <c r="T15" s="20">
        <f t="shared" si="5"/>
        <v>21.143749999999997</v>
      </c>
      <c r="U15" s="4"/>
      <c r="V15" s="4"/>
      <c r="W15" s="4"/>
      <c r="X15" s="1" t="s">
        <v>34</v>
      </c>
      <c r="Y15" s="37">
        <v>2021</v>
      </c>
      <c r="Z15" s="1"/>
      <c r="AA15" s="1"/>
      <c r="AB15" s="1"/>
      <c r="AC15" s="1"/>
    </row>
    <row r="16" spans="1:29" s="2" customFormat="1" ht="17.399999999999999">
      <c r="A16" s="9">
        <v>1</v>
      </c>
      <c r="B16" s="8">
        <v>216</v>
      </c>
      <c r="C16" s="8">
        <v>395700385</v>
      </c>
      <c r="D16" s="42" t="s">
        <v>88</v>
      </c>
      <c r="F16" s="10">
        <v>4</v>
      </c>
      <c r="G16" s="10">
        <v>1</v>
      </c>
      <c r="H16" s="50">
        <v>0</v>
      </c>
      <c r="I16" s="50">
        <v>0</v>
      </c>
      <c r="J16" s="50">
        <v>0</v>
      </c>
      <c r="K16" s="13" t="s">
        <v>52</v>
      </c>
      <c r="L16" s="11">
        <f t="shared" si="0"/>
        <v>6</v>
      </c>
      <c r="M16" s="10">
        <f t="shared" si="6"/>
        <v>1.2</v>
      </c>
      <c r="N16" s="10">
        <f t="shared" si="1"/>
        <v>0</v>
      </c>
      <c r="O16" s="10">
        <v>0</v>
      </c>
      <c r="P16" s="10">
        <f t="shared" si="2"/>
        <v>7.2</v>
      </c>
      <c r="Q16" s="17">
        <v>20.075201612903218</v>
      </c>
      <c r="R16" s="18">
        <f t="shared" si="3"/>
        <v>27.275201612903217</v>
      </c>
      <c r="S16" s="19">
        <f t="shared" si="4"/>
        <v>6.25</v>
      </c>
      <c r="T16" s="20">
        <f t="shared" si="5"/>
        <v>21.025201612903217</v>
      </c>
      <c r="U16" s="4"/>
      <c r="V16" s="4"/>
      <c r="W16" s="4"/>
      <c r="X16" s="1" t="s">
        <v>35</v>
      </c>
      <c r="Y16" s="37">
        <v>8</v>
      </c>
      <c r="Z16" s="1"/>
      <c r="AA16" s="1"/>
      <c r="AB16" s="1"/>
      <c r="AC16" s="1"/>
    </row>
    <row r="17" spans="1:29" s="2" customFormat="1" ht="17.399999999999999">
      <c r="A17" s="9">
        <v>1</v>
      </c>
      <c r="B17" s="8">
        <v>224</v>
      </c>
      <c r="C17" s="8">
        <v>862562360</v>
      </c>
      <c r="D17" s="42" t="s">
        <v>129</v>
      </c>
      <c r="E17" s="42" t="s">
        <v>106</v>
      </c>
      <c r="F17" s="10">
        <v>4</v>
      </c>
      <c r="G17" s="10">
        <v>1</v>
      </c>
      <c r="H17" s="50">
        <v>0</v>
      </c>
      <c r="I17" s="50">
        <v>0</v>
      </c>
      <c r="J17" s="50">
        <v>0</v>
      </c>
      <c r="K17" s="13" t="s">
        <v>52</v>
      </c>
      <c r="L17" s="11">
        <f t="shared" si="0"/>
        <v>6</v>
      </c>
      <c r="M17" s="10">
        <f t="shared" si="6"/>
        <v>1.2</v>
      </c>
      <c r="N17" s="10">
        <f t="shared" si="1"/>
        <v>0</v>
      </c>
      <c r="O17" s="10">
        <v>0</v>
      </c>
      <c r="P17" s="10">
        <f t="shared" si="2"/>
        <v>7.2</v>
      </c>
      <c r="Q17" s="17">
        <v>19.74160447761194</v>
      </c>
      <c r="R17" s="18">
        <f t="shared" si="3"/>
        <v>26.941604477611939</v>
      </c>
      <c r="S17" s="19">
        <f t="shared" si="4"/>
        <v>6.25</v>
      </c>
      <c r="T17" s="20">
        <f t="shared" si="5"/>
        <v>20.691604477611939</v>
      </c>
      <c r="U17" s="4"/>
      <c r="V17" s="4"/>
      <c r="W17" s="4"/>
      <c r="X17" s="1" t="s">
        <v>36</v>
      </c>
      <c r="Y17" s="37">
        <v>7</v>
      </c>
      <c r="Z17" s="1"/>
      <c r="AA17" s="1"/>
      <c r="AB17" s="1"/>
      <c r="AC17" s="1"/>
    </row>
    <row r="18" spans="1:29" s="2" customFormat="1" ht="17.399999999999999">
      <c r="A18" s="9">
        <v>1</v>
      </c>
      <c r="B18" s="8">
        <v>208</v>
      </c>
      <c r="C18" s="8">
        <v>92129464</v>
      </c>
      <c r="D18" s="42" t="s">
        <v>82</v>
      </c>
      <c r="E18" s="47"/>
      <c r="F18" s="10">
        <v>4</v>
      </c>
      <c r="G18" s="10">
        <v>1</v>
      </c>
      <c r="H18" s="50">
        <v>0</v>
      </c>
      <c r="I18" s="50">
        <v>0</v>
      </c>
      <c r="J18" s="50">
        <v>0</v>
      </c>
      <c r="K18" s="13" t="s">
        <v>52</v>
      </c>
      <c r="L18" s="11">
        <f t="shared" si="0"/>
        <v>6</v>
      </c>
      <c r="M18" s="10">
        <f t="shared" si="6"/>
        <v>1.2</v>
      </c>
      <c r="N18" s="10">
        <f t="shared" si="1"/>
        <v>0</v>
      </c>
      <c r="O18" s="10">
        <v>0</v>
      </c>
      <c r="P18" s="10">
        <f t="shared" si="2"/>
        <v>7.2</v>
      </c>
      <c r="Q18" s="17">
        <v>19.706249999999997</v>
      </c>
      <c r="R18" s="18">
        <f t="shared" si="3"/>
        <v>26.906249999999996</v>
      </c>
      <c r="S18" s="19">
        <f t="shared" si="4"/>
        <v>6.25</v>
      </c>
      <c r="T18" s="20">
        <f t="shared" si="5"/>
        <v>20.656249999999996</v>
      </c>
      <c r="U18" s="4"/>
      <c r="V18" s="4"/>
      <c r="W18" s="4"/>
      <c r="X18" s="51" t="s">
        <v>103</v>
      </c>
      <c r="Y18" s="37">
        <v>0.4</v>
      </c>
      <c r="Z18" s="1"/>
      <c r="AA18" s="1"/>
      <c r="AB18" s="1"/>
      <c r="AC18" s="1"/>
    </row>
    <row r="19" spans="1:29" s="2" customFormat="1" ht="17.399999999999999">
      <c r="A19" s="9">
        <v>1</v>
      </c>
      <c r="B19" s="8">
        <v>118</v>
      </c>
      <c r="C19" s="8">
        <v>2018112397</v>
      </c>
      <c r="D19" s="42" t="s">
        <v>54</v>
      </c>
      <c r="E19" s="42" t="s">
        <v>47</v>
      </c>
      <c r="F19" s="10">
        <v>4</v>
      </c>
      <c r="G19" s="10">
        <v>1</v>
      </c>
      <c r="H19" s="50">
        <v>0</v>
      </c>
      <c r="I19" s="50">
        <v>0</v>
      </c>
      <c r="J19" s="50">
        <v>0</v>
      </c>
      <c r="K19" s="13" t="s">
        <v>52</v>
      </c>
      <c r="L19" s="11">
        <f t="shared" si="0"/>
        <v>6</v>
      </c>
      <c r="M19" s="10">
        <f t="shared" si="6"/>
        <v>1.2</v>
      </c>
      <c r="N19" s="10">
        <f t="shared" si="1"/>
        <v>0</v>
      </c>
      <c r="O19" s="10">
        <v>0</v>
      </c>
      <c r="P19" s="10">
        <f t="shared" si="2"/>
        <v>7.2</v>
      </c>
      <c r="Q19" s="17">
        <v>19.456249999999994</v>
      </c>
      <c r="R19" s="18">
        <f t="shared" si="3"/>
        <v>26.656249999999993</v>
      </c>
      <c r="S19" s="19">
        <f t="shared" si="4"/>
        <v>6.25</v>
      </c>
      <c r="T19" s="20">
        <f t="shared" si="5"/>
        <v>20.406249999999993</v>
      </c>
      <c r="U19" s="11"/>
      <c r="V19" s="11"/>
      <c r="W19" s="32"/>
      <c r="X19" s="1"/>
      <c r="Y19" s="1"/>
      <c r="Z19" s="1"/>
      <c r="AA19" s="1"/>
      <c r="AB19" s="1"/>
      <c r="AC19" s="1"/>
    </row>
    <row r="20" spans="1:29" s="2" customFormat="1" ht="17.399999999999999">
      <c r="A20" s="9">
        <v>1</v>
      </c>
      <c r="B20" s="9">
        <v>10</v>
      </c>
      <c r="C20" s="8">
        <v>2108977014</v>
      </c>
      <c r="D20" s="42" t="s">
        <v>57</v>
      </c>
      <c r="E20" s="42" t="s">
        <v>8</v>
      </c>
      <c r="F20" s="10">
        <v>1</v>
      </c>
      <c r="G20" s="10">
        <v>1</v>
      </c>
      <c r="H20" s="50">
        <v>0</v>
      </c>
      <c r="I20" s="50">
        <v>0</v>
      </c>
      <c r="J20" s="50">
        <v>1</v>
      </c>
      <c r="K20" s="14" t="s">
        <v>53</v>
      </c>
      <c r="L20" s="11">
        <f t="shared" si="0"/>
        <v>1</v>
      </c>
      <c r="M20" s="10">
        <f t="shared" si="6"/>
        <v>1.2</v>
      </c>
      <c r="N20" s="10">
        <f t="shared" si="1"/>
        <v>0.4</v>
      </c>
      <c r="O20" s="10">
        <v>0</v>
      </c>
      <c r="P20" s="10">
        <f t="shared" si="2"/>
        <v>2.6</v>
      </c>
      <c r="Q20" s="17">
        <v>23.606250000000003</v>
      </c>
      <c r="R20" s="18">
        <f t="shared" si="3"/>
        <v>26.206250000000004</v>
      </c>
      <c r="S20" s="19">
        <f t="shared" si="4"/>
        <v>1.09375</v>
      </c>
      <c r="T20" s="20">
        <f t="shared" si="5"/>
        <v>25.112500000000004</v>
      </c>
      <c r="U20" s="11"/>
      <c r="V20" s="11"/>
      <c r="W20" s="11"/>
      <c r="X20" s="1"/>
      <c r="Y20" s="1"/>
      <c r="Z20" s="1"/>
      <c r="AA20" s="1"/>
      <c r="AB20" s="1"/>
      <c r="AC20" s="1"/>
    </row>
    <row r="21" spans="1:29" s="2" customFormat="1" ht="17.399999999999999">
      <c r="A21" s="9">
        <v>1</v>
      </c>
      <c r="B21" s="8">
        <v>238</v>
      </c>
      <c r="C21" s="8">
        <v>108179057</v>
      </c>
      <c r="D21" s="42" t="s">
        <v>120</v>
      </c>
      <c r="E21" s="4"/>
      <c r="F21" s="10">
        <v>4</v>
      </c>
      <c r="G21" s="10">
        <v>1</v>
      </c>
      <c r="H21" s="50">
        <v>0</v>
      </c>
      <c r="I21" s="50">
        <v>0</v>
      </c>
      <c r="J21" s="50">
        <v>0</v>
      </c>
      <c r="K21" s="14" t="s">
        <v>53</v>
      </c>
      <c r="L21" s="11">
        <f t="shared" si="0"/>
        <v>6</v>
      </c>
      <c r="M21" s="10">
        <f t="shared" si="6"/>
        <v>1.2</v>
      </c>
      <c r="N21" s="10">
        <f t="shared" si="1"/>
        <v>0</v>
      </c>
      <c r="O21" s="10">
        <v>0</v>
      </c>
      <c r="P21" s="10">
        <f t="shared" si="2"/>
        <v>7.2</v>
      </c>
      <c r="Q21" s="17">
        <v>18.006249999999994</v>
      </c>
      <c r="R21" s="18">
        <f t="shared" si="3"/>
        <v>25.206249999999994</v>
      </c>
      <c r="S21" s="19">
        <f t="shared" si="4"/>
        <v>1.09375</v>
      </c>
      <c r="T21" s="20">
        <f t="shared" si="5"/>
        <v>24.112499999999994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7.399999999999999">
      <c r="A22" s="9">
        <v>1</v>
      </c>
      <c r="B22" s="8">
        <v>209</v>
      </c>
      <c r="C22" s="8">
        <v>1525950050</v>
      </c>
      <c r="D22" s="42" t="s">
        <v>85</v>
      </c>
      <c r="E22" s="42" t="s">
        <v>83</v>
      </c>
      <c r="F22" s="10">
        <v>4</v>
      </c>
      <c r="G22" s="10">
        <v>1</v>
      </c>
      <c r="H22" s="50">
        <v>0</v>
      </c>
      <c r="I22" s="50">
        <v>0</v>
      </c>
      <c r="J22" s="50">
        <v>0</v>
      </c>
      <c r="K22" s="14" t="s">
        <v>53</v>
      </c>
      <c r="L22" s="11">
        <f t="shared" si="0"/>
        <v>6</v>
      </c>
      <c r="M22" s="10">
        <f t="shared" si="6"/>
        <v>1.2</v>
      </c>
      <c r="N22" s="10">
        <f t="shared" si="1"/>
        <v>0</v>
      </c>
      <c r="O22" s="10">
        <v>0</v>
      </c>
      <c r="P22" s="10">
        <f t="shared" si="2"/>
        <v>7.2</v>
      </c>
      <c r="Q22" s="17">
        <v>17.456249999999994</v>
      </c>
      <c r="R22" s="18">
        <f t="shared" si="3"/>
        <v>24.656249999999993</v>
      </c>
      <c r="S22" s="19">
        <f t="shared" si="4"/>
        <v>1.09375</v>
      </c>
      <c r="T22" s="20">
        <f t="shared" si="5"/>
        <v>23.562499999999993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7.399999999999999">
      <c r="A23" s="9">
        <v>1</v>
      </c>
      <c r="B23" s="8">
        <v>167</v>
      </c>
      <c r="C23" s="8">
        <v>1173807161</v>
      </c>
      <c r="D23" s="42" t="s">
        <v>48</v>
      </c>
      <c r="E23" s="48"/>
      <c r="F23" s="10">
        <v>0</v>
      </c>
      <c r="G23" s="10">
        <v>0</v>
      </c>
      <c r="H23" s="50">
        <v>0</v>
      </c>
      <c r="I23" s="50">
        <v>0</v>
      </c>
      <c r="J23" s="50">
        <v>0</v>
      </c>
      <c r="K23" s="39" t="s">
        <v>30</v>
      </c>
      <c r="L23" s="11">
        <f t="shared" si="0"/>
        <v>0</v>
      </c>
      <c r="M23" s="10">
        <f t="shared" si="6"/>
        <v>0</v>
      </c>
      <c r="N23" s="10">
        <f t="shared" si="1"/>
        <v>0</v>
      </c>
      <c r="O23" s="10">
        <v>0</v>
      </c>
      <c r="P23" s="10">
        <f t="shared" si="2"/>
        <v>0</v>
      </c>
      <c r="Q23" s="17">
        <v>24.624999999999979</v>
      </c>
      <c r="R23" s="18">
        <f t="shared" si="3"/>
        <v>24.624999999999979</v>
      </c>
      <c r="S23" s="19">
        <f t="shared" si="4"/>
        <v>0</v>
      </c>
      <c r="T23" s="20">
        <f t="shared" si="5"/>
        <v>24.624999999999979</v>
      </c>
      <c r="U23" s="4"/>
      <c r="V23" s="4"/>
      <c r="W23" s="4"/>
    </row>
    <row r="24" spans="1:29" s="1" customFormat="1" ht="17.399999999999999">
      <c r="A24" s="9">
        <v>1</v>
      </c>
      <c r="B24" s="8">
        <v>196</v>
      </c>
      <c r="C24" s="8">
        <v>1065641844</v>
      </c>
      <c r="D24" s="42" t="s">
        <v>74</v>
      </c>
      <c r="E24" s="47"/>
      <c r="F24" s="10">
        <v>2</v>
      </c>
      <c r="G24" s="10">
        <v>1</v>
      </c>
      <c r="H24" s="50">
        <v>0</v>
      </c>
      <c r="I24" s="50">
        <v>0</v>
      </c>
      <c r="J24" s="50">
        <v>0</v>
      </c>
      <c r="K24" s="14" t="s">
        <v>53</v>
      </c>
      <c r="L24" s="11">
        <f t="shared" si="0"/>
        <v>2</v>
      </c>
      <c r="M24" s="10">
        <f t="shared" si="6"/>
        <v>1.2</v>
      </c>
      <c r="N24" s="10">
        <f t="shared" si="1"/>
        <v>0</v>
      </c>
      <c r="O24" s="10">
        <v>0</v>
      </c>
      <c r="P24" s="10">
        <f t="shared" si="2"/>
        <v>3.2</v>
      </c>
      <c r="Q24" s="17">
        <v>20.737499999999997</v>
      </c>
      <c r="R24" s="18">
        <f t="shared" si="3"/>
        <v>23.937499999999996</v>
      </c>
      <c r="S24" s="19">
        <f t="shared" si="4"/>
        <v>1.09375</v>
      </c>
      <c r="T24" s="20">
        <f t="shared" si="5"/>
        <v>22.843749999999996</v>
      </c>
      <c r="U24" s="4"/>
      <c r="V24" s="4"/>
      <c r="W24" s="4"/>
    </row>
    <row r="25" spans="1:29" s="1" customFormat="1" ht="17.399999999999999">
      <c r="A25" s="9">
        <v>1</v>
      </c>
      <c r="B25" s="8">
        <v>195</v>
      </c>
      <c r="C25" s="8">
        <v>1634663314</v>
      </c>
      <c r="D25" s="42" t="s">
        <v>73</v>
      </c>
      <c r="E25" s="47"/>
      <c r="F25" s="10">
        <v>4</v>
      </c>
      <c r="G25" s="10">
        <v>1</v>
      </c>
      <c r="H25" s="50">
        <v>0</v>
      </c>
      <c r="I25" s="50">
        <v>0</v>
      </c>
      <c r="J25" s="50">
        <v>0</v>
      </c>
      <c r="K25" s="14" t="s">
        <v>53</v>
      </c>
      <c r="L25" s="11">
        <f t="shared" si="0"/>
        <v>6</v>
      </c>
      <c r="M25" s="10">
        <f t="shared" si="6"/>
        <v>1.2</v>
      </c>
      <c r="N25" s="10">
        <f t="shared" si="1"/>
        <v>0</v>
      </c>
      <c r="O25" s="10">
        <v>0</v>
      </c>
      <c r="P25" s="10">
        <f t="shared" si="2"/>
        <v>7.2</v>
      </c>
      <c r="Q25" s="17">
        <v>16.611999999999995</v>
      </c>
      <c r="R25" s="18">
        <f t="shared" si="3"/>
        <v>23.811999999999994</v>
      </c>
      <c r="S25" s="19">
        <f t="shared" si="4"/>
        <v>1.09375</v>
      </c>
      <c r="T25" s="20">
        <f t="shared" si="5"/>
        <v>22.718249999999994</v>
      </c>
      <c r="U25" s="4"/>
      <c r="V25" s="4"/>
      <c r="W25" s="4"/>
    </row>
    <row r="26" spans="1:29" s="1" customFormat="1" ht="18.75" customHeight="1">
      <c r="A26" s="9">
        <v>1</v>
      </c>
      <c r="B26" s="8">
        <v>226</v>
      </c>
      <c r="C26" s="8">
        <v>1238792963</v>
      </c>
      <c r="D26" s="42" t="s">
        <v>108</v>
      </c>
      <c r="E26" s="42"/>
      <c r="F26" s="10">
        <v>4</v>
      </c>
      <c r="G26" s="10">
        <v>1</v>
      </c>
      <c r="H26" s="50">
        <v>0</v>
      </c>
      <c r="I26" s="50">
        <v>0</v>
      </c>
      <c r="J26" s="50">
        <v>0</v>
      </c>
      <c r="K26" s="14" t="s">
        <v>53</v>
      </c>
      <c r="L26" s="11">
        <f t="shared" si="0"/>
        <v>6</v>
      </c>
      <c r="M26" s="10">
        <f t="shared" si="6"/>
        <v>1.2</v>
      </c>
      <c r="N26" s="10">
        <f t="shared" si="1"/>
        <v>0</v>
      </c>
      <c r="O26" s="10">
        <v>0</v>
      </c>
      <c r="P26" s="10">
        <f t="shared" si="2"/>
        <v>7.2</v>
      </c>
      <c r="Q26" s="17">
        <v>16.024999999999999</v>
      </c>
      <c r="R26" s="18">
        <f t="shared" si="3"/>
        <v>23.224999999999998</v>
      </c>
      <c r="S26" s="19">
        <f t="shared" si="4"/>
        <v>1.09375</v>
      </c>
      <c r="T26" s="20">
        <f t="shared" si="5"/>
        <v>22.131249999999998</v>
      </c>
      <c r="U26" s="4"/>
      <c r="V26" s="4"/>
      <c r="W26" s="4"/>
    </row>
    <row r="27" spans="1:29" s="1" customFormat="1" ht="17.399999999999999">
      <c r="A27" s="9">
        <v>1</v>
      </c>
      <c r="B27" s="8">
        <v>212</v>
      </c>
      <c r="C27" s="8">
        <v>2133045883</v>
      </c>
      <c r="D27" s="42" t="s">
        <v>84</v>
      </c>
      <c r="E27" s="47"/>
      <c r="F27" s="10">
        <v>4</v>
      </c>
      <c r="G27" s="10">
        <v>1</v>
      </c>
      <c r="H27" s="50">
        <v>0</v>
      </c>
      <c r="I27" s="50">
        <v>0</v>
      </c>
      <c r="J27" s="50">
        <v>0</v>
      </c>
      <c r="K27" s="14" t="s">
        <v>53</v>
      </c>
      <c r="L27" s="11">
        <f t="shared" si="0"/>
        <v>6</v>
      </c>
      <c r="M27" s="10">
        <f t="shared" si="6"/>
        <v>1.2</v>
      </c>
      <c r="N27" s="10">
        <f t="shared" si="1"/>
        <v>0</v>
      </c>
      <c r="O27" s="10">
        <v>0</v>
      </c>
      <c r="P27" s="10">
        <f t="shared" si="2"/>
        <v>7.2</v>
      </c>
      <c r="Q27" s="17">
        <v>15.962499999999991</v>
      </c>
      <c r="R27" s="18">
        <f t="shared" si="3"/>
        <v>23.162499999999991</v>
      </c>
      <c r="S27" s="19">
        <f t="shared" si="4"/>
        <v>1.09375</v>
      </c>
      <c r="T27" s="20">
        <f t="shared" si="5"/>
        <v>22.068749999999991</v>
      </c>
      <c r="U27" s="4"/>
      <c r="V27" s="4"/>
      <c r="W27" s="4"/>
    </row>
    <row r="28" spans="1:29" s="1" customFormat="1" ht="17.399999999999999">
      <c r="A28" s="9">
        <v>1</v>
      </c>
      <c r="B28" s="8">
        <v>189</v>
      </c>
      <c r="C28" s="8">
        <v>522812489</v>
      </c>
      <c r="D28" s="42" t="s">
        <v>70</v>
      </c>
      <c r="E28" s="47"/>
      <c r="F28" s="10">
        <v>4</v>
      </c>
      <c r="G28" s="10">
        <v>1</v>
      </c>
      <c r="H28" s="50">
        <v>0</v>
      </c>
      <c r="I28" s="50">
        <v>0</v>
      </c>
      <c r="J28" s="50">
        <v>0</v>
      </c>
      <c r="K28" s="14" t="s">
        <v>53</v>
      </c>
      <c r="L28" s="11">
        <f t="shared" si="0"/>
        <v>6</v>
      </c>
      <c r="M28" s="10">
        <f t="shared" si="6"/>
        <v>1.2</v>
      </c>
      <c r="N28" s="10">
        <f t="shared" si="1"/>
        <v>0</v>
      </c>
      <c r="O28" s="10">
        <v>0</v>
      </c>
      <c r="P28" s="10">
        <f t="shared" si="2"/>
        <v>7.2</v>
      </c>
      <c r="Q28" s="17">
        <v>14.606250000000003</v>
      </c>
      <c r="R28" s="18">
        <f t="shared" si="3"/>
        <v>21.806250000000002</v>
      </c>
      <c r="S28" s="19">
        <f t="shared" si="4"/>
        <v>1.09375</v>
      </c>
      <c r="T28" s="20">
        <f t="shared" si="5"/>
        <v>20.712500000000002</v>
      </c>
      <c r="U28" s="4"/>
      <c r="V28" s="4"/>
      <c r="W28" s="4"/>
    </row>
    <row r="29" spans="1:29" s="2" customFormat="1" ht="17.399999999999999">
      <c r="A29" s="9">
        <v>1</v>
      </c>
      <c r="B29" s="8">
        <v>236</v>
      </c>
      <c r="C29" s="8">
        <v>1968448898</v>
      </c>
      <c r="D29" s="42" t="s">
        <v>118</v>
      </c>
      <c r="E29" s="4"/>
      <c r="F29" s="10">
        <v>2</v>
      </c>
      <c r="G29" s="10">
        <v>1</v>
      </c>
      <c r="H29" s="50">
        <v>0</v>
      </c>
      <c r="I29" s="50">
        <v>0</v>
      </c>
      <c r="J29" s="50">
        <v>0</v>
      </c>
      <c r="K29" s="14" t="s">
        <v>53</v>
      </c>
      <c r="L29" s="11">
        <f t="shared" si="0"/>
        <v>2</v>
      </c>
      <c r="M29" s="10">
        <f t="shared" si="6"/>
        <v>1.2</v>
      </c>
      <c r="N29" s="10">
        <f t="shared" si="1"/>
        <v>0</v>
      </c>
      <c r="O29" s="10">
        <v>0</v>
      </c>
      <c r="P29" s="10">
        <f t="shared" si="2"/>
        <v>3.2</v>
      </c>
      <c r="Q29" s="17">
        <v>18.581249999999997</v>
      </c>
      <c r="R29" s="18">
        <f t="shared" si="3"/>
        <v>21.781249999999996</v>
      </c>
      <c r="S29" s="19">
        <f t="shared" si="4"/>
        <v>1.09375</v>
      </c>
      <c r="T29" s="20">
        <f t="shared" si="5"/>
        <v>20.687499999999996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7.399999999999999">
      <c r="A30" s="9">
        <v>1</v>
      </c>
      <c r="B30" s="8">
        <v>184</v>
      </c>
      <c r="C30" s="8">
        <v>1814130074</v>
      </c>
      <c r="D30" s="42" t="s">
        <v>67</v>
      </c>
      <c r="E30" s="47"/>
      <c r="F30" s="10">
        <v>3</v>
      </c>
      <c r="G30" s="10">
        <v>1</v>
      </c>
      <c r="H30" s="50">
        <v>0</v>
      </c>
      <c r="I30" s="50">
        <v>1</v>
      </c>
      <c r="J30" s="50">
        <v>0</v>
      </c>
      <c r="K30" s="14" t="s">
        <v>53</v>
      </c>
      <c r="L30" s="11">
        <f t="shared" si="0"/>
        <v>4</v>
      </c>
      <c r="M30" s="10">
        <f t="shared" si="6"/>
        <v>1.2</v>
      </c>
      <c r="N30" s="10">
        <f t="shared" si="1"/>
        <v>0.4</v>
      </c>
      <c r="O30" s="10">
        <v>0</v>
      </c>
      <c r="P30" s="10">
        <f t="shared" si="2"/>
        <v>5.6000000000000005</v>
      </c>
      <c r="Q30" s="17">
        <v>16.000000000000011</v>
      </c>
      <c r="R30" s="18">
        <f t="shared" si="3"/>
        <v>21.600000000000012</v>
      </c>
      <c r="S30" s="19">
        <f t="shared" si="4"/>
        <v>1.09375</v>
      </c>
      <c r="T30" s="20">
        <f t="shared" si="5"/>
        <v>20.506250000000012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7.399999999999999">
      <c r="A31" s="9">
        <v>1</v>
      </c>
      <c r="B31" s="8">
        <v>182</v>
      </c>
      <c r="C31" s="8">
        <v>828260319</v>
      </c>
      <c r="D31" s="42" t="s">
        <v>127</v>
      </c>
      <c r="E31" s="42" t="s">
        <v>90</v>
      </c>
      <c r="F31" s="10">
        <v>4</v>
      </c>
      <c r="G31" s="10">
        <v>1</v>
      </c>
      <c r="H31" s="50">
        <v>0</v>
      </c>
      <c r="I31" s="50">
        <v>0</v>
      </c>
      <c r="J31" s="50">
        <v>1</v>
      </c>
      <c r="K31" s="14" t="s">
        <v>53</v>
      </c>
      <c r="L31" s="11">
        <f t="shared" si="0"/>
        <v>6</v>
      </c>
      <c r="M31" s="10">
        <f t="shared" si="6"/>
        <v>1.2</v>
      </c>
      <c r="N31" s="10">
        <f t="shared" si="1"/>
        <v>0.4</v>
      </c>
      <c r="O31" s="10">
        <v>0</v>
      </c>
      <c r="P31" s="10">
        <f t="shared" si="2"/>
        <v>7.6000000000000005</v>
      </c>
      <c r="Q31" s="17">
        <v>13.969250000000013</v>
      </c>
      <c r="R31" s="18">
        <f t="shared" si="3"/>
        <v>21.569250000000014</v>
      </c>
      <c r="S31" s="19">
        <f t="shared" si="4"/>
        <v>1.09375</v>
      </c>
      <c r="T31" s="20">
        <f t="shared" si="5"/>
        <v>20.475500000000014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7.399999999999999">
      <c r="A32" s="9">
        <v>1</v>
      </c>
      <c r="B32" s="8">
        <v>225</v>
      </c>
      <c r="C32" s="8">
        <v>1963965829</v>
      </c>
      <c r="D32" s="42" t="s">
        <v>107</v>
      </c>
      <c r="E32" s="42"/>
      <c r="F32" s="10">
        <v>4</v>
      </c>
      <c r="G32" s="10">
        <v>1</v>
      </c>
      <c r="H32" s="50">
        <v>0</v>
      </c>
      <c r="I32" s="50">
        <v>0</v>
      </c>
      <c r="J32" s="50">
        <v>0</v>
      </c>
      <c r="K32" s="14" t="s">
        <v>53</v>
      </c>
      <c r="L32" s="11">
        <f t="shared" si="0"/>
        <v>6</v>
      </c>
      <c r="M32" s="10">
        <f t="shared" si="6"/>
        <v>1.2</v>
      </c>
      <c r="N32" s="10">
        <f t="shared" si="1"/>
        <v>0</v>
      </c>
      <c r="O32" s="10">
        <v>0</v>
      </c>
      <c r="P32" s="10">
        <f t="shared" si="2"/>
        <v>7.2</v>
      </c>
      <c r="Q32" s="17">
        <v>14.210736940298499</v>
      </c>
      <c r="R32" s="18">
        <f t="shared" si="3"/>
        <v>21.410736940298499</v>
      </c>
      <c r="S32" s="19">
        <f t="shared" si="4"/>
        <v>1.09375</v>
      </c>
      <c r="T32" s="20">
        <f t="shared" si="5"/>
        <v>20.316986940298499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7.399999999999999">
      <c r="A33" s="9">
        <v>1</v>
      </c>
      <c r="B33" s="8">
        <v>202</v>
      </c>
      <c r="C33" s="8">
        <v>471245585</v>
      </c>
      <c r="D33" s="42" t="s">
        <v>77</v>
      </c>
      <c r="E33" s="47"/>
      <c r="F33" s="10">
        <v>4</v>
      </c>
      <c r="G33" s="10">
        <v>1</v>
      </c>
      <c r="H33" s="50">
        <v>0</v>
      </c>
      <c r="I33" s="50">
        <v>0</v>
      </c>
      <c r="J33" s="50">
        <v>0</v>
      </c>
      <c r="K33" s="14" t="s">
        <v>53</v>
      </c>
      <c r="L33" s="11">
        <f t="shared" si="0"/>
        <v>6</v>
      </c>
      <c r="M33" s="10">
        <f t="shared" si="6"/>
        <v>1.2</v>
      </c>
      <c r="N33" s="10">
        <f t="shared" si="1"/>
        <v>0</v>
      </c>
      <c r="O33" s="10">
        <v>0</v>
      </c>
      <c r="P33" s="10">
        <f t="shared" si="2"/>
        <v>7.2</v>
      </c>
      <c r="Q33" s="17">
        <v>14.143749999999997</v>
      </c>
      <c r="R33" s="18">
        <f t="shared" si="3"/>
        <v>21.343749999999996</v>
      </c>
      <c r="S33" s="19">
        <f t="shared" si="4"/>
        <v>1.09375</v>
      </c>
      <c r="T33" s="20">
        <f t="shared" si="5"/>
        <v>20.249999999999996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7.399999999999999">
      <c r="A34" s="9">
        <v>1</v>
      </c>
      <c r="B34" s="8">
        <v>232</v>
      </c>
      <c r="C34" s="8">
        <v>1088909927</v>
      </c>
      <c r="D34" s="42" t="s">
        <v>113</v>
      </c>
      <c r="E34" s="4"/>
      <c r="F34" s="10">
        <v>2</v>
      </c>
      <c r="G34" s="10">
        <v>0</v>
      </c>
      <c r="H34" s="50">
        <v>0</v>
      </c>
      <c r="I34" s="50">
        <v>0</v>
      </c>
      <c r="J34" s="50">
        <v>0</v>
      </c>
      <c r="K34" s="14" t="s">
        <v>53</v>
      </c>
      <c r="L34" s="11">
        <f t="shared" si="0"/>
        <v>2</v>
      </c>
      <c r="M34" s="10">
        <f t="shared" si="6"/>
        <v>0</v>
      </c>
      <c r="N34" s="10">
        <f t="shared" si="1"/>
        <v>0</v>
      </c>
      <c r="O34" s="10">
        <v>0</v>
      </c>
      <c r="P34" s="10">
        <f t="shared" si="2"/>
        <v>2</v>
      </c>
      <c r="Q34" s="17">
        <v>19.274999999999999</v>
      </c>
      <c r="R34" s="18">
        <f t="shared" si="3"/>
        <v>21.274999999999999</v>
      </c>
      <c r="S34" s="19">
        <f t="shared" si="4"/>
        <v>1.09375</v>
      </c>
      <c r="T34" s="20">
        <f t="shared" si="5"/>
        <v>20.181249999999999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7.399999999999999">
      <c r="A35" s="9">
        <v>1</v>
      </c>
      <c r="B35" s="8">
        <v>128</v>
      </c>
      <c r="C35" s="8">
        <v>1214614935</v>
      </c>
      <c r="D35" s="42" t="s">
        <v>62</v>
      </c>
      <c r="E35" s="49" t="s">
        <v>43</v>
      </c>
      <c r="F35" s="10">
        <v>4</v>
      </c>
      <c r="G35" s="10">
        <v>1</v>
      </c>
      <c r="H35" s="50">
        <v>0</v>
      </c>
      <c r="I35" s="50">
        <v>1</v>
      </c>
      <c r="J35" s="50">
        <v>1</v>
      </c>
      <c r="K35" s="14" t="s">
        <v>53</v>
      </c>
      <c r="L35" s="11">
        <f t="shared" si="0"/>
        <v>6</v>
      </c>
      <c r="M35" s="10">
        <f t="shared" si="6"/>
        <v>1.2</v>
      </c>
      <c r="N35" s="10">
        <f t="shared" si="1"/>
        <v>0.8</v>
      </c>
      <c r="O35" s="10">
        <v>0</v>
      </c>
      <c r="P35" s="10">
        <f t="shared" si="2"/>
        <v>8</v>
      </c>
      <c r="Q35" s="17">
        <v>13.080749999999995</v>
      </c>
      <c r="R35" s="18">
        <f t="shared" si="3"/>
        <v>21.080749999999995</v>
      </c>
      <c r="S35" s="19">
        <f t="shared" si="4"/>
        <v>1.09375</v>
      </c>
      <c r="T35" s="20">
        <f t="shared" si="5"/>
        <v>19.986999999999995</v>
      </c>
      <c r="U35" s="11"/>
      <c r="V35" s="11"/>
      <c r="W35" s="31"/>
      <c r="X35" s="1"/>
      <c r="Y35" s="1"/>
      <c r="Z35" s="1"/>
      <c r="AA35" s="1"/>
      <c r="AB35" s="1"/>
      <c r="AC35" s="1"/>
    </row>
    <row r="36" spans="1:29" s="2" customFormat="1" ht="17.399999999999999">
      <c r="A36" s="9">
        <v>1</v>
      </c>
      <c r="B36" s="8">
        <v>174</v>
      </c>
      <c r="C36" s="8">
        <v>775720958</v>
      </c>
      <c r="D36" s="42" t="s">
        <v>79</v>
      </c>
      <c r="E36" s="42" t="s">
        <v>49</v>
      </c>
      <c r="F36" s="10">
        <v>3</v>
      </c>
      <c r="G36" s="10">
        <v>1</v>
      </c>
      <c r="H36" s="50">
        <v>0</v>
      </c>
      <c r="I36" s="50">
        <v>0</v>
      </c>
      <c r="J36" s="50">
        <v>0</v>
      </c>
      <c r="K36" s="14" t="s">
        <v>53</v>
      </c>
      <c r="L36" s="11">
        <f t="shared" si="0"/>
        <v>4</v>
      </c>
      <c r="M36" s="10">
        <f t="shared" si="6"/>
        <v>1.2</v>
      </c>
      <c r="N36" s="10">
        <f t="shared" si="1"/>
        <v>0</v>
      </c>
      <c r="O36" s="10">
        <v>0</v>
      </c>
      <c r="P36" s="10">
        <f t="shared" si="2"/>
        <v>5.2</v>
      </c>
      <c r="Q36" s="17">
        <v>15.731249999999989</v>
      </c>
      <c r="R36" s="18">
        <f t="shared" si="3"/>
        <v>20.931249999999988</v>
      </c>
      <c r="S36" s="19">
        <f t="shared" si="4"/>
        <v>1.09375</v>
      </c>
      <c r="T36" s="20">
        <f t="shared" si="5"/>
        <v>19.837499999999988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7.399999999999999">
      <c r="A37" s="9">
        <v>1</v>
      </c>
      <c r="B37" s="8">
        <v>234</v>
      </c>
      <c r="C37" s="8">
        <v>1333428907</v>
      </c>
      <c r="D37" s="42" t="s">
        <v>128</v>
      </c>
      <c r="E37" s="42" t="s">
        <v>115</v>
      </c>
      <c r="F37" s="10">
        <v>4</v>
      </c>
      <c r="G37" s="10">
        <v>0</v>
      </c>
      <c r="H37" s="50">
        <v>0</v>
      </c>
      <c r="I37" s="50">
        <v>0</v>
      </c>
      <c r="J37" s="50">
        <v>0</v>
      </c>
      <c r="K37" s="14" t="s">
        <v>53</v>
      </c>
      <c r="L37" s="11">
        <f t="shared" ref="L37:L69" si="7">F37+IF(F37&gt;2,(F37-2)*1,0)</f>
        <v>6</v>
      </c>
      <c r="M37" s="10">
        <f t="shared" si="6"/>
        <v>0</v>
      </c>
      <c r="N37" s="10">
        <f t="shared" ref="N37:N69" si="8">SUM(H37:J37)*$Y$18</f>
        <v>0</v>
      </c>
      <c r="O37" s="10">
        <v>0</v>
      </c>
      <c r="P37" s="10">
        <f t="shared" ref="P37:P68" si="9">SUM(M37+L37+O37+N37)</f>
        <v>6</v>
      </c>
      <c r="Q37" s="17">
        <v>14.5625</v>
      </c>
      <c r="R37" s="18">
        <f t="shared" ref="R37:R68" si="10">P37+Q37</f>
        <v>20.5625</v>
      </c>
      <c r="S37" s="19">
        <f t="shared" ref="S37:S69" si="11">VLOOKUP(K37,$X$3:$Y$10,2,FALSE)</f>
        <v>1.09375</v>
      </c>
      <c r="T37" s="20">
        <f t="shared" ref="T37:T68" si="12">R37-S37</f>
        <v>19.46875</v>
      </c>
      <c r="U37" s="4"/>
      <c r="V37" s="4"/>
      <c r="W37" s="4"/>
    </row>
    <row r="38" spans="1:29" s="2" customFormat="1" ht="17.399999999999999">
      <c r="A38" s="9">
        <v>1</v>
      </c>
      <c r="B38" s="8">
        <v>185</v>
      </c>
      <c r="C38" s="8">
        <v>30705222</v>
      </c>
      <c r="D38" s="42" t="s">
        <v>68</v>
      </c>
      <c r="E38" s="47"/>
      <c r="F38" s="10">
        <v>3</v>
      </c>
      <c r="G38" s="10">
        <v>1</v>
      </c>
      <c r="H38" s="50">
        <v>0</v>
      </c>
      <c r="I38" s="50">
        <v>1</v>
      </c>
      <c r="J38" s="50">
        <v>1</v>
      </c>
      <c r="K38" s="14" t="s">
        <v>53</v>
      </c>
      <c r="L38" s="11">
        <f t="shared" si="7"/>
        <v>4</v>
      </c>
      <c r="M38" s="10">
        <f t="shared" si="6"/>
        <v>1.2</v>
      </c>
      <c r="N38" s="10">
        <f t="shared" si="8"/>
        <v>0.8</v>
      </c>
      <c r="O38" s="10">
        <v>0</v>
      </c>
      <c r="P38" s="10">
        <f t="shared" si="9"/>
        <v>6</v>
      </c>
      <c r="Q38" s="17">
        <v>14.456250000000001</v>
      </c>
      <c r="R38" s="18">
        <f t="shared" si="10"/>
        <v>20.456250000000001</v>
      </c>
      <c r="S38" s="19">
        <f t="shared" si="11"/>
        <v>1.09375</v>
      </c>
      <c r="T38" s="20">
        <f t="shared" si="12"/>
        <v>19.362500000000001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7.399999999999999">
      <c r="A39" s="9">
        <v>1</v>
      </c>
      <c r="B39" s="8">
        <v>110</v>
      </c>
      <c r="C39" s="8">
        <v>1968703358</v>
      </c>
      <c r="D39" s="42" t="s">
        <v>60</v>
      </c>
      <c r="E39" s="42" t="s">
        <v>38</v>
      </c>
      <c r="F39" s="10">
        <v>3</v>
      </c>
      <c r="G39" s="10">
        <v>1</v>
      </c>
      <c r="H39" s="50">
        <v>0</v>
      </c>
      <c r="I39" s="50">
        <v>0</v>
      </c>
      <c r="J39" s="50">
        <v>1</v>
      </c>
      <c r="K39" s="14" t="s">
        <v>53</v>
      </c>
      <c r="L39" s="11">
        <f t="shared" si="7"/>
        <v>4</v>
      </c>
      <c r="M39" s="10">
        <f t="shared" si="6"/>
        <v>1.2</v>
      </c>
      <c r="N39" s="10">
        <f t="shared" si="8"/>
        <v>0.4</v>
      </c>
      <c r="O39" s="10">
        <v>0</v>
      </c>
      <c r="P39" s="10">
        <f t="shared" si="9"/>
        <v>5.6000000000000005</v>
      </c>
      <c r="Q39" s="17">
        <v>14.843750000000007</v>
      </c>
      <c r="R39" s="18">
        <f t="shared" si="10"/>
        <v>20.443750000000009</v>
      </c>
      <c r="S39" s="19">
        <f t="shared" si="11"/>
        <v>1.09375</v>
      </c>
      <c r="T39" s="20">
        <f t="shared" si="12"/>
        <v>19.350000000000009</v>
      </c>
      <c r="U39" s="11"/>
      <c r="V39" s="11"/>
      <c r="W39" s="17"/>
    </row>
    <row r="40" spans="1:29" ht="17.399999999999999">
      <c r="A40" s="9">
        <v>1</v>
      </c>
      <c r="B40" s="8">
        <v>183</v>
      </c>
      <c r="C40" s="8">
        <v>1250030371</v>
      </c>
      <c r="D40" s="42" t="s">
        <v>130</v>
      </c>
      <c r="E40" s="42" t="s">
        <v>121</v>
      </c>
      <c r="F40" s="10">
        <v>4</v>
      </c>
      <c r="G40" s="10">
        <v>1</v>
      </c>
      <c r="H40" s="50">
        <v>0</v>
      </c>
      <c r="I40" s="50">
        <v>0</v>
      </c>
      <c r="J40" s="50">
        <v>0</v>
      </c>
      <c r="K40" s="14" t="s">
        <v>53</v>
      </c>
      <c r="L40" s="11">
        <f t="shared" si="7"/>
        <v>6</v>
      </c>
      <c r="M40" s="10">
        <f t="shared" si="6"/>
        <v>1.2</v>
      </c>
      <c r="N40" s="10">
        <f t="shared" si="8"/>
        <v>0</v>
      </c>
      <c r="O40" s="10">
        <v>0</v>
      </c>
      <c r="P40" s="10">
        <f t="shared" si="9"/>
        <v>7.2</v>
      </c>
      <c r="Q40" s="17">
        <v>13.237500000000001</v>
      </c>
      <c r="R40" s="18">
        <f t="shared" si="10"/>
        <v>20.4375</v>
      </c>
      <c r="S40" s="19">
        <f t="shared" si="11"/>
        <v>1.09375</v>
      </c>
      <c r="T40" s="20">
        <f t="shared" si="12"/>
        <v>19.34375</v>
      </c>
      <c r="U40" s="4"/>
      <c r="V40" s="4"/>
      <c r="W40" s="4"/>
    </row>
    <row r="41" spans="1:29" ht="17.399999999999999">
      <c r="A41" s="9">
        <v>1</v>
      </c>
      <c r="B41" s="9">
        <v>230</v>
      </c>
      <c r="C41" s="8">
        <v>1076026693</v>
      </c>
      <c r="D41" s="42" t="s">
        <v>111</v>
      </c>
      <c r="F41" s="10">
        <v>2</v>
      </c>
      <c r="G41" s="10">
        <v>1</v>
      </c>
      <c r="H41" s="50">
        <v>0</v>
      </c>
      <c r="I41" s="50">
        <v>0</v>
      </c>
      <c r="J41" s="50">
        <v>0</v>
      </c>
      <c r="K41" s="14" t="s">
        <v>53</v>
      </c>
      <c r="L41" s="11">
        <f t="shared" si="7"/>
        <v>2</v>
      </c>
      <c r="M41" s="10">
        <f t="shared" si="6"/>
        <v>1.2</v>
      </c>
      <c r="N41" s="10">
        <f t="shared" si="8"/>
        <v>0</v>
      </c>
      <c r="O41" s="10">
        <v>0</v>
      </c>
      <c r="P41" s="10">
        <f t="shared" si="9"/>
        <v>3.2</v>
      </c>
      <c r="Q41" s="17">
        <v>17.106249999999999</v>
      </c>
      <c r="R41" s="18">
        <f t="shared" si="10"/>
        <v>20.306249999999999</v>
      </c>
      <c r="S41" s="19">
        <f t="shared" si="11"/>
        <v>1.09375</v>
      </c>
      <c r="T41" s="20">
        <f t="shared" si="12"/>
        <v>19.212499999999999</v>
      </c>
      <c r="U41" s="4"/>
      <c r="V41" s="4"/>
      <c r="W41" s="4"/>
    </row>
    <row r="42" spans="1:29" ht="17.399999999999999">
      <c r="A42" s="9">
        <v>1</v>
      </c>
      <c r="B42" s="9">
        <v>92</v>
      </c>
      <c r="C42" s="8">
        <v>1367873925</v>
      </c>
      <c r="D42" s="42" t="s">
        <v>80</v>
      </c>
      <c r="E42" s="42" t="s">
        <v>31</v>
      </c>
      <c r="F42" s="10">
        <v>2</v>
      </c>
      <c r="G42" s="10">
        <v>1</v>
      </c>
      <c r="H42" s="50">
        <v>0</v>
      </c>
      <c r="I42" s="50">
        <v>0</v>
      </c>
      <c r="J42" s="50">
        <v>0</v>
      </c>
      <c r="K42" s="14" t="s">
        <v>53</v>
      </c>
      <c r="L42" s="11">
        <f t="shared" si="7"/>
        <v>2</v>
      </c>
      <c r="M42" s="10">
        <f t="shared" ref="M42:M69" si="13">G42*$Y$14</f>
        <v>1.2</v>
      </c>
      <c r="N42" s="10">
        <f t="shared" si="8"/>
        <v>0</v>
      </c>
      <c r="O42" s="10">
        <v>0</v>
      </c>
      <c r="P42" s="10">
        <f t="shared" si="9"/>
        <v>3.2</v>
      </c>
      <c r="Q42" s="17">
        <v>17.012499999999999</v>
      </c>
      <c r="R42" s="18">
        <f t="shared" si="10"/>
        <v>20.212499999999999</v>
      </c>
      <c r="S42" s="19">
        <f t="shared" si="11"/>
        <v>1.09375</v>
      </c>
      <c r="T42" s="20">
        <f t="shared" si="12"/>
        <v>19.118749999999999</v>
      </c>
      <c r="U42" s="11"/>
      <c r="V42" s="11"/>
      <c r="W42" s="31"/>
    </row>
    <row r="43" spans="1:29" ht="17.399999999999999">
      <c r="A43" s="9">
        <v>1</v>
      </c>
      <c r="B43" s="8">
        <v>215</v>
      </c>
      <c r="C43" s="8">
        <v>289805855</v>
      </c>
      <c r="D43" s="42" t="s">
        <v>87</v>
      </c>
      <c r="E43" s="2"/>
      <c r="F43" s="10">
        <v>4</v>
      </c>
      <c r="G43" s="10">
        <v>0</v>
      </c>
      <c r="H43" s="50">
        <v>0</v>
      </c>
      <c r="I43" s="50">
        <v>1</v>
      </c>
      <c r="J43" s="50">
        <v>1</v>
      </c>
      <c r="K43" s="14" t="s">
        <v>53</v>
      </c>
      <c r="L43" s="11">
        <f t="shared" si="7"/>
        <v>6</v>
      </c>
      <c r="M43" s="10">
        <f t="shared" si="13"/>
        <v>0</v>
      </c>
      <c r="N43" s="10">
        <f t="shared" si="8"/>
        <v>0.8</v>
      </c>
      <c r="O43" s="10">
        <v>0</v>
      </c>
      <c r="P43" s="10">
        <f t="shared" si="9"/>
        <v>6.8</v>
      </c>
      <c r="Q43" s="17">
        <v>12.887999999999995</v>
      </c>
      <c r="R43" s="18">
        <f t="shared" si="10"/>
        <v>19.687999999999995</v>
      </c>
      <c r="S43" s="19">
        <f t="shared" si="11"/>
        <v>1.09375</v>
      </c>
      <c r="T43" s="20">
        <f t="shared" si="12"/>
        <v>18.594249999999995</v>
      </c>
      <c r="U43" s="4"/>
      <c r="V43" s="4"/>
      <c r="W43" s="4"/>
    </row>
    <row r="44" spans="1:29" ht="20.399999999999999">
      <c r="A44" s="9">
        <v>1</v>
      </c>
      <c r="B44" s="8">
        <v>229</v>
      </c>
      <c r="C44" s="8">
        <v>1598972736</v>
      </c>
      <c r="D44" s="42" t="s">
        <v>110</v>
      </c>
      <c r="E44" s="42"/>
      <c r="F44" s="10">
        <v>2</v>
      </c>
      <c r="G44" s="10">
        <v>1</v>
      </c>
      <c r="H44" s="50">
        <v>0</v>
      </c>
      <c r="I44" s="50">
        <v>0</v>
      </c>
      <c r="J44" s="50">
        <v>0</v>
      </c>
      <c r="K44" s="14" t="s">
        <v>53</v>
      </c>
      <c r="L44" s="11">
        <f t="shared" si="7"/>
        <v>2</v>
      </c>
      <c r="M44" s="10">
        <f t="shared" si="13"/>
        <v>1.2</v>
      </c>
      <c r="N44" s="10">
        <f t="shared" si="8"/>
        <v>0</v>
      </c>
      <c r="O44" s="10">
        <v>0</v>
      </c>
      <c r="P44" s="10">
        <f t="shared" si="9"/>
        <v>3.2</v>
      </c>
      <c r="Q44" s="17">
        <v>15.784589552238799</v>
      </c>
      <c r="R44" s="18">
        <f t="shared" si="10"/>
        <v>18.984589552238798</v>
      </c>
      <c r="S44" s="19">
        <f t="shared" si="11"/>
        <v>1.09375</v>
      </c>
      <c r="T44" s="20">
        <f t="shared" si="12"/>
        <v>17.890839552238798</v>
      </c>
      <c r="U44" s="4"/>
      <c r="V44" s="4"/>
      <c r="W44" s="4"/>
    </row>
    <row r="45" spans="1:29" ht="17.399999999999999">
      <c r="A45" s="9">
        <v>1</v>
      </c>
      <c r="B45" s="8">
        <v>200</v>
      </c>
      <c r="C45" s="8">
        <v>967589156</v>
      </c>
      <c r="D45" s="42" t="s">
        <v>76</v>
      </c>
      <c r="E45" s="47"/>
      <c r="F45" s="10">
        <v>3</v>
      </c>
      <c r="G45" s="10">
        <v>1</v>
      </c>
      <c r="H45" s="50">
        <v>0</v>
      </c>
      <c r="I45" s="50">
        <v>1</v>
      </c>
      <c r="J45" s="50">
        <v>0</v>
      </c>
      <c r="K45" s="14" t="s">
        <v>53</v>
      </c>
      <c r="L45" s="11">
        <f t="shared" si="7"/>
        <v>4</v>
      </c>
      <c r="M45" s="10">
        <f t="shared" si="13"/>
        <v>1.2</v>
      </c>
      <c r="N45" s="10">
        <f t="shared" si="8"/>
        <v>0.4</v>
      </c>
      <c r="O45" s="10">
        <v>0</v>
      </c>
      <c r="P45" s="10">
        <f t="shared" si="9"/>
        <v>5.6000000000000005</v>
      </c>
      <c r="Q45" s="17">
        <v>12.900000000000006</v>
      </c>
      <c r="R45" s="18">
        <f t="shared" si="10"/>
        <v>18.500000000000007</v>
      </c>
      <c r="S45" s="19">
        <f t="shared" si="11"/>
        <v>1.09375</v>
      </c>
      <c r="T45" s="20">
        <f t="shared" si="12"/>
        <v>17.406250000000007</v>
      </c>
      <c r="U45" s="4"/>
      <c r="V45" s="4"/>
      <c r="W45" s="4"/>
    </row>
    <row r="46" spans="1:29" ht="17.399999999999999">
      <c r="A46" s="9">
        <v>1</v>
      </c>
      <c r="B46" s="8">
        <v>198</v>
      </c>
      <c r="C46" s="8">
        <v>723448640</v>
      </c>
      <c r="D46" s="42" t="s">
        <v>75</v>
      </c>
      <c r="E46" s="47"/>
      <c r="F46" s="10">
        <v>0</v>
      </c>
      <c r="G46" s="10">
        <v>0</v>
      </c>
      <c r="H46" s="50">
        <v>0</v>
      </c>
      <c r="I46" s="50">
        <v>0</v>
      </c>
      <c r="J46" s="50">
        <v>0</v>
      </c>
      <c r="K46" s="39" t="s">
        <v>30</v>
      </c>
      <c r="L46" s="11">
        <f t="shared" si="7"/>
        <v>0</v>
      </c>
      <c r="M46" s="10">
        <f t="shared" si="13"/>
        <v>0</v>
      </c>
      <c r="N46" s="10">
        <f t="shared" si="8"/>
        <v>0</v>
      </c>
      <c r="O46" s="10">
        <v>0</v>
      </c>
      <c r="P46" s="10">
        <f t="shared" si="9"/>
        <v>0</v>
      </c>
      <c r="Q46" s="17">
        <v>18.01874999999999</v>
      </c>
      <c r="R46" s="18">
        <f t="shared" si="10"/>
        <v>18.01874999999999</v>
      </c>
      <c r="S46" s="19">
        <f t="shared" si="11"/>
        <v>0</v>
      </c>
      <c r="T46" s="20">
        <f t="shared" si="12"/>
        <v>18.01874999999999</v>
      </c>
      <c r="U46" s="4"/>
      <c r="V46" s="4"/>
      <c r="W46" s="4"/>
    </row>
    <row r="47" spans="1:29" ht="17.399999999999999">
      <c r="A47" s="9">
        <v>1</v>
      </c>
      <c r="B47" s="8">
        <v>193</v>
      </c>
      <c r="C47" s="8">
        <v>2125731287</v>
      </c>
      <c r="D47" s="42" t="s">
        <v>72</v>
      </c>
      <c r="E47" s="47"/>
      <c r="F47" s="10">
        <v>0</v>
      </c>
      <c r="G47" s="10">
        <v>0</v>
      </c>
      <c r="H47" s="50">
        <v>0</v>
      </c>
      <c r="I47" s="50">
        <v>0</v>
      </c>
      <c r="J47" s="50">
        <v>0</v>
      </c>
      <c r="K47" s="39" t="s">
        <v>30</v>
      </c>
      <c r="L47" s="11">
        <f t="shared" si="7"/>
        <v>0</v>
      </c>
      <c r="M47" s="10">
        <f t="shared" si="13"/>
        <v>0</v>
      </c>
      <c r="N47" s="10">
        <f t="shared" si="8"/>
        <v>0</v>
      </c>
      <c r="O47" s="10">
        <v>0</v>
      </c>
      <c r="P47" s="10">
        <f t="shared" si="9"/>
        <v>0</v>
      </c>
      <c r="Q47" s="17">
        <v>17.812499999999996</v>
      </c>
      <c r="R47" s="18">
        <f t="shared" si="10"/>
        <v>17.812499999999996</v>
      </c>
      <c r="S47" s="19">
        <f t="shared" si="11"/>
        <v>0</v>
      </c>
      <c r="T47" s="20">
        <f t="shared" si="12"/>
        <v>17.812499999999996</v>
      </c>
      <c r="U47" s="4"/>
      <c r="V47" s="4"/>
      <c r="W47" s="4"/>
    </row>
    <row r="48" spans="1:29" ht="17.399999999999999">
      <c r="A48" s="9">
        <v>1</v>
      </c>
      <c r="B48" s="8">
        <v>241</v>
      </c>
      <c r="C48" s="8">
        <v>1136259669</v>
      </c>
      <c r="D48" s="42" t="s">
        <v>124</v>
      </c>
      <c r="F48" s="10">
        <v>2</v>
      </c>
      <c r="G48" s="10">
        <v>1</v>
      </c>
      <c r="H48" s="50">
        <v>0</v>
      </c>
      <c r="I48" s="50">
        <v>0</v>
      </c>
      <c r="J48" s="50">
        <v>0</v>
      </c>
      <c r="K48" s="14" t="s">
        <v>53</v>
      </c>
      <c r="L48" s="11">
        <f t="shared" si="7"/>
        <v>2</v>
      </c>
      <c r="M48" s="10">
        <f t="shared" si="13"/>
        <v>1.2</v>
      </c>
      <c r="N48" s="10">
        <f t="shared" si="8"/>
        <v>0</v>
      </c>
      <c r="O48" s="10">
        <v>0</v>
      </c>
      <c r="P48" s="10">
        <f t="shared" si="9"/>
        <v>3.2</v>
      </c>
      <c r="Q48" s="17">
        <v>13.274999999999995</v>
      </c>
      <c r="R48" s="18">
        <f t="shared" si="10"/>
        <v>16.474999999999994</v>
      </c>
      <c r="S48" s="19">
        <f t="shared" si="11"/>
        <v>1.09375</v>
      </c>
      <c r="T48" s="20">
        <f t="shared" si="12"/>
        <v>15.381249999999994</v>
      </c>
    </row>
    <row r="49" spans="1:20" ht="17.399999999999999">
      <c r="A49" s="9">
        <v>1</v>
      </c>
      <c r="B49" s="8">
        <v>155</v>
      </c>
      <c r="C49" s="8">
        <v>1532576874</v>
      </c>
      <c r="D49" s="42" t="s">
        <v>63</v>
      </c>
      <c r="E49" s="42" t="s">
        <v>46</v>
      </c>
      <c r="F49" s="10">
        <v>2</v>
      </c>
      <c r="G49" s="10">
        <v>0</v>
      </c>
      <c r="H49" s="50">
        <v>0</v>
      </c>
      <c r="I49" s="50">
        <v>0</v>
      </c>
      <c r="J49" s="50">
        <v>0</v>
      </c>
      <c r="K49" s="14" t="s">
        <v>53</v>
      </c>
      <c r="L49" s="11">
        <f t="shared" si="7"/>
        <v>2</v>
      </c>
      <c r="M49" s="10">
        <f t="shared" si="13"/>
        <v>0</v>
      </c>
      <c r="N49" s="10">
        <f t="shared" si="8"/>
        <v>0</v>
      </c>
      <c r="O49" s="10">
        <v>0</v>
      </c>
      <c r="P49" s="10">
        <f t="shared" si="9"/>
        <v>2</v>
      </c>
      <c r="Q49" s="17">
        <v>14.306249999999999</v>
      </c>
      <c r="R49" s="18">
        <f t="shared" si="10"/>
        <v>16.306249999999999</v>
      </c>
      <c r="S49" s="19">
        <f t="shared" si="11"/>
        <v>1.09375</v>
      </c>
      <c r="T49" s="20">
        <f t="shared" si="12"/>
        <v>15.212499999999999</v>
      </c>
    </row>
    <row r="50" spans="1:20" ht="17.399999999999999">
      <c r="A50" s="9">
        <v>1</v>
      </c>
      <c r="B50" s="8">
        <v>187</v>
      </c>
      <c r="C50" s="8">
        <v>1241038267</v>
      </c>
      <c r="D50" s="42" t="s">
        <v>69</v>
      </c>
      <c r="E50" s="47"/>
      <c r="F50" s="10">
        <v>0</v>
      </c>
      <c r="G50" s="10">
        <v>1</v>
      </c>
      <c r="H50" s="50">
        <v>0</v>
      </c>
      <c r="I50" s="50">
        <v>0</v>
      </c>
      <c r="J50" s="50">
        <v>0</v>
      </c>
      <c r="K50" s="39" t="s">
        <v>30</v>
      </c>
      <c r="L50" s="11">
        <f t="shared" si="7"/>
        <v>0</v>
      </c>
      <c r="M50" s="10">
        <f t="shared" si="13"/>
        <v>1.2</v>
      </c>
      <c r="N50" s="10">
        <f t="shared" si="8"/>
        <v>0</v>
      </c>
      <c r="O50" s="10">
        <v>0</v>
      </c>
      <c r="P50" s="10">
        <f t="shared" si="9"/>
        <v>1.2</v>
      </c>
      <c r="Q50" s="17">
        <v>14.962499999999991</v>
      </c>
      <c r="R50" s="18">
        <f t="shared" si="10"/>
        <v>16.162499999999991</v>
      </c>
      <c r="S50" s="19">
        <f t="shared" si="11"/>
        <v>0</v>
      </c>
      <c r="T50" s="20">
        <f t="shared" si="12"/>
        <v>16.162499999999991</v>
      </c>
    </row>
    <row r="51" spans="1:20" ht="17.399999999999999">
      <c r="A51" s="9">
        <v>1</v>
      </c>
      <c r="B51" s="8">
        <v>222</v>
      </c>
      <c r="C51" s="8">
        <v>1945277617</v>
      </c>
      <c r="D51" s="42" t="s">
        <v>97</v>
      </c>
      <c r="E51" s="42"/>
      <c r="F51" s="10">
        <v>1</v>
      </c>
      <c r="G51" s="10">
        <v>0</v>
      </c>
      <c r="H51" s="50">
        <v>0</v>
      </c>
      <c r="I51" s="50">
        <v>0</v>
      </c>
      <c r="J51" s="50">
        <v>0</v>
      </c>
      <c r="K51" s="14" t="s">
        <v>53</v>
      </c>
      <c r="L51" s="11">
        <f t="shared" si="7"/>
        <v>1</v>
      </c>
      <c r="M51" s="10">
        <f t="shared" si="13"/>
        <v>0</v>
      </c>
      <c r="N51" s="10">
        <f t="shared" si="8"/>
        <v>0</v>
      </c>
      <c r="O51" s="10">
        <v>0</v>
      </c>
      <c r="P51" s="10">
        <f t="shared" si="9"/>
        <v>1</v>
      </c>
      <c r="Q51" s="17">
        <v>14.531477649769574</v>
      </c>
      <c r="R51" s="18">
        <f t="shared" si="10"/>
        <v>15.531477649769574</v>
      </c>
      <c r="S51" s="19">
        <f t="shared" si="11"/>
        <v>1.09375</v>
      </c>
      <c r="T51" s="20">
        <f t="shared" si="12"/>
        <v>14.437727649769574</v>
      </c>
    </row>
    <row r="52" spans="1:20" ht="17.399999999999999">
      <c r="A52" s="9">
        <v>1</v>
      </c>
      <c r="B52" s="8">
        <v>223</v>
      </c>
      <c r="C52" s="8">
        <v>784792167</v>
      </c>
      <c r="D52" s="42" t="s">
        <v>98</v>
      </c>
      <c r="E52" s="42"/>
      <c r="F52" s="10">
        <v>0</v>
      </c>
      <c r="G52" s="10">
        <v>0</v>
      </c>
      <c r="H52" s="50">
        <v>0</v>
      </c>
      <c r="I52" s="50">
        <v>0</v>
      </c>
      <c r="J52" s="50">
        <v>0</v>
      </c>
      <c r="K52" s="39" t="s">
        <v>30</v>
      </c>
      <c r="L52" s="11">
        <f t="shared" si="7"/>
        <v>0</v>
      </c>
      <c r="M52" s="10">
        <f t="shared" si="13"/>
        <v>0</v>
      </c>
      <c r="N52" s="10">
        <f t="shared" si="8"/>
        <v>0</v>
      </c>
      <c r="O52" s="10">
        <v>0</v>
      </c>
      <c r="P52" s="10">
        <f t="shared" si="9"/>
        <v>0</v>
      </c>
      <c r="Q52" s="17">
        <v>10.624999999999996</v>
      </c>
      <c r="R52" s="18">
        <f t="shared" si="10"/>
        <v>10.624999999999996</v>
      </c>
      <c r="S52" s="19">
        <f t="shared" si="11"/>
        <v>0</v>
      </c>
      <c r="T52" s="20">
        <f t="shared" si="12"/>
        <v>10.624999999999996</v>
      </c>
    </row>
    <row r="53" spans="1:20" ht="17.399999999999999">
      <c r="A53" s="9">
        <v>1</v>
      </c>
      <c r="B53" s="8">
        <v>219</v>
      </c>
      <c r="C53" s="8">
        <v>1128309198</v>
      </c>
      <c r="D53" s="42" t="s">
        <v>93</v>
      </c>
      <c r="E53" s="47"/>
      <c r="F53" s="10">
        <v>0</v>
      </c>
      <c r="G53" s="10">
        <v>0</v>
      </c>
      <c r="H53" s="50">
        <v>0</v>
      </c>
      <c r="I53" s="50">
        <v>0</v>
      </c>
      <c r="J53" s="50">
        <v>0</v>
      </c>
      <c r="K53" s="39" t="s">
        <v>30</v>
      </c>
      <c r="L53" s="11">
        <f t="shared" si="7"/>
        <v>0</v>
      </c>
      <c r="M53" s="10">
        <f t="shared" si="13"/>
        <v>0</v>
      </c>
      <c r="N53" s="10">
        <f t="shared" si="8"/>
        <v>0</v>
      </c>
      <c r="O53" s="10">
        <v>0</v>
      </c>
      <c r="P53" s="10">
        <f t="shared" si="9"/>
        <v>0</v>
      </c>
      <c r="Q53" s="17">
        <v>9.4499999999999957</v>
      </c>
      <c r="R53" s="18">
        <f t="shared" si="10"/>
        <v>9.4499999999999957</v>
      </c>
      <c r="S53" s="19">
        <f t="shared" si="11"/>
        <v>0</v>
      </c>
      <c r="T53" s="20">
        <f t="shared" si="12"/>
        <v>9.4499999999999957</v>
      </c>
    </row>
    <row r="54" spans="1:20" ht="17.399999999999999">
      <c r="A54" s="9">
        <v>1</v>
      </c>
      <c r="B54" s="8">
        <v>239</v>
      </c>
      <c r="C54" s="8">
        <v>416459640</v>
      </c>
      <c r="D54" s="42" t="s">
        <v>122</v>
      </c>
      <c r="F54" s="10">
        <v>0</v>
      </c>
      <c r="G54" s="10">
        <v>0</v>
      </c>
      <c r="H54" s="50">
        <v>0</v>
      </c>
      <c r="I54" s="50">
        <v>0</v>
      </c>
      <c r="J54" s="50">
        <v>0</v>
      </c>
      <c r="K54" s="39" t="s">
        <v>30</v>
      </c>
      <c r="L54" s="11">
        <f t="shared" si="7"/>
        <v>0</v>
      </c>
      <c r="M54" s="10">
        <f t="shared" si="13"/>
        <v>0</v>
      </c>
      <c r="N54" s="10">
        <f t="shared" si="8"/>
        <v>0</v>
      </c>
      <c r="O54" s="10">
        <v>0</v>
      </c>
      <c r="P54" s="10">
        <f t="shared" si="9"/>
        <v>0</v>
      </c>
      <c r="Q54" s="17">
        <v>7.1625000000000014</v>
      </c>
      <c r="R54" s="18">
        <f t="shared" si="10"/>
        <v>7.1625000000000014</v>
      </c>
      <c r="S54" s="19">
        <f t="shared" si="11"/>
        <v>0</v>
      </c>
      <c r="T54" s="20">
        <f t="shared" si="12"/>
        <v>7.1625000000000014</v>
      </c>
    </row>
    <row r="55" spans="1:20" ht="20.399999999999999">
      <c r="A55" s="9">
        <v>1</v>
      </c>
      <c r="B55" s="8">
        <v>214</v>
      </c>
      <c r="C55" s="8">
        <v>2130976604</v>
      </c>
      <c r="D55" s="42" t="s">
        <v>86</v>
      </c>
      <c r="E55" s="2"/>
      <c r="F55" s="10">
        <v>0</v>
      </c>
      <c r="G55" s="10">
        <v>1</v>
      </c>
      <c r="H55" s="50">
        <v>0</v>
      </c>
      <c r="I55" s="50">
        <v>0</v>
      </c>
      <c r="J55" s="50">
        <v>0</v>
      </c>
      <c r="K55" s="39" t="s">
        <v>30</v>
      </c>
      <c r="L55" s="11">
        <f t="shared" si="7"/>
        <v>0</v>
      </c>
      <c r="M55" s="10">
        <f t="shared" si="13"/>
        <v>1.2</v>
      </c>
      <c r="N55" s="10">
        <f t="shared" si="8"/>
        <v>0</v>
      </c>
      <c r="O55" s="10">
        <v>0</v>
      </c>
      <c r="P55" s="10">
        <f t="shared" si="9"/>
        <v>1.2</v>
      </c>
      <c r="Q55" s="17">
        <v>4.381249999999989</v>
      </c>
      <c r="R55" s="18">
        <f t="shared" si="10"/>
        <v>5.5812499999999892</v>
      </c>
      <c r="S55" s="19">
        <f t="shared" si="11"/>
        <v>0</v>
      </c>
      <c r="T55" s="20">
        <f t="shared" si="12"/>
        <v>5.5812499999999892</v>
      </c>
    </row>
    <row r="56" spans="1:20" ht="17.399999999999999">
      <c r="A56" s="9">
        <v>1</v>
      </c>
      <c r="B56" s="8">
        <v>192</v>
      </c>
      <c r="C56" s="8">
        <v>1725281178</v>
      </c>
      <c r="D56" s="42" t="s">
        <v>71</v>
      </c>
      <c r="E56" s="47"/>
      <c r="F56" s="10">
        <v>0</v>
      </c>
      <c r="G56" s="10">
        <v>0</v>
      </c>
      <c r="H56" s="50">
        <v>0</v>
      </c>
      <c r="I56" s="50">
        <v>0</v>
      </c>
      <c r="J56" s="50">
        <v>0</v>
      </c>
      <c r="K56" s="39" t="s">
        <v>30</v>
      </c>
      <c r="L56" s="11">
        <f t="shared" si="7"/>
        <v>0</v>
      </c>
      <c r="M56" s="10">
        <f t="shared" si="13"/>
        <v>0</v>
      </c>
      <c r="N56" s="10">
        <f t="shared" si="8"/>
        <v>0</v>
      </c>
      <c r="O56" s="10">
        <v>0</v>
      </c>
      <c r="P56" s="10">
        <f t="shared" si="9"/>
        <v>0</v>
      </c>
      <c r="Q56" s="17">
        <v>3.1437499999999954</v>
      </c>
      <c r="R56" s="18">
        <f t="shared" si="10"/>
        <v>3.1437499999999954</v>
      </c>
      <c r="S56" s="19">
        <f t="shared" si="11"/>
        <v>0</v>
      </c>
      <c r="T56" s="20">
        <f t="shared" si="12"/>
        <v>3.1437499999999954</v>
      </c>
    </row>
    <row r="57" spans="1:20" ht="17.399999999999999">
      <c r="A57" s="9">
        <v>1</v>
      </c>
      <c r="B57" s="8">
        <v>235</v>
      </c>
      <c r="C57" s="8">
        <v>988684940</v>
      </c>
      <c r="D57" s="42" t="s">
        <v>116</v>
      </c>
      <c r="F57" s="10">
        <v>1</v>
      </c>
      <c r="G57" s="10">
        <v>0</v>
      </c>
      <c r="H57" s="50">
        <v>0</v>
      </c>
      <c r="I57" s="50">
        <v>0</v>
      </c>
      <c r="J57" s="50">
        <v>0</v>
      </c>
      <c r="K57" s="14" t="s">
        <v>53</v>
      </c>
      <c r="L57" s="11">
        <f t="shared" si="7"/>
        <v>1</v>
      </c>
      <c r="M57" s="10">
        <f t="shared" si="13"/>
        <v>0</v>
      </c>
      <c r="N57" s="10">
        <f t="shared" si="8"/>
        <v>0</v>
      </c>
      <c r="O57" s="10">
        <v>0</v>
      </c>
      <c r="P57" s="10">
        <f t="shared" si="9"/>
        <v>1</v>
      </c>
      <c r="Q57" s="17">
        <v>1.9375</v>
      </c>
      <c r="R57" s="18">
        <f t="shared" si="10"/>
        <v>2.9375</v>
      </c>
      <c r="S57" s="19">
        <f t="shared" si="11"/>
        <v>1.09375</v>
      </c>
      <c r="T57" s="20">
        <f t="shared" si="12"/>
        <v>1.84375</v>
      </c>
    </row>
    <row r="58" spans="1:20" ht="20.399999999999999">
      <c r="A58" s="9">
        <v>1</v>
      </c>
      <c r="B58" s="8">
        <v>220</v>
      </c>
      <c r="C58" s="8">
        <v>353335311</v>
      </c>
      <c r="D58" s="42" t="s">
        <v>94</v>
      </c>
      <c r="E58" s="44"/>
      <c r="F58" s="10">
        <v>0</v>
      </c>
      <c r="G58" s="10">
        <v>0</v>
      </c>
      <c r="H58" s="50">
        <v>0</v>
      </c>
      <c r="I58" s="50">
        <v>0</v>
      </c>
      <c r="J58" s="50">
        <v>0</v>
      </c>
      <c r="K58" s="39" t="s">
        <v>30</v>
      </c>
      <c r="L58" s="11">
        <f t="shared" si="7"/>
        <v>0</v>
      </c>
      <c r="M58" s="10">
        <f t="shared" si="13"/>
        <v>0</v>
      </c>
      <c r="N58" s="10">
        <f t="shared" si="8"/>
        <v>0</v>
      </c>
      <c r="O58" s="10">
        <v>0</v>
      </c>
      <c r="P58" s="10">
        <f t="shared" si="9"/>
        <v>0</v>
      </c>
      <c r="Q58" s="17">
        <v>2.0310546874999984</v>
      </c>
      <c r="R58" s="18">
        <f t="shared" si="10"/>
        <v>2.0310546874999984</v>
      </c>
      <c r="S58" s="19">
        <f t="shared" si="11"/>
        <v>0</v>
      </c>
      <c r="T58" s="20">
        <f t="shared" si="12"/>
        <v>2.0310546874999984</v>
      </c>
    </row>
    <row r="59" spans="1:20" ht="17.399999999999999">
      <c r="A59" s="9">
        <v>1</v>
      </c>
      <c r="B59" s="8">
        <v>233</v>
      </c>
      <c r="C59" s="8">
        <v>1963965829</v>
      </c>
      <c r="D59" s="42" t="s">
        <v>114</v>
      </c>
      <c r="F59" s="10">
        <v>0</v>
      </c>
      <c r="G59" s="10">
        <v>0</v>
      </c>
      <c r="H59" s="50">
        <v>0</v>
      </c>
      <c r="I59" s="50">
        <v>0</v>
      </c>
      <c r="J59" s="50">
        <v>0</v>
      </c>
      <c r="K59" s="39" t="s">
        <v>30</v>
      </c>
      <c r="L59" s="11">
        <f t="shared" si="7"/>
        <v>0</v>
      </c>
      <c r="M59" s="10">
        <f t="shared" si="13"/>
        <v>0</v>
      </c>
      <c r="N59" s="10">
        <f t="shared" si="8"/>
        <v>0</v>
      </c>
      <c r="O59" s="10">
        <v>0</v>
      </c>
      <c r="P59" s="10">
        <f t="shared" si="9"/>
        <v>0</v>
      </c>
      <c r="Q59" s="17">
        <v>2.0000000000000018</v>
      </c>
      <c r="R59" s="18">
        <f t="shared" si="10"/>
        <v>2.0000000000000018</v>
      </c>
      <c r="S59" s="19">
        <f t="shared" si="11"/>
        <v>0</v>
      </c>
      <c r="T59" s="20">
        <f t="shared" si="12"/>
        <v>2.0000000000000018</v>
      </c>
    </row>
    <row r="60" spans="1:20" ht="17.399999999999999">
      <c r="A60" s="9">
        <v>1</v>
      </c>
      <c r="B60" s="8">
        <v>207</v>
      </c>
      <c r="C60" s="8">
        <v>721273803</v>
      </c>
      <c r="D60" s="45" t="s">
        <v>81</v>
      </c>
      <c r="E60" s="47"/>
      <c r="F60" s="10">
        <v>0</v>
      </c>
      <c r="G60" s="10">
        <v>0</v>
      </c>
      <c r="H60" s="50">
        <v>0</v>
      </c>
      <c r="I60" s="50">
        <v>0</v>
      </c>
      <c r="J60" s="50">
        <v>0</v>
      </c>
      <c r="K60" s="39" t="s">
        <v>30</v>
      </c>
      <c r="L60" s="11">
        <f t="shared" si="7"/>
        <v>0</v>
      </c>
      <c r="M60" s="10">
        <f t="shared" si="13"/>
        <v>0</v>
      </c>
      <c r="N60" s="10">
        <f t="shared" si="8"/>
        <v>0</v>
      </c>
      <c r="O60" s="10">
        <v>0</v>
      </c>
      <c r="P60" s="10">
        <f t="shared" si="9"/>
        <v>0</v>
      </c>
      <c r="Q60" s="17">
        <v>1.425</v>
      </c>
      <c r="R60" s="18">
        <f t="shared" si="10"/>
        <v>1.425</v>
      </c>
      <c r="S60" s="19">
        <f t="shared" si="11"/>
        <v>0</v>
      </c>
      <c r="T60" s="20">
        <f t="shared" si="12"/>
        <v>1.425</v>
      </c>
    </row>
    <row r="61" spans="1:20" ht="20.399999999999999">
      <c r="A61" s="9">
        <v>1</v>
      </c>
      <c r="B61" s="8">
        <v>213</v>
      </c>
      <c r="C61" s="8">
        <v>311361673</v>
      </c>
      <c r="D61" s="42" t="s">
        <v>55</v>
      </c>
      <c r="E61" s="2"/>
      <c r="F61" s="10">
        <v>0</v>
      </c>
      <c r="G61" s="10">
        <v>0</v>
      </c>
      <c r="H61" s="50">
        <v>0</v>
      </c>
      <c r="I61" s="50">
        <v>0</v>
      </c>
      <c r="J61" s="50">
        <v>0</v>
      </c>
      <c r="K61" s="39" t="s">
        <v>30</v>
      </c>
      <c r="L61" s="11">
        <f t="shared" si="7"/>
        <v>0</v>
      </c>
      <c r="M61" s="10">
        <f t="shared" si="13"/>
        <v>0</v>
      </c>
      <c r="N61" s="10">
        <f t="shared" si="8"/>
        <v>0</v>
      </c>
      <c r="O61" s="10">
        <v>0</v>
      </c>
      <c r="P61" s="10">
        <f t="shared" si="9"/>
        <v>0</v>
      </c>
      <c r="Q61" s="17">
        <v>1.2687499999999945</v>
      </c>
      <c r="R61" s="18">
        <f t="shared" si="10"/>
        <v>1.2687499999999945</v>
      </c>
      <c r="S61" s="19">
        <f t="shared" si="11"/>
        <v>0</v>
      </c>
      <c r="T61" s="20">
        <f t="shared" si="12"/>
        <v>1.2687499999999945</v>
      </c>
    </row>
    <row r="62" spans="1:20" ht="17.399999999999999">
      <c r="A62" s="9">
        <v>1</v>
      </c>
      <c r="B62" s="8">
        <v>242</v>
      </c>
      <c r="C62" s="8">
        <v>250098915</v>
      </c>
      <c r="D62" s="42" t="s">
        <v>131</v>
      </c>
      <c r="F62" s="10">
        <v>0</v>
      </c>
      <c r="G62" s="10">
        <v>0</v>
      </c>
      <c r="H62" s="50">
        <v>0</v>
      </c>
      <c r="I62" s="50">
        <v>0</v>
      </c>
      <c r="J62" s="50">
        <v>0</v>
      </c>
      <c r="K62" s="39" t="s">
        <v>30</v>
      </c>
      <c r="L62" s="11">
        <f t="shared" si="7"/>
        <v>0</v>
      </c>
      <c r="M62" s="10">
        <f t="shared" si="13"/>
        <v>0</v>
      </c>
      <c r="N62" s="10">
        <f t="shared" si="8"/>
        <v>0</v>
      </c>
      <c r="O62" s="10">
        <v>0</v>
      </c>
      <c r="P62" s="10">
        <f t="shared" si="9"/>
        <v>0</v>
      </c>
      <c r="Q62" s="17">
        <v>0.90625</v>
      </c>
      <c r="R62" s="18">
        <f t="shared" si="10"/>
        <v>0.90625</v>
      </c>
      <c r="S62" s="19">
        <f t="shared" si="11"/>
        <v>0</v>
      </c>
      <c r="T62" s="20">
        <f t="shared" si="12"/>
        <v>0.90625</v>
      </c>
    </row>
    <row r="63" spans="1:20" ht="17.399999999999999">
      <c r="A63" s="9">
        <v>1</v>
      </c>
      <c r="B63" s="8">
        <v>242</v>
      </c>
      <c r="C63" s="8">
        <v>1769984287</v>
      </c>
      <c r="D63" s="8" t="s">
        <v>132</v>
      </c>
      <c r="F63" s="10">
        <v>0</v>
      </c>
      <c r="G63" s="10">
        <v>0</v>
      </c>
      <c r="H63" s="50">
        <v>0</v>
      </c>
      <c r="I63" s="50">
        <v>0</v>
      </c>
      <c r="J63" s="50">
        <v>0</v>
      </c>
      <c r="K63" s="39" t="s">
        <v>30</v>
      </c>
      <c r="L63" s="11">
        <f t="shared" si="7"/>
        <v>0</v>
      </c>
      <c r="M63" s="10">
        <f t="shared" si="13"/>
        <v>0</v>
      </c>
      <c r="N63" s="10">
        <f t="shared" si="8"/>
        <v>0</v>
      </c>
      <c r="O63" s="10">
        <v>0</v>
      </c>
      <c r="P63" s="10">
        <f t="shared" si="9"/>
        <v>0</v>
      </c>
      <c r="Q63" s="17">
        <v>0.65000000000000036</v>
      </c>
      <c r="R63" s="18">
        <f t="shared" si="10"/>
        <v>0.65000000000000036</v>
      </c>
      <c r="S63" s="19">
        <f t="shared" si="11"/>
        <v>0</v>
      </c>
      <c r="T63" s="20">
        <f t="shared" si="12"/>
        <v>0.65000000000000036</v>
      </c>
    </row>
    <row r="64" spans="1:20" ht="17.399999999999999">
      <c r="A64" s="9">
        <v>1</v>
      </c>
      <c r="B64" s="8">
        <v>218</v>
      </c>
      <c r="C64" s="8">
        <v>1804880865</v>
      </c>
      <c r="D64" s="42" t="s">
        <v>92</v>
      </c>
      <c r="E64" s="47"/>
      <c r="F64" s="10">
        <v>0</v>
      </c>
      <c r="G64" s="10">
        <v>0</v>
      </c>
      <c r="H64" s="50">
        <v>0</v>
      </c>
      <c r="I64" s="50">
        <v>0</v>
      </c>
      <c r="J64" s="50">
        <v>0</v>
      </c>
      <c r="K64" s="39" t="s">
        <v>30</v>
      </c>
      <c r="L64" s="11">
        <f t="shared" si="7"/>
        <v>0</v>
      </c>
      <c r="M64" s="10">
        <f t="shared" si="13"/>
        <v>0</v>
      </c>
      <c r="N64" s="10">
        <f t="shared" si="8"/>
        <v>0</v>
      </c>
      <c r="O64" s="10">
        <v>0</v>
      </c>
      <c r="P64" s="10">
        <f t="shared" si="9"/>
        <v>0</v>
      </c>
      <c r="Q64" s="17">
        <v>0.11749999999999983</v>
      </c>
      <c r="R64" s="18">
        <f t="shared" si="10"/>
        <v>0.11749999999999983</v>
      </c>
      <c r="S64" s="19">
        <f t="shared" si="11"/>
        <v>0</v>
      </c>
      <c r="T64" s="20">
        <f t="shared" si="12"/>
        <v>0.11749999999999983</v>
      </c>
    </row>
    <row r="65" spans="1:23" ht="17.399999999999999">
      <c r="A65" s="9">
        <v>1</v>
      </c>
      <c r="B65" s="8">
        <v>217</v>
      </c>
      <c r="C65" s="8">
        <v>331155825</v>
      </c>
      <c r="D65" s="46" t="s">
        <v>89</v>
      </c>
      <c r="E65" s="2"/>
      <c r="F65" s="10">
        <v>0</v>
      </c>
      <c r="G65" s="10">
        <v>0</v>
      </c>
      <c r="H65" s="50">
        <v>0</v>
      </c>
      <c r="I65" s="50">
        <v>0</v>
      </c>
      <c r="J65" s="50">
        <v>0</v>
      </c>
      <c r="K65" s="39" t="s">
        <v>30</v>
      </c>
      <c r="L65" s="11">
        <f t="shared" si="7"/>
        <v>0</v>
      </c>
      <c r="M65" s="10">
        <f t="shared" si="13"/>
        <v>0</v>
      </c>
      <c r="N65" s="10">
        <f t="shared" si="8"/>
        <v>0</v>
      </c>
      <c r="O65" s="10">
        <v>0</v>
      </c>
      <c r="P65" s="10">
        <f t="shared" si="9"/>
        <v>0</v>
      </c>
      <c r="Q65" s="17">
        <v>-1.3124999999999984</v>
      </c>
      <c r="R65" s="18">
        <f t="shared" si="10"/>
        <v>-1.3124999999999984</v>
      </c>
      <c r="S65" s="19">
        <f t="shared" si="11"/>
        <v>0</v>
      </c>
      <c r="T65" s="20">
        <f t="shared" si="12"/>
        <v>-1.3124999999999984</v>
      </c>
    </row>
    <row r="66" spans="1:23" ht="17.399999999999999">
      <c r="A66" s="9">
        <v>1</v>
      </c>
      <c r="B66" s="8">
        <v>237</v>
      </c>
      <c r="C66" s="8">
        <v>1331532576</v>
      </c>
      <c r="D66" s="42" t="s">
        <v>119</v>
      </c>
      <c r="F66" s="10">
        <v>0</v>
      </c>
      <c r="G66" s="10">
        <v>0</v>
      </c>
      <c r="H66" s="50">
        <v>0</v>
      </c>
      <c r="I66" s="50">
        <v>0</v>
      </c>
      <c r="J66" s="50">
        <v>0</v>
      </c>
      <c r="K66" s="39" t="s">
        <v>30</v>
      </c>
      <c r="L66" s="11">
        <f t="shared" si="7"/>
        <v>0</v>
      </c>
      <c r="M66" s="10">
        <f t="shared" si="13"/>
        <v>0</v>
      </c>
      <c r="N66" s="10">
        <f t="shared" si="8"/>
        <v>0</v>
      </c>
      <c r="O66" s="10">
        <v>0</v>
      </c>
      <c r="P66" s="10">
        <f t="shared" si="9"/>
        <v>0</v>
      </c>
      <c r="Q66" s="17">
        <v>-2.5499999999999998</v>
      </c>
      <c r="R66" s="18">
        <f t="shared" si="10"/>
        <v>-2.5499999999999998</v>
      </c>
      <c r="S66" s="19">
        <f t="shared" si="11"/>
        <v>0</v>
      </c>
      <c r="T66" s="20">
        <f t="shared" si="12"/>
        <v>-2.5499999999999998</v>
      </c>
    </row>
    <row r="67" spans="1:23" ht="17.399999999999999">
      <c r="A67" s="9">
        <v>1</v>
      </c>
      <c r="B67" s="8">
        <v>228</v>
      </c>
      <c r="C67" s="8">
        <v>1287481910</v>
      </c>
      <c r="D67" s="42" t="s">
        <v>109</v>
      </c>
      <c r="E67" s="42"/>
      <c r="F67" s="10">
        <v>0</v>
      </c>
      <c r="G67" s="10">
        <v>0</v>
      </c>
      <c r="H67" s="50">
        <v>0</v>
      </c>
      <c r="I67" s="50">
        <v>0</v>
      </c>
      <c r="J67" s="50">
        <v>0</v>
      </c>
      <c r="K67" s="39" t="s">
        <v>30</v>
      </c>
      <c r="L67" s="11">
        <f t="shared" si="7"/>
        <v>0</v>
      </c>
      <c r="M67" s="10">
        <f t="shared" si="13"/>
        <v>0</v>
      </c>
      <c r="N67" s="10">
        <f t="shared" si="8"/>
        <v>0</v>
      </c>
      <c r="O67" s="10">
        <v>0</v>
      </c>
      <c r="P67" s="10">
        <f t="shared" si="9"/>
        <v>0</v>
      </c>
      <c r="Q67" s="17">
        <v>-4.1499999999999995</v>
      </c>
      <c r="R67" s="18">
        <f t="shared" si="10"/>
        <v>-4.1499999999999995</v>
      </c>
      <c r="S67" s="19">
        <f t="shared" si="11"/>
        <v>0</v>
      </c>
      <c r="T67" s="20">
        <f t="shared" si="12"/>
        <v>-4.1499999999999995</v>
      </c>
    </row>
    <row r="68" spans="1:23" ht="17.399999999999999">
      <c r="A68" s="9">
        <v>1</v>
      </c>
      <c r="B68" s="8">
        <v>141</v>
      </c>
      <c r="C68" s="8">
        <v>1190305158</v>
      </c>
      <c r="D68" s="42" t="s">
        <v>44</v>
      </c>
      <c r="E68" s="44"/>
      <c r="F68" s="10">
        <v>0</v>
      </c>
      <c r="G68" s="10">
        <v>0</v>
      </c>
      <c r="H68" s="50">
        <v>0</v>
      </c>
      <c r="I68" s="50">
        <v>0</v>
      </c>
      <c r="J68" s="50">
        <v>0</v>
      </c>
      <c r="K68" s="39" t="s">
        <v>30</v>
      </c>
      <c r="L68" s="11">
        <f t="shared" si="7"/>
        <v>0</v>
      </c>
      <c r="M68" s="10">
        <f t="shared" si="13"/>
        <v>0</v>
      </c>
      <c r="N68" s="10">
        <f t="shared" si="8"/>
        <v>0</v>
      </c>
      <c r="O68" s="10">
        <v>0</v>
      </c>
      <c r="P68" s="10">
        <f t="shared" si="9"/>
        <v>0</v>
      </c>
      <c r="Q68" s="17">
        <v>-7.8937500000000043</v>
      </c>
      <c r="R68" s="18">
        <f t="shared" si="10"/>
        <v>-7.8937500000000043</v>
      </c>
      <c r="S68" s="19">
        <f t="shared" si="11"/>
        <v>0</v>
      </c>
      <c r="T68" s="20">
        <f t="shared" si="12"/>
        <v>-7.8937500000000043</v>
      </c>
      <c r="U68" s="40"/>
      <c r="V68" s="40"/>
      <c r="W68" s="41"/>
    </row>
    <row r="69" spans="1:23" ht="17.399999999999999">
      <c r="A69" s="9">
        <v>1</v>
      </c>
      <c r="B69" s="8">
        <v>203</v>
      </c>
      <c r="C69" s="8">
        <v>382695365</v>
      </c>
      <c r="D69" s="42" t="s">
        <v>78</v>
      </c>
      <c r="E69" s="47"/>
      <c r="F69" s="10">
        <v>0</v>
      </c>
      <c r="G69" s="10">
        <v>0</v>
      </c>
      <c r="H69" s="50">
        <v>0</v>
      </c>
      <c r="I69" s="50">
        <v>0</v>
      </c>
      <c r="J69" s="50">
        <v>0</v>
      </c>
      <c r="K69" s="39" t="s">
        <v>30</v>
      </c>
      <c r="L69" s="11">
        <f t="shared" si="7"/>
        <v>0</v>
      </c>
      <c r="M69" s="10">
        <f t="shared" si="13"/>
        <v>0</v>
      </c>
      <c r="N69" s="10">
        <f t="shared" si="8"/>
        <v>0</v>
      </c>
      <c r="O69" s="10">
        <v>0</v>
      </c>
      <c r="P69" s="10">
        <f t="shared" ref="P69" si="14">SUM(M69+L69+O69+N69)</f>
        <v>0</v>
      </c>
      <c r="Q69" s="17">
        <v>-16.90625</v>
      </c>
      <c r="R69" s="18">
        <f t="shared" ref="R69" si="15">P69+Q69</f>
        <v>-16.90625</v>
      </c>
      <c r="S69" s="19">
        <f t="shared" si="11"/>
        <v>0</v>
      </c>
      <c r="T69" s="20">
        <f t="shared" ref="T69" si="16">R69-S69</f>
        <v>-16.90625</v>
      </c>
    </row>
  </sheetData>
  <autoFilter ref="A4:W69" xr:uid="{28593B8F-03E7-4BE1-B554-FC0AADC431B2}">
    <sortState xmlns:xlrd2="http://schemas.microsoft.com/office/spreadsheetml/2017/richdata2" ref="A5:W69">
      <sortCondition descending="1" ref="R4:R69"/>
    </sortState>
  </autoFilter>
  <mergeCells count="5">
    <mergeCell ref="B1:T1"/>
    <mergeCell ref="B2:T2"/>
    <mergeCell ref="B3:E3"/>
    <mergeCell ref="H3:J3"/>
    <mergeCell ref="K3:T3"/>
  </mergeCells>
  <conditionalFormatting sqref="O5:O69 F5:J69">
    <cfRule type="cellIs" dxfId="29" priority="2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FE9E-6299-44AB-9FAB-9CE0C068FEB7}">
  <dimension ref="A1:AC69"/>
  <sheetViews>
    <sheetView zoomScale="85" zoomScaleNormal="85" workbookViewId="0">
      <selection activeCell="A3" sqref="A3"/>
    </sheetView>
  </sheetViews>
  <sheetFormatPr defaultColWidth="9" defaultRowHeight="14.4"/>
  <cols>
    <col min="1" max="1" width="6.44140625" customWidth="1"/>
    <col min="2" max="2" width="6.6640625" style="4" customWidth="1"/>
    <col min="3" max="3" width="19.77734375" style="5" customWidth="1"/>
    <col min="4" max="4" width="21.21875" style="5" customWidth="1"/>
    <col min="5" max="5" width="18.33203125" style="4" customWidth="1"/>
    <col min="6" max="6" width="13.109375" style="4" customWidth="1"/>
    <col min="7" max="7" width="13.77734375" style="4" customWidth="1"/>
    <col min="8" max="8" width="5.77734375" style="4" customWidth="1"/>
    <col min="9" max="9" width="5.88671875" style="4" customWidth="1"/>
    <col min="10" max="10" width="5.77734375" style="4" customWidth="1"/>
    <col min="11" max="11" width="20" style="4" customWidth="1"/>
    <col min="12" max="12" width="9" style="4" customWidth="1"/>
    <col min="13" max="13" width="12.109375" style="4" customWidth="1"/>
    <col min="14" max="14" width="11.33203125" style="4" customWidth="1"/>
    <col min="15" max="15" width="10" style="4" customWidth="1"/>
    <col min="16" max="16" width="9" style="4" customWidth="1"/>
    <col min="17" max="17" width="12.88671875" style="4" customWidth="1"/>
    <col min="18" max="18" width="12" style="4" customWidth="1"/>
    <col min="19" max="19" width="9.21875" style="4" customWidth="1"/>
    <col min="20" max="20" width="12.6640625" style="4" customWidth="1"/>
    <col min="21" max="23" width="11.109375" style="21" customWidth="1"/>
    <col min="24" max="24" width="22.44140625" customWidth="1"/>
  </cols>
  <sheetData>
    <row r="1" spans="1:29" ht="36.6" customHeight="1">
      <c r="B1" s="99" t="str">
        <f>CONCATENATE("157区 活动中心",Y15,"年",Y16,"月",Y17,"日","分包贡献明细"," 统计：一二三")</f>
        <v>157区 活动中心2021年8月14日分包贡献明细 统计：一二三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62"/>
      <c r="V1" s="62"/>
      <c r="W1" s="62"/>
      <c r="X1" s="22" t="s">
        <v>12</v>
      </c>
      <c r="Y1" s="5">
        <v>67</v>
      </c>
      <c r="Z1" s="3"/>
      <c r="AA1" s="3"/>
      <c r="AB1" s="3"/>
      <c r="AC1" s="3"/>
    </row>
    <row r="2" spans="1:29" ht="117.6" customHeight="1">
      <c r="B2" s="101" t="s">
        <v>126</v>
      </c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63"/>
      <c r="V2" s="63"/>
      <c r="W2" s="63"/>
      <c r="X2" s="23" t="s">
        <v>0</v>
      </c>
      <c r="Y2" s="24" t="s">
        <v>13</v>
      </c>
      <c r="Z2" s="25" t="s">
        <v>14</v>
      </c>
      <c r="AA2" s="25" t="s">
        <v>15</v>
      </c>
      <c r="AB2" s="25" t="s">
        <v>56</v>
      </c>
      <c r="AC2" s="26" t="s">
        <v>16</v>
      </c>
    </row>
    <row r="3" spans="1:29" ht="20.399999999999999">
      <c r="A3">
        <f>COUNTIF(K:K,"a跨服传说礼包")</f>
        <v>9</v>
      </c>
      <c r="B3" s="104" t="s">
        <v>20</v>
      </c>
      <c r="C3" s="104"/>
      <c r="D3" s="104"/>
      <c r="E3" s="104"/>
      <c r="F3" s="64" t="s">
        <v>17</v>
      </c>
      <c r="G3" s="65" t="s">
        <v>39</v>
      </c>
      <c r="H3" s="105" t="s">
        <v>99</v>
      </c>
      <c r="I3" s="105"/>
      <c r="J3" s="105"/>
      <c r="K3" s="106" t="s">
        <v>21</v>
      </c>
      <c r="L3" s="107"/>
      <c r="M3" s="107"/>
      <c r="N3" s="107"/>
      <c r="O3" s="107"/>
      <c r="P3" s="107"/>
      <c r="Q3" s="107"/>
      <c r="R3" s="107"/>
      <c r="S3" s="107"/>
      <c r="T3" s="108"/>
      <c r="U3" s="61"/>
      <c r="V3" s="61"/>
      <c r="W3" s="61"/>
      <c r="X3" s="27" t="s">
        <v>22</v>
      </c>
      <c r="Y3" s="28">
        <f>AC3/$Y$13</f>
        <v>11.875</v>
      </c>
      <c r="Z3" s="23">
        <v>5</v>
      </c>
      <c r="AA3" s="23">
        <v>7</v>
      </c>
      <c r="AB3" s="23">
        <v>20</v>
      </c>
      <c r="AC3" s="23">
        <v>1900</v>
      </c>
    </row>
    <row r="4" spans="1:29" ht="40.799999999999997">
      <c r="A4" s="59" t="s">
        <v>117</v>
      </c>
      <c r="B4" s="59" t="s">
        <v>2</v>
      </c>
      <c r="C4" s="60" t="s">
        <v>23</v>
      </c>
      <c r="D4" s="59" t="s">
        <v>3</v>
      </c>
      <c r="E4" s="59" t="s">
        <v>4</v>
      </c>
      <c r="F4" s="6" t="s">
        <v>40</v>
      </c>
      <c r="G4" s="7" t="s">
        <v>91</v>
      </c>
      <c r="H4" s="7" t="s">
        <v>100</v>
      </c>
      <c r="I4" s="7" t="s">
        <v>101</v>
      </c>
      <c r="J4" s="7" t="s">
        <v>102</v>
      </c>
      <c r="K4" s="6" t="s">
        <v>5</v>
      </c>
      <c r="L4" s="6" t="s">
        <v>24</v>
      </c>
      <c r="M4" s="7" t="s">
        <v>41</v>
      </c>
      <c r="N4" s="7" t="s">
        <v>104</v>
      </c>
      <c r="O4" s="7" t="s">
        <v>45</v>
      </c>
      <c r="P4" s="15" t="s">
        <v>25</v>
      </c>
      <c r="Q4" s="60" t="s">
        <v>26</v>
      </c>
      <c r="R4" s="16" t="s">
        <v>7</v>
      </c>
      <c r="S4" s="60" t="s">
        <v>6</v>
      </c>
      <c r="T4" s="60" t="s">
        <v>27</v>
      </c>
      <c r="U4" s="60" t="s">
        <v>18</v>
      </c>
      <c r="V4" s="60" t="s">
        <v>19</v>
      </c>
      <c r="W4" s="60" t="s">
        <v>1</v>
      </c>
      <c r="X4" s="29" t="s">
        <v>28</v>
      </c>
      <c r="Y4" s="28">
        <f>AC4/$Y$13</f>
        <v>9.6875</v>
      </c>
      <c r="Z4" s="23">
        <v>4</v>
      </c>
      <c r="AA4" s="23">
        <v>6</v>
      </c>
      <c r="AB4" s="23">
        <v>15</v>
      </c>
      <c r="AC4" s="23">
        <v>1550</v>
      </c>
    </row>
    <row r="5" spans="1:29" s="1" customFormat="1" ht="17.399999999999999">
      <c r="A5" s="9">
        <v>1</v>
      </c>
      <c r="B5" s="9">
        <v>10</v>
      </c>
      <c r="C5" s="8">
        <v>2108977014</v>
      </c>
      <c r="D5" s="42" t="s">
        <v>57</v>
      </c>
      <c r="E5" s="42" t="s">
        <v>8</v>
      </c>
      <c r="F5" s="10">
        <v>3</v>
      </c>
      <c r="G5" s="10">
        <v>1</v>
      </c>
      <c r="H5" s="50">
        <v>0</v>
      </c>
      <c r="I5" s="50">
        <v>0</v>
      </c>
      <c r="J5" s="50">
        <v>1</v>
      </c>
      <c r="K5" s="27" t="s">
        <v>22</v>
      </c>
      <c r="L5" s="11">
        <f t="shared" ref="L5:L36" si="0">F5+IF(F5&gt;2,(F5-2)*1,0)</f>
        <v>4</v>
      </c>
      <c r="M5" s="10">
        <f>G5*$Y$14</f>
        <v>1.2</v>
      </c>
      <c r="N5" s="10">
        <f t="shared" ref="N5:N36" si="1">SUM(H5:J5)*$Y$18</f>
        <v>0.4</v>
      </c>
      <c r="O5" s="10">
        <v>0</v>
      </c>
      <c r="P5" s="10">
        <f t="shared" ref="P5:P36" si="2">SUM(M5+L5+O5+N5)</f>
        <v>5.6000000000000005</v>
      </c>
      <c r="Q5" s="17">
        <v>25.112500000000004</v>
      </c>
      <c r="R5" s="18">
        <f t="shared" ref="R5:R36" si="3">P5+Q5</f>
        <v>30.712500000000006</v>
      </c>
      <c r="S5" s="19">
        <f t="shared" ref="S5:S36" si="4">VLOOKUP(K5,$X$3:$Y$10,2,FALSE)</f>
        <v>11.875</v>
      </c>
      <c r="T5" s="20">
        <f t="shared" ref="T5:T36" si="5">R5-S5</f>
        <v>18.837500000000006</v>
      </c>
      <c r="U5" s="11"/>
      <c r="V5" s="11"/>
      <c r="W5" s="11"/>
      <c r="X5" s="14" t="s">
        <v>29</v>
      </c>
      <c r="Y5" s="28">
        <f>AC5/$Y$13/4</f>
        <v>1.875</v>
      </c>
      <c r="Z5" s="30">
        <v>3</v>
      </c>
      <c r="AA5" s="30">
        <v>5</v>
      </c>
      <c r="AB5" s="30">
        <v>10</v>
      </c>
      <c r="AC5" s="30">
        <v>1200</v>
      </c>
    </row>
    <row r="6" spans="1:29" s="1" customFormat="1" ht="17.399999999999999">
      <c r="A6" s="9">
        <v>1</v>
      </c>
      <c r="B6" s="9">
        <v>26</v>
      </c>
      <c r="C6" s="8">
        <v>1754932067</v>
      </c>
      <c r="D6" s="42" t="s">
        <v>58</v>
      </c>
      <c r="E6" s="42" t="s">
        <v>9</v>
      </c>
      <c r="F6" s="10">
        <v>3</v>
      </c>
      <c r="G6" s="10">
        <v>1</v>
      </c>
      <c r="H6" s="50">
        <v>0</v>
      </c>
      <c r="I6" s="50">
        <v>1</v>
      </c>
      <c r="J6" s="50">
        <v>1</v>
      </c>
      <c r="K6" s="27" t="s">
        <v>22</v>
      </c>
      <c r="L6" s="11">
        <f t="shared" si="0"/>
        <v>4</v>
      </c>
      <c r="M6" s="10">
        <f>G6*$Y$14</f>
        <v>1.2</v>
      </c>
      <c r="N6" s="10">
        <f t="shared" si="1"/>
        <v>0.8</v>
      </c>
      <c r="O6" s="10">
        <v>0</v>
      </c>
      <c r="P6" s="10">
        <f t="shared" si="2"/>
        <v>6</v>
      </c>
      <c r="Q6" s="17">
        <v>21.043749999999999</v>
      </c>
      <c r="R6" s="18">
        <f t="shared" si="3"/>
        <v>27.043749999999999</v>
      </c>
      <c r="S6" s="19">
        <f t="shared" si="4"/>
        <v>11.875</v>
      </c>
      <c r="T6" s="20">
        <f t="shared" si="5"/>
        <v>15.168749999999999</v>
      </c>
      <c r="U6" s="11"/>
      <c r="V6" s="11"/>
      <c r="W6" s="11"/>
      <c r="X6" s="14"/>
      <c r="Y6" s="28"/>
      <c r="Z6" s="30"/>
      <c r="AA6" s="30"/>
      <c r="AB6" s="30"/>
      <c r="AC6" s="30"/>
    </row>
    <row r="7" spans="1:29" s="1" customFormat="1" ht="17.399999999999999">
      <c r="A7" s="9">
        <v>1</v>
      </c>
      <c r="B7" s="9">
        <v>46</v>
      </c>
      <c r="C7" s="8">
        <v>2109182835</v>
      </c>
      <c r="D7" s="42" t="s">
        <v>59</v>
      </c>
      <c r="E7" s="42" t="s">
        <v>10</v>
      </c>
      <c r="F7" s="10">
        <v>3</v>
      </c>
      <c r="G7" s="10">
        <v>1</v>
      </c>
      <c r="H7" s="50">
        <v>0</v>
      </c>
      <c r="I7" s="50">
        <v>1</v>
      </c>
      <c r="J7" s="50">
        <v>0</v>
      </c>
      <c r="K7" s="27" t="s">
        <v>22</v>
      </c>
      <c r="L7" s="11">
        <f t="shared" si="0"/>
        <v>4</v>
      </c>
      <c r="M7" s="10">
        <f>G7*$Y$14</f>
        <v>1.2</v>
      </c>
      <c r="N7" s="10">
        <f t="shared" si="1"/>
        <v>0.4</v>
      </c>
      <c r="O7" s="10">
        <v>0</v>
      </c>
      <c r="P7" s="10">
        <f t="shared" si="2"/>
        <v>5.6000000000000005</v>
      </c>
      <c r="Q7" s="17">
        <v>21.223750000000006</v>
      </c>
      <c r="R7" s="18">
        <f t="shared" si="3"/>
        <v>26.823750000000008</v>
      </c>
      <c r="S7" s="19">
        <f t="shared" si="4"/>
        <v>11.875</v>
      </c>
      <c r="T7" s="20">
        <f t="shared" si="5"/>
        <v>14.948750000000008</v>
      </c>
      <c r="U7" s="11"/>
      <c r="V7" s="11"/>
      <c r="W7" s="11"/>
      <c r="X7" s="12" t="s">
        <v>51</v>
      </c>
      <c r="Y7" s="28">
        <f>AC7/$Y$13</f>
        <v>8.125</v>
      </c>
      <c r="Z7" s="30">
        <v>4</v>
      </c>
      <c r="AA7" s="30">
        <v>5</v>
      </c>
      <c r="AB7" s="30"/>
      <c r="AC7" s="30">
        <v>1300</v>
      </c>
    </row>
    <row r="8" spans="1:29" s="1" customFormat="1" ht="20.399999999999999">
      <c r="A8" s="9">
        <v>1</v>
      </c>
      <c r="B8" s="9">
        <v>49</v>
      </c>
      <c r="C8" s="8">
        <v>311361673</v>
      </c>
      <c r="D8" s="43" t="s">
        <v>105</v>
      </c>
      <c r="E8" s="49" t="s">
        <v>11</v>
      </c>
      <c r="F8" s="10">
        <v>3</v>
      </c>
      <c r="G8" s="10">
        <v>1</v>
      </c>
      <c r="H8" s="50">
        <v>0</v>
      </c>
      <c r="I8" s="50">
        <v>1</v>
      </c>
      <c r="J8" s="50">
        <v>1</v>
      </c>
      <c r="K8" s="27" t="s">
        <v>22</v>
      </c>
      <c r="L8" s="11">
        <f t="shared" si="0"/>
        <v>4</v>
      </c>
      <c r="M8" s="10">
        <f>IF(G8&gt;0,1,0)*$Y$14</f>
        <v>1.2</v>
      </c>
      <c r="N8" s="10">
        <f t="shared" si="1"/>
        <v>0.8</v>
      </c>
      <c r="O8" s="10">
        <v>0</v>
      </c>
      <c r="P8" s="10">
        <f t="shared" si="2"/>
        <v>6</v>
      </c>
      <c r="Q8" s="17">
        <v>20.706250000000001</v>
      </c>
      <c r="R8" s="18">
        <f t="shared" si="3"/>
        <v>26.706250000000001</v>
      </c>
      <c r="S8" s="19">
        <f t="shared" si="4"/>
        <v>11.875</v>
      </c>
      <c r="T8" s="20">
        <f t="shared" si="5"/>
        <v>14.831250000000001</v>
      </c>
      <c r="U8" s="11"/>
      <c r="V8" s="11"/>
      <c r="W8" s="11"/>
      <c r="X8" s="13" t="s">
        <v>52</v>
      </c>
      <c r="Y8" s="28">
        <f>AC8/$Y$13</f>
        <v>6.25</v>
      </c>
      <c r="Z8" s="30">
        <v>3</v>
      </c>
      <c r="AA8" s="30">
        <v>4</v>
      </c>
      <c r="AB8" s="30"/>
      <c r="AC8" s="30">
        <v>1000</v>
      </c>
    </row>
    <row r="9" spans="1:29" s="1" customFormat="1" ht="17.399999999999999">
      <c r="A9" s="9">
        <v>1</v>
      </c>
      <c r="B9" s="9">
        <v>92</v>
      </c>
      <c r="C9" s="8">
        <v>1367873925</v>
      </c>
      <c r="D9" s="42" t="s">
        <v>80</v>
      </c>
      <c r="E9" s="42" t="s">
        <v>31</v>
      </c>
      <c r="F9" s="10">
        <v>0</v>
      </c>
      <c r="G9" s="10">
        <v>1</v>
      </c>
      <c r="H9" s="50">
        <v>0</v>
      </c>
      <c r="I9" s="50">
        <v>0</v>
      </c>
      <c r="J9" s="50">
        <v>0</v>
      </c>
      <c r="K9" s="39" t="s">
        <v>30</v>
      </c>
      <c r="L9" s="11">
        <f t="shared" si="0"/>
        <v>0</v>
      </c>
      <c r="M9" s="10">
        <f t="shared" ref="M9:M40" si="6">G9*$Y$14</f>
        <v>1.2</v>
      </c>
      <c r="N9" s="10">
        <f t="shared" si="1"/>
        <v>0</v>
      </c>
      <c r="O9" s="10">
        <v>0</v>
      </c>
      <c r="P9" s="10">
        <f t="shared" si="2"/>
        <v>1.2</v>
      </c>
      <c r="Q9" s="17">
        <v>19.118749999999999</v>
      </c>
      <c r="R9" s="18">
        <f t="shared" si="3"/>
        <v>20.318749999999998</v>
      </c>
      <c r="S9" s="19">
        <f t="shared" si="4"/>
        <v>0</v>
      </c>
      <c r="T9" s="20">
        <f t="shared" si="5"/>
        <v>20.318749999999998</v>
      </c>
      <c r="U9" s="11"/>
      <c r="V9" s="11"/>
      <c r="W9" s="31"/>
      <c r="X9" s="14" t="s">
        <v>53</v>
      </c>
      <c r="Y9" s="28">
        <f>AC9/$Y$13/4</f>
        <v>1.09375</v>
      </c>
      <c r="Z9" s="30">
        <v>2</v>
      </c>
      <c r="AA9" s="30">
        <v>3</v>
      </c>
      <c r="AB9" s="30"/>
      <c r="AC9" s="30">
        <v>700</v>
      </c>
    </row>
    <row r="10" spans="1:29" s="1" customFormat="1" ht="17.399999999999999">
      <c r="A10" s="9">
        <v>1</v>
      </c>
      <c r="B10" s="8">
        <v>110</v>
      </c>
      <c r="C10" s="8">
        <v>1968703358</v>
      </c>
      <c r="D10" s="42" t="s">
        <v>60</v>
      </c>
      <c r="E10" s="42" t="s">
        <v>38</v>
      </c>
      <c r="F10" s="10">
        <v>2</v>
      </c>
      <c r="G10" s="10">
        <v>1</v>
      </c>
      <c r="H10" s="50">
        <v>0</v>
      </c>
      <c r="I10" s="50">
        <v>0</v>
      </c>
      <c r="J10" s="50">
        <v>1</v>
      </c>
      <c r="K10" s="14" t="s">
        <v>29</v>
      </c>
      <c r="L10" s="11">
        <f t="shared" si="0"/>
        <v>2</v>
      </c>
      <c r="M10" s="10">
        <f t="shared" si="6"/>
        <v>1.2</v>
      </c>
      <c r="N10" s="10">
        <f t="shared" si="1"/>
        <v>0.4</v>
      </c>
      <c r="O10" s="10">
        <v>0</v>
      </c>
      <c r="P10" s="10">
        <f t="shared" si="2"/>
        <v>3.6</v>
      </c>
      <c r="Q10" s="17">
        <v>19.350000000000009</v>
      </c>
      <c r="R10" s="18">
        <f t="shared" si="3"/>
        <v>22.95000000000001</v>
      </c>
      <c r="S10" s="19">
        <f t="shared" si="4"/>
        <v>1.875</v>
      </c>
      <c r="T10" s="20">
        <f t="shared" si="5"/>
        <v>21.07500000000001</v>
      </c>
      <c r="U10" s="11"/>
      <c r="V10" s="11"/>
      <c r="W10" s="17"/>
      <c r="X10" s="33" t="s">
        <v>30</v>
      </c>
      <c r="Y10" s="2">
        <v>0</v>
      </c>
      <c r="Z10" s="2"/>
      <c r="AA10" s="2"/>
      <c r="AB10" s="2"/>
      <c r="AC10" s="2"/>
    </row>
    <row r="11" spans="1:29" s="1" customFormat="1" ht="17.399999999999999">
      <c r="A11" s="9">
        <v>1</v>
      </c>
      <c r="B11" s="8">
        <v>116</v>
      </c>
      <c r="C11" s="8">
        <v>2122596917</v>
      </c>
      <c r="D11" s="42" t="s">
        <v>61</v>
      </c>
      <c r="E11" s="42" t="s">
        <v>37</v>
      </c>
      <c r="F11" s="10">
        <v>3</v>
      </c>
      <c r="G11" s="10">
        <v>1</v>
      </c>
      <c r="H11" s="50">
        <v>0</v>
      </c>
      <c r="I11" s="50">
        <v>1</v>
      </c>
      <c r="J11" s="50">
        <v>1</v>
      </c>
      <c r="K11" s="27" t="s">
        <v>22</v>
      </c>
      <c r="L11" s="11">
        <f t="shared" si="0"/>
        <v>4</v>
      </c>
      <c r="M11" s="10">
        <f t="shared" si="6"/>
        <v>1.2</v>
      </c>
      <c r="N11" s="10">
        <f t="shared" si="1"/>
        <v>0.8</v>
      </c>
      <c r="O11" s="10">
        <v>0</v>
      </c>
      <c r="P11" s="10">
        <f t="shared" si="2"/>
        <v>6</v>
      </c>
      <c r="Q11" s="17">
        <v>21.281249999999996</v>
      </c>
      <c r="R11" s="18">
        <f t="shared" si="3"/>
        <v>27.281249999999996</v>
      </c>
      <c r="S11" s="19">
        <f t="shared" si="4"/>
        <v>11.875</v>
      </c>
      <c r="T11" s="20">
        <f t="shared" si="5"/>
        <v>15.406249999999996</v>
      </c>
      <c r="U11" s="11"/>
      <c r="V11" s="11"/>
      <c r="W11" s="32"/>
      <c r="X11" s="34"/>
    </row>
    <row r="12" spans="1:29" s="1" customFormat="1" ht="17.399999999999999">
      <c r="A12" s="9">
        <v>1</v>
      </c>
      <c r="B12" s="8">
        <v>118</v>
      </c>
      <c r="C12" s="8">
        <v>2018112397</v>
      </c>
      <c r="D12" s="42" t="s">
        <v>54</v>
      </c>
      <c r="E12" s="42" t="s">
        <v>47</v>
      </c>
      <c r="F12" s="10">
        <v>3</v>
      </c>
      <c r="G12" s="10">
        <v>1</v>
      </c>
      <c r="H12" s="50">
        <v>0</v>
      </c>
      <c r="I12" s="50">
        <v>0</v>
      </c>
      <c r="J12" s="50">
        <v>0</v>
      </c>
      <c r="K12" s="14" t="s">
        <v>29</v>
      </c>
      <c r="L12" s="11">
        <f t="shared" si="0"/>
        <v>4</v>
      </c>
      <c r="M12" s="10">
        <f t="shared" si="6"/>
        <v>1.2</v>
      </c>
      <c r="N12" s="10">
        <f t="shared" si="1"/>
        <v>0</v>
      </c>
      <c r="O12" s="10">
        <v>0</v>
      </c>
      <c r="P12" s="10">
        <f t="shared" si="2"/>
        <v>5.2</v>
      </c>
      <c r="Q12" s="17">
        <v>20.406249999999993</v>
      </c>
      <c r="R12" s="18">
        <f t="shared" si="3"/>
        <v>25.606249999999992</v>
      </c>
      <c r="S12" s="19">
        <f t="shared" si="4"/>
        <v>1.875</v>
      </c>
      <c r="T12" s="20">
        <f t="shared" si="5"/>
        <v>23.731249999999992</v>
      </c>
      <c r="U12" s="11"/>
      <c r="V12" s="11"/>
      <c r="W12" s="32"/>
      <c r="X12" s="35" t="s">
        <v>32</v>
      </c>
      <c r="Y12" s="1">
        <v>15000</v>
      </c>
    </row>
    <row r="13" spans="1:29" s="2" customFormat="1" ht="17.399999999999999">
      <c r="A13" s="9">
        <v>1</v>
      </c>
      <c r="B13" s="8">
        <v>128</v>
      </c>
      <c r="C13" s="8">
        <v>1214614935</v>
      </c>
      <c r="D13" s="42" t="s">
        <v>62</v>
      </c>
      <c r="E13" s="49" t="s">
        <v>43</v>
      </c>
      <c r="F13" s="10">
        <v>3</v>
      </c>
      <c r="G13" s="10">
        <v>1</v>
      </c>
      <c r="H13" s="50">
        <v>0</v>
      </c>
      <c r="I13" s="50">
        <v>1</v>
      </c>
      <c r="J13" s="50">
        <v>1</v>
      </c>
      <c r="K13" s="29" t="s">
        <v>28</v>
      </c>
      <c r="L13" s="11">
        <f t="shared" si="0"/>
        <v>4</v>
      </c>
      <c r="M13" s="10">
        <f t="shared" si="6"/>
        <v>1.2</v>
      </c>
      <c r="N13" s="10">
        <f t="shared" si="1"/>
        <v>0.8</v>
      </c>
      <c r="O13" s="10">
        <v>0</v>
      </c>
      <c r="P13" s="10">
        <f t="shared" si="2"/>
        <v>6</v>
      </c>
      <c r="Q13" s="17">
        <v>19.986999999999995</v>
      </c>
      <c r="R13" s="18">
        <f t="shared" si="3"/>
        <v>25.986999999999995</v>
      </c>
      <c r="S13" s="19">
        <f t="shared" si="4"/>
        <v>9.6875</v>
      </c>
      <c r="T13" s="20">
        <f t="shared" si="5"/>
        <v>16.299499999999995</v>
      </c>
      <c r="U13" s="11"/>
      <c r="V13" s="11"/>
      <c r="W13" s="31"/>
      <c r="X13" s="36" t="s">
        <v>33</v>
      </c>
      <c r="Y13" s="37">
        <v>160</v>
      </c>
      <c r="Z13" s="1"/>
      <c r="AA13" s="1"/>
      <c r="AB13" s="1"/>
      <c r="AC13" s="1"/>
    </row>
    <row r="14" spans="1:29" s="2" customFormat="1" ht="17.399999999999999">
      <c r="A14" s="9">
        <v>1</v>
      </c>
      <c r="B14" s="8">
        <v>141</v>
      </c>
      <c r="C14" s="8">
        <v>1190305158</v>
      </c>
      <c r="D14" s="42" t="s">
        <v>44</v>
      </c>
      <c r="E14" s="44"/>
      <c r="F14" s="10">
        <v>0</v>
      </c>
      <c r="G14" s="10">
        <v>0</v>
      </c>
      <c r="H14" s="50">
        <v>0</v>
      </c>
      <c r="I14" s="50">
        <v>0</v>
      </c>
      <c r="J14" s="50">
        <v>0</v>
      </c>
      <c r="K14" s="39" t="s">
        <v>30</v>
      </c>
      <c r="L14" s="11">
        <f t="shared" si="0"/>
        <v>0</v>
      </c>
      <c r="M14" s="10">
        <f t="shared" si="6"/>
        <v>0</v>
      </c>
      <c r="N14" s="10">
        <f t="shared" si="1"/>
        <v>0</v>
      </c>
      <c r="O14" s="10">
        <v>0</v>
      </c>
      <c r="P14" s="10">
        <f t="shared" si="2"/>
        <v>0</v>
      </c>
      <c r="Q14" s="17">
        <v>-7.8937500000000043</v>
      </c>
      <c r="R14" s="18">
        <f t="shared" si="3"/>
        <v>-7.8937500000000043</v>
      </c>
      <c r="S14" s="19">
        <f t="shared" si="4"/>
        <v>0</v>
      </c>
      <c r="T14" s="20">
        <f t="shared" si="5"/>
        <v>-7.8937500000000043</v>
      </c>
      <c r="U14" s="11"/>
      <c r="V14" s="11"/>
      <c r="W14" s="31"/>
      <c r="X14" s="38" t="s">
        <v>42</v>
      </c>
      <c r="Y14" s="37">
        <v>1.2</v>
      </c>
      <c r="Z14" s="1"/>
      <c r="AA14" s="1"/>
      <c r="AB14" s="1"/>
      <c r="AC14" s="1"/>
    </row>
    <row r="15" spans="1:29" s="2" customFormat="1" ht="17.399999999999999">
      <c r="A15" s="9">
        <v>1</v>
      </c>
      <c r="B15" s="8">
        <v>155</v>
      </c>
      <c r="C15" s="8">
        <v>1532576874</v>
      </c>
      <c r="D15" s="42" t="s">
        <v>63</v>
      </c>
      <c r="E15" s="42" t="s">
        <v>46</v>
      </c>
      <c r="F15" s="10">
        <v>0</v>
      </c>
      <c r="G15" s="10">
        <v>0</v>
      </c>
      <c r="H15" s="50">
        <v>0</v>
      </c>
      <c r="I15" s="50">
        <v>0</v>
      </c>
      <c r="J15" s="50">
        <v>0</v>
      </c>
      <c r="K15" s="39" t="s">
        <v>30</v>
      </c>
      <c r="L15" s="11">
        <f t="shared" si="0"/>
        <v>0</v>
      </c>
      <c r="M15" s="10">
        <f t="shared" si="6"/>
        <v>0</v>
      </c>
      <c r="N15" s="10">
        <f t="shared" si="1"/>
        <v>0</v>
      </c>
      <c r="O15" s="10">
        <v>0</v>
      </c>
      <c r="P15" s="10">
        <f t="shared" si="2"/>
        <v>0</v>
      </c>
      <c r="Q15" s="17">
        <v>15.212499999999999</v>
      </c>
      <c r="R15" s="18">
        <f t="shared" si="3"/>
        <v>15.212499999999999</v>
      </c>
      <c r="S15" s="19">
        <f t="shared" si="4"/>
        <v>0</v>
      </c>
      <c r="T15" s="20">
        <f t="shared" si="5"/>
        <v>15.212499999999999</v>
      </c>
      <c r="U15" s="4"/>
      <c r="V15" s="4"/>
      <c r="W15" s="4"/>
      <c r="X15" s="1" t="s">
        <v>34</v>
      </c>
      <c r="Y15" s="37">
        <v>2021</v>
      </c>
      <c r="Z15" s="1"/>
      <c r="AA15" s="1"/>
      <c r="AB15" s="1"/>
      <c r="AC15" s="1"/>
    </row>
    <row r="16" spans="1:29" s="2" customFormat="1" ht="17.399999999999999">
      <c r="A16" s="9">
        <v>1</v>
      </c>
      <c r="B16" s="8">
        <v>156</v>
      </c>
      <c r="C16" s="8">
        <v>1744610165</v>
      </c>
      <c r="D16" s="42" t="s">
        <v>64</v>
      </c>
      <c r="E16" s="42"/>
      <c r="F16" s="10">
        <v>3</v>
      </c>
      <c r="G16" s="10">
        <v>0</v>
      </c>
      <c r="H16" s="50">
        <v>0</v>
      </c>
      <c r="I16" s="50">
        <v>0</v>
      </c>
      <c r="J16" s="50">
        <v>0</v>
      </c>
      <c r="K16" s="14" t="s">
        <v>29</v>
      </c>
      <c r="L16" s="11">
        <f t="shared" si="0"/>
        <v>4</v>
      </c>
      <c r="M16" s="10">
        <f t="shared" si="6"/>
        <v>0</v>
      </c>
      <c r="N16" s="10">
        <f t="shared" si="1"/>
        <v>0</v>
      </c>
      <c r="O16" s="10">
        <v>0</v>
      </c>
      <c r="P16" s="10">
        <f t="shared" si="2"/>
        <v>4</v>
      </c>
      <c r="Q16" s="17">
        <v>20.236266129032245</v>
      </c>
      <c r="R16" s="18">
        <f t="shared" si="3"/>
        <v>24.236266129032245</v>
      </c>
      <c r="S16" s="19">
        <f t="shared" si="4"/>
        <v>1.875</v>
      </c>
      <c r="T16" s="20">
        <f t="shared" si="5"/>
        <v>22.361266129032245</v>
      </c>
      <c r="U16" s="4"/>
      <c r="V16" s="4"/>
      <c r="W16" s="4"/>
      <c r="X16" s="1" t="s">
        <v>35</v>
      </c>
      <c r="Y16" s="37">
        <v>8</v>
      </c>
      <c r="Z16" s="1"/>
      <c r="AA16" s="1"/>
      <c r="AB16" s="1"/>
      <c r="AC16" s="1"/>
    </row>
    <row r="17" spans="1:29" s="2" customFormat="1" ht="17.399999999999999">
      <c r="A17" s="9">
        <v>1</v>
      </c>
      <c r="B17" s="8">
        <v>167</v>
      </c>
      <c r="C17" s="8">
        <v>1173807161</v>
      </c>
      <c r="D17" s="42" t="s">
        <v>48</v>
      </c>
      <c r="E17" s="48"/>
      <c r="F17" s="10">
        <v>0</v>
      </c>
      <c r="G17" s="10">
        <v>0</v>
      </c>
      <c r="H17" s="50">
        <v>0</v>
      </c>
      <c r="I17" s="50">
        <v>0</v>
      </c>
      <c r="J17" s="50">
        <v>0</v>
      </c>
      <c r="K17" s="39" t="s">
        <v>30</v>
      </c>
      <c r="L17" s="11">
        <f t="shared" si="0"/>
        <v>0</v>
      </c>
      <c r="M17" s="10">
        <f t="shared" si="6"/>
        <v>0</v>
      </c>
      <c r="N17" s="10">
        <f t="shared" si="1"/>
        <v>0</v>
      </c>
      <c r="O17" s="10">
        <v>0</v>
      </c>
      <c r="P17" s="10">
        <f t="shared" si="2"/>
        <v>0</v>
      </c>
      <c r="Q17" s="17">
        <v>24.624999999999979</v>
      </c>
      <c r="R17" s="18">
        <f t="shared" si="3"/>
        <v>24.624999999999979</v>
      </c>
      <c r="S17" s="19">
        <f t="shared" si="4"/>
        <v>0</v>
      </c>
      <c r="T17" s="20">
        <f t="shared" si="5"/>
        <v>24.624999999999979</v>
      </c>
      <c r="U17" s="4"/>
      <c r="V17" s="4"/>
      <c r="W17" s="4"/>
      <c r="X17" s="1" t="s">
        <v>36</v>
      </c>
      <c r="Y17" s="37">
        <v>14</v>
      </c>
      <c r="Z17" s="1"/>
      <c r="AA17" s="1"/>
      <c r="AB17" s="1"/>
      <c r="AC17" s="1"/>
    </row>
    <row r="18" spans="1:29" s="2" customFormat="1" ht="17.399999999999999">
      <c r="A18" s="9">
        <v>1</v>
      </c>
      <c r="B18" s="8">
        <v>172</v>
      </c>
      <c r="C18" s="8">
        <v>724061220</v>
      </c>
      <c r="D18" s="42" t="s">
        <v>65</v>
      </c>
      <c r="E18" s="42" t="s">
        <v>50</v>
      </c>
      <c r="F18" s="10">
        <v>3</v>
      </c>
      <c r="G18" s="10">
        <v>1</v>
      </c>
      <c r="H18" s="50">
        <v>0</v>
      </c>
      <c r="I18" s="50">
        <v>0</v>
      </c>
      <c r="J18" s="50">
        <v>0</v>
      </c>
      <c r="K18" s="14" t="s">
        <v>29</v>
      </c>
      <c r="L18" s="11">
        <f t="shared" si="0"/>
        <v>4</v>
      </c>
      <c r="M18" s="10">
        <f t="shared" si="6"/>
        <v>1.2</v>
      </c>
      <c r="N18" s="10">
        <f t="shared" si="1"/>
        <v>0</v>
      </c>
      <c r="O18" s="10">
        <v>0</v>
      </c>
      <c r="P18" s="10">
        <f t="shared" si="2"/>
        <v>5.2</v>
      </c>
      <c r="Q18" s="17">
        <v>20.224999999999998</v>
      </c>
      <c r="R18" s="18">
        <f t="shared" si="3"/>
        <v>25.424999999999997</v>
      </c>
      <c r="S18" s="19">
        <f t="shared" si="4"/>
        <v>1.875</v>
      </c>
      <c r="T18" s="20">
        <f t="shared" si="5"/>
        <v>23.549999999999997</v>
      </c>
      <c r="U18" s="4"/>
      <c r="V18" s="4"/>
      <c r="W18" s="4"/>
      <c r="X18" s="51" t="s">
        <v>103</v>
      </c>
      <c r="Y18" s="37">
        <v>0.4</v>
      </c>
      <c r="Z18" s="1"/>
      <c r="AA18" s="1"/>
      <c r="AB18" s="1"/>
      <c r="AC18" s="1"/>
    </row>
    <row r="19" spans="1:29" s="2" customFormat="1" ht="17.399999999999999">
      <c r="A19" s="9">
        <v>1</v>
      </c>
      <c r="B19" s="8">
        <v>174</v>
      </c>
      <c r="C19" s="8">
        <v>775720958</v>
      </c>
      <c r="D19" s="42" t="s">
        <v>79</v>
      </c>
      <c r="E19" s="42" t="s">
        <v>49</v>
      </c>
      <c r="F19" s="10">
        <v>2</v>
      </c>
      <c r="G19" s="10">
        <v>1</v>
      </c>
      <c r="H19" s="50">
        <v>0</v>
      </c>
      <c r="I19" s="50">
        <v>0</v>
      </c>
      <c r="J19" s="50">
        <v>0</v>
      </c>
      <c r="K19" s="14" t="s">
        <v>29</v>
      </c>
      <c r="L19" s="11">
        <f t="shared" si="0"/>
        <v>2</v>
      </c>
      <c r="M19" s="10">
        <f t="shared" si="6"/>
        <v>1.2</v>
      </c>
      <c r="N19" s="10">
        <f t="shared" si="1"/>
        <v>0</v>
      </c>
      <c r="O19" s="10">
        <v>0</v>
      </c>
      <c r="P19" s="10">
        <f t="shared" si="2"/>
        <v>3.2</v>
      </c>
      <c r="Q19" s="17">
        <v>19.837499999999988</v>
      </c>
      <c r="R19" s="18">
        <f t="shared" si="3"/>
        <v>23.037499999999987</v>
      </c>
      <c r="S19" s="19">
        <f t="shared" si="4"/>
        <v>1.875</v>
      </c>
      <c r="T19" s="20">
        <f t="shared" si="5"/>
        <v>21.162499999999987</v>
      </c>
      <c r="U19" s="4"/>
      <c r="V19" s="4"/>
      <c r="W19" s="4"/>
      <c r="X19" s="1"/>
      <c r="Y19" s="1"/>
      <c r="Z19" s="1"/>
      <c r="AA19" s="1"/>
      <c r="AB19" s="1"/>
      <c r="AC19" s="1"/>
    </row>
    <row r="20" spans="1:29" s="2" customFormat="1" ht="17.399999999999999">
      <c r="A20" s="9">
        <v>1</v>
      </c>
      <c r="B20" s="8">
        <v>178</v>
      </c>
      <c r="C20" s="8">
        <v>1059185275</v>
      </c>
      <c r="D20" s="42" t="s">
        <v>66</v>
      </c>
      <c r="E20" s="47"/>
      <c r="F20" s="10">
        <v>3</v>
      </c>
      <c r="G20" s="10">
        <v>1</v>
      </c>
      <c r="H20" s="50">
        <v>0</v>
      </c>
      <c r="I20" s="50">
        <v>1</v>
      </c>
      <c r="J20" s="50">
        <v>1</v>
      </c>
      <c r="K20" s="27" t="s">
        <v>22</v>
      </c>
      <c r="L20" s="11">
        <f t="shared" si="0"/>
        <v>4</v>
      </c>
      <c r="M20" s="10">
        <f t="shared" si="6"/>
        <v>1.2</v>
      </c>
      <c r="N20" s="10">
        <f t="shared" si="1"/>
        <v>0.8</v>
      </c>
      <c r="O20" s="10">
        <v>0</v>
      </c>
      <c r="P20" s="10">
        <f t="shared" si="2"/>
        <v>6</v>
      </c>
      <c r="Q20" s="17">
        <v>21.449999999999996</v>
      </c>
      <c r="R20" s="18">
        <f t="shared" si="3"/>
        <v>27.449999999999996</v>
      </c>
      <c r="S20" s="19">
        <f t="shared" si="4"/>
        <v>11.875</v>
      </c>
      <c r="T20" s="20">
        <f t="shared" si="5"/>
        <v>15.574999999999996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7.399999999999999">
      <c r="A21" s="9">
        <v>1</v>
      </c>
      <c r="B21" s="8">
        <v>182</v>
      </c>
      <c r="C21" s="8">
        <v>828260319</v>
      </c>
      <c r="D21" s="42" t="s">
        <v>127</v>
      </c>
      <c r="E21" s="42" t="s">
        <v>90</v>
      </c>
      <c r="F21" s="10">
        <v>3</v>
      </c>
      <c r="G21" s="10">
        <v>1</v>
      </c>
      <c r="H21" s="50">
        <v>0</v>
      </c>
      <c r="I21" s="50">
        <v>0</v>
      </c>
      <c r="J21" s="50">
        <v>1</v>
      </c>
      <c r="K21" s="29" t="s">
        <v>28</v>
      </c>
      <c r="L21" s="11">
        <f t="shared" si="0"/>
        <v>4</v>
      </c>
      <c r="M21" s="10">
        <f t="shared" si="6"/>
        <v>1.2</v>
      </c>
      <c r="N21" s="10">
        <f t="shared" si="1"/>
        <v>0.4</v>
      </c>
      <c r="O21" s="10">
        <v>0</v>
      </c>
      <c r="P21" s="10">
        <f t="shared" si="2"/>
        <v>5.6000000000000005</v>
      </c>
      <c r="Q21" s="17">
        <v>20.475500000000014</v>
      </c>
      <c r="R21" s="18">
        <f t="shared" si="3"/>
        <v>26.075500000000016</v>
      </c>
      <c r="S21" s="19">
        <f t="shared" si="4"/>
        <v>9.6875</v>
      </c>
      <c r="T21" s="20">
        <f t="shared" si="5"/>
        <v>16.388000000000016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7.399999999999999">
      <c r="A22" s="9">
        <v>1</v>
      </c>
      <c r="B22" s="8">
        <v>183</v>
      </c>
      <c r="C22" s="8">
        <v>1250030371</v>
      </c>
      <c r="D22" s="42" t="s">
        <v>130</v>
      </c>
      <c r="E22" s="42" t="s">
        <v>121</v>
      </c>
      <c r="F22" s="10">
        <v>3</v>
      </c>
      <c r="G22" s="10">
        <v>1</v>
      </c>
      <c r="H22" s="50">
        <v>0</v>
      </c>
      <c r="I22" s="50">
        <v>0</v>
      </c>
      <c r="J22" s="50">
        <v>0</v>
      </c>
      <c r="K22" s="14" t="s">
        <v>29</v>
      </c>
      <c r="L22" s="11">
        <f t="shared" si="0"/>
        <v>4</v>
      </c>
      <c r="M22" s="10">
        <f t="shared" si="6"/>
        <v>1.2</v>
      </c>
      <c r="N22" s="10">
        <f t="shared" si="1"/>
        <v>0</v>
      </c>
      <c r="O22" s="10">
        <v>0</v>
      </c>
      <c r="P22" s="10">
        <f t="shared" si="2"/>
        <v>5.2</v>
      </c>
      <c r="Q22" s="17">
        <v>19.34375</v>
      </c>
      <c r="R22" s="18">
        <f t="shared" si="3"/>
        <v>24.543749999999999</v>
      </c>
      <c r="S22" s="19">
        <f t="shared" si="4"/>
        <v>1.875</v>
      </c>
      <c r="T22" s="20">
        <f t="shared" si="5"/>
        <v>22.668749999999999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7.399999999999999">
      <c r="A23" s="9">
        <v>1</v>
      </c>
      <c r="B23" s="8">
        <v>184</v>
      </c>
      <c r="C23" s="8">
        <v>1814130074</v>
      </c>
      <c r="D23" s="42" t="s">
        <v>67</v>
      </c>
      <c r="E23" s="47"/>
      <c r="F23" s="10">
        <v>3</v>
      </c>
      <c r="G23" s="10">
        <v>1</v>
      </c>
      <c r="H23" s="50">
        <v>0</v>
      </c>
      <c r="I23" s="50">
        <v>1</v>
      </c>
      <c r="J23" s="50">
        <v>0</v>
      </c>
      <c r="K23" s="29" t="s">
        <v>28</v>
      </c>
      <c r="L23" s="11">
        <f t="shared" si="0"/>
        <v>4</v>
      </c>
      <c r="M23" s="10">
        <f t="shared" si="6"/>
        <v>1.2</v>
      </c>
      <c r="N23" s="10">
        <f t="shared" si="1"/>
        <v>0.4</v>
      </c>
      <c r="O23" s="10">
        <v>0</v>
      </c>
      <c r="P23" s="10">
        <f t="shared" si="2"/>
        <v>5.6000000000000005</v>
      </c>
      <c r="Q23" s="17">
        <v>20.506250000000012</v>
      </c>
      <c r="R23" s="18">
        <f t="shared" si="3"/>
        <v>26.106250000000014</v>
      </c>
      <c r="S23" s="19">
        <f t="shared" si="4"/>
        <v>9.6875</v>
      </c>
      <c r="T23" s="20">
        <f t="shared" si="5"/>
        <v>16.418750000000014</v>
      </c>
      <c r="U23" s="4"/>
      <c r="V23" s="4"/>
      <c r="W23" s="4"/>
    </row>
    <row r="24" spans="1:29" s="1" customFormat="1" ht="17.399999999999999">
      <c r="A24" s="9">
        <v>1</v>
      </c>
      <c r="B24" s="8">
        <v>185</v>
      </c>
      <c r="C24" s="8">
        <v>30705222</v>
      </c>
      <c r="D24" s="42" t="s">
        <v>68</v>
      </c>
      <c r="E24" s="47"/>
      <c r="F24" s="10">
        <v>3</v>
      </c>
      <c r="G24" s="10">
        <v>1</v>
      </c>
      <c r="H24" s="50">
        <v>0</v>
      </c>
      <c r="I24" s="50">
        <v>1</v>
      </c>
      <c r="J24" s="50">
        <v>1</v>
      </c>
      <c r="K24" s="14" t="s">
        <v>29</v>
      </c>
      <c r="L24" s="11">
        <f t="shared" si="0"/>
        <v>4</v>
      </c>
      <c r="M24" s="10">
        <f t="shared" si="6"/>
        <v>1.2</v>
      </c>
      <c r="N24" s="10">
        <f t="shared" si="1"/>
        <v>0.8</v>
      </c>
      <c r="O24" s="10">
        <v>0</v>
      </c>
      <c r="P24" s="10">
        <f t="shared" si="2"/>
        <v>6</v>
      </c>
      <c r="Q24" s="17">
        <v>19.362500000000001</v>
      </c>
      <c r="R24" s="18">
        <f t="shared" si="3"/>
        <v>25.362500000000001</v>
      </c>
      <c r="S24" s="19">
        <f t="shared" si="4"/>
        <v>1.875</v>
      </c>
      <c r="T24" s="20">
        <f t="shared" si="5"/>
        <v>23.487500000000001</v>
      </c>
      <c r="U24" s="4"/>
      <c r="V24" s="4"/>
      <c r="W24" s="4"/>
    </row>
    <row r="25" spans="1:29" s="1" customFormat="1" ht="17.399999999999999">
      <c r="A25" s="9">
        <v>1</v>
      </c>
      <c r="B25" s="8">
        <v>187</v>
      </c>
      <c r="C25" s="8">
        <v>1241038267</v>
      </c>
      <c r="D25" s="42" t="s">
        <v>69</v>
      </c>
      <c r="E25" s="47"/>
      <c r="F25" s="10">
        <v>3</v>
      </c>
      <c r="G25" s="10">
        <v>1</v>
      </c>
      <c r="H25" s="50">
        <v>0</v>
      </c>
      <c r="I25" s="50">
        <v>0</v>
      </c>
      <c r="J25" s="50">
        <v>0</v>
      </c>
      <c r="K25" s="14" t="s">
        <v>29</v>
      </c>
      <c r="L25" s="11">
        <f t="shared" si="0"/>
        <v>4</v>
      </c>
      <c r="M25" s="10">
        <f t="shared" si="6"/>
        <v>1.2</v>
      </c>
      <c r="N25" s="10">
        <f t="shared" si="1"/>
        <v>0</v>
      </c>
      <c r="O25" s="10">
        <v>0</v>
      </c>
      <c r="P25" s="10">
        <f t="shared" si="2"/>
        <v>5.2</v>
      </c>
      <c r="Q25" s="17">
        <v>16.162499999999991</v>
      </c>
      <c r="R25" s="18">
        <f t="shared" si="3"/>
        <v>21.36249999999999</v>
      </c>
      <c r="S25" s="19">
        <f t="shared" si="4"/>
        <v>1.875</v>
      </c>
      <c r="T25" s="20">
        <f t="shared" si="5"/>
        <v>19.48749999999999</v>
      </c>
      <c r="U25" s="4"/>
      <c r="V25" s="4"/>
      <c r="W25" s="4"/>
    </row>
    <row r="26" spans="1:29" s="1" customFormat="1" ht="18.75" customHeight="1">
      <c r="A26" s="9">
        <v>1</v>
      </c>
      <c r="B26" s="8">
        <v>189</v>
      </c>
      <c r="C26" s="8">
        <v>522812489</v>
      </c>
      <c r="D26" s="42" t="s">
        <v>70</v>
      </c>
      <c r="E26" s="47"/>
      <c r="F26" s="10">
        <v>3</v>
      </c>
      <c r="G26" s="10">
        <v>1</v>
      </c>
      <c r="H26" s="50">
        <v>0</v>
      </c>
      <c r="I26" s="50">
        <v>0</v>
      </c>
      <c r="J26" s="50">
        <v>0</v>
      </c>
      <c r="K26" s="29" t="s">
        <v>28</v>
      </c>
      <c r="L26" s="11">
        <f t="shared" si="0"/>
        <v>4</v>
      </c>
      <c r="M26" s="10">
        <f t="shared" si="6"/>
        <v>1.2</v>
      </c>
      <c r="N26" s="10">
        <f t="shared" si="1"/>
        <v>0</v>
      </c>
      <c r="O26" s="10">
        <v>0</v>
      </c>
      <c r="P26" s="10">
        <f t="shared" si="2"/>
        <v>5.2</v>
      </c>
      <c r="Q26" s="17">
        <v>20.712500000000002</v>
      </c>
      <c r="R26" s="18">
        <f t="shared" si="3"/>
        <v>25.912500000000001</v>
      </c>
      <c r="S26" s="19">
        <f t="shared" si="4"/>
        <v>9.6875</v>
      </c>
      <c r="T26" s="20">
        <f t="shared" si="5"/>
        <v>16.225000000000001</v>
      </c>
      <c r="U26" s="4"/>
      <c r="V26" s="4"/>
      <c r="W26" s="4"/>
    </row>
    <row r="27" spans="1:29" s="1" customFormat="1" ht="17.399999999999999">
      <c r="A27" s="9">
        <v>1</v>
      </c>
      <c r="B27" s="8">
        <v>192</v>
      </c>
      <c r="C27" s="8">
        <v>1725281178</v>
      </c>
      <c r="D27" s="42" t="s">
        <v>71</v>
      </c>
      <c r="E27" s="47"/>
      <c r="F27" s="10">
        <v>0</v>
      </c>
      <c r="G27" s="10">
        <v>0</v>
      </c>
      <c r="H27" s="50">
        <v>0</v>
      </c>
      <c r="I27" s="50">
        <v>0</v>
      </c>
      <c r="J27" s="50">
        <v>0</v>
      </c>
      <c r="K27" s="39" t="s">
        <v>30</v>
      </c>
      <c r="L27" s="11">
        <f t="shared" si="0"/>
        <v>0</v>
      </c>
      <c r="M27" s="10">
        <f t="shared" si="6"/>
        <v>0</v>
      </c>
      <c r="N27" s="10">
        <f t="shared" si="1"/>
        <v>0</v>
      </c>
      <c r="O27" s="10">
        <v>0</v>
      </c>
      <c r="P27" s="10">
        <f t="shared" si="2"/>
        <v>0</v>
      </c>
      <c r="Q27" s="17">
        <v>3.1437499999999954</v>
      </c>
      <c r="R27" s="18">
        <f t="shared" si="3"/>
        <v>3.1437499999999954</v>
      </c>
      <c r="S27" s="19">
        <f t="shared" si="4"/>
        <v>0</v>
      </c>
      <c r="T27" s="20">
        <f t="shared" si="5"/>
        <v>3.1437499999999954</v>
      </c>
      <c r="U27" s="4"/>
      <c r="V27" s="4"/>
      <c r="W27" s="4"/>
    </row>
    <row r="28" spans="1:29" s="1" customFormat="1" ht="17.399999999999999">
      <c r="A28" s="9">
        <v>1</v>
      </c>
      <c r="B28" s="8">
        <v>193</v>
      </c>
      <c r="C28" s="8">
        <v>2125731287</v>
      </c>
      <c r="D28" s="42" t="s">
        <v>72</v>
      </c>
      <c r="E28" s="47"/>
      <c r="F28" s="10">
        <v>0</v>
      </c>
      <c r="G28" s="10">
        <v>0</v>
      </c>
      <c r="H28" s="50">
        <v>0</v>
      </c>
      <c r="I28" s="50">
        <v>0</v>
      </c>
      <c r="J28" s="50">
        <v>0</v>
      </c>
      <c r="K28" s="39" t="s">
        <v>30</v>
      </c>
      <c r="L28" s="11">
        <f t="shared" si="0"/>
        <v>0</v>
      </c>
      <c r="M28" s="10">
        <f t="shared" si="6"/>
        <v>0</v>
      </c>
      <c r="N28" s="10">
        <f t="shared" si="1"/>
        <v>0</v>
      </c>
      <c r="O28" s="10">
        <v>0</v>
      </c>
      <c r="P28" s="10">
        <f t="shared" si="2"/>
        <v>0</v>
      </c>
      <c r="Q28" s="17">
        <v>17.812499999999996</v>
      </c>
      <c r="R28" s="18">
        <f t="shared" si="3"/>
        <v>17.812499999999996</v>
      </c>
      <c r="S28" s="19">
        <f t="shared" si="4"/>
        <v>0</v>
      </c>
      <c r="T28" s="20">
        <f t="shared" si="5"/>
        <v>17.812499999999996</v>
      </c>
      <c r="U28" s="4"/>
      <c r="V28" s="4"/>
      <c r="W28" s="4"/>
    </row>
    <row r="29" spans="1:29" s="2" customFormat="1" ht="17.399999999999999">
      <c r="A29" s="9">
        <v>1</v>
      </c>
      <c r="B29" s="8">
        <v>195</v>
      </c>
      <c r="C29" s="8">
        <v>1634663314</v>
      </c>
      <c r="D29" s="42" t="s">
        <v>73</v>
      </c>
      <c r="E29" s="47"/>
      <c r="F29" s="10">
        <v>3</v>
      </c>
      <c r="G29" s="10">
        <v>1</v>
      </c>
      <c r="H29" s="50">
        <v>0</v>
      </c>
      <c r="I29" s="50">
        <v>0</v>
      </c>
      <c r="J29" s="50">
        <v>0</v>
      </c>
      <c r="K29" s="27" t="s">
        <v>22</v>
      </c>
      <c r="L29" s="11">
        <f t="shared" si="0"/>
        <v>4</v>
      </c>
      <c r="M29" s="10">
        <f t="shared" si="6"/>
        <v>1.2</v>
      </c>
      <c r="N29" s="10">
        <f t="shared" si="1"/>
        <v>0</v>
      </c>
      <c r="O29" s="10">
        <v>0</v>
      </c>
      <c r="P29" s="10">
        <f t="shared" si="2"/>
        <v>5.2</v>
      </c>
      <c r="Q29" s="17">
        <v>22.718249999999994</v>
      </c>
      <c r="R29" s="18">
        <f t="shared" si="3"/>
        <v>27.918249999999993</v>
      </c>
      <c r="S29" s="19">
        <f t="shared" si="4"/>
        <v>11.875</v>
      </c>
      <c r="T29" s="20">
        <f t="shared" si="5"/>
        <v>16.043249999999993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7.399999999999999">
      <c r="A30" s="9">
        <v>1</v>
      </c>
      <c r="B30" s="8">
        <v>196</v>
      </c>
      <c r="C30" s="8">
        <v>1065641844</v>
      </c>
      <c r="D30" s="42" t="s">
        <v>74</v>
      </c>
      <c r="E30" s="47"/>
      <c r="F30" s="10">
        <v>1</v>
      </c>
      <c r="G30" s="10">
        <v>1</v>
      </c>
      <c r="H30" s="50">
        <v>0</v>
      </c>
      <c r="I30" s="50">
        <v>0</v>
      </c>
      <c r="J30" s="50">
        <v>0</v>
      </c>
      <c r="K30" s="14" t="s">
        <v>29</v>
      </c>
      <c r="L30" s="11">
        <f t="shared" si="0"/>
        <v>1</v>
      </c>
      <c r="M30" s="10">
        <f t="shared" si="6"/>
        <v>1.2</v>
      </c>
      <c r="N30" s="10">
        <f t="shared" si="1"/>
        <v>0</v>
      </c>
      <c r="O30" s="10">
        <v>0</v>
      </c>
      <c r="P30" s="10">
        <f t="shared" si="2"/>
        <v>2.2000000000000002</v>
      </c>
      <c r="Q30" s="17">
        <v>22.843749999999996</v>
      </c>
      <c r="R30" s="18">
        <f t="shared" si="3"/>
        <v>25.043749999999996</v>
      </c>
      <c r="S30" s="19">
        <f t="shared" si="4"/>
        <v>1.875</v>
      </c>
      <c r="T30" s="20">
        <f t="shared" si="5"/>
        <v>23.168749999999996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7.399999999999999">
      <c r="A31" s="9">
        <v>1</v>
      </c>
      <c r="B31" s="8">
        <v>198</v>
      </c>
      <c r="C31" s="8">
        <v>723448640</v>
      </c>
      <c r="D31" s="42" t="s">
        <v>75</v>
      </c>
      <c r="E31" s="47"/>
      <c r="F31" s="10">
        <v>0</v>
      </c>
      <c r="G31" s="10">
        <v>0</v>
      </c>
      <c r="H31" s="50">
        <v>0</v>
      </c>
      <c r="I31" s="50">
        <v>0</v>
      </c>
      <c r="J31" s="50">
        <v>0</v>
      </c>
      <c r="K31" s="39" t="s">
        <v>30</v>
      </c>
      <c r="L31" s="11">
        <f t="shared" si="0"/>
        <v>0</v>
      </c>
      <c r="M31" s="10">
        <f t="shared" si="6"/>
        <v>0</v>
      </c>
      <c r="N31" s="10">
        <f t="shared" si="1"/>
        <v>0</v>
      </c>
      <c r="O31" s="10">
        <v>0</v>
      </c>
      <c r="P31" s="10">
        <f t="shared" si="2"/>
        <v>0</v>
      </c>
      <c r="Q31" s="17">
        <v>18.01874999999999</v>
      </c>
      <c r="R31" s="18">
        <f t="shared" si="3"/>
        <v>18.01874999999999</v>
      </c>
      <c r="S31" s="19">
        <f t="shared" si="4"/>
        <v>0</v>
      </c>
      <c r="T31" s="20">
        <f t="shared" si="5"/>
        <v>18.01874999999999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7.399999999999999">
      <c r="A32" s="9">
        <v>1</v>
      </c>
      <c r="B32" s="8">
        <v>200</v>
      </c>
      <c r="C32" s="8">
        <v>967589156</v>
      </c>
      <c r="D32" s="42" t="s">
        <v>76</v>
      </c>
      <c r="E32" s="47"/>
      <c r="F32" s="10">
        <v>3</v>
      </c>
      <c r="G32" s="10">
        <v>1</v>
      </c>
      <c r="H32" s="50">
        <v>0</v>
      </c>
      <c r="I32" s="50">
        <v>1</v>
      </c>
      <c r="J32" s="50">
        <v>0</v>
      </c>
      <c r="K32" s="14" t="s">
        <v>29</v>
      </c>
      <c r="L32" s="11">
        <f t="shared" si="0"/>
        <v>4</v>
      </c>
      <c r="M32" s="10">
        <f t="shared" si="6"/>
        <v>1.2</v>
      </c>
      <c r="N32" s="10">
        <f t="shared" si="1"/>
        <v>0.4</v>
      </c>
      <c r="O32" s="10">
        <v>0</v>
      </c>
      <c r="P32" s="10">
        <f t="shared" si="2"/>
        <v>5.6000000000000005</v>
      </c>
      <c r="Q32" s="17">
        <v>17.406250000000007</v>
      </c>
      <c r="R32" s="18">
        <f t="shared" si="3"/>
        <v>23.006250000000009</v>
      </c>
      <c r="S32" s="19">
        <f t="shared" si="4"/>
        <v>1.875</v>
      </c>
      <c r="T32" s="20">
        <f t="shared" si="5"/>
        <v>21.131250000000009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7.399999999999999">
      <c r="A33" s="9">
        <v>1</v>
      </c>
      <c r="B33" s="8">
        <v>202</v>
      </c>
      <c r="C33" s="8">
        <v>471245585</v>
      </c>
      <c r="D33" s="42" t="s">
        <v>77</v>
      </c>
      <c r="E33" s="47"/>
      <c r="F33" s="10">
        <v>2</v>
      </c>
      <c r="G33" s="10">
        <v>1</v>
      </c>
      <c r="H33" s="50">
        <v>0</v>
      </c>
      <c r="I33" s="50">
        <v>0</v>
      </c>
      <c r="J33" s="50">
        <v>0</v>
      </c>
      <c r="K33" s="14" t="s">
        <v>29</v>
      </c>
      <c r="L33" s="11">
        <f t="shared" si="0"/>
        <v>2</v>
      </c>
      <c r="M33" s="10">
        <f t="shared" si="6"/>
        <v>1.2</v>
      </c>
      <c r="N33" s="10">
        <f t="shared" si="1"/>
        <v>0</v>
      </c>
      <c r="O33" s="10">
        <v>0</v>
      </c>
      <c r="P33" s="10">
        <f t="shared" si="2"/>
        <v>3.2</v>
      </c>
      <c r="Q33" s="17">
        <v>20.249999999999996</v>
      </c>
      <c r="R33" s="18">
        <f t="shared" si="3"/>
        <v>23.449999999999996</v>
      </c>
      <c r="S33" s="19">
        <f t="shared" si="4"/>
        <v>1.875</v>
      </c>
      <c r="T33" s="20">
        <f t="shared" si="5"/>
        <v>21.574999999999996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7.399999999999999">
      <c r="A34" s="9">
        <v>1</v>
      </c>
      <c r="B34" s="8">
        <v>203</v>
      </c>
      <c r="C34" s="8">
        <v>382695365</v>
      </c>
      <c r="D34" s="42" t="s">
        <v>78</v>
      </c>
      <c r="E34" s="47"/>
      <c r="F34" s="10">
        <v>0</v>
      </c>
      <c r="G34" s="10">
        <v>0</v>
      </c>
      <c r="H34" s="50">
        <v>0</v>
      </c>
      <c r="I34" s="50">
        <v>0</v>
      </c>
      <c r="J34" s="50">
        <v>0</v>
      </c>
      <c r="K34" s="39" t="s">
        <v>30</v>
      </c>
      <c r="L34" s="11">
        <f t="shared" si="0"/>
        <v>0</v>
      </c>
      <c r="M34" s="10">
        <f t="shared" si="6"/>
        <v>0</v>
      </c>
      <c r="N34" s="10">
        <f t="shared" si="1"/>
        <v>0</v>
      </c>
      <c r="O34" s="10">
        <v>0</v>
      </c>
      <c r="P34" s="10">
        <f t="shared" si="2"/>
        <v>0</v>
      </c>
      <c r="Q34" s="17">
        <v>-16.90625</v>
      </c>
      <c r="R34" s="18">
        <f t="shared" si="3"/>
        <v>-16.90625</v>
      </c>
      <c r="S34" s="19">
        <f t="shared" si="4"/>
        <v>0</v>
      </c>
      <c r="T34" s="20">
        <f t="shared" si="5"/>
        <v>-16.90625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7.399999999999999">
      <c r="A35" s="9">
        <v>1</v>
      </c>
      <c r="B35" s="8">
        <v>207</v>
      </c>
      <c r="C35" s="8">
        <v>721273803</v>
      </c>
      <c r="D35" s="45" t="s">
        <v>81</v>
      </c>
      <c r="E35" s="47"/>
      <c r="F35" s="10">
        <v>0</v>
      </c>
      <c r="G35" s="10">
        <v>0</v>
      </c>
      <c r="H35" s="50">
        <v>0</v>
      </c>
      <c r="I35" s="50">
        <v>0</v>
      </c>
      <c r="J35" s="50">
        <v>0</v>
      </c>
      <c r="K35" s="39" t="s">
        <v>30</v>
      </c>
      <c r="L35" s="11">
        <f t="shared" si="0"/>
        <v>0</v>
      </c>
      <c r="M35" s="10">
        <f t="shared" si="6"/>
        <v>0</v>
      </c>
      <c r="N35" s="10">
        <f t="shared" si="1"/>
        <v>0</v>
      </c>
      <c r="O35" s="10">
        <v>0</v>
      </c>
      <c r="P35" s="10">
        <f t="shared" si="2"/>
        <v>0</v>
      </c>
      <c r="Q35" s="17">
        <v>1.425</v>
      </c>
      <c r="R35" s="18">
        <f t="shared" si="3"/>
        <v>1.425</v>
      </c>
      <c r="S35" s="19">
        <f t="shared" si="4"/>
        <v>0</v>
      </c>
      <c r="T35" s="20">
        <f t="shared" si="5"/>
        <v>1.425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7.399999999999999">
      <c r="A36" s="9">
        <v>1</v>
      </c>
      <c r="B36" s="8">
        <v>208</v>
      </c>
      <c r="C36" s="8">
        <v>92129464</v>
      </c>
      <c r="D36" s="42" t="s">
        <v>82</v>
      </c>
      <c r="E36" s="47"/>
      <c r="F36" s="10">
        <v>3</v>
      </c>
      <c r="G36" s="10">
        <v>1</v>
      </c>
      <c r="H36" s="50">
        <v>0</v>
      </c>
      <c r="I36" s="50">
        <v>0</v>
      </c>
      <c r="J36" s="50">
        <v>0</v>
      </c>
      <c r="K36" s="29" t="s">
        <v>28</v>
      </c>
      <c r="L36" s="11">
        <f t="shared" si="0"/>
        <v>4</v>
      </c>
      <c r="M36" s="10">
        <f t="shared" si="6"/>
        <v>1.2</v>
      </c>
      <c r="N36" s="10">
        <f t="shared" si="1"/>
        <v>0</v>
      </c>
      <c r="O36" s="10">
        <v>0</v>
      </c>
      <c r="P36" s="10">
        <f t="shared" si="2"/>
        <v>5.2</v>
      </c>
      <c r="Q36" s="17">
        <v>20.656249999999996</v>
      </c>
      <c r="R36" s="18">
        <f t="shared" si="3"/>
        <v>25.856249999999996</v>
      </c>
      <c r="S36" s="19">
        <f t="shared" si="4"/>
        <v>9.6875</v>
      </c>
      <c r="T36" s="20">
        <f t="shared" si="5"/>
        <v>16.168749999999996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7.399999999999999">
      <c r="A37" s="9">
        <v>1</v>
      </c>
      <c r="B37" s="8">
        <v>209</v>
      </c>
      <c r="C37" s="8">
        <v>1525950050</v>
      </c>
      <c r="D37" s="42" t="s">
        <v>85</v>
      </c>
      <c r="E37" s="42" t="s">
        <v>83</v>
      </c>
      <c r="F37" s="10">
        <v>2</v>
      </c>
      <c r="G37" s="10">
        <v>1</v>
      </c>
      <c r="H37" s="50">
        <v>0</v>
      </c>
      <c r="I37" s="50">
        <v>0</v>
      </c>
      <c r="J37" s="50">
        <v>0</v>
      </c>
      <c r="K37" s="27" t="s">
        <v>22</v>
      </c>
      <c r="L37" s="11">
        <f t="shared" ref="L37:L69" si="7">F37+IF(F37&gt;2,(F37-2)*1,0)</f>
        <v>2</v>
      </c>
      <c r="M37" s="10">
        <f t="shared" si="6"/>
        <v>1.2</v>
      </c>
      <c r="N37" s="10">
        <f t="shared" ref="N37:N69" si="8">SUM(H37:J37)*$Y$18</f>
        <v>0</v>
      </c>
      <c r="O37" s="10">
        <v>0</v>
      </c>
      <c r="P37" s="10">
        <f t="shared" ref="P37:P68" si="9">SUM(M37+L37+O37+N37)</f>
        <v>3.2</v>
      </c>
      <c r="Q37" s="17">
        <v>23.562499999999993</v>
      </c>
      <c r="R37" s="18">
        <f t="shared" ref="R37:R68" si="10">P37+Q37</f>
        <v>26.762499999999992</v>
      </c>
      <c r="S37" s="19">
        <f t="shared" ref="S37:S69" si="11">VLOOKUP(K37,$X$3:$Y$10,2,FALSE)</f>
        <v>11.875</v>
      </c>
      <c r="T37" s="20">
        <f t="shared" ref="T37:T68" si="12">R37-S37</f>
        <v>14.887499999999992</v>
      </c>
      <c r="U37" s="4"/>
      <c r="V37" s="4"/>
      <c r="W37" s="4"/>
    </row>
    <row r="38" spans="1:29" s="2" customFormat="1" ht="17.399999999999999">
      <c r="A38" s="9">
        <v>1</v>
      </c>
      <c r="B38" s="8">
        <v>212</v>
      </c>
      <c r="C38" s="8">
        <v>2133045883</v>
      </c>
      <c r="D38" s="42" t="s">
        <v>84</v>
      </c>
      <c r="E38" s="47"/>
      <c r="F38" s="10">
        <v>3</v>
      </c>
      <c r="G38" s="10">
        <v>1</v>
      </c>
      <c r="H38" s="50">
        <v>0</v>
      </c>
      <c r="I38" s="50">
        <v>0</v>
      </c>
      <c r="J38" s="50">
        <v>0</v>
      </c>
      <c r="K38" s="27" t="s">
        <v>22</v>
      </c>
      <c r="L38" s="11">
        <f t="shared" si="7"/>
        <v>4</v>
      </c>
      <c r="M38" s="10">
        <f t="shared" si="6"/>
        <v>1.2</v>
      </c>
      <c r="N38" s="10">
        <f t="shared" si="8"/>
        <v>0</v>
      </c>
      <c r="O38" s="10">
        <v>0</v>
      </c>
      <c r="P38" s="10">
        <f t="shared" si="9"/>
        <v>5.2</v>
      </c>
      <c r="Q38" s="17">
        <v>22.068749999999991</v>
      </c>
      <c r="R38" s="18">
        <f t="shared" si="10"/>
        <v>27.26874999999999</v>
      </c>
      <c r="S38" s="19">
        <f t="shared" si="11"/>
        <v>11.875</v>
      </c>
      <c r="T38" s="20">
        <f t="shared" si="12"/>
        <v>15.39374999999999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20.399999999999999">
      <c r="A39" s="9">
        <v>1</v>
      </c>
      <c r="B39" s="8">
        <v>213</v>
      </c>
      <c r="C39" s="8">
        <v>311361673</v>
      </c>
      <c r="D39" s="42" t="s">
        <v>55</v>
      </c>
      <c r="E39" s="2"/>
      <c r="F39" s="10">
        <v>0</v>
      </c>
      <c r="G39" s="10">
        <v>0</v>
      </c>
      <c r="H39" s="50">
        <v>0</v>
      </c>
      <c r="I39" s="50">
        <v>0</v>
      </c>
      <c r="J39" s="50">
        <v>0</v>
      </c>
      <c r="K39" s="39" t="s">
        <v>30</v>
      </c>
      <c r="L39" s="11">
        <f t="shared" si="7"/>
        <v>0</v>
      </c>
      <c r="M39" s="10">
        <f t="shared" si="6"/>
        <v>0</v>
      </c>
      <c r="N39" s="10">
        <f t="shared" si="8"/>
        <v>0</v>
      </c>
      <c r="O39" s="10">
        <v>0</v>
      </c>
      <c r="P39" s="10">
        <f t="shared" si="9"/>
        <v>0</v>
      </c>
      <c r="Q39" s="17">
        <v>1.2687499999999945</v>
      </c>
      <c r="R39" s="18">
        <f t="shared" si="10"/>
        <v>1.2687499999999945</v>
      </c>
      <c r="S39" s="19">
        <f t="shared" si="11"/>
        <v>0</v>
      </c>
      <c r="T39" s="20">
        <f t="shared" si="12"/>
        <v>1.2687499999999945</v>
      </c>
      <c r="U39" s="4"/>
      <c r="V39" s="4"/>
      <c r="W39" s="4"/>
    </row>
    <row r="40" spans="1:29" ht="20.399999999999999">
      <c r="A40" s="9">
        <v>1</v>
      </c>
      <c r="B40" s="8">
        <v>214</v>
      </c>
      <c r="C40" s="8">
        <v>2130976604</v>
      </c>
      <c r="D40" s="42" t="s">
        <v>86</v>
      </c>
      <c r="E40" s="2"/>
      <c r="F40" s="10">
        <v>0</v>
      </c>
      <c r="G40" s="10">
        <v>1</v>
      </c>
      <c r="H40" s="50">
        <v>0</v>
      </c>
      <c r="I40" s="50">
        <v>0</v>
      </c>
      <c r="J40" s="50">
        <v>0</v>
      </c>
      <c r="K40" s="39" t="s">
        <v>30</v>
      </c>
      <c r="L40" s="11">
        <f t="shared" si="7"/>
        <v>0</v>
      </c>
      <c r="M40" s="10">
        <f t="shared" si="6"/>
        <v>1.2</v>
      </c>
      <c r="N40" s="10">
        <f t="shared" si="8"/>
        <v>0</v>
      </c>
      <c r="O40" s="10">
        <v>0</v>
      </c>
      <c r="P40" s="10">
        <f t="shared" si="9"/>
        <v>1.2</v>
      </c>
      <c r="Q40" s="17">
        <v>5.5812499999999892</v>
      </c>
      <c r="R40" s="18">
        <f t="shared" si="10"/>
        <v>6.7812499999999893</v>
      </c>
      <c r="S40" s="19">
        <f t="shared" si="11"/>
        <v>0</v>
      </c>
      <c r="T40" s="20">
        <f t="shared" si="12"/>
        <v>6.7812499999999893</v>
      </c>
      <c r="U40" s="4"/>
      <c r="V40" s="4"/>
      <c r="W40" s="4"/>
    </row>
    <row r="41" spans="1:29" ht="17.399999999999999">
      <c r="A41" s="9">
        <v>1</v>
      </c>
      <c r="B41" s="8">
        <v>215</v>
      </c>
      <c r="C41" s="8">
        <v>289805855</v>
      </c>
      <c r="D41" s="42" t="s">
        <v>87</v>
      </c>
      <c r="E41" s="2"/>
      <c r="F41" s="10">
        <v>3</v>
      </c>
      <c r="G41" s="10">
        <v>1</v>
      </c>
      <c r="H41" s="50">
        <v>0</v>
      </c>
      <c r="I41" s="50">
        <v>1</v>
      </c>
      <c r="J41" s="50">
        <v>1</v>
      </c>
      <c r="K41" s="14" t="s">
        <v>29</v>
      </c>
      <c r="L41" s="11">
        <f t="shared" si="7"/>
        <v>4</v>
      </c>
      <c r="M41" s="10">
        <f t="shared" ref="M41:M69" si="13">G41*$Y$14</f>
        <v>1.2</v>
      </c>
      <c r="N41" s="10">
        <f t="shared" si="8"/>
        <v>0.8</v>
      </c>
      <c r="O41" s="10">
        <v>0</v>
      </c>
      <c r="P41" s="10">
        <f t="shared" si="9"/>
        <v>6</v>
      </c>
      <c r="Q41" s="17">
        <v>18.594249999999995</v>
      </c>
      <c r="R41" s="18">
        <f t="shared" si="10"/>
        <v>24.594249999999995</v>
      </c>
      <c r="S41" s="19">
        <f t="shared" si="11"/>
        <v>1.875</v>
      </c>
      <c r="T41" s="20">
        <f t="shared" si="12"/>
        <v>22.719249999999995</v>
      </c>
      <c r="U41" s="4"/>
      <c r="V41" s="4"/>
      <c r="W41" s="4"/>
    </row>
    <row r="42" spans="1:29" ht="17.399999999999999">
      <c r="A42" s="9">
        <v>1</v>
      </c>
      <c r="B42" s="8">
        <v>216</v>
      </c>
      <c r="C42" s="8">
        <v>395700385</v>
      </c>
      <c r="D42" s="42" t="s">
        <v>88</v>
      </c>
      <c r="E42" s="2"/>
      <c r="F42" s="10">
        <v>2</v>
      </c>
      <c r="G42" s="10">
        <v>1</v>
      </c>
      <c r="H42" s="50">
        <v>0</v>
      </c>
      <c r="I42" s="50">
        <v>0</v>
      </c>
      <c r="J42" s="50">
        <v>0</v>
      </c>
      <c r="K42" s="14" t="s">
        <v>29</v>
      </c>
      <c r="L42" s="11">
        <f t="shared" si="7"/>
        <v>2</v>
      </c>
      <c r="M42" s="10">
        <f t="shared" si="13"/>
        <v>1.2</v>
      </c>
      <c r="N42" s="10">
        <f t="shared" si="8"/>
        <v>0</v>
      </c>
      <c r="O42" s="10">
        <v>0</v>
      </c>
      <c r="P42" s="10">
        <f t="shared" si="9"/>
        <v>3.2</v>
      </c>
      <c r="Q42" s="17">
        <v>21.025201612903217</v>
      </c>
      <c r="R42" s="18">
        <f t="shared" si="10"/>
        <v>24.225201612903216</v>
      </c>
      <c r="S42" s="19">
        <f t="shared" si="11"/>
        <v>1.875</v>
      </c>
      <c r="T42" s="20">
        <f t="shared" si="12"/>
        <v>22.350201612903216</v>
      </c>
      <c r="U42" s="4"/>
      <c r="V42" s="4"/>
      <c r="W42" s="4"/>
    </row>
    <row r="43" spans="1:29" ht="17.399999999999999">
      <c r="A43" s="9">
        <v>1</v>
      </c>
      <c r="B43" s="8">
        <v>217</v>
      </c>
      <c r="C43" s="8">
        <v>331155825</v>
      </c>
      <c r="D43" s="46" t="s">
        <v>89</v>
      </c>
      <c r="E43" s="2"/>
      <c r="F43" s="10">
        <v>0</v>
      </c>
      <c r="G43" s="10">
        <v>0</v>
      </c>
      <c r="H43" s="50">
        <v>0</v>
      </c>
      <c r="I43" s="50">
        <v>0</v>
      </c>
      <c r="J43" s="50">
        <v>0</v>
      </c>
      <c r="K43" s="39" t="s">
        <v>30</v>
      </c>
      <c r="L43" s="11">
        <f t="shared" si="7"/>
        <v>0</v>
      </c>
      <c r="M43" s="10">
        <f t="shared" si="13"/>
        <v>0</v>
      </c>
      <c r="N43" s="10">
        <f t="shared" si="8"/>
        <v>0</v>
      </c>
      <c r="O43" s="10">
        <v>0</v>
      </c>
      <c r="P43" s="10">
        <f t="shared" si="9"/>
        <v>0</v>
      </c>
      <c r="Q43" s="17">
        <v>-1.3124999999999984</v>
      </c>
      <c r="R43" s="18">
        <f t="shared" si="10"/>
        <v>-1.3124999999999984</v>
      </c>
      <c r="S43" s="19">
        <f t="shared" si="11"/>
        <v>0</v>
      </c>
      <c r="T43" s="20">
        <f t="shared" si="12"/>
        <v>-1.3124999999999984</v>
      </c>
      <c r="U43" s="4"/>
      <c r="V43" s="4"/>
      <c r="W43" s="4"/>
    </row>
    <row r="44" spans="1:29" ht="17.399999999999999">
      <c r="A44" s="9">
        <v>1</v>
      </c>
      <c r="B44" s="8">
        <v>218</v>
      </c>
      <c r="C44" s="8">
        <v>1804880865</v>
      </c>
      <c r="D44" s="42" t="s">
        <v>92</v>
      </c>
      <c r="E44" s="47"/>
      <c r="F44" s="10">
        <v>0</v>
      </c>
      <c r="G44" s="10">
        <v>0</v>
      </c>
      <c r="H44" s="50">
        <v>0</v>
      </c>
      <c r="I44" s="50">
        <v>0</v>
      </c>
      <c r="J44" s="50">
        <v>0</v>
      </c>
      <c r="K44" s="39" t="s">
        <v>30</v>
      </c>
      <c r="L44" s="11">
        <f t="shared" si="7"/>
        <v>0</v>
      </c>
      <c r="M44" s="10">
        <f t="shared" si="13"/>
        <v>0</v>
      </c>
      <c r="N44" s="10">
        <f t="shared" si="8"/>
        <v>0</v>
      </c>
      <c r="O44" s="10">
        <v>0</v>
      </c>
      <c r="P44" s="10">
        <f t="shared" si="9"/>
        <v>0</v>
      </c>
      <c r="Q44" s="17">
        <v>0.11749999999999983</v>
      </c>
      <c r="R44" s="18">
        <f t="shared" si="10"/>
        <v>0.11749999999999983</v>
      </c>
      <c r="S44" s="19">
        <f t="shared" si="11"/>
        <v>0</v>
      </c>
      <c r="T44" s="20">
        <f t="shared" si="12"/>
        <v>0.11749999999999983</v>
      </c>
      <c r="U44" s="4"/>
      <c r="V44" s="4"/>
      <c r="W44" s="4"/>
    </row>
    <row r="45" spans="1:29" ht="17.399999999999999">
      <c r="A45" s="9">
        <v>1</v>
      </c>
      <c r="B45" s="8">
        <v>219</v>
      </c>
      <c r="C45" s="8">
        <v>1128309198</v>
      </c>
      <c r="D45" s="42" t="s">
        <v>93</v>
      </c>
      <c r="E45" s="47"/>
      <c r="F45" s="10">
        <v>0</v>
      </c>
      <c r="G45" s="10">
        <v>0</v>
      </c>
      <c r="H45" s="50">
        <v>0</v>
      </c>
      <c r="I45" s="50">
        <v>0</v>
      </c>
      <c r="J45" s="50">
        <v>0</v>
      </c>
      <c r="K45" s="39" t="s">
        <v>30</v>
      </c>
      <c r="L45" s="11">
        <f t="shared" si="7"/>
        <v>0</v>
      </c>
      <c r="M45" s="10">
        <f t="shared" si="13"/>
        <v>0</v>
      </c>
      <c r="N45" s="10">
        <f t="shared" si="8"/>
        <v>0</v>
      </c>
      <c r="O45" s="10">
        <v>0</v>
      </c>
      <c r="P45" s="10">
        <f t="shared" si="9"/>
        <v>0</v>
      </c>
      <c r="Q45" s="17">
        <v>9.4499999999999957</v>
      </c>
      <c r="R45" s="18">
        <f t="shared" si="10"/>
        <v>9.4499999999999957</v>
      </c>
      <c r="S45" s="19">
        <f t="shared" si="11"/>
        <v>0</v>
      </c>
      <c r="T45" s="20">
        <f t="shared" si="12"/>
        <v>9.4499999999999957</v>
      </c>
      <c r="U45" s="4"/>
      <c r="V45" s="4"/>
      <c r="W45" s="4"/>
    </row>
    <row r="46" spans="1:29" ht="20.399999999999999">
      <c r="A46" s="9">
        <v>1</v>
      </c>
      <c r="B46" s="8">
        <v>220</v>
      </c>
      <c r="C46" s="8">
        <v>353335311</v>
      </c>
      <c r="D46" s="42" t="s">
        <v>94</v>
      </c>
      <c r="E46" s="44"/>
      <c r="F46" s="10">
        <v>0</v>
      </c>
      <c r="G46" s="10">
        <v>0</v>
      </c>
      <c r="H46" s="50">
        <v>0</v>
      </c>
      <c r="I46" s="50">
        <v>0</v>
      </c>
      <c r="J46" s="50">
        <v>0</v>
      </c>
      <c r="K46" s="39" t="s">
        <v>30</v>
      </c>
      <c r="L46" s="11">
        <f t="shared" si="7"/>
        <v>0</v>
      </c>
      <c r="M46" s="10">
        <f t="shared" si="13"/>
        <v>0</v>
      </c>
      <c r="N46" s="10">
        <f t="shared" si="8"/>
        <v>0</v>
      </c>
      <c r="O46" s="10">
        <v>0</v>
      </c>
      <c r="P46" s="10">
        <f t="shared" si="9"/>
        <v>0</v>
      </c>
      <c r="Q46" s="17">
        <v>2.0310546874999984</v>
      </c>
      <c r="R46" s="18">
        <f t="shared" si="10"/>
        <v>2.0310546874999984</v>
      </c>
      <c r="S46" s="19">
        <f t="shared" si="11"/>
        <v>0</v>
      </c>
      <c r="T46" s="20">
        <f t="shared" si="12"/>
        <v>2.0310546874999984</v>
      </c>
      <c r="U46" s="4"/>
      <c r="V46" s="4"/>
      <c r="W46" s="4"/>
    </row>
    <row r="47" spans="1:29" ht="20.399999999999999">
      <c r="A47" s="9">
        <v>1</v>
      </c>
      <c r="B47" s="8">
        <v>221</v>
      </c>
      <c r="C47" s="8">
        <v>790956883</v>
      </c>
      <c r="D47" s="42" t="s">
        <v>96</v>
      </c>
      <c r="E47" s="42" t="s">
        <v>95</v>
      </c>
      <c r="F47" s="10">
        <v>3</v>
      </c>
      <c r="G47" s="10">
        <v>1</v>
      </c>
      <c r="H47" s="50">
        <v>0</v>
      </c>
      <c r="I47" s="50">
        <v>0</v>
      </c>
      <c r="J47" s="50">
        <v>0</v>
      </c>
      <c r="K47" s="29" t="s">
        <v>28</v>
      </c>
      <c r="L47" s="11">
        <f t="shared" si="7"/>
        <v>4</v>
      </c>
      <c r="M47" s="10">
        <f t="shared" si="13"/>
        <v>1.2</v>
      </c>
      <c r="N47" s="10">
        <f t="shared" si="8"/>
        <v>0</v>
      </c>
      <c r="O47" s="10">
        <v>0</v>
      </c>
      <c r="P47" s="10">
        <f t="shared" si="9"/>
        <v>5.2</v>
      </c>
      <c r="Q47" s="17">
        <v>21.143749999999997</v>
      </c>
      <c r="R47" s="18">
        <f t="shared" si="10"/>
        <v>26.343749999999996</v>
      </c>
      <c r="S47" s="19">
        <f t="shared" si="11"/>
        <v>9.6875</v>
      </c>
      <c r="T47" s="20">
        <f t="shared" si="12"/>
        <v>16.656249999999996</v>
      </c>
      <c r="U47" s="4"/>
      <c r="V47" s="4"/>
      <c r="W47" s="4"/>
    </row>
    <row r="48" spans="1:29" ht="17.399999999999999">
      <c r="A48" s="9">
        <v>1</v>
      </c>
      <c r="B48" s="8">
        <v>222</v>
      </c>
      <c r="C48" s="8">
        <v>1945277617</v>
      </c>
      <c r="D48" s="42" t="s">
        <v>97</v>
      </c>
      <c r="E48" s="42"/>
      <c r="F48" s="10">
        <v>0</v>
      </c>
      <c r="G48" s="10">
        <v>0</v>
      </c>
      <c r="H48" s="50">
        <v>0</v>
      </c>
      <c r="I48" s="50">
        <v>0</v>
      </c>
      <c r="J48" s="50">
        <v>0</v>
      </c>
      <c r="K48" s="39" t="s">
        <v>30</v>
      </c>
      <c r="L48" s="11">
        <f t="shared" si="7"/>
        <v>0</v>
      </c>
      <c r="M48" s="10">
        <f t="shared" si="13"/>
        <v>0</v>
      </c>
      <c r="N48" s="10">
        <f t="shared" si="8"/>
        <v>0</v>
      </c>
      <c r="O48" s="10">
        <v>0</v>
      </c>
      <c r="P48" s="10">
        <f t="shared" si="9"/>
        <v>0</v>
      </c>
      <c r="Q48" s="17">
        <v>14.437727649769574</v>
      </c>
      <c r="R48" s="18">
        <f t="shared" si="10"/>
        <v>14.437727649769574</v>
      </c>
      <c r="S48" s="19">
        <f t="shared" si="11"/>
        <v>0</v>
      </c>
      <c r="T48" s="20">
        <f t="shared" si="12"/>
        <v>14.437727649769574</v>
      </c>
    </row>
    <row r="49" spans="1:20" ht="17.399999999999999">
      <c r="A49" s="9">
        <v>1</v>
      </c>
      <c r="B49" s="8">
        <v>223</v>
      </c>
      <c r="C49" s="8">
        <v>784792167</v>
      </c>
      <c r="D49" s="42" t="s">
        <v>98</v>
      </c>
      <c r="E49" s="42"/>
      <c r="F49" s="10">
        <v>0</v>
      </c>
      <c r="G49" s="10">
        <v>0</v>
      </c>
      <c r="H49" s="50">
        <v>0</v>
      </c>
      <c r="I49" s="50">
        <v>0</v>
      </c>
      <c r="J49" s="50">
        <v>0</v>
      </c>
      <c r="K49" s="39" t="s">
        <v>30</v>
      </c>
      <c r="L49" s="11">
        <f t="shared" si="7"/>
        <v>0</v>
      </c>
      <c r="M49" s="10">
        <f t="shared" si="13"/>
        <v>0</v>
      </c>
      <c r="N49" s="10">
        <f t="shared" si="8"/>
        <v>0</v>
      </c>
      <c r="O49" s="10">
        <v>0</v>
      </c>
      <c r="P49" s="10">
        <f t="shared" si="9"/>
        <v>0</v>
      </c>
      <c r="Q49" s="17">
        <v>10.624999999999996</v>
      </c>
      <c r="R49" s="18">
        <f t="shared" si="10"/>
        <v>10.624999999999996</v>
      </c>
      <c r="S49" s="19">
        <f t="shared" si="11"/>
        <v>0</v>
      </c>
      <c r="T49" s="20">
        <f t="shared" si="12"/>
        <v>10.624999999999996</v>
      </c>
    </row>
    <row r="50" spans="1:20" ht="17.399999999999999">
      <c r="A50" s="9">
        <v>1</v>
      </c>
      <c r="B50" s="8">
        <v>224</v>
      </c>
      <c r="C50" s="8">
        <v>862562360</v>
      </c>
      <c r="D50" s="42" t="s">
        <v>129</v>
      </c>
      <c r="E50" s="42" t="s">
        <v>106</v>
      </c>
      <c r="F50" s="10">
        <v>3</v>
      </c>
      <c r="G50" s="10">
        <v>1</v>
      </c>
      <c r="H50" s="50">
        <v>0</v>
      </c>
      <c r="I50" s="50">
        <v>0</v>
      </c>
      <c r="J50" s="50">
        <v>0</v>
      </c>
      <c r="K50" s="29" t="s">
        <v>28</v>
      </c>
      <c r="L50" s="11">
        <f t="shared" si="7"/>
        <v>4</v>
      </c>
      <c r="M50" s="10">
        <f t="shared" si="13"/>
        <v>1.2</v>
      </c>
      <c r="N50" s="10">
        <f t="shared" si="8"/>
        <v>0</v>
      </c>
      <c r="O50" s="10">
        <v>0</v>
      </c>
      <c r="P50" s="10">
        <f t="shared" si="9"/>
        <v>5.2</v>
      </c>
      <c r="Q50" s="17">
        <v>20.691604477611939</v>
      </c>
      <c r="R50" s="18">
        <f t="shared" si="10"/>
        <v>25.891604477611939</v>
      </c>
      <c r="S50" s="19">
        <f t="shared" si="11"/>
        <v>9.6875</v>
      </c>
      <c r="T50" s="20">
        <f t="shared" si="12"/>
        <v>16.204104477611939</v>
      </c>
    </row>
    <row r="51" spans="1:20" ht="17.399999999999999">
      <c r="A51" s="9">
        <v>1</v>
      </c>
      <c r="B51" s="8">
        <v>225</v>
      </c>
      <c r="C51" s="8">
        <v>1963965829</v>
      </c>
      <c r="D51" s="42" t="s">
        <v>107</v>
      </c>
      <c r="E51" s="42"/>
      <c r="F51" s="10">
        <v>3</v>
      </c>
      <c r="G51" s="10">
        <v>1</v>
      </c>
      <c r="H51" s="50">
        <v>0</v>
      </c>
      <c r="I51" s="50">
        <v>0</v>
      </c>
      <c r="J51" s="50">
        <v>0</v>
      </c>
      <c r="K51" s="14" t="s">
        <v>29</v>
      </c>
      <c r="L51" s="11">
        <f t="shared" si="7"/>
        <v>4</v>
      </c>
      <c r="M51" s="10">
        <f t="shared" si="13"/>
        <v>1.2</v>
      </c>
      <c r="N51" s="10">
        <f t="shared" si="8"/>
        <v>0</v>
      </c>
      <c r="O51" s="10">
        <v>0</v>
      </c>
      <c r="P51" s="10">
        <f t="shared" si="9"/>
        <v>5.2</v>
      </c>
      <c r="Q51" s="17">
        <v>20.316986940298499</v>
      </c>
      <c r="R51" s="18">
        <f t="shared" si="10"/>
        <v>25.516986940298498</v>
      </c>
      <c r="S51" s="19">
        <f t="shared" si="11"/>
        <v>1.875</v>
      </c>
      <c r="T51" s="20">
        <f t="shared" si="12"/>
        <v>23.641986940298498</v>
      </c>
    </row>
    <row r="52" spans="1:20" ht="17.399999999999999">
      <c r="A52" s="9">
        <v>1</v>
      </c>
      <c r="B52" s="8">
        <v>226</v>
      </c>
      <c r="C52" s="8">
        <v>1238792963</v>
      </c>
      <c r="D52" s="42" t="s">
        <v>108</v>
      </c>
      <c r="E52" s="42"/>
      <c r="F52" s="10">
        <v>1</v>
      </c>
      <c r="G52" s="10">
        <v>1</v>
      </c>
      <c r="H52" s="50">
        <v>0</v>
      </c>
      <c r="I52" s="50">
        <v>0</v>
      </c>
      <c r="J52" s="50">
        <v>0</v>
      </c>
      <c r="K52" s="14" t="s">
        <v>29</v>
      </c>
      <c r="L52" s="11">
        <f t="shared" si="7"/>
        <v>1</v>
      </c>
      <c r="M52" s="10">
        <f t="shared" si="13"/>
        <v>1.2</v>
      </c>
      <c r="N52" s="10">
        <f t="shared" si="8"/>
        <v>0</v>
      </c>
      <c r="O52" s="10">
        <v>0</v>
      </c>
      <c r="P52" s="10">
        <f t="shared" si="9"/>
        <v>2.2000000000000002</v>
      </c>
      <c r="Q52" s="17">
        <v>22.131249999999998</v>
      </c>
      <c r="R52" s="18">
        <f t="shared" si="10"/>
        <v>24.331249999999997</v>
      </c>
      <c r="S52" s="19">
        <f t="shared" si="11"/>
        <v>1.875</v>
      </c>
      <c r="T52" s="20">
        <f t="shared" si="12"/>
        <v>22.456249999999997</v>
      </c>
    </row>
    <row r="53" spans="1:20" ht="17.399999999999999">
      <c r="A53" s="9">
        <v>1</v>
      </c>
      <c r="B53" s="8">
        <v>228</v>
      </c>
      <c r="C53" s="8">
        <v>1287481910</v>
      </c>
      <c r="D53" s="42" t="s">
        <v>109</v>
      </c>
      <c r="E53" s="42"/>
      <c r="F53" s="10">
        <v>0</v>
      </c>
      <c r="G53" s="10">
        <v>0</v>
      </c>
      <c r="H53" s="50">
        <v>0</v>
      </c>
      <c r="I53" s="50">
        <v>0</v>
      </c>
      <c r="J53" s="50">
        <v>0</v>
      </c>
      <c r="K53" s="39" t="s">
        <v>30</v>
      </c>
      <c r="L53" s="11">
        <f t="shared" si="7"/>
        <v>0</v>
      </c>
      <c r="M53" s="10">
        <f t="shared" si="13"/>
        <v>0</v>
      </c>
      <c r="N53" s="10">
        <f t="shared" si="8"/>
        <v>0</v>
      </c>
      <c r="O53" s="10">
        <v>0</v>
      </c>
      <c r="P53" s="10">
        <f t="shared" si="9"/>
        <v>0</v>
      </c>
      <c r="Q53" s="17">
        <v>-4.1499999999999995</v>
      </c>
      <c r="R53" s="18">
        <f t="shared" si="10"/>
        <v>-4.1499999999999995</v>
      </c>
      <c r="S53" s="19">
        <f t="shared" si="11"/>
        <v>0</v>
      </c>
      <c r="T53" s="20">
        <f t="shared" si="12"/>
        <v>-4.1499999999999995</v>
      </c>
    </row>
    <row r="54" spans="1:20" ht="20.399999999999999">
      <c r="A54" s="9">
        <v>1</v>
      </c>
      <c r="B54" s="8">
        <v>229</v>
      </c>
      <c r="C54" s="8">
        <v>1598972736</v>
      </c>
      <c r="D54" s="42" t="s">
        <v>110</v>
      </c>
      <c r="E54" s="42"/>
      <c r="F54" s="10">
        <v>0</v>
      </c>
      <c r="G54" s="10">
        <v>1</v>
      </c>
      <c r="H54" s="50">
        <v>0</v>
      </c>
      <c r="I54" s="50">
        <v>0</v>
      </c>
      <c r="J54" s="50">
        <v>0</v>
      </c>
      <c r="K54" s="39" t="s">
        <v>30</v>
      </c>
      <c r="L54" s="11">
        <f t="shared" si="7"/>
        <v>0</v>
      </c>
      <c r="M54" s="10">
        <f t="shared" si="13"/>
        <v>1.2</v>
      </c>
      <c r="N54" s="10">
        <f t="shared" si="8"/>
        <v>0</v>
      </c>
      <c r="O54" s="10">
        <v>0</v>
      </c>
      <c r="P54" s="10">
        <f t="shared" si="9"/>
        <v>1.2</v>
      </c>
      <c r="Q54" s="17">
        <v>17.890839552238798</v>
      </c>
      <c r="R54" s="18">
        <f t="shared" si="10"/>
        <v>19.090839552238798</v>
      </c>
      <c r="S54" s="19">
        <f t="shared" si="11"/>
        <v>0</v>
      </c>
      <c r="T54" s="20">
        <f t="shared" si="12"/>
        <v>19.090839552238798</v>
      </c>
    </row>
    <row r="55" spans="1:20" ht="17.399999999999999">
      <c r="A55" s="9">
        <v>1</v>
      </c>
      <c r="B55" s="9">
        <v>230</v>
      </c>
      <c r="C55" s="8">
        <v>1076026693</v>
      </c>
      <c r="D55" s="42" t="s">
        <v>111</v>
      </c>
      <c r="F55" s="10">
        <v>3</v>
      </c>
      <c r="G55" s="10">
        <v>1</v>
      </c>
      <c r="H55" s="50">
        <v>0</v>
      </c>
      <c r="I55" s="50">
        <v>0</v>
      </c>
      <c r="J55" s="50">
        <v>0</v>
      </c>
      <c r="K55" s="14" t="s">
        <v>29</v>
      </c>
      <c r="L55" s="11">
        <f t="shared" si="7"/>
        <v>4</v>
      </c>
      <c r="M55" s="10">
        <f t="shared" si="13"/>
        <v>1.2</v>
      </c>
      <c r="N55" s="10">
        <f t="shared" si="8"/>
        <v>0</v>
      </c>
      <c r="O55" s="10">
        <v>0</v>
      </c>
      <c r="P55" s="10">
        <f t="shared" si="9"/>
        <v>5.2</v>
      </c>
      <c r="Q55" s="17">
        <v>19.212499999999999</v>
      </c>
      <c r="R55" s="18">
        <f t="shared" si="10"/>
        <v>24.412499999999998</v>
      </c>
      <c r="S55" s="19">
        <f t="shared" si="11"/>
        <v>1.875</v>
      </c>
      <c r="T55" s="20">
        <f t="shared" si="12"/>
        <v>22.537499999999998</v>
      </c>
    </row>
    <row r="56" spans="1:20" ht="17.399999999999999">
      <c r="A56" s="9">
        <v>1</v>
      </c>
      <c r="B56" s="9">
        <v>231</v>
      </c>
      <c r="C56" s="8">
        <v>1725915293</v>
      </c>
      <c r="D56" s="42" t="s">
        <v>112</v>
      </c>
      <c r="F56" s="10">
        <v>3</v>
      </c>
      <c r="G56" s="10">
        <v>1</v>
      </c>
      <c r="H56" s="50">
        <v>0</v>
      </c>
      <c r="I56" s="50">
        <v>0</v>
      </c>
      <c r="J56" s="50">
        <v>0</v>
      </c>
      <c r="K56" s="29" t="s">
        <v>28</v>
      </c>
      <c r="L56" s="11">
        <f t="shared" si="7"/>
        <v>4</v>
      </c>
      <c r="M56" s="10">
        <f t="shared" si="13"/>
        <v>1.2</v>
      </c>
      <c r="N56" s="10">
        <f t="shared" si="8"/>
        <v>0</v>
      </c>
      <c r="O56" s="10">
        <v>0</v>
      </c>
      <c r="P56" s="10">
        <f t="shared" si="9"/>
        <v>5.2</v>
      </c>
      <c r="Q56" s="17">
        <v>20.749999999999996</v>
      </c>
      <c r="R56" s="18">
        <f t="shared" si="10"/>
        <v>25.949999999999996</v>
      </c>
      <c r="S56" s="19">
        <f t="shared" si="11"/>
        <v>9.6875</v>
      </c>
      <c r="T56" s="20">
        <f t="shared" si="12"/>
        <v>16.262499999999996</v>
      </c>
    </row>
    <row r="57" spans="1:20" ht="17.399999999999999">
      <c r="A57" s="9">
        <v>1</v>
      </c>
      <c r="B57" s="8">
        <v>232</v>
      </c>
      <c r="C57" s="8">
        <v>1088909927</v>
      </c>
      <c r="D57" s="42" t="s">
        <v>113</v>
      </c>
      <c r="F57" s="10">
        <v>3</v>
      </c>
      <c r="G57" s="10">
        <v>1</v>
      </c>
      <c r="H57" s="50">
        <v>0</v>
      </c>
      <c r="I57" s="50">
        <v>0</v>
      </c>
      <c r="J57" s="50">
        <v>0</v>
      </c>
      <c r="K57" s="14" t="s">
        <v>29</v>
      </c>
      <c r="L57" s="11">
        <f t="shared" si="7"/>
        <v>4</v>
      </c>
      <c r="M57" s="10">
        <f t="shared" si="13"/>
        <v>1.2</v>
      </c>
      <c r="N57" s="10">
        <f t="shared" si="8"/>
        <v>0</v>
      </c>
      <c r="O57" s="10">
        <v>0</v>
      </c>
      <c r="P57" s="10">
        <f t="shared" si="9"/>
        <v>5.2</v>
      </c>
      <c r="Q57" s="17">
        <v>20.181249999999999</v>
      </c>
      <c r="R57" s="18">
        <f t="shared" si="10"/>
        <v>25.381249999999998</v>
      </c>
      <c r="S57" s="19">
        <f t="shared" si="11"/>
        <v>1.875</v>
      </c>
      <c r="T57" s="20">
        <f t="shared" si="12"/>
        <v>23.506249999999998</v>
      </c>
    </row>
    <row r="58" spans="1:20" ht="17.399999999999999">
      <c r="A58" s="9">
        <v>1</v>
      </c>
      <c r="B58" s="8">
        <v>233</v>
      </c>
      <c r="C58" s="8">
        <v>1963965829</v>
      </c>
      <c r="D58" s="42" t="s">
        <v>114</v>
      </c>
      <c r="F58" s="10">
        <v>0</v>
      </c>
      <c r="G58" s="10">
        <v>0</v>
      </c>
      <c r="H58" s="50">
        <v>0</v>
      </c>
      <c r="I58" s="50">
        <v>0</v>
      </c>
      <c r="J58" s="50">
        <v>0</v>
      </c>
      <c r="K58" s="39" t="s">
        <v>30</v>
      </c>
      <c r="L58" s="11">
        <f t="shared" si="7"/>
        <v>0</v>
      </c>
      <c r="M58" s="10">
        <f t="shared" si="13"/>
        <v>0</v>
      </c>
      <c r="N58" s="10">
        <f t="shared" si="8"/>
        <v>0</v>
      </c>
      <c r="O58" s="10">
        <v>0</v>
      </c>
      <c r="P58" s="10">
        <f t="shared" si="9"/>
        <v>0</v>
      </c>
      <c r="Q58" s="17">
        <v>2.0000000000000018</v>
      </c>
      <c r="R58" s="18">
        <f t="shared" si="10"/>
        <v>2.0000000000000018</v>
      </c>
      <c r="S58" s="19">
        <f t="shared" si="11"/>
        <v>0</v>
      </c>
      <c r="T58" s="20">
        <f t="shared" si="12"/>
        <v>2.0000000000000018</v>
      </c>
    </row>
    <row r="59" spans="1:20" ht="17.399999999999999">
      <c r="A59" s="9">
        <v>1</v>
      </c>
      <c r="B59" s="8">
        <v>234</v>
      </c>
      <c r="C59" s="8">
        <v>1333428907</v>
      </c>
      <c r="D59" s="42" t="s">
        <v>128</v>
      </c>
      <c r="E59" s="42" t="s">
        <v>115</v>
      </c>
      <c r="F59" s="10">
        <v>3</v>
      </c>
      <c r="G59" s="10">
        <v>0</v>
      </c>
      <c r="H59" s="50">
        <v>0</v>
      </c>
      <c r="I59" s="50">
        <v>0</v>
      </c>
      <c r="J59" s="50">
        <v>0</v>
      </c>
      <c r="K59" s="14" t="s">
        <v>29</v>
      </c>
      <c r="L59" s="11">
        <f t="shared" si="7"/>
        <v>4</v>
      </c>
      <c r="M59" s="10">
        <f t="shared" si="13"/>
        <v>0</v>
      </c>
      <c r="N59" s="10">
        <f t="shared" si="8"/>
        <v>0</v>
      </c>
      <c r="O59" s="10">
        <v>0</v>
      </c>
      <c r="P59" s="10">
        <f t="shared" si="9"/>
        <v>4</v>
      </c>
      <c r="Q59" s="17">
        <v>19.46875</v>
      </c>
      <c r="R59" s="18">
        <f t="shared" si="10"/>
        <v>23.46875</v>
      </c>
      <c r="S59" s="19">
        <f t="shared" si="11"/>
        <v>1.875</v>
      </c>
      <c r="T59" s="20">
        <f t="shared" si="12"/>
        <v>21.59375</v>
      </c>
    </row>
    <row r="60" spans="1:20" ht="17.399999999999999">
      <c r="A60" s="9">
        <v>1</v>
      </c>
      <c r="B60" s="8">
        <v>235</v>
      </c>
      <c r="C60" s="8">
        <v>988684940</v>
      </c>
      <c r="D60" s="42" t="s">
        <v>116</v>
      </c>
      <c r="F60" s="10">
        <v>0</v>
      </c>
      <c r="G60" s="10">
        <v>0</v>
      </c>
      <c r="H60" s="50">
        <v>0</v>
      </c>
      <c r="I60" s="50">
        <v>0</v>
      </c>
      <c r="J60" s="50">
        <v>0</v>
      </c>
      <c r="K60" s="39" t="s">
        <v>30</v>
      </c>
      <c r="L60" s="11">
        <f t="shared" si="7"/>
        <v>0</v>
      </c>
      <c r="M60" s="10">
        <f t="shared" si="13"/>
        <v>0</v>
      </c>
      <c r="N60" s="10">
        <f t="shared" si="8"/>
        <v>0</v>
      </c>
      <c r="O60" s="10">
        <v>0</v>
      </c>
      <c r="P60" s="10">
        <f t="shared" si="9"/>
        <v>0</v>
      </c>
      <c r="Q60" s="17">
        <v>1.84375</v>
      </c>
      <c r="R60" s="18">
        <f t="shared" si="10"/>
        <v>1.84375</v>
      </c>
      <c r="S60" s="19">
        <f t="shared" si="11"/>
        <v>0</v>
      </c>
      <c r="T60" s="20">
        <f t="shared" si="12"/>
        <v>1.84375</v>
      </c>
    </row>
    <row r="61" spans="1:20" ht="17.399999999999999">
      <c r="A61" s="9">
        <v>1</v>
      </c>
      <c r="B61" s="8">
        <v>236</v>
      </c>
      <c r="C61" s="8">
        <v>1968448898</v>
      </c>
      <c r="D61" s="42" t="s">
        <v>118</v>
      </c>
      <c r="F61" s="10">
        <v>2</v>
      </c>
      <c r="G61" s="10">
        <v>1</v>
      </c>
      <c r="H61" s="50">
        <v>0</v>
      </c>
      <c r="I61" s="50">
        <v>0</v>
      </c>
      <c r="J61" s="50">
        <v>0</v>
      </c>
      <c r="K61" s="14" t="s">
        <v>29</v>
      </c>
      <c r="L61" s="11">
        <f t="shared" si="7"/>
        <v>2</v>
      </c>
      <c r="M61" s="10">
        <f t="shared" si="13"/>
        <v>1.2</v>
      </c>
      <c r="N61" s="10">
        <f t="shared" si="8"/>
        <v>0</v>
      </c>
      <c r="O61" s="10">
        <v>0</v>
      </c>
      <c r="P61" s="10">
        <f t="shared" si="9"/>
        <v>3.2</v>
      </c>
      <c r="Q61" s="17">
        <v>20.687499999999996</v>
      </c>
      <c r="R61" s="18">
        <f t="shared" si="10"/>
        <v>23.887499999999996</v>
      </c>
      <c r="S61" s="19">
        <f t="shared" si="11"/>
        <v>1.875</v>
      </c>
      <c r="T61" s="20">
        <f t="shared" si="12"/>
        <v>22.012499999999996</v>
      </c>
    </row>
    <row r="62" spans="1:20" ht="17.399999999999999">
      <c r="A62" s="9">
        <v>1</v>
      </c>
      <c r="B62" s="8">
        <v>237</v>
      </c>
      <c r="C62" s="8">
        <v>1331532576</v>
      </c>
      <c r="D62" s="42" t="s">
        <v>119</v>
      </c>
      <c r="F62" s="10">
        <v>0</v>
      </c>
      <c r="G62" s="10">
        <v>0</v>
      </c>
      <c r="H62" s="50">
        <v>0</v>
      </c>
      <c r="I62" s="50">
        <v>0</v>
      </c>
      <c r="J62" s="50">
        <v>0</v>
      </c>
      <c r="K62" s="39" t="s">
        <v>30</v>
      </c>
      <c r="L62" s="11">
        <f t="shared" si="7"/>
        <v>0</v>
      </c>
      <c r="M62" s="10">
        <f t="shared" si="13"/>
        <v>0</v>
      </c>
      <c r="N62" s="10">
        <f t="shared" si="8"/>
        <v>0</v>
      </c>
      <c r="O62" s="10">
        <v>0</v>
      </c>
      <c r="P62" s="10">
        <f t="shared" si="9"/>
        <v>0</v>
      </c>
      <c r="Q62" s="17">
        <v>-2.5499999999999998</v>
      </c>
      <c r="R62" s="18">
        <f t="shared" si="10"/>
        <v>-2.5499999999999998</v>
      </c>
      <c r="S62" s="19">
        <f t="shared" si="11"/>
        <v>0</v>
      </c>
      <c r="T62" s="20">
        <f t="shared" si="12"/>
        <v>-2.5499999999999998</v>
      </c>
    </row>
    <row r="63" spans="1:20" ht="17.399999999999999">
      <c r="A63" s="9">
        <v>1</v>
      </c>
      <c r="B63" s="8">
        <v>238</v>
      </c>
      <c r="C63" s="8">
        <v>108179057</v>
      </c>
      <c r="D63" s="42" t="s">
        <v>120</v>
      </c>
      <c r="F63" s="10">
        <v>1</v>
      </c>
      <c r="G63" s="10">
        <v>1</v>
      </c>
      <c r="H63" s="50">
        <v>0</v>
      </c>
      <c r="I63" s="50">
        <v>0</v>
      </c>
      <c r="J63" s="50">
        <v>0</v>
      </c>
      <c r="K63" s="29" t="s">
        <v>28</v>
      </c>
      <c r="L63" s="11">
        <f t="shared" si="7"/>
        <v>1</v>
      </c>
      <c r="M63" s="10">
        <f t="shared" si="13"/>
        <v>1.2</v>
      </c>
      <c r="N63" s="10">
        <f t="shared" si="8"/>
        <v>0</v>
      </c>
      <c r="O63" s="10">
        <v>0</v>
      </c>
      <c r="P63" s="10">
        <f t="shared" si="9"/>
        <v>2.2000000000000002</v>
      </c>
      <c r="Q63" s="17">
        <v>24.112499999999994</v>
      </c>
      <c r="R63" s="18">
        <f t="shared" si="10"/>
        <v>26.312499999999993</v>
      </c>
      <c r="S63" s="19">
        <f t="shared" si="11"/>
        <v>9.6875</v>
      </c>
      <c r="T63" s="20">
        <f t="shared" si="12"/>
        <v>16.624999999999993</v>
      </c>
    </row>
    <row r="64" spans="1:20" ht="17.399999999999999">
      <c r="A64" s="9">
        <v>1</v>
      </c>
      <c r="B64" s="8">
        <v>239</v>
      </c>
      <c r="C64" s="8">
        <v>416459640</v>
      </c>
      <c r="D64" s="42" t="s">
        <v>122</v>
      </c>
      <c r="F64" s="10">
        <v>0</v>
      </c>
      <c r="G64" s="10">
        <v>0</v>
      </c>
      <c r="H64" s="50">
        <v>0</v>
      </c>
      <c r="I64" s="50">
        <v>0</v>
      </c>
      <c r="J64" s="50">
        <v>0</v>
      </c>
      <c r="K64" s="39" t="s">
        <v>30</v>
      </c>
      <c r="L64" s="11">
        <f t="shared" si="7"/>
        <v>0</v>
      </c>
      <c r="M64" s="10">
        <f t="shared" si="13"/>
        <v>0</v>
      </c>
      <c r="N64" s="10">
        <f t="shared" si="8"/>
        <v>0</v>
      </c>
      <c r="O64" s="10">
        <v>0</v>
      </c>
      <c r="P64" s="10">
        <f t="shared" si="9"/>
        <v>0</v>
      </c>
      <c r="Q64" s="17">
        <v>7.1625000000000014</v>
      </c>
      <c r="R64" s="18">
        <f t="shared" si="10"/>
        <v>7.1625000000000014</v>
      </c>
      <c r="S64" s="19">
        <f t="shared" si="11"/>
        <v>0</v>
      </c>
      <c r="T64" s="20">
        <f t="shared" si="12"/>
        <v>7.1625000000000014</v>
      </c>
    </row>
    <row r="65" spans="1:20" ht="17.399999999999999">
      <c r="A65" s="9">
        <v>1</v>
      </c>
      <c r="B65" s="8">
        <v>240</v>
      </c>
      <c r="C65" s="8">
        <v>289805855</v>
      </c>
      <c r="D65" s="42" t="s">
        <v>123</v>
      </c>
      <c r="F65" s="10">
        <v>3</v>
      </c>
      <c r="G65" s="10">
        <v>1</v>
      </c>
      <c r="H65" s="50">
        <v>0</v>
      </c>
      <c r="I65" s="50">
        <v>0</v>
      </c>
      <c r="J65" s="50">
        <v>0</v>
      </c>
      <c r="K65" s="14" t="s">
        <v>29</v>
      </c>
      <c r="L65" s="11">
        <f t="shared" si="7"/>
        <v>4</v>
      </c>
      <c r="M65" s="10">
        <f t="shared" si="13"/>
        <v>1.2</v>
      </c>
      <c r="N65" s="10">
        <f t="shared" si="8"/>
        <v>0</v>
      </c>
      <c r="O65" s="10">
        <v>0</v>
      </c>
      <c r="P65" s="10">
        <f t="shared" si="9"/>
        <v>5.2</v>
      </c>
      <c r="Q65" s="17">
        <v>30.918749999999996</v>
      </c>
      <c r="R65" s="18">
        <f t="shared" si="10"/>
        <v>36.118749999999999</v>
      </c>
      <c r="S65" s="19">
        <f t="shared" si="11"/>
        <v>1.875</v>
      </c>
      <c r="T65" s="20">
        <f t="shared" si="12"/>
        <v>34.243749999999999</v>
      </c>
    </row>
    <row r="66" spans="1:20" ht="17.399999999999999">
      <c r="A66" s="9">
        <v>1</v>
      </c>
      <c r="B66" s="8">
        <v>241</v>
      </c>
      <c r="C66" s="8">
        <v>1136259669</v>
      </c>
      <c r="D66" s="42" t="s">
        <v>124</v>
      </c>
      <c r="F66" s="10">
        <v>0</v>
      </c>
      <c r="G66" s="10">
        <v>1</v>
      </c>
      <c r="H66" s="50">
        <v>0</v>
      </c>
      <c r="I66" s="50">
        <v>0</v>
      </c>
      <c r="J66" s="50">
        <v>0</v>
      </c>
      <c r="K66" s="39" t="s">
        <v>30</v>
      </c>
      <c r="L66" s="11">
        <f t="shared" si="7"/>
        <v>0</v>
      </c>
      <c r="M66" s="10">
        <f t="shared" si="13"/>
        <v>1.2</v>
      </c>
      <c r="N66" s="10">
        <f t="shared" si="8"/>
        <v>0</v>
      </c>
      <c r="O66" s="10">
        <v>0</v>
      </c>
      <c r="P66" s="10">
        <f t="shared" si="9"/>
        <v>1.2</v>
      </c>
      <c r="Q66" s="17">
        <v>15.381249999999994</v>
      </c>
      <c r="R66" s="18">
        <f t="shared" si="10"/>
        <v>16.581249999999994</v>
      </c>
      <c r="S66" s="19">
        <f t="shared" si="11"/>
        <v>0</v>
      </c>
      <c r="T66" s="20">
        <f t="shared" si="12"/>
        <v>16.581249999999994</v>
      </c>
    </row>
    <row r="67" spans="1:20" ht="17.399999999999999">
      <c r="A67" s="9">
        <v>1</v>
      </c>
      <c r="B67" s="8">
        <v>242</v>
      </c>
      <c r="C67" s="8">
        <v>1381736232</v>
      </c>
      <c r="D67" s="42" t="s">
        <v>125</v>
      </c>
      <c r="F67" s="10">
        <v>3</v>
      </c>
      <c r="G67" s="10">
        <v>1</v>
      </c>
      <c r="H67" s="50">
        <v>0</v>
      </c>
      <c r="I67" s="50">
        <v>0</v>
      </c>
      <c r="J67" s="50">
        <v>0</v>
      </c>
      <c r="K67" s="14" t="s">
        <v>29</v>
      </c>
      <c r="L67" s="11">
        <f t="shared" si="7"/>
        <v>4</v>
      </c>
      <c r="M67" s="10">
        <f t="shared" si="13"/>
        <v>1.2</v>
      </c>
      <c r="N67" s="10">
        <f t="shared" si="8"/>
        <v>0</v>
      </c>
      <c r="O67" s="10">
        <v>0</v>
      </c>
      <c r="P67" s="10">
        <f t="shared" si="9"/>
        <v>5.2</v>
      </c>
      <c r="Q67" s="17">
        <v>20.287499999999994</v>
      </c>
      <c r="R67" s="18">
        <f t="shared" si="10"/>
        <v>25.487499999999994</v>
      </c>
      <c r="S67" s="19">
        <f t="shared" si="11"/>
        <v>1.875</v>
      </c>
      <c r="T67" s="20">
        <f t="shared" si="12"/>
        <v>23.612499999999994</v>
      </c>
    </row>
    <row r="68" spans="1:20" ht="17.399999999999999">
      <c r="A68" s="9">
        <v>1</v>
      </c>
      <c r="B68" s="8">
        <v>242</v>
      </c>
      <c r="C68" s="8">
        <v>250098915</v>
      </c>
      <c r="D68" s="42" t="s">
        <v>131</v>
      </c>
      <c r="F68" s="10">
        <v>0</v>
      </c>
      <c r="G68" s="10">
        <v>0</v>
      </c>
      <c r="H68" s="50">
        <v>0</v>
      </c>
      <c r="I68" s="50">
        <v>0</v>
      </c>
      <c r="J68" s="50">
        <v>0</v>
      </c>
      <c r="K68" s="39" t="s">
        <v>30</v>
      </c>
      <c r="L68" s="11">
        <f t="shared" si="7"/>
        <v>0</v>
      </c>
      <c r="M68" s="10">
        <f t="shared" si="13"/>
        <v>0</v>
      </c>
      <c r="N68" s="10">
        <f t="shared" si="8"/>
        <v>0</v>
      </c>
      <c r="O68" s="10">
        <v>0</v>
      </c>
      <c r="P68" s="10">
        <f t="shared" si="9"/>
        <v>0</v>
      </c>
      <c r="Q68" s="17">
        <v>0.90625</v>
      </c>
      <c r="R68" s="18">
        <f t="shared" si="10"/>
        <v>0.90625</v>
      </c>
      <c r="S68" s="19">
        <f t="shared" si="11"/>
        <v>0</v>
      </c>
      <c r="T68" s="20">
        <f t="shared" si="12"/>
        <v>0.90625</v>
      </c>
    </row>
    <row r="69" spans="1:20" ht="17.399999999999999">
      <c r="A69" s="9">
        <v>1</v>
      </c>
      <c r="B69" s="8">
        <v>242</v>
      </c>
      <c r="C69" s="8">
        <v>1769984287</v>
      </c>
      <c r="D69" s="8" t="s">
        <v>132</v>
      </c>
      <c r="F69" s="10">
        <v>0</v>
      </c>
      <c r="G69" s="10">
        <v>0</v>
      </c>
      <c r="H69" s="50">
        <v>0</v>
      </c>
      <c r="I69" s="50">
        <v>0</v>
      </c>
      <c r="J69" s="50">
        <v>0</v>
      </c>
      <c r="K69" s="39" t="s">
        <v>30</v>
      </c>
      <c r="L69" s="11">
        <f t="shared" si="7"/>
        <v>0</v>
      </c>
      <c r="M69" s="10">
        <f t="shared" si="13"/>
        <v>0</v>
      </c>
      <c r="N69" s="10">
        <f t="shared" si="8"/>
        <v>0</v>
      </c>
      <c r="O69" s="10">
        <v>0</v>
      </c>
      <c r="P69" s="10">
        <f t="shared" ref="P69" si="14">SUM(M69+L69+O69+N69)</f>
        <v>0</v>
      </c>
      <c r="Q69" s="17">
        <v>0.65000000000000036</v>
      </c>
      <c r="R69" s="18">
        <f t="shared" ref="R69" si="15">P69+Q69</f>
        <v>0.65000000000000036</v>
      </c>
      <c r="S69" s="19">
        <f t="shared" si="11"/>
        <v>0</v>
      </c>
      <c r="T69" s="20">
        <f t="shared" ref="T69" si="16">R69-S69</f>
        <v>0.65000000000000036</v>
      </c>
    </row>
  </sheetData>
  <autoFilter ref="A4:W69" xr:uid="{28593B8F-03E7-4BE1-B554-FC0AADC431B2}">
    <sortState xmlns:xlrd2="http://schemas.microsoft.com/office/spreadsheetml/2017/richdata2" ref="A5:W69">
      <sortCondition ref="B4:B69"/>
    </sortState>
  </autoFilter>
  <mergeCells count="5">
    <mergeCell ref="B1:T1"/>
    <mergeCell ref="B2:T2"/>
    <mergeCell ref="B3:E3"/>
    <mergeCell ref="H3:J3"/>
    <mergeCell ref="K3:T3"/>
  </mergeCells>
  <conditionalFormatting sqref="O5:O69 F5:J69">
    <cfRule type="cellIs" dxfId="28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0C5C5-38AD-428D-93FB-59D387A9022C}">
  <dimension ref="A1:AC69"/>
  <sheetViews>
    <sheetView zoomScale="85" zoomScaleNormal="85" workbookViewId="0">
      <selection activeCell="A3" sqref="A3"/>
    </sheetView>
  </sheetViews>
  <sheetFormatPr defaultColWidth="9" defaultRowHeight="14.4"/>
  <cols>
    <col min="1" max="1" width="6.44140625" customWidth="1"/>
    <col min="2" max="2" width="6.6640625" style="4" customWidth="1"/>
    <col min="3" max="3" width="19.77734375" style="5" customWidth="1"/>
    <col min="4" max="4" width="21.21875" style="5" customWidth="1"/>
    <col min="5" max="5" width="18.33203125" style="4" customWidth="1"/>
    <col min="6" max="6" width="13.109375" style="4" customWidth="1"/>
    <col min="7" max="7" width="13.77734375" style="4" customWidth="1"/>
    <col min="8" max="8" width="5.77734375" style="4" customWidth="1"/>
    <col min="9" max="9" width="5.88671875" style="4" customWidth="1"/>
    <col min="10" max="10" width="5.77734375" style="4" customWidth="1"/>
    <col min="11" max="11" width="20" style="4" customWidth="1"/>
    <col min="12" max="12" width="9" style="4" customWidth="1"/>
    <col min="13" max="13" width="12.109375" style="4" customWidth="1"/>
    <col min="14" max="14" width="11.33203125" style="4" customWidth="1"/>
    <col min="15" max="15" width="10" style="4" customWidth="1"/>
    <col min="16" max="16" width="9" style="4" customWidth="1"/>
    <col min="17" max="17" width="12.88671875" style="4" customWidth="1"/>
    <col min="18" max="18" width="12" style="4" customWidth="1"/>
    <col min="19" max="19" width="9.21875" style="4" customWidth="1"/>
    <col min="20" max="20" width="12.6640625" style="4" customWidth="1"/>
    <col min="21" max="23" width="11.109375" style="21" customWidth="1"/>
    <col min="24" max="24" width="22.44140625" customWidth="1"/>
  </cols>
  <sheetData>
    <row r="1" spans="1:29" ht="36.6" customHeight="1">
      <c r="B1" s="99" t="str">
        <f>CONCATENATE("157区 活动中心",Y15,"年",Y16,"月",Y17,"日","分包贡献明细"," 统计：一二三")</f>
        <v>157区 活动中心2021年8月21日分包贡献明细 统计：一二三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62"/>
      <c r="V1" s="62"/>
      <c r="W1" s="62"/>
      <c r="X1" s="22" t="s">
        <v>12</v>
      </c>
      <c r="Y1" s="5">
        <v>67</v>
      </c>
      <c r="Z1" s="3"/>
      <c r="AA1" s="3"/>
      <c r="AB1" s="3"/>
      <c r="AC1" s="3"/>
    </row>
    <row r="2" spans="1:29" ht="117.6" customHeight="1">
      <c r="B2" s="101" t="s">
        <v>126</v>
      </c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63"/>
      <c r="V2" s="63"/>
      <c r="W2" s="63"/>
      <c r="X2" s="23" t="s">
        <v>0</v>
      </c>
      <c r="Y2" s="24" t="s">
        <v>13</v>
      </c>
      <c r="Z2" s="25" t="s">
        <v>14</v>
      </c>
      <c r="AA2" s="25" t="s">
        <v>15</v>
      </c>
      <c r="AB2" s="25" t="s">
        <v>56</v>
      </c>
      <c r="AC2" s="26" t="s">
        <v>16</v>
      </c>
    </row>
    <row r="3" spans="1:29" ht="20.399999999999999">
      <c r="B3" s="104" t="s">
        <v>20</v>
      </c>
      <c r="C3" s="104"/>
      <c r="D3" s="104"/>
      <c r="E3" s="104"/>
      <c r="F3" s="64" t="s">
        <v>17</v>
      </c>
      <c r="G3" s="65" t="s">
        <v>39</v>
      </c>
      <c r="H3" s="105" t="s">
        <v>99</v>
      </c>
      <c r="I3" s="105"/>
      <c r="J3" s="105"/>
      <c r="K3" s="106" t="s">
        <v>21</v>
      </c>
      <c r="L3" s="107"/>
      <c r="M3" s="107"/>
      <c r="N3" s="107"/>
      <c r="O3" s="107"/>
      <c r="P3" s="107"/>
      <c r="Q3" s="107"/>
      <c r="R3" s="107"/>
      <c r="S3" s="107"/>
      <c r="T3" s="108"/>
      <c r="U3" s="61"/>
      <c r="V3" s="61"/>
      <c r="W3" s="61"/>
      <c r="X3" s="27" t="s">
        <v>22</v>
      </c>
      <c r="Y3" s="28">
        <f>AC3/$Y$13</f>
        <v>11.875</v>
      </c>
      <c r="Z3" s="23">
        <v>5</v>
      </c>
      <c r="AA3" s="23">
        <v>7</v>
      </c>
      <c r="AB3" s="23">
        <v>20</v>
      </c>
      <c r="AC3" s="23">
        <v>1900</v>
      </c>
    </row>
    <row r="4" spans="1:29" ht="40.799999999999997">
      <c r="A4" s="66" t="s">
        <v>117</v>
      </c>
      <c r="B4" s="66" t="s">
        <v>2</v>
      </c>
      <c r="C4" s="60" t="s">
        <v>23</v>
      </c>
      <c r="D4" s="66" t="s">
        <v>3</v>
      </c>
      <c r="E4" s="66" t="s">
        <v>4</v>
      </c>
      <c r="F4" s="6" t="s">
        <v>40</v>
      </c>
      <c r="G4" s="7" t="s">
        <v>91</v>
      </c>
      <c r="H4" s="7" t="s">
        <v>100</v>
      </c>
      <c r="I4" s="7" t="s">
        <v>101</v>
      </c>
      <c r="J4" s="7" t="s">
        <v>102</v>
      </c>
      <c r="K4" s="6" t="s">
        <v>5</v>
      </c>
      <c r="L4" s="6" t="s">
        <v>24</v>
      </c>
      <c r="M4" s="7" t="s">
        <v>41</v>
      </c>
      <c r="N4" s="7" t="s">
        <v>104</v>
      </c>
      <c r="O4" s="7" t="s">
        <v>45</v>
      </c>
      <c r="P4" s="15" t="s">
        <v>25</v>
      </c>
      <c r="Q4" s="60" t="s">
        <v>26</v>
      </c>
      <c r="R4" s="16" t="s">
        <v>7</v>
      </c>
      <c r="S4" s="60" t="s">
        <v>6</v>
      </c>
      <c r="T4" s="60" t="s">
        <v>27</v>
      </c>
      <c r="U4" s="60" t="s">
        <v>18</v>
      </c>
      <c r="V4" s="60" t="s">
        <v>19</v>
      </c>
      <c r="W4" s="60" t="s">
        <v>1</v>
      </c>
      <c r="X4" s="29" t="s">
        <v>28</v>
      </c>
      <c r="Y4" s="28">
        <f>AC4/$Y$13</f>
        <v>9.6875</v>
      </c>
      <c r="Z4" s="23">
        <v>4</v>
      </c>
      <c r="AA4" s="23">
        <v>6</v>
      </c>
      <c r="AB4" s="23">
        <v>15</v>
      </c>
      <c r="AC4" s="23">
        <v>1550</v>
      </c>
    </row>
    <row r="5" spans="1:29" s="1" customFormat="1" ht="17.399999999999999">
      <c r="A5" s="9">
        <v>1</v>
      </c>
      <c r="B5" s="8">
        <v>240</v>
      </c>
      <c r="C5" s="8">
        <v>289805855</v>
      </c>
      <c r="D5" s="42" t="s">
        <v>123</v>
      </c>
      <c r="E5" s="4"/>
      <c r="F5" s="10">
        <v>4</v>
      </c>
      <c r="G5" s="10">
        <v>1</v>
      </c>
      <c r="H5" s="50">
        <v>0</v>
      </c>
      <c r="I5" s="50">
        <v>0</v>
      </c>
      <c r="J5" s="50">
        <v>0</v>
      </c>
      <c r="K5" s="14" t="s">
        <v>53</v>
      </c>
      <c r="L5" s="11">
        <f t="shared" ref="L5:L36" si="0">F5+IF(F5&gt;2,(F5-2)*1,0)</f>
        <v>6</v>
      </c>
      <c r="M5" s="10">
        <f t="shared" ref="M5:M37" si="1">G5*$Y$14</f>
        <v>1.2</v>
      </c>
      <c r="N5" s="10">
        <f t="shared" ref="N5:N36" si="2">SUM(H5:J5)*$Y$18</f>
        <v>0</v>
      </c>
      <c r="O5" s="10">
        <v>0</v>
      </c>
      <c r="P5" s="10">
        <f t="shared" ref="P5:P36" si="3">SUM(M5+L5+O5+N5)</f>
        <v>7.2</v>
      </c>
      <c r="Q5" s="17">
        <v>34.243749999999999</v>
      </c>
      <c r="R5" s="18">
        <f t="shared" ref="R5:R36" si="4">P5+Q5</f>
        <v>41.443750000000001</v>
      </c>
      <c r="S5" s="19">
        <f t="shared" ref="S5:S36" si="5">VLOOKUP(K5,$X$3:$Y$10,2,FALSE)</f>
        <v>1.09375</v>
      </c>
      <c r="T5" s="20">
        <f t="shared" ref="T5:T36" si="6">R5-S5</f>
        <v>40.35</v>
      </c>
      <c r="U5" s="4"/>
      <c r="V5" s="4"/>
      <c r="W5" s="4"/>
      <c r="X5" s="14" t="s">
        <v>29</v>
      </c>
      <c r="Y5" s="28">
        <f>AC5/$Y$13/4</f>
        <v>1.875</v>
      </c>
      <c r="Z5" s="30">
        <v>3</v>
      </c>
      <c r="AA5" s="30">
        <v>5</v>
      </c>
      <c r="AB5" s="30">
        <v>10</v>
      </c>
      <c r="AC5" s="30">
        <v>1200</v>
      </c>
    </row>
    <row r="6" spans="1:29" s="1" customFormat="1" ht="17.399999999999999">
      <c r="A6" s="9">
        <v>1</v>
      </c>
      <c r="B6" s="8">
        <v>185</v>
      </c>
      <c r="C6" s="8">
        <v>30705222</v>
      </c>
      <c r="D6" s="42" t="s">
        <v>68</v>
      </c>
      <c r="E6" s="47"/>
      <c r="F6" s="10">
        <v>4</v>
      </c>
      <c r="G6" s="10">
        <v>1</v>
      </c>
      <c r="H6" s="50">
        <v>0</v>
      </c>
      <c r="I6" s="50">
        <v>1</v>
      </c>
      <c r="J6" s="50">
        <v>1</v>
      </c>
      <c r="K6" s="12" t="s">
        <v>51</v>
      </c>
      <c r="L6" s="11">
        <f t="shared" si="0"/>
        <v>6</v>
      </c>
      <c r="M6" s="10">
        <f t="shared" si="1"/>
        <v>1.2</v>
      </c>
      <c r="N6" s="10">
        <f t="shared" si="2"/>
        <v>0.8</v>
      </c>
      <c r="O6" s="10">
        <v>0</v>
      </c>
      <c r="P6" s="10">
        <f t="shared" si="3"/>
        <v>8</v>
      </c>
      <c r="Q6" s="17">
        <v>23.487500000000001</v>
      </c>
      <c r="R6" s="18">
        <f t="shared" si="4"/>
        <v>31.487500000000001</v>
      </c>
      <c r="S6" s="19">
        <f t="shared" si="5"/>
        <v>8.125</v>
      </c>
      <c r="T6" s="20">
        <f t="shared" si="6"/>
        <v>23.362500000000001</v>
      </c>
      <c r="U6" s="4"/>
      <c r="V6" s="4"/>
      <c r="W6" s="4"/>
      <c r="X6" s="14"/>
      <c r="Y6" s="28"/>
      <c r="Z6" s="30"/>
      <c r="AA6" s="30"/>
      <c r="AB6" s="30"/>
      <c r="AC6" s="30"/>
    </row>
    <row r="7" spans="1:29" s="1" customFormat="1" ht="17.399999999999999">
      <c r="A7" s="9">
        <v>1</v>
      </c>
      <c r="B7" s="8">
        <v>225</v>
      </c>
      <c r="C7" s="8">
        <v>1963965829</v>
      </c>
      <c r="D7" s="42" t="s">
        <v>107</v>
      </c>
      <c r="E7" s="42"/>
      <c r="F7" s="10">
        <v>4</v>
      </c>
      <c r="G7" s="10">
        <v>1</v>
      </c>
      <c r="H7" s="50">
        <v>0</v>
      </c>
      <c r="I7" s="50">
        <v>0</v>
      </c>
      <c r="J7" s="50">
        <v>0</v>
      </c>
      <c r="K7" s="12" t="s">
        <v>51</v>
      </c>
      <c r="L7" s="11">
        <f t="shared" si="0"/>
        <v>6</v>
      </c>
      <c r="M7" s="10">
        <f t="shared" si="1"/>
        <v>1.2</v>
      </c>
      <c r="N7" s="10">
        <f t="shared" si="2"/>
        <v>0</v>
      </c>
      <c r="O7" s="10">
        <v>0</v>
      </c>
      <c r="P7" s="10">
        <f t="shared" si="3"/>
        <v>7.2</v>
      </c>
      <c r="Q7" s="17">
        <v>23.641986940298498</v>
      </c>
      <c r="R7" s="18">
        <f t="shared" si="4"/>
        <v>30.841986940298497</v>
      </c>
      <c r="S7" s="19">
        <f t="shared" si="5"/>
        <v>8.125</v>
      </c>
      <c r="T7" s="20">
        <f t="shared" si="6"/>
        <v>22.716986940298497</v>
      </c>
      <c r="U7" s="4"/>
      <c r="V7" s="4"/>
      <c r="W7" s="4"/>
      <c r="X7" s="12" t="s">
        <v>51</v>
      </c>
      <c r="Y7" s="28">
        <f>AC7/$Y$13</f>
        <v>8.125</v>
      </c>
      <c r="Z7" s="30">
        <v>4</v>
      </c>
      <c r="AA7" s="30">
        <v>5</v>
      </c>
      <c r="AB7" s="30"/>
      <c r="AC7" s="30">
        <v>1300</v>
      </c>
    </row>
    <row r="8" spans="1:29" s="1" customFormat="1" ht="17.399999999999999">
      <c r="A8" s="9">
        <v>1</v>
      </c>
      <c r="B8" s="8">
        <v>242</v>
      </c>
      <c r="C8" s="8">
        <v>1381736232</v>
      </c>
      <c r="D8" s="42" t="s">
        <v>125</v>
      </c>
      <c r="E8" s="4"/>
      <c r="F8" s="10">
        <v>4</v>
      </c>
      <c r="G8" s="10">
        <v>1</v>
      </c>
      <c r="H8" s="50">
        <v>0</v>
      </c>
      <c r="I8" s="50">
        <v>0</v>
      </c>
      <c r="J8" s="50">
        <v>0</v>
      </c>
      <c r="K8" s="12" t="s">
        <v>51</v>
      </c>
      <c r="L8" s="11">
        <f t="shared" si="0"/>
        <v>6</v>
      </c>
      <c r="M8" s="10">
        <f t="shared" si="1"/>
        <v>1.2</v>
      </c>
      <c r="N8" s="10">
        <f t="shared" si="2"/>
        <v>0</v>
      </c>
      <c r="O8" s="10">
        <v>0</v>
      </c>
      <c r="P8" s="10">
        <f t="shared" si="3"/>
        <v>7.2</v>
      </c>
      <c r="Q8" s="17">
        <v>23.612499999999994</v>
      </c>
      <c r="R8" s="18">
        <f t="shared" si="4"/>
        <v>30.812499999999993</v>
      </c>
      <c r="S8" s="19">
        <f t="shared" si="5"/>
        <v>8.125</v>
      </c>
      <c r="T8" s="20">
        <f t="shared" si="6"/>
        <v>22.687499999999993</v>
      </c>
      <c r="U8" s="4"/>
      <c r="V8" s="4"/>
      <c r="W8" s="4"/>
      <c r="X8" s="13" t="s">
        <v>52</v>
      </c>
      <c r="Y8" s="28">
        <f>AC8/$Y$13</f>
        <v>6.25</v>
      </c>
      <c r="Z8" s="30">
        <v>3</v>
      </c>
      <c r="AA8" s="30">
        <v>4</v>
      </c>
      <c r="AB8" s="30"/>
      <c r="AC8" s="30">
        <v>1000</v>
      </c>
    </row>
    <row r="9" spans="1:29" s="1" customFormat="1" ht="17.399999999999999">
      <c r="A9" s="9">
        <v>1</v>
      </c>
      <c r="B9" s="8">
        <v>215</v>
      </c>
      <c r="C9" s="8">
        <v>289805855</v>
      </c>
      <c r="D9" s="42" t="s">
        <v>87</v>
      </c>
      <c r="E9" s="2"/>
      <c r="F9" s="10">
        <v>4</v>
      </c>
      <c r="G9" s="10">
        <v>1</v>
      </c>
      <c r="H9" s="50">
        <v>0</v>
      </c>
      <c r="I9" s="50">
        <v>1</v>
      </c>
      <c r="J9" s="50">
        <v>1</v>
      </c>
      <c r="K9" s="12" t="s">
        <v>51</v>
      </c>
      <c r="L9" s="11">
        <f t="shared" si="0"/>
        <v>6</v>
      </c>
      <c r="M9" s="10">
        <f t="shared" si="1"/>
        <v>1.2</v>
      </c>
      <c r="N9" s="10">
        <f t="shared" si="2"/>
        <v>0.8</v>
      </c>
      <c r="O9" s="10">
        <v>0</v>
      </c>
      <c r="P9" s="10">
        <f t="shared" si="3"/>
        <v>8</v>
      </c>
      <c r="Q9" s="17">
        <v>22.719249999999995</v>
      </c>
      <c r="R9" s="18">
        <f t="shared" si="4"/>
        <v>30.719249999999995</v>
      </c>
      <c r="S9" s="19">
        <f t="shared" si="5"/>
        <v>8.125</v>
      </c>
      <c r="T9" s="20">
        <f t="shared" si="6"/>
        <v>22.594249999999995</v>
      </c>
      <c r="U9" s="4"/>
      <c r="V9" s="4"/>
      <c r="W9" s="4"/>
      <c r="X9" s="14" t="s">
        <v>53</v>
      </c>
      <c r="Y9" s="28">
        <f>AC9/$Y$13/4</f>
        <v>1.09375</v>
      </c>
      <c r="Z9" s="30">
        <v>2</v>
      </c>
      <c r="AA9" s="30">
        <v>3</v>
      </c>
      <c r="AB9" s="30"/>
      <c r="AC9" s="30">
        <v>700</v>
      </c>
    </row>
    <row r="10" spans="1:29" s="1" customFormat="1" ht="17.399999999999999">
      <c r="A10" s="9">
        <v>1</v>
      </c>
      <c r="B10" s="8">
        <v>183</v>
      </c>
      <c r="C10" s="8">
        <v>1250030371</v>
      </c>
      <c r="D10" s="42" t="s">
        <v>130</v>
      </c>
      <c r="E10" s="42" t="s">
        <v>121</v>
      </c>
      <c r="F10" s="10">
        <v>4</v>
      </c>
      <c r="G10" s="10">
        <v>1</v>
      </c>
      <c r="H10" s="50">
        <v>0</v>
      </c>
      <c r="I10" s="50">
        <v>0</v>
      </c>
      <c r="J10" s="50">
        <v>0</v>
      </c>
      <c r="K10" s="12" t="s">
        <v>51</v>
      </c>
      <c r="L10" s="11">
        <f t="shared" si="0"/>
        <v>6</v>
      </c>
      <c r="M10" s="10">
        <f t="shared" si="1"/>
        <v>1.2</v>
      </c>
      <c r="N10" s="10">
        <f t="shared" si="2"/>
        <v>0</v>
      </c>
      <c r="O10" s="10">
        <v>0</v>
      </c>
      <c r="P10" s="10">
        <f t="shared" si="3"/>
        <v>7.2</v>
      </c>
      <c r="Q10" s="17">
        <v>22.668749999999999</v>
      </c>
      <c r="R10" s="18">
        <f t="shared" si="4"/>
        <v>29.868749999999999</v>
      </c>
      <c r="S10" s="19">
        <f t="shared" si="5"/>
        <v>8.125</v>
      </c>
      <c r="T10" s="20">
        <f t="shared" si="6"/>
        <v>21.743749999999999</v>
      </c>
      <c r="U10" s="4"/>
      <c r="V10" s="4"/>
      <c r="W10" s="4"/>
      <c r="X10" s="33" t="s">
        <v>30</v>
      </c>
      <c r="Y10" s="2">
        <v>0</v>
      </c>
      <c r="Z10" s="2"/>
      <c r="AA10" s="2"/>
      <c r="AB10" s="2"/>
      <c r="AC10" s="2"/>
    </row>
    <row r="11" spans="1:29" s="1" customFormat="1" ht="17.399999999999999">
      <c r="A11" s="9">
        <v>1</v>
      </c>
      <c r="B11" s="8">
        <v>172</v>
      </c>
      <c r="C11" s="8">
        <v>724061220</v>
      </c>
      <c r="D11" s="42" t="s">
        <v>65</v>
      </c>
      <c r="E11" s="42" t="s">
        <v>50</v>
      </c>
      <c r="F11" s="10">
        <v>4</v>
      </c>
      <c r="G11" s="10">
        <v>0</v>
      </c>
      <c r="H11" s="50">
        <v>0</v>
      </c>
      <c r="I11" s="50">
        <v>0</v>
      </c>
      <c r="J11" s="50">
        <v>0</v>
      </c>
      <c r="K11" s="12" t="s">
        <v>51</v>
      </c>
      <c r="L11" s="11">
        <f t="shared" si="0"/>
        <v>6</v>
      </c>
      <c r="M11" s="10">
        <f t="shared" si="1"/>
        <v>0</v>
      </c>
      <c r="N11" s="10">
        <f t="shared" si="2"/>
        <v>0</v>
      </c>
      <c r="O11" s="10">
        <v>0</v>
      </c>
      <c r="P11" s="10">
        <f t="shared" si="3"/>
        <v>6</v>
      </c>
      <c r="Q11" s="17">
        <v>23.549999999999997</v>
      </c>
      <c r="R11" s="18">
        <f t="shared" si="4"/>
        <v>29.549999999999997</v>
      </c>
      <c r="S11" s="19">
        <f t="shared" si="5"/>
        <v>8.125</v>
      </c>
      <c r="T11" s="20">
        <f t="shared" si="6"/>
        <v>21.424999999999997</v>
      </c>
      <c r="U11" s="4"/>
      <c r="V11" s="4"/>
      <c r="W11" s="4"/>
      <c r="X11" s="34"/>
    </row>
    <row r="12" spans="1:29" s="1" customFormat="1" ht="17.399999999999999">
      <c r="A12" s="9">
        <v>1</v>
      </c>
      <c r="B12" s="8">
        <v>232</v>
      </c>
      <c r="C12" s="8">
        <v>1088909927</v>
      </c>
      <c r="D12" s="42" t="s">
        <v>113</v>
      </c>
      <c r="E12" s="4"/>
      <c r="F12" s="10">
        <v>4</v>
      </c>
      <c r="G12" s="10">
        <v>0</v>
      </c>
      <c r="H12" s="50">
        <v>0</v>
      </c>
      <c r="I12" s="50">
        <v>0</v>
      </c>
      <c r="J12" s="50">
        <v>0</v>
      </c>
      <c r="K12" s="13" t="s">
        <v>52</v>
      </c>
      <c r="L12" s="11">
        <f t="shared" si="0"/>
        <v>6</v>
      </c>
      <c r="M12" s="10">
        <f t="shared" si="1"/>
        <v>0</v>
      </c>
      <c r="N12" s="10">
        <f t="shared" si="2"/>
        <v>0</v>
      </c>
      <c r="O12" s="10">
        <v>0</v>
      </c>
      <c r="P12" s="10">
        <f t="shared" si="3"/>
        <v>6</v>
      </c>
      <c r="Q12" s="17">
        <v>23.506249999999998</v>
      </c>
      <c r="R12" s="18">
        <f t="shared" si="4"/>
        <v>29.506249999999998</v>
      </c>
      <c r="S12" s="19">
        <f t="shared" si="5"/>
        <v>6.25</v>
      </c>
      <c r="T12" s="20">
        <f t="shared" si="6"/>
        <v>23.256249999999998</v>
      </c>
      <c r="U12" s="4"/>
      <c r="V12" s="4"/>
      <c r="W12" s="4"/>
      <c r="X12" s="35" t="s">
        <v>32</v>
      </c>
      <c r="Y12" s="1">
        <v>15000</v>
      </c>
    </row>
    <row r="13" spans="1:29" s="2" customFormat="1" ht="17.399999999999999">
      <c r="A13" s="9">
        <v>1</v>
      </c>
      <c r="B13" s="8">
        <v>200</v>
      </c>
      <c r="C13" s="8">
        <v>967589156</v>
      </c>
      <c r="D13" s="42" t="s">
        <v>76</v>
      </c>
      <c r="E13" s="47"/>
      <c r="F13" s="10">
        <v>4</v>
      </c>
      <c r="G13" s="10">
        <v>1</v>
      </c>
      <c r="H13" s="50">
        <v>0</v>
      </c>
      <c r="I13" s="50">
        <v>1</v>
      </c>
      <c r="J13" s="50">
        <v>0</v>
      </c>
      <c r="K13" s="13" t="s">
        <v>52</v>
      </c>
      <c r="L13" s="11">
        <f t="shared" si="0"/>
        <v>6</v>
      </c>
      <c r="M13" s="10">
        <f t="shared" si="1"/>
        <v>1.2</v>
      </c>
      <c r="N13" s="10">
        <f t="shared" si="2"/>
        <v>0.4</v>
      </c>
      <c r="O13" s="10">
        <v>0</v>
      </c>
      <c r="P13" s="10">
        <f t="shared" si="3"/>
        <v>7.6000000000000005</v>
      </c>
      <c r="Q13" s="17">
        <v>21.131250000000009</v>
      </c>
      <c r="R13" s="18">
        <f t="shared" si="4"/>
        <v>28.73125000000001</v>
      </c>
      <c r="S13" s="19">
        <f t="shared" si="5"/>
        <v>6.25</v>
      </c>
      <c r="T13" s="20">
        <f t="shared" si="6"/>
        <v>22.48125000000001</v>
      </c>
      <c r="U13" s="4"/>
      <c r="V13" s="4"/>
      <c r="W13" s="4"/>
      <c r="X13" s="36" t="s">
        <v>33</v>
      </c>
      <c r="Y13" s="37">
        <v>160</v>
      </c>
      <c r="Z13" s="1"/>
      <c r="AA13" s="1"/>
      <c r="AB13" s="1"/>
      <c r="AC13" s="1"/>
    </row>
    <row r="14" spans="1:29" s="2" customFormat="1" ht="17.399999999999999">
      <c r="A14" s="9">
        <v>1</v>
      </c>
      <c r="B14" s="8">
        <v>196</v>
      </c>
      <c r="C14" s="8">
        <v>1065641844</v>
      </c>
      <c r="D14" s="42" t="s">
        <v>74</v>
      </c>
      <c r="E14" s="47"/>
      <c r="F14" s="10">
        <v>3</v>
      </c>
      <c r="G14" s="10">
        <v>1</v>
      </c>
      <c r="H14" s="50">
        <v>0</v>
      </c>
      <c r="I14" s="50">
        <v>0</v>
      </c>
      <c r="J14" s="50">
        <v>0</v>
      </c>
      <c r="K14" s="13" t="s">
        <v>52</v>
      </c>
      <c r="L14" s="11">
        <f t="shared" si="0"/>
        <v>4</v>
      </c>
      <c r="M14" s="10">
        <f t="shared" si="1"/>
        <v>1.2</v>
      </c>
      <c r="N14" s="10">
        <f t="shared" si="2"/>
        <v>0</v>
      </c>
      <c r="O14" s="10">
        <v>0</v>
      </c>
      <c r="P14" s="10">
        <f t="shared" si="3"/>
        <v>5.2</v>
      </c>
      <c r="Q14" s="17">
        <v>23.168749999999996</v>
      </c>
      <c r="R14" s="18">
        <f t="shared" si="4"/>
        <v>28.368749999999995</v>
      </c>
      <c r="S14" s="19">
        <f t="shared" si="5"/>
        <v>6.25</v>
      </c>
      <c r="T14" s="20">
        <f t="shared" si="6"/>
        <v>22.118749999999995</v>
      </c>
      <c r="U14" s="4"/>
      <c r="V14" s="4"/>
      <c r="W14" s="4"/>
      <c r="X14" s="38" t="s">
        <v>42</v>
      </c>
      <c r="Y14" s="37">
        <v>1.2</v>
      </c>
      <c r="Z14" s="1"/>
      <c r="AA14" s="1"/>
      <c r="AB14" s="1"/>
      <c r="AC14" s="1"/>
    </row>
    <row r="15" spans="1:29" s="2" customFormat="1" ht="17.399999999999999">
      <c r="A15" s="9">
        <v>1</v>
      </c>
      <c r="B15" s="8">
        <v>216</v>
      </c>
      <c r="C15" s="8">
        <v>395700385</v>
      </c>
      <c r="D15" s="42" t="s">
        <v>88</v>
      </c>
      <c r="F15" s="10">
        <v>3</v>
      </c>
      <c r="G15" s="10">
        <v>1</v>
      </c>
      <c r="H15" s="50">
        <v>0</v>
      </c>
      <c r="I15" s="50">
        <v>0</v>
      </c>
      <c r="J15" s="50">
        <v>0</v>
      </c>
      <c r="K15" s="13" t="s">
        <v>52</v>
      </c>
      <c r="L15" s="11">
        <f t="shared" si="0"/>
        <v>4</v>
      </c>
      <c r="M15" s="10">
        <f t="shared" si="1"/>
        <v>1.2</v>
      </c>
      <c r="N15" s="10">
        <f t="shared" si="2"/>
        <v>0</v>
      </c>
      <c r="O15" s="10">
        <v>0</v>
      </c>
      <c r="P15" s="10">
        <f t="shared" si="3"/>
        <v>5.2</v>
      </c>
      <c r="Q15" s="17">
        <v>22.350201612903216</v>
      </c>
      <c r="R15" s="18">
        <f t="shared" si="4"/>
        <v>27.550201612903216</v>
      </c>
      <c r="S15" s="19">
        <f t="shared" si="5"/>
        <v>6.25</v>
      </c>
      <c r="T15" s="20">
        <f t="shared" si="6"/>
        <v>21.300201612903216</v>
      </c>
      <c r="U15" s="4"/>
      <c r="V15" s="4"/>
      <c r="W15" s="4"/>
      <c r="X15" s="1" t="s">
        <v>34</v>
      </c>
      <c r="Y15" s="37">
        <v>2021</v>
      </c>
      <c r="Z15" s="1"/>
      <c r="AA15" s="1"/>
      <c r="AB15" s="1"/>
      <c r="AC15" s="1"/>
    </row>
    <row r="16" spans="1:29" s="2" customFormat="1" ht="17.399999999999999">
      <c r="A16" s="9">
        <v>1</v>
      </c>
      <c r="B16" s="8">
        <v>236</v>
      </c>
      <c r="C16" s="8">
        <v>1968448898</v>
      </c>
      <c r="D16" s="42" t="s">
        <v>118</v>
      </c>
      <c r="E16" s="4"/>
      <c r="F16" s="10">
        <v>3</v>
      </c>
      <c r="G16" s="10">
        <v>1</v>
      </c>
      <c r="H16" s="50">
        <v>0</v>
      </c>
      <c r="I16" s="50">
        <v>0</v>
      </c>
      <c r="J16" s="50">
        <v>0</v>
      </c>
      <c r="K16" s="13" t="s">
        <v>52</v>
      </c>
      <c r="L16" s="11">
        <f t="shared" si="0"/>
        <v>4</v>
      </c>
      <c r="M16" s="10">
        <f t="shared" si="1"/>
        <v>1.2</v>
      </c>
      <c r="N16" s="10">
        <f t="shared" si="2"/>
        <v>0</v>
      </c>
      <c r="O16" s="10">
        <v>0</v>
      </c>
      <c r="P16" s="10">
        <f t="shared" si="3"/>
        <v>5.2</v>
      </c>
      <c r="Q16" s="17">
        <v>22.012499999999996</v>
      </c>
      <c r="R16" s="18">
        <f t="shared" si="4"/>
        <v>27.212499999999995</v>
      </c>
      <c r="S16" s="19">
        <f t="shared" si="5"/>
        <v>6.25</v>
      </c>
      <c r="T16" s="20">
        <f t="shared" si="6"/>
        <v>20.962499999999995</v>
      </c>
      <c r="U16" s="4"/>
      <c r="V16" s="4"/>
      <c r="W16" s="4"/>
      <c r="X16" s="1" t="s">
        <v>35</v>
      </c>
      <c r="Y16" s="37">
        <v>8</v>
      </c>
      <c r="Z16" s="1"/>
      <c r="AA16" s="1"/>
      <c r="AB16" s="1"/>
      <c r="AC16" s="1"/>
    </row>
    <row r="17" spans="1:29" s="2" customFormat="1" ht="17.399999999999999">
      <c r="A17" s="9">
        <v>1</v>
      </c>
      <c r="B17" s="8">
        <v>174</v>
      </c>
      <c r="C17" s="8">
        <v>775720958</v>
      </c>
      <c r="D17" s="42" t="s">
        <v>79</v>
      </c>
      <c r="E17" s="42" t="s">
        <v>49</v>
      </c>
      <c r="F17" s="10">
        <v>4</v>
      </c>
      <c r="G17" s="10">
        <v>0</v>
      </c>
      <c r="H17" s="50">
        <v>0</v>
      </c>
      <c r="I17" s="50">
        <v>0</v>
      </c>
      <c r="J17" s="50">
        <v>0</v>
      </c>
      <c r="K17" s="13" t="s">
        <v>52</v>
      </c>
      <c r="L17" s="11">
        <f t="shared" si="0"/>
        <v>6</v>
      </c>
      <c r="M17" s="10">
        <f t="shared" si="1"/>
        <v>0</v>
      </c>
      <c r="N17" s="10">
        <f t="shared" si="2"/>
        <v>0</v>
      </c>
      <c r="O17" s="10">
        <v>0</v>
      </c>
      <c r="P17" s="10">
        <f t="shared" si="3"/>
        <v>6</v>
      </c>
      <c r="Q17" s="17">
        <v>21.162499999999987</v>
      </c>
      <c r="R17" s="18">
        <f t="shared" si="4"/>
        <v>27.162499999999987</v>
      </c>
      <c r="S17" s="19">
        <f t="shared" si="5"/>
        <v>6.25</v>
      </c>
      <c r="T17" s="20">
        <f t="shared" si="6"/>
        <v>20.912499999999987</v>
      </c>
      <c r="U17" s="4"/>
      <c r="V17" s="4"/>
      <c r="W17" s="4"/>
      <c r="X17" s="1" t="s">
        <v>36</v>
      </c>
      <c r="Y17" s="37">
        <v>21</v>
      </c>
      <c r="Z17" s="1"/>
      <c r="AA17" s="1"/>
      <c r="AB17" s="1"/>
      <c r="AC17" s="1"/>
    </row>
    <row r="18" spans="1:29" s="2" customFormat="1" ht="17.399999999999999">
      <c r="A18" s="9">
        <v>1</v>
      </c>
      <c r="B18" s="8">
        <v>118</v>
      </c>
      <c r="C18" s="8">
        <v>2018112397</v>
      </c>
      <c r="D18" s="42" t="s">
        <v>54</v>
      </c>
      <c r="E18" s="42" t="s">
        <v>47</v>
      </c>
      <c r="F18" s="10">
        <v>2</v>
      </c>
      <c r="G18" s="10">
        <v>1</v>
      </c>
      <c r="H18" s="50">
        <v>0</v>
      </c>
      <c r="I18" s="50">
        <v>0</v>
      </c>
      <c r="J18" s="50">
        <v>0</v>
      </c>
      <c r="K18" s="14" t="s">
        <v>53</v>
      </c>
      <c r="L18" s="11">
        <f t="shared" si="0"/>
        <v>2</v>
      </c>
      <c r="M18" s="10">
        <f t="shared" si="1"/>
        <v>1.2</v>
      </c>
      <c r="N18" s="10">
        <f t="shared" si="2"/>
        <v>0</v>
      </c>
      <c r="O18" s="10">
        <v>0</v>
      </c>
      <c r="P18" s="10">
        <f t="shared" si="3"/>
        <v>3.2</v>
      </c>
      <c r="Q18" s="17">
        <v>23.731249999999992</v>
      </c>
      <c r="R18" s="18">
        <f t="shared" si="4"/>
        <v>26.931249999999991</v>
      </c>
      <c r="S18" s="19">
        <f t="shared" si="5"/>
        <v>1.09375</v>
      </c>
      <c r="T18" s="20">
        <f t="shared" si="6"/>
        <v>25.837499999999991</v>
      </c>
      <c r="U18" s="11"/>
      <c r="V18" s="11"/>
      <c r="W18" s="32"/>
      <c r="X18" s="51" t="s">
        <v>103</v>
      </c>
      <c r="Y18" s="37">
        <v>0.4</v>
      </c>
      <c r="Z18" s="1"/>
      <c r="AA18" s="1"/>
      <c r="AB18" s="1"/>
      <c r="AC18" s="1"/>
    </row>
    <row r="19" spans="1:29" s="2" customFormat="1" ht="17.399999999999999">
      <c r="A19" s="9">
        <v>1</v>
      </c>
      <c r="B19" s="8">
        <v>202</v>
      </c>
      <c r="C19" s="8">
        <v>471245585</v>
      </c>
      <c r="D19" s="42" t="s">
        <v>77</v>
      </c>
      <c r="E19" s="47"/>
      <c r="F19" s="10">
        <v>3</v>
      </c>
      <c r="G19" s="10">
        <v>1</v>
      </c>
      <c r="H19" s="50">
        <v>0</v>
      </c>
      <c r="I19" s="50">
        <v>0</v>
      </c>
      <c r="J19" s="50">
        <v>0</v>
      </c>
      <c r="K19" s="14" t="s">
        <v>53</v>
      </c>
      <c r="L19" s="11">
        <f t="shared" si="0"/>
        <v>4</v>
      </c>
      <c r="M19" s="10">
        <f t="shared" si="1"/>
        <v>1.2</v>
      </c>
      <c r="N19" s="10">
        <f t="shared" si="2"/>
        <v>0</v>
      </c>
      <c r="O19" s="10">
        <v>0</v>
      </c>
      <c r="P19" s="10">
        <f t="shared" si="3"/>
        <v>5.2</v>
      </c>
      <c r="Q19" s="17">
        <v>21.574999999999996</v>
      </c>
      <c r="R19" s="18">
        <f t="shared" si="4"/>
        <v>26.774999999999995</v>
      </c>
      <c r="S19" s="19">
        <f t="shared" si="5"/>
        <v>1.09375</v>
      </c>
      <c r="T19" s="20">
        <f t="shared" si="6"/>
        <v>25.681249999999995</v>
      </c>
      <c r="U19" s="4"/>
      <c r="V19" s="4"/>
      <c r="W19" s="4"/>
      <c r="X19" s="1"/>
      <c r="Y19" s="1"/>
      <c r="Z19" s="1"/>
      <c r="AA19" s="1"/>
      <c r="AB19" s="1"/>
      <c r="AC19" s="1"/>
    </row>
    <row r="20" spans="1:29" s="2" customFormat="1" ht="17.399999999999999">
      <c r="A20" s="9">
        <v>1</v>
      </c>
      <c r="B20" s="8">
        <v>110</v>
      </c>
      <c r="C20" s="8">
        <v>1968703358</v>
      </c>
      <c r="D20" s="42" t="s">
        <v>60</v>
      </c>
      <c r="E20" s="42" t="s">
        <v>38</v>
      </c>
      <c r="F20" s="10">
        <v>3</v>
      </c>
      <c r="G20" s="10">
        <v>1</v>
      </c>
      <c r="H20" s="50">
        <v>0</v>
      </c>
      <c r="I20" s="50">
        <v>0</v>
      </c>
      <c r="J20" s="50">
        <v>1</v>
      </c>
      <c r="K20" s="14" t="s">
        <v>53</v>
      </c>
      <c r="L20" s="11">
        <f t="shared" si="0"/>
        <v>4</v>
      </c>
      <c r="M20" s="10">
        <f t="shared" si="1"/>
        <v>1.2</v>
      </c>
      <c r="N20" s="10">
        <f t="shared" si="2"/>
        <v>0.4</v>
      </c>
      <c r="O20" s="10">
        <v>0</v>
      </c>
      <c r="P20" s="10">
        <f t="shared" si="3"/>
        <v>5.6000000000000005</v>
      </c>
      <c r="Q20" s="17">
        <v>21.07500000000001</v>
      </c>
      <c r="R20" s="18">
        <f t="shared" si="4"/>
        <v>26.675000000000011</v>
      </c>
      <c r="S20" s="19">
        <f t="shared" si="5"/>
        <v>1.09375</v>
      </c>
      <c r="T20" s="20">
        <f t="shared" si="6"/>
        <v>25.581250000000011</v>
      </c>
      <c r="U20" s="11"/>
      <c r="V20" s="11"/>
      <c r="W20" s="17"/>
      <c r="X20" s="1"/>
      <c r="Y20" s="1"/>
      <c r="Z20" s="1"/>
      <c r="AA20" s="1"/>
      <c r="AB20" s="1"/>
      <c r="AC20" s="1"/>
    </row>
    <row r="21" spans="1:29" s="2" customFormat="1" ht="17.399999999999999">
      <c r="A21" s="9">
        <v>1</v>
      </c>
      <c r="B21" s="8">
        <v>226</v>
      </c>
      <c r="C21" s="8">
        <v>1238792963</v>
      </c>
      <c r="D21" s="42" t="s">
        <v>108</v>
      </c>
      <c r="E21" s="42"/>
      <c r="F21" s="10">
        <v>2</v>
      </c>
      <c r="G21" s="10">
        <v>1</v>
      </c>
      <c r="H21" s="50">
        <v>0</v>
      </c>
      <c r="I21" s="50">
        <v>0</v>
      </c>
      <c r="J21" s="50">
        <v>0</v>
      </c>
      <c r="K21" s="14" t="s">
        <v>53</v>
      </c>
      <c r="L21" s="11">
        <f t="shared" si="0"/>
        <v>2</v>
      </c>
      <c r="M21" s="10">
        <f t="shared" si="1"/>
        <v>1.2</v>
      </c>
      <c r="N21" s="10">
        <f t="shared" si="2"/>
        <v>0</v>
      </c>
      <c r="O21" s="10">
        <v>0</v>
      </c>
      <c r="P21" s="10">
        <f t="shared" si="3"/>
        <v>3.2</v>
      </c>
      <c r="Q21" s="17">
        <v>22.456249999999997</v>
      </c>
      <c r="R21" s="18">
        <f t="shared" si="4"/>
        <v>25.656249999999996</v>
      </c>
      <c r="S21" s="19">
        <f t="shared" si="5"/>
        <v>1.09375</v>
      </c>
      <c r="T21" s="20">
        <f t="shared" si="6"/>
        <v>24.562499999999996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7.399999999999999">
      <c r="A22" s="9">
        <v>1</v>
      </c>
      <c r="B22" s="8">
        <v>234</v>
      </c>
      <c r="C22" s="8">
        <v>1333428907</v>
      </c>
      <c r="D22" s="42" t="s">
        <v>128</v>
      </c>
      <c r="E22" s="42" t="s">
        <v>115</v>
      </c>
      <c r="F22" s="10">
        <v>3</v>
      </c>
      <c r="G22" s="10">
        <v>0</v>
      </c>
      <c r="H22" s="50">
        <v>0</v>
      </c>
      <c r="I22" s="50">
        <v>0</v>
      </c>
      <c r="J22" s="50">
        <v>0</v>
      </c>
      <c r="K22" s="14" t="s">
        <v>53</v>
      </c>
      <c r="L22" s="11">
        <f t="shared" si="0"/>
        <v>4</v>
      </c>
      <c r="M22" s="10">
        <f t="shared" si="1"/>
        <v>0</v>
      </c>
      <c r="N22" s="10">
        <f t="shared" si="2"/>
        <v>0</v>
      </c>
      <c r="O22" s="10">
        <v>0</v>
      </c>
      <c r="P22" s="10">
        <f t="shared" si="3"/>
        <v>4</v>
      </c>
      <c r="Q22" s="17">
        <v>21.59375</v>
      </c>
      <c r="R22" s="18">
        <f t="shared" si="4"/>
        <v>25.59375</v>
      </c>
      <c r="S22" s="19">
        <f t="shared" si="5"/>
        <v>1.09375</v>
      </c>
      <c r="T22" s="20">
        <f t="shared" si="6"/>
        <v>24.5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7.399999999999999">
      <c r="A23" s="9">
        <v>1</v>
      </c>
      <c r="B23" s="9">
        <v>92</v>
      </c>
      <c r="C23" s="8">
        <v>1367873925</v>
      </c>
      <c r="D23" s="42" t="s">
        <v>80</v>
      </c>
      <c r="E23" s="42" t="s">
        <v>31</v>
      </c>
      <c r="F23" s="10">
        <v>3</v>
      </c>
      <c r="G23" s="10">
        <v>1</v>
      </c>
      <c r="H23" s="50">
        <v>0</v>
      </c>
      <c r="I23" s="50">
        <v>0</v>
      </c>
      <c r="J23" s="50">
        <v>0</v>
      </c>
      <c r="K23" s="14" t="s">
        <v>53</v>
      </c>
      <c r="L23" s="11">
        <f t="shared" si="0"/>
        <v>4</v>
      </c>
      <c r="M23" s="10">
        <f t="shared" si="1"/>
        <v>1.2</v>
      </c>
      <c r="N23" s="10">
        <f t="shared" si="2"/>
        <v>0</v>
      </c>
      <c r="O23" s="10">
        <v>0</v>
      </c>
      <c r="P23" s="10">
        <f t="shared" si="3"/>
        <v>5.2</v>
      </c>
      <c r="Q23" s="17">
        <v>20.318749999999998</v>
      </c>
      <c r="R23" s="18">
        <f t="shared" si="4"/>
        <v>25.518749999999997</v>
      </c>
      <c r="S23" s="19">
        <f t="shared" si="5"/>
        <v>1.09375</v>
      </c>
      <c r="T23" s="20">
        <f t="shared" si="6"/>
        <v>24.424999999999997</v>
      </c>
      <c r="U23" s="11"/>
      <c r="V23" s="11"/>
      <c r="W23" s="31"/>
    </row>
    <row r="24" spans="1:29" s="1" customFormat="1" ht="17.399999999999999">
      <c r="A24" s="9">
        <v>1</v>
      </c>
      <c r="B24" s="9">
        <v>230</v>
      </c>
      <c r="C24" s="8">
        <v>1076026693</v>
      </c>
      <c r="D24" s="42" t="s">
        <v>111</v>
      </c>
      <c r="E24" s="4"/>
      <c r="F24" s="10">
        <v>1</v>
      </c>
      <c r="G24" s="10">
        <v>1</v>
      </c>
      <c r="H24" s="50">
        <v>0</v>
      </c>
      <c r="I24" s="50">
        <v>0</v>
      </c>
      <c r="J24" s="50">
        <v>0</v>
      </c>
      <c r="K24" s="14" t="s">
        <v>53</v>
      </c>
      <c r="L24" s="11">
        <f t="shared" si="0"/>
        <v>1</v>
      </c>
      <c r="M24" s="10">
        <f t="shared" si="1"/>
        <v>1.2</v>
      </c>
      <c r="N24" s="10">
        <f t="shared" si="2"/>
        <v>0</v>
      </c>
      <c r="O24" s="10">
        <v>0</v>
      </c>
      <c r="P24" s="10">
        <f t="shared" si="3"/>
        <v>2.2000000000000002</v>
      </c>
      <c r="Q24" s="17">
        <v>22.537499999999998</v>
      </c>
      <c r="R24" s="18">
        <f t="shared" si="4"/>
        <v>24.737499999999997</v>
      </c>
      <c r="S24" s="19">
        <f t="shared" si="5"/>
        <v>1.09375</v>
      </c>
      <c r="T24" s="20">
        <f t="shared" si="6"/>
        <v>23.643749999999997</v>
      </c>
      <c r="U24" s="4"/>
      <c r="V24" s="4"/>
      <c r="W24" s="4"/>
    </row>
    <row r="25" spans="1:29" s="1" customFormat="1" ht="17.399999999999999">
      <c r="A25" s="9">
        <v>1</v>
      </c>
      <c r="B25" s="8">
        <v>167</v>
      </c>
      <c r="C25" s="8">
        <v>1173807161</v>
      </c>
      <c r="D25" s="42" t="s">
        <v>48</v>
      </c>
      <c r="E25" s="48"/>
      <c r="F25" s="10">
        <v>0</v>
      </c>
      <c r="G25" s="10">
        <v>0</v>
      </c>
      <c r="H25" s="50">
        <v>0</v>
      </c>
      <c r="I25" s="50">
        <v>0</v>
      </c>
      <c r="J25" s="50">
        <v>0</v>
      </c>
      <c r="K25" s="39" t="s">
        <v>30</v>
      </c>
      <c r="L25" s="11">
        <f t="shared" si="0"/>
        <v>0</v>
      </c>
      <c r="M25" s="10">
        <f t="shared" si="1"/>
        <v>0</v>
      </c>
      <c r="N25" s="10">
        <f t="shared" si="2"/>
        <v>0</v>
      </c>
      <c r="O25" s="10">
        <v>0</v>
      </c>
      <c r="P25" s="10">
        <f t="shared" si="3"/>
        <v>0</v>
      </c>
      <c r="Q25" s="17">
        <v>24.624999999999979</v>
      </c>
      <c r="R25" s="18">
        <f t="shared" si="4"/>
        <v>24.624999999999979</v>
      </c>
      <c r="S25" s="19">
        <f t="shared" si="5"/>
        <v>0</v>
      </c>
      <c r="T25" s="20">
        <f t="shared" si="6"/>
        <v>24.624999999999979</v>
      </c>
      <c r="U25" s="4"/>
      <c r="V25" s="4"/>
      <c r="W25" s="4"/>
    </row>
    <row r="26" spans="1:29" s="1" customFormat="1" ht="18.75" customHeight="1">
      <c r="A26" s="9">
        <v>1</v>
      </c>
      <c r="B26" s="8">
        <v>156</v>
      </c>
      <c r="C26" s="8">
        <v>1744610165</v>
      </c>
      <c r="D26" s="42" t="s">
        <v>64</v>
      </c>
      <c r="E26" s="42"/>
      <c r="F26" s="10">
        <v>1</v>
      </c>
      <c r="G26" s="10">
        <v>1</v>
      </c>
      <c r="H26" s="50">
        <v>0</v>
      </c>
      <c r="I26" s="50">
        <v>0</v>
      </c>
      <c r="J26" s="50">
        <v>0</v>
      </c>
      <c r="K26" s="14" t="s">
        <v>53</v>
      </c>
      <c r="L26" s="11">
        <f t="shared" si="0"/>
        <v>1</v>
      </c>
      <c r="M26" s="10">
        <f t="shared" si="1"/>
        <v>1.2</v>
      </c>
      <c r="N26" s="10">
        <f t="shared" si="2"/>
        <v>0</v>
      </c>
      <c r="O26" s="10">
        <v>0</v>
      </c>
      <c r="P26" s="10">
        <f t="shared" si="3"/>
        <v>2.2000000000000002</v>
      </c>
      <c r="Q26" s="17">
        <v>22.361266129032245</v>
      </c>
      <c r="R26" s="18">
        <f t="shared" si="4"/>
        <v>24.561266129032244</v>
      </c>
      <c r="S26" s="19">
        <f t="shared" si="5"/>
        <v>1.09375</v>
      </c>
      <c r="T26" s="20">
        <f t="shared" si="6"/>
        <v>23.467516129032244</v>
      </c>
      <c r="U26" s="4"/>
      <c r="V26" s="4"/>
      <c r="W26" s="4"/>
    </row>
    <row r="27" spans="1:29" s="1" customFormat="1" ht="17.399999999999999">
      <c r="A27" s="9">
        <v>1</v>
      </c>
      <c r="B27" s="8">
        <v>128</v>
      </c>
      <c r="C27" s="8">
        <v>1214614935</v>
      </c>
      <c r="D27" s="42" t="s">
        <v>62</v>
      </c>
      <c r="E27" s="49" t="s">
        <v>43</v>
      </c>
      <c r="F27" s="10">
        <v>4</v>
      </c>
      <c r="G27" s="10">
        <v>1</v>
      </c>
      <c r="H27" s="50">
        <v>0</v>
      </c>
      <c r="I27" s="50">
        <v>1</v>
      </c>
      <c r="J27" s="50">
        <v>1</v>
      </c>
      <c r="K27" s="14" t="s">
        <v>53</v>
      </c>
      <c r="L27" s="11">
        <f t="shared" si="0"/>
        <v>6</v>
      </c>
      <c r="M27" s="10">
        <f t="shared" si="1"/>
        <v>1.2</v>
      </c>
      <c r="N27" s="10">
        <f t="shared" si="2"/>
        <v>0.8</v>
      </c>
      <c r="O27" s="10">
        <v>0</v>
      </c>
      <c r="P27" s="10">
        <f t="shared" si="3"/>
        <v>8</v>
      </c>
      <c r="Q27" s="17">
        <v>16.299499999999995</v>
      </c>
      <c r="R27" s="18">
        <f t="shared" si="4"/>
        <v>24.299499999999995</v>
      </c>
      <c r="S27" s="19">
        <f t="shared" si="5"/>
        <v>1.09375</v>
      </c>
      <c r="T27" s="20">
        <f t="shared" si="6"/>
        <v>23.205749999999995</v>
      </c>
      <c r="U27" s="11"/>
      <c r="V27" s="11"/>
      <c r="W27" s="31"/>
    </row>
    <row r="28" spans="1:29" s="1" customFormat="1" ht="17.399999999999999">
      <c r="A28" s="9">
        <v>1</v>
      </c>
      <c r="B28" s="8">
        <v>184</v>
      </c>
      <c r="C28" s="8">
        <v>1814130074</v>
      </c>
      <c r="D28" s="42" t="s">
        <v>67</v>
      </c>
      <c r="E28" s="47"/>
      <c r="F28" s="10">
        <v>4</v>
      </c>
      <c r="G28" s="10">
        <v>1</v>
      </c>
      <c r="H28" s="50">
        <v>0</v>
      </c>
      <c r="I28" s="50">
        <v>1</v>
      </c>
      <c r="J28" s="50">
        <v>0</v>
      </c>
      <c r="K28" s="14" t="s">
        <v>53</v>
      </c>
      <c r="L28" s="11">
        <f t="shared" si="0"/>
        <v>6</v>
      </c>
      <c r="M28" s="10">
        <f t="shared" si="1"/>
        <v>1.2</v>
      </c>
      <c r="N28" s="10">
        <f t="shared" si="2"/>
        <v>0.4</v>
      </c>
      <c r="O28" s="10">
        <v>0</v>
      </c>
      <c r="P28" s="10">
        <f t="shared" si="3"/>
        <v>7.6000000000000005</v>
      </c>
      <c r="Q28" s="17">
        <v>16.418750000000014</v>
      </c>
      <c r="R28" s="18">
        <f t="shared" si="4"/>
        <v>24.018750000000015</v>
      </c>
      <c r="S28" s="19">
        <f t="shared" si="5"/>
        <v>1.09375</v>
      </c>
      <c r="T28" s="20">
        <f t="shared" si="6"/>
        <v>22.925000000000015</v>
      </c>
      <c r="U28" s="4"/>
      <c r="V28" s="4"/>
      <c r="W28" s="4"/>
    </row>
    <row r="29" spans="1:29" s="2" customFormat="1" ht="17.399999999999999">
      <c r="A29" s="9">
        <v>1</v>
      </c>
      <c r="B29" s="8">
        <v>182</v>
      </c>
      <c r="C29" s="8">
        <v>828260319</v>
      </c>
      <c r="D29" s="42" t="s">
        <v>127</v>
      </c>
      <c r="E29" s="42" t="s">
        <v>90</v>
      </c>
      <c r="F29" s="10">
        <v>4</v>
      </c>
      <c r="G29" s="10">
        <v>1</v>
      </c>
      <c r="H29" s="50">
        <v>0</v>
      </c>
      <c r="I29" s="50">
        <v>0</v>
      </c>
      <c r="J29" s="50">
        <v>1</v>
      </c>
      <c r="K29" s="14" t="s">
        <v>53</v>
      </c>
      <c r="L29" s="11">
        <f t="shared" si="0"/>
        <v>6</v>
      </c>
      <c r="M29" s="10">
        <f t="shared" si="1"/>
        <v>1.2</v>
      </c>
      <c r="N29" s="10">
        <f t="shared" si="2"/>
        <v>0.4</v>
      </c>
      <c r="O29" s="10">
        <v>0</v>
      </c>
      <c r="P29" s="10">
        <f t="shared" si="3"/>
        <v>7.6000000000000005</v>
      </c>
      <c r="Q29" s="17">
        <v>16.388000000000016</v>
      </c>
      <c r="R29" s="18">
        <f t="shared" si="4"/>
        <v>23.988000000000017</v>
      </c>
      <c r="S29" s="19">
        <f t="shared" si="5"/>
        <v>1.09375</v>
      </c>
      <c r="T29" s="20">
        <f t="shared" si="6"/>
        <v>22.894250000000017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20.399999999999999">
      <c r="A30" s="9">
        <v>1</v>
      </c>
      <c r="B30" s="8">
        <v>221</v>
      </c>
      <c r="C30" s="8">
        <v>790956883</v>
      </c>
      <c r="D30" s="42" t="s">
        <v>96</v>
      </c>
      <c r="E30" s="42" t="s">
        <v>95</v>
      </c>
      <c r="F30" s="10">
        <v>4</v>
      </c>
      <c r="G30" s="10">
        <v>1</v>
      </c>
      <c r="H30" s="50">
        <v>0</v>
      </c>
      <c r="I30" s="50">
        <v>0</v>
      </c>
      <c r="J30" s="50">
        <v>0</v>
      </c>
      <c r="K30" s="14" t="s">
        <v>53</v>
      </c>
      <c r="L30" s="11">
        <f t="shared" si="0"/>
        <v>6</v>
      </c>
      <c r="M30" s="10">
        <f t="shared" si="1"/>
        <v>1.2</v>
      </c>
      <c r="N30" s="10">
        <f t="shared" si="2"/>
        <v>0</v>
      </c>
      <c r="O30" s="10">
        <v>0</v>
      </c>
      <c r="P30" s="10">
        <f t="shared" si="3"/>
        <v>7.2</v>
      </c>
      <c r="Q30" s="17">
        <v>16.656249999999996</v>
      </c>
      <c r="R30" s="18">
        <f t="shared" si="4"/>
        <v>23.856249999999996</v>
      </c>
      <c r="S30" s="19">
        <f t="shared" si="5"/>
        <v>1.09375</v>
      </c>
      <c r="T30" s="20">
        <f t="shared" si="6"/>
        <v>22.762499999999996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7.399999999999999">
      <c r="A31" s="9">
        <v>1</v>
      </c>
      <c r="B31" s="8">
        <v>238</v>
      </c>
      <c r="C31" s="8">
        <v>108179057</v>
      </c>
      <c r="D31" s="42" t="s">
        <v>120</v>
      </c>
      <c r="E31" s="4"/>
      <c r="F31" s="10">
        <v>4</v>
      </c>
      <c r="G31" s="10">
        <v>1</v>
      </c>
      <c r="H31" s="50">
        <v>0</v>
      </c>
      <c r="I31" s="50">
        <v>0</v>
      </c>
      <c r="J31" s="50">
        <v>0</v>
      </c>
      <c r="K31" s="14" t="s">
        <v>53</v>
      </c>
      <c r="L31" s="11">
        <f t="shared" si="0"/>
        <v>6</v>
      </c>
      <c r="M31" s="10">
        <f t="shared" si="1"/>
        <v>1.2</v>
      </c>
      <c r="N31" s="10">
        <f t="shared" si="2"/>
        <v>0</v>
      </c>
      <c r="O31" s="10">
        <v>0</v>
      </c>
      <c r="P31" s="10">
        <f t="shared" si="3"/>
        <v>7.2</v>
      </c>
      <c r="Q31" s="17">
        <v>16.624999999999993</v>
      </c>
      <c r="R31" s="18">
        <f t="shared" si="4"/>
        <v>23.824999999999992</v>
      </c>
      <c r="S31" s="19">
        <f t="shared" si="5"/>
        <v>1.09375</v>
      </c>
      <c r="T31" s="20">
        <f t="shared" si="6"/>
        <v>22.731249999999992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7.399999999999999">
      <c r="A32" s="9">
        <v>1</v>
      </c>
      <c r="B32" s="8">
        <v>178</v>
      </c>
      <c r="C32" s="8">
        <v>1059185275</v>
      </c>
      <c r="D32" s="42" t="s">
        <v>66</v>
      </c>
      <c r="E32" s="47"/>
      <c r="F32" s="10">
        <v>4</v>
      </c>
      <c r="G32" s="10">
        <v>1</v>
      </c>
      <c r="H32" s="50">
        <v>0</v>
      </c>
      <c r="I32" s="50">
        <v>1</v>
      </c>
      <c r="J32" s="50">
        <v>1</v>
      </c>
      <c r="K32" s="14" t="s">
        <v>53</v>
      </c>
      <c r="L32" s="11">
        <f t="shared" si="0"/>
        <v>6</v>
      </c>
      <c r="M32" s="10">
        <f t="shared" si="1"/>
        <v>1.2</v>
      </c>
      <c r="N32" s="10">
        <f t="shared" si="2"/>
        <v>0.8</v>
      </c>
      <c r="O32" s="10">
        <v>0</v>
      </c>
      <c r="P32" s="10">
        <f t="shared" si="3"/>
        <v>8</v>
      </c>
      <c r="Q32" s="17">
        <v>15.574999999999996</v>
      </c>
      <c r="R32" s="18">
        <f t="shared" si="4"/>
        <v>23.574999999999996</v>
      </c>
      <c r="S32" s="19">
        <f t="shared" si="5"/>
        <v>1.09375</v>
      </c>
      <c r="T32" s="20">
        <f t="shared" si="6"/>
        <v>22.481249999999996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7.399999999999999">
      <c r="A33" s="9">
        <v>1</v>
      </c>
      <c r="B33" s="8">
        <v>189</v>
      </c>
      <c r="C33" s="8">
        <v>522812489</v>
      </c>
      <c r="D33" s="42" t="s">
        <v>70</v>
      </c>
      <c r="E33" s="47"/>
      <c r="F33" s="10">
        <v>4</v>
      </c>
      <c r="G33" s="10">
        <v>1</v>
      </c>
      <c r="H33" s="50">
        <v>0</v>
      </c>
      <c r="I33" s="50">
        <v>0</v>
      </c>
      <c r="J33" s="50">
        <v>0</v>
      </c>
      <c r="K33" s="14" t="s">
        <v>53</v>
      </c>
      <c r="L33" s="11">
        <f t="shared" si="0"/>
        <v>6</v>
      </c>
      <c r="M33" s="10">
        <f t="shared" si="1"/>
        <v>1.2</v>
      </c>
      <c r="N33" s="10">
        <f t="shared" si="2"/>
        <v>0</v>
      </c>
      <c r="O33" s="10">
        <v>0</v>
      </c>
      <c r="P33" s="10">
        <f t="shared" si="3"/>
        <v>7.2</v>
      </c>
      <c r="Q33" s="17">
        <v>16.225000000000001</v>
      </c>
      <c r="R33" s="18">
        <f t="shared" si="4"/>
        <v>23.425000000000001</v>
      </c>
      <c r="S33" s="19">
        <f t="shared" si="5"/>
        <v>1.09375</v>
      </c>
      <c r="T33" s="20">
        <f t="shared" si="6"/>
        <v>22.331250000000001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7.399999999999999">
      <c r="A34" s="9">
        <v>1</v>
      </c>
      <c r="B34" s="8">
        <v>224</v>
      </c>
      <c r="C34" s="8">
        <v>862562360</v>
      </c>
      <c r="D34" s="42" t="s">
        <v>129</v>
      </c>
      <c r="E34" s="42" t="s">
        <v>106</v>
      </c>
      <c r="F34" s="10">
        <v>4</v>
      </c>
      <c r="G34" s="10">
        <v>1</v>
      </c>
      <c r="H34" s="50">
        <v>0</v>
      </c>
      <c r="I34" s="50">
        <v>0</v>
      </c>
      <c r="J34" s="50">
        <v>0</v>
      </c>
      <c r="K34" s="14" t="s">
        <v>53</v>
      </c>
      <c r="L34" s="11">
        <f t="shared" si="0"/>
        <v>6</v>
      </c>
      <c r="M34" s="10">
        <f t="shared" si="1"/>
        <v>1.2</v>
      </c>
      <c r="N34" s="10">
        <f t="shared" si="2"/>
        <v>0</v>
      </c>
      <c r="O34" s="10">
        <v>0</v>
      </c>
      <c r="P34" s="10">
        <f t="shared" si="3"/>
        <v>7.2</v>
      </c>
      <c r="Q34" s="17">
        <v>16.204104477611939</v>
      </c>
      <c r="R34" s="18">
        <f t="shared" si="4"/>
        <v>23.404104477611938</v>
      </c>
      <c r="S34" s="19">
        <f t="shared" si="5"/>
        <v>1.09375</v>
      </c>
      <c r="T34" s="20">
        <f t="shared" si="6"/>
        <v>22.310354477611938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7.399999999999999">
      <c r="A35" s="9">
        <v>1</v>
      </c>
      <c r="B35" s="8">
        <v>208</v>
      </c>
      <c r="C35" s="8">
        <v>92129464</v>
      </c>
      <c r="D35" s="42" t="s">
        <v>82</v>
      </c>
      <c r="E35" s="47"/>
      <c r="F35" s="10">
        <v>4</v>
      </c>
      <c r="G35" s="10">
        <v>1</v>
      </c>
      <c r="H35" s="50">
        <v>0</v>
      </c>
      <c r="I35" s="50">
        <v>0</v>
      </c>
      <c r="J35" s="50">
        <v>0</v>
      </c>
      <c r="K35" s="14" t="s">
        <v>53</v>
      </c>
      <c r="L35" s="11">
        <f t="shared" si="0"/>
        <v>6</v>
      </c>
      <c r="M35" s="10">
        <f t="shared" si="1"/>
        <v>1.2</v>
      </c>
      <c r="N35" s="10">
        <f t="shared" si="2"/>
        <v>0</v>
      </c>
      <c r="O35" s="10">
        <v>0</v>
      </c>
      <c r="P35" s="10">
        <f t="shared" si="3"/>
        <v>7.2</v>
      </c>
      <c r="Q35" s="17">
        <v>16.168749999999996</v>
      </c>
      <c r="R35" s="18">
        <f t="shared" si="4"/>
        <v>23.368749999999995</v>
      </c>
      <c r="S35" s="19">
        <f t="shared" si="5"/>
        <v>1.09375</v>
      </c>
      <c r="T35" s="20">
        <f t="shared" si="6"/>
        <v>22.274999999999995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7.399999999999999">
      <c r="A36" s="9">
        <v>1</v>
      </c>
      <c r="B36" s="8">
        <v>195</v>
      </c>
      <c r="C36" s="8">
        <v>1634663314</v>
      </c>
      <c r="D36" s="42" t="s">
        <v>73</v>
      </c>
      <c r="E36" s="47"/>
      <c r="F36" s="10">
        <v>4</v>
      </c>
      <c r="G36" s="10">
        <v>1</v>
      </c>
      <c r="H36" s="50">
        <v>0</v>
      </c>
      <c r="I36" s="50">
        <v>0</v>
      </c>
      <c r="J36" s="50">
        <v>0</v>
      </c>
      <c r="K36" s="14" t="s">
        <v>53</v>
      </c>
      <c r="L36" s="11">
        <f t="shared" si="0"/>
        <v>6</v>
      </c>
      <c r="M36" s="10">
        <f t="shared" si="1"/>
        <v>1.2</v>
      </c>
      <c r="N36" s="10">
        <f t="shared" si="2"/>
        <v>0</v>
      </c>
      <c r="O36" s="10">
        <v>0</v>
      </c>
      <c r="P36" s="10">
        <f t="shared" si="3"/>
        <v>7.2</v>
      </c>
      <c r="Q36" s="17">
        <v>16.043249999999993</v>
      </c>
      <c r="R36" s="18">
        <f t="shared" si="4"/>
        <v>23.243249999999993</v>
      </c>
      <c r="S36" s="19">
        <f t="shared" si="5"/>
        <v>1.09375</v>
      </c>
      <c r="T36" s="20">
        <f t="shared" si="6"/>
        <v>22.149499999999993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7.399999999999999">
      <c r="A37" s="9">
        <v>1</v>
      </c>
      <c r="B37" s="9">
        <v>26</v>
      </c>
      <c r="C37" s="8">
        <v>1754932067</v>
      </c>
      <c r="D37" s="42" t="s">
        <v>58</v>
      </c>
      <c r="E37" s="42" t="s">
        <v>9</v>
      </c>
      <c r="F37" s="10">
        <v>4</v>
      </c>
      <c r="G37" s="10">
        <v>1</v>
      </c>
      <c r="H37" s="50">
        <v>0</v>
      </c>
      <c r="I37" s="50">
        <v>1</v>
      </c>
      <c r="J37" s="50">
        <v>1</v>
      </c>
      <c r="K37" s="14" t="s">
        <v>53</v>
      </c>
      <c r="L37" s="11">
        <f t="shared" ref="L37:L69" si="7">F37+IF(F37&gt;2,(F37-2)*1,0)</f>
        <v>6</v>
      </c>
      <c r="M37" s="10">
        <f t="shared" si="1"/>
        <v>1.2</v>
      </c>
      <c r="N37" s="10">
        <f t="shared" ref="N37:N69" si="8">SUM(H37:J37)*$Y$18</f>
        <v>0.8</v>
      </c>
      <c r="O37" s="10">
        <v>0</v>
      </c>
      <c r="P37" s="10">
        <f t="shared" ref="P37:P68" si="9">SUM(M37+L37+O37+N37)</f>
        <v>8</v>
      </c>
      <c r="Q37" s="17">
        <v>15.168749999999999</v>
      </c>
      <c r="R37" s="18">
        <f t="shared" ref="R37:R68" si="10">P37+Q37</f>
        <v>23.168749999999999</v>
      </c>
      <c r="S37" s="19">
        <f t="shared" ref="S37:S69" si="11">VLOOKUP(K37,$X$3:$Y$10,2,FALSE)</f>
        <v>1.09375</v>
      </c>
      <c r="T37" s="20">
        <f t="shared" ref="T37:T68" si="12">R37-S37</f>
        <v>22.074999999999999</v>
      </c>
      <c r="U37" s="11"/>
      <c r="V37" s="11"/>
      <c r="W37" s="11"/>
    </row>
    <row r="38" spans="1:29" s="2" customFormat="1" ht="20.399999999999999">
      <c r="A38" s="9">
        <v>1</v>
      </c>
      <c r="B38" s="9">
        <v>49</v>
      </c>
      <c r="C38" s="8">
        <v>311361673</v>
      </c>
      <c r="D38" s="43" t="s">
        <v>105</v>
      </c>
      <c r="E38" s="49" t="s">
        <v>11</v>
      </c>
      <c r="F38" s="10">
        <v>4</v>
      </c>
      <c r="G38" s="10">
        <v>1</v>
      </c>
      <c r="H38" s="50">
        <v>0</v>
      </c>
      <c r="I38" s="50">
        <v>1</v>
      </c>
      <c r="J38" s="50">
        <v>1</v>
      </c>
      <c r="K38" s="14" t="s">
        <v>53</v>
      </c>
      <c r="L38" s="11">
        <f t="shared" si="7"/>
        <v>6</v>
      </c>
      <c r="M38" s="10">
        <f>IF(G38&gt;0,1,0)*$Y$14</f>
        <v>1.2</v>
      </c>
      <c r="N38" s="10">
        <f t="shared" si="8"/>
        <v>0.8</v>
      </c>
      <c r="O38" s="10">
        <v>0</v>
      </c>
      <c r="P38" s="10">
        <f t="shared" si="9"/>
        <v>8</v>
      </c>
      <c r="Q38" s="17">
        <v>14.831250000000001</v>
      </c>
      <c r="R38" s="18">
        <f t="shared" si="10"/>
        <v>22.831250000000001</v>
      </c>
      <c r="S38" s="19">
        <f t="shared" si="11"/>
        <v>1.09375</v>
      </c>
      <c r="T38" s="20">
        <f t="shared" si="12"/>
        <v>21.737500000000001</v>
      </c>
      <c r="U38" s="11"/>
      <c r="V38" s="11"/>
      <c r="W38" s="11"/>
      <c r="X38" s="1"/>
      <c r="Y38" s="1"/>
      <c r="Z38" s="1"/>
      <c r="AA38" s="1"/>
      <c r="AB38" s="1"/>
      <c r="AC38" s="1"/>
    </row>
    <row r="39" spans="1:29" s="3" customFormat="1" ht="17.399999999999999">
      <c r="A39" s="9">
        <v>1</v>
      </c>
      <c r="B39" s="9">
        <v>46</v>
      </c>
      <c r="C39" s="8">
        <v>2109182835</v>
      </c>
      <c r="D39" s="42" t="s">
        <v>59</v>
      </c>
      <c r="E39" s="42" t="s">
        <v>10</v>
      </c>
      <c r="F39" s="10">
        <v>4</v>
      </c>
      <c r="G39" s="10">
        <v>1</v>
      </c>
      <c r="H39" s="50">
        <v>0</v>
      </c>
      <c r="I39" s="50">
        <v>1</v>
      </c>
      <c r="J39" s="50">
        <v>0</v>
      </c>
      <c r="K39" s="14" t="s">
        <v>53</v>
      </c>
      <c r="L39" s="11">
        <f t="shared" si="7"/>
        <v>6</v>
      </c>
      <c r="M39" s="10">
        <f t="shared" ref="M39:M69" si="13">G39*$Y$14</f>
        <v>1.2</v>
      </c>
      <c r="N39" s="10">
        <f t="shared" si="8"/>
        <v>0.4</v>
      </c>
      <c r="O39" s="10">
        <v>0</v>
      </c>
      <c r="P39" s="10">
        <f t="shared" si="9"/>
        <v>7.6000000000000005</v>
      </c>
      <c r="Q39" s="17">
        <v>14.948750000000008</v>
      </c>
      <c r="R39" s="18">
        <f t="shared" si="10"/>
        <v>22.548750000000009</v>
      </c>
      <c r="S39" s="19">
        <f t="shared" si="11"/>
        <v>1.09375</v>
      </c>
      <c r="T39" s="20">
        <f t="shared" si="12"/>
        <v>21.455000000000009</v>
      </c>
      <c r="U39" s="11"/>
      <c r="V39" s="11"/>
      <c r="W39" s="11"/>
    </row>
    <row r="40" spans="1:29" ht="17.399999999999999">
      <c r="A40" s="9">
        <v>1</v>
      </c>
      <c r="B40" s="9">
        <v>10</v>
      </c>
      <c r="C40" s="8">
        <v>2108977014</v>
      </c>
      <c r="D40" s="42" t="s">
        <v>57</v>
      </c>
      <c r="E40" s="42" t="s">
        <v>8</v>
      </c>
      <c r="F40" s="10">
        <v>2</v>
      </c>
      <c r="G40" s="10">
        <v>1</v>
      </c>
      <c r="H40" s="50">
        <v>0</v>
      </c>
      <c r="I40" s="50">
        <v>0</v>
      </c>
      <c r="J40" s="50">
        <v>1</v>
      </c>
      <c r="K40" s="14" t="s">
        <v>53</v>
      </c>
      <c r="L40" s="11">
        <f t="shared" si="7"/>
        <v>2</v>
      </c>
      <c r="M40" s="10">
        <f t="shared" si="13"/>
        <v>1.2</v>
      </c>
      <c r="N40" s="10">
        <f t="shared" si="8"/>
        <v>0.4</v>
      </c>
      <c r="O40" s="10">
        <v>0</v>
      </c>
      <c r="P40" s="10">
        <f t="shared" si="9"/>
        <v>3.6</v>
      </c>
      <c r="Q40" s="17">
        <v>18.837500000000006</v>
      </c>
      <c r="R40" s="18">
        <f t="shared" si="10"/>
        <v>22.437500000000007</v>
      </c>
      <c r="S40" s="19">
        <f t="shared" si="11"/>
        <v>1.09375</v>
      </c>
      <c r="T40" s="20">
        <f t="shared" si="12"/>
        <v>21.343750000000007</v>
      </c>
      <c r="U40" s="11"/>
      <c r="V40" s="11"/>
      <c r="W40" s="11"/>
    </row>
    <row r="41" spans="1:29" ht="20.399999999999999">
      <c r="A41" s="9">
        <v>1</v>
      </c>
      <c r="B41" s="8">
        <v>229</v>
      </c>
      <c r="C41" s="8">
        <v>1598972736</v>
      </c>
      <c r="D41" s="42" t="s">
        <v>110</v>
      </c>
      <c r="E41" s="42"/>
      <c r="F41" s="10">
        <v>2</v>
      </c>
      <c r="G41" s="10">
        <v>1</v>
      </c>
      <c r="H41" s="50">
        <v>0</v>
      </c>
      <c r="I41" s="50">
        <v>0</v>
      </c>
      <c r="J41" s="50">
        <v>0</v>
      </c>
      <c r="K41" s="14" t="s">
        <v>53</v>
      </c>
      <c r="L41" s="11">
        <f t="shared" si="7"/>
        <v>2</v>
      </c>
      <c r="M41" s="10">
        <f t="shared" si="13"/>
        <v>1.2</v>
      </c>
      <c r="N41" s="10">
        <f t="shared" si="8"/>
        <v>0</v>
      </c>
      <c r="O41" s="10">
        <v>0</v>
      </c>
      <c r="P41" s="10">
        <f t="shared" si="9"/>
        <v>3.2</v>
      </c>
      <c r="Q41" s="17">
        <v>19.090839552238798</v>
      </c>
      <c r="R41" s="18">
        <f t="shared" si="10"/>
        <v>22.290839552238797</v>
      </c>
      <c r="S41" s="19">
        <f t="shared" si="11"/>
        <v>1.09375</v>
      </c>
      <c r="T41" s="20">
        <f t="shared" si="12"/>
        <v>21.197089552238797</v>
      </c>
      <c r="U41" s="4"/>
      <c r="V41" s="4"/>
      <c r="W41" s="4"/>
    </row>
    <row r="42" spans="1:29" ht="17.399999999999999">
      <c r="A42" s="9">
        <v>1</v>
      </c>
      <c r="B42" s="8">
        <v>187</v>
      </c>
      <c r="C42" s="8">
        <v>1241038267</v>
      </c>
      <c r="D42" s="42" t="s">
        <v>69</v>
      </c>
      <c r="E42" s="47"/>
      <c r="F42" s="10">
        <v>1</v>
      </c>
      <c r="G42" s="10">
        <v>1</v>
      </c>
      <c r="H42" s="50">
        <v>0</v>
      </c>
      <c r="I42" s="50">
        <v>0</v>
      </c>
      <c r="J42" s="50">
        <v>0</v>
      </c>
      <c r="K42" s="14" t="s">
        <v>53</v>
      </c>
      <c r="L42" s="11">
        <f t="shared" si="7"/>
        <v>1</v>
      </c>
      <c r="M42" s="10">
        <f t="shared" si="13"/>
        <v>1.2</v>
      </c>
      <c r="N42" s="10">
        <f t="shared" si="8"/>
        <v>0</v>
      </c>
      <c r="O42" s="10">
        <v>0</v>
      </c>
      <c r="P42" s="10">
        <f t="shared" si="9"/>
        <v>2.2000000000000002</v>
      </c>
      <c r="Q42" s="17">
        <v>19.48749999999999</v>
      </c>
      <c r="R42" s="18">
        <f t="shared" si="10"/>
        <v>21.687499999999989</v>
      </c>
      <c r="S42" s="19">
        <f t="shared" si="11"/>
        <v>1.09375</v>
      </c>
      <c r="T42" s="20">
        <f t="shared" si="12"/>
        <v>20.593749999999989</v>
      </c>
      <c r="U42" s="4"/>
      <c r="V42" s="4"/>
      <c r="W42" s="4"/>
    </row>
    <row r="43" spans="1:29" ht="17.399999999999999">
      <c r="A43" s="9">
        <v>1</v>
      </c>
      <c r="B43" s="9">
        <v>231</v>
      </c>
      <c r="C43" s="8">
        <v>1725915293</v>
      </c>
      <c r="D43" s="42" t="s">
        <v>112</v>
      </c>
      <c r="F43" s="10">
        <v>3</v>
      </c>
      <c r="G43" s="10">
        <v>1</v>
      </c>
      <c r="H43" s="50">
        <v>0</v>
      </c>
      <c r="I43" s="50">
        <v>0</v>
      </c>
      <c r="J43" s="50">
        <v>0</v>
      </c>
      <c r="K43" s="14" t="s">
        <v>53</v>
      </c>
      <c r="L43" s="11">
        <f t="shared" si="7"/>
        <v>4</v>
      </c>
      <c r="M43" s="10">
        <f t="shared" si="13"/>
        <v>1.2</v>
      </c>
      <c r="N43" s="10">
        <f t="shared" si="8"/>
        <v>0</v>
      </c>
      <c r="O43" s="10">
        <v>0</v>
      </c>
      <c r="P43" s="10">
        <f t="shared" si="9"/>
        <v>5.2</v>
      </c>
      <c r="Q43" s="17">
        <v>16.262499999999996</v>
      </c>
      <c r="R43" s="18">
        <f t="shared" si="10"/>
        <v>21.462499999999995</v>
      </c>
      <c r="S43" s="19">
        <f t="shared" si="11"/>
        <v>1.09375</v>
      </c>
      <c r="T43" s="20">
        <f t="shared" si="12"/>
        <v>20.368749999999995</v>
      </c>
      <c r="U43" s="4"/>
      <c r="V43" s="4"/>
      <c r="W43" s="4"/>
    </row>
    <row r="44" spans="1:29" ht="17.399999999999999">
      <c r="A44" s="9">
        <v>1</v>
      </c>
      <c r="B44" s="8">
        <v>116</v>
      </c>
      <c r="C44" s="8">
        <v>2122596917</v>
      </c>
      <c r="D44" s="42" t="s">
        <v>61</v>
      </c>
      <c r="E44" s="42" t="s">
        <v>37</v>
      </c>
      <c r="F44" s="10">
        <v>3</v>
      </c>
      <c r="G44" s="10">
        <v>1</v>
      </c>
      <c r="H44" s="50">
        <v>0</v>
      </c>
      <c r="I44" s="50">
        <v>1</v>
      </c>
      <c r="J44" s="50">
        <v>1</v>
      </c>
      <c r="K44" s="14" t="s">
        <v>53</v>
      </c>
      <c r="L44" s="11">
        <f t="shared" si="7"/>
        <v>4</v>
      </c>
      <c r="M44" s="10">
        <f t="shared" si="13"/>
        <v>1.2</v>
      </c>
      <c r="N44" s="10">
        <f t="shared" si="8"/>
        <v>0.8</v>
      </c>
      <c r="O44" s="10">
        <v>0</v>
      </c>
      <c r="P44" s="10">
        <f t="shared" si="9"/>
        <v>6</v>
      </c>
      <c r="Q44" s="17">
        <v>15.406249999999996</v>
      </c>
      <c r="R44" s="18">
        <f t="shared" si="10"/>
        <v>21.406249999999996</v>
      </c>
      <c r="S44" s="19">
        <f t="shared" si="11"/>
        <v>1.09375</v>
      </c>
      <c r="T44" s="20">
        <f t="shared" si="12"/>
        <v>20.312499999999996</v>
      </c>
      <c r="U44" s="11"/>
      <c r="V44" s="11"/>
      <c r="W44" s="32"/>
    </row>
    <row r="45" spans="1:29" ht="17.399999999999999">
      <c r="A45" s="9">
        <v>1</v>
      </c>
      <c r="B45" s="8">
        <v>212</v>
      </c>
      <c r="C45" s="8">
        <v>2133045883</v>
      </c>
      <c r="D45" s="42" t="s">
        <v>84</v>
      </c>
      <c r="E45" s="47"/>
      <c r="F45" s="10">
        <v>3</v>
      </c>
      <c r="G45" s="10">
        <v>1</v>
      </c>
      <c r="H45" s="50">
        <v>0</v>
      </c>
      <c r="I45" s="50">
        <v>0</v>
      </c>
      <c r="J45" s="50">
        <v>0</v>
      </c>
      <c r="K45" s="14" t="s">
        <v>53</v>
      </c>
      <c r="L45" s="11">
        <f t="shared" si="7"/>
        <v>4</v>
      </c>
      <c r="M45" s="10">
        <f t="shared" si="13"/>
        <v>1.2</v>
      </c>
      <c r="N45" s="10">
        <f t="shared" si="8"/>
        <v>0</v>
      </c>
      <c r="O45" s="10">
        <v>0</v>
      </c>
      <c r="P45" s="10">
        <f t="shared" si="9"/>
        <v>5.2</v>
      </c>
      <c r="Q45" s="17">
        <v>15.39374999999999</v>
      </c>
      <c r="R45" s="18">
        <f t="shared" si="10"/>
        <v>20.593749999999989</v>
      </c>
      <c r="S45" s="19">
        <f t="shared" si="11"/>
        <v>1.09375</v>
      </c>
      <c r="T45" s="20">
        <f t="shared" si="12"/>
        <v>19.499999999999989</v>
      </c>
      <c r="U45" s="4"/>
      <c r="V45" s="4"/>
      <c r="W45" s="4"/>
    </row>
    <row r="46" spans="1:29" ht="17.399999999999999">
      <c r="A46" s="9">
        <v>1</v>
      </c>
      <c r="B46" s="8">
        <v>241</v>
      </c>
      <c r="C46" s="8">
        <v>1136259669</v>
      </c>
      <c r="D46" s="42" t="s">
        <v>124</v>
      </c>
      <c r="F46" s="10">
        <v>2</v>
      </c>
      <c r="G46" s="10">
        <v>1</v>
      </c>
      <c r="H46" s="50">
        <v>0</v>
      </c>
      <c r="I46" s="50">
        <v>0</v>
      </c>
      <c r="J46" s="50">
        <v>0</v>
      </c>
      <c r="K46" s="14" t="s">
        <v>53</v>
      </c>
      <c r="L46" s="11">
        <f t="shared" si="7"/>
        <v>2</v>
      </c>
      <c r="M46" s="10">
        <f t="shared" si="13"/>
        <v>1.2</v>
      </c>
      <c r="N46" s="10">
        <f t="shared" si="8"/>
        <v>0</v>
      </c>
      <c r="O46" s="10">
        <v>0</v>
      </c>
      <c r="P46" s="10">
        <f t="shared" si="9"/>
        <v>3.2</v>
      </c>
      <c r="Q46" s="17">
        <v>16.581249999999994</v>
      </c>
      <c r="R46" s="18">
        <f t="shared" si="10"/>
        <v>19.781249999999993</v>
      </c>
      <c r="S46" s="19">
        <f t="shared" si="11"/>
        <v>1.09375</v>
      </c>
      <c r="T46" s="20">
        <f t="shared" si="12"/>
        <v>18.687499999999993</v>
      </c>
      <c r="U46" s="4"/>
      <c r="V46" s="4"/>
      <c r="W46" s="4"/>
    </row>
    <row r="47" spans="1:29" ht="17.399999999999999">
      <c r="A47" s="9">
        <v>1</v>
      </c>
      <c r="B47" s="8">
        <v>209</v>
      </c>
      <c r="C47" s="8">
        <v>1525950050</v>
      </c>
      <c r="D47" s="42" t="s">
        <v>85</v>
      </c>
      <c r="E47" s="42" t="s">
        <v>83</v>
      </c>
      <c r="F47" s="10">
        <v>2</v>
      </c>
      <c r="G47" s="10">
        <v>1</v>
      </c>
      <c r="H47" s="50">
        <v>0</v>
      </c>
      <c r="I47" s="50">
        <v>0</v>
      </c>
      <c r="J47" s="50">
        <v>0</v>
      </c>
      <c r="K47" s="14" t="s">
        <v>53</v>
      </c>
      <c r="L47" s="11">
        <f t="shared" si="7"/>
        <v>2</v>
      </c>
      <c r="M47" s="10">
        <f t="shared" si="13"/>
        <v>1.2</v>
      </c>
      <c r="N47" s="10">
        <f t="shared" si="8"/>
        <v>0</v>
      </c>
      <c r="O47" s="10">
        <v>0</v>
      </c>
      <c r="P47" s="10">
        <f t="shared" si="9"/>
        <v>3.2</v>
      </c>
      <c r="Q47" s="17">
        <v>14.887499999999992</v>
      </c>
      <c r="R47" s="18">
        <f t="shared" si="10"/>
        <v>18.087499999999991</v>
      </c>
      <c r="S47" s="19">
        <f t="shared" si="11"/>
        <v>1.09375</v>
      </c>
      <c r="T47" s="20">
        <f t="shared" si="12"/>
        <v>16.993749999999991</v>
      </c>
      <c r="U47" s="4"/>
      <c r="V47" s="4"/>
      <c r="W47" s="4"/>
    </row>
    <row r="48" spans="1:29" ht="17.399999999999999">
      <c r="A48" s="9">
        <v>1</v>
      </c>
      <c r="B48" s="8">
        <v>198</v>
      </c>
      <c r="C48" s="8">
        <v>723448640</v>
      </c>
      <c r="D48" s="42" t="s">
        <v>75</v>
      </c>
      <c r="E48" s="47"/>
      <c r="F48" s="10">
        <v>0</v>
      </c>
      <c r="G48" s="10">
        <v>0</v>
      </c>
      <c r="H48" s="50">
        <v>0</v>
      </c>
      <c r="I48" s="50">
        <v>0</v>
      </c>
      <c r="J48" s="50">
        <v>0</v>
      </c>
      <c r="K48" s="39" t="s">
        <v>30</v>
      </c>
      <c r="L48" s="11">
        <f t="shared" si="7"/>
        <v>0</v>
      </c>
      <c r="M48" s="10">
        <f t="shared" si="13"/>
        <v>0</v>
      </c>
      <c r="N48" s="10">
        <f t="shared" si="8"/>
        <v>0</v>
      </c>
      <c r="O48" s="10">
        <v>0</v>
      </c>
      <c r="P48" s="10">
        <f t="shared" si="9"/>
        <v>0</v>
      </c>
      <c r="Q48" s="17">
        <v>18.01874999999999</v>
      </c>
      <c r="R48" s="18">
        <f t="shared" si="10"/>
        <v>18.01874999999999</v>
      </c>
      <c r="S48" s="19">
        <f t="shared" si="11"/>
        <v>0</v>
      </c>
      <c r="T48" s="20">
        <f t="shared" si="12"/>
        <v>18.01874999999999</v>
      </c>
    </row>
    <row r="49" spans="1:20" ht="17.399999999999999">
      <c r="A49" s="9">
        <v>1</v>
      </c>
      <c r="B49" s="8">
        <v>193</v>
      </c>
      <c r="C49" s="8">
        <v>2125731287</v>
      </c>
      <c r="D49" s="42" t="s">
        <v>72</v>
      </c>
      <c r="E49" s="47"/>
      <c r="F49" s="10">
        <v>0</v>
      </c>
      <c r="G49" s="10">
        <v>0</v>
      </c>
      <c r="H49" s="50">
        <v>0</v>
      </c>
      <c r="I49" s="50">
        <v>0</v>
      </c>
      <c r="J49" s="50">
        <v>0</v>
      </c>
      <c r="K49" s="39" t="s">
        <v>30</v>
      </c>
      <c r="L49" s="11">
        <f t="shared" si="7"/>
        <v>0</v>
      </c>
      <c r="M49" s="10">
        <f t="shared" si="13"/>
        <v>0</v>
      </c>
      <c r="N49" s="10">
        <f t="shared" si="8"/>
        <v>0</v>
      </c>
      <c r="O49" s="10">
        <v>0</v>
      </c>
      <c r="P49" s="10">
        <f t="shared" si="9"/>
        <v>0</v>
      </c>
      <c r="Q49" s="17">
        <v>17.812499999999996</v>
      </c>
      <c r="R49" s="18">
        <f t="shared" si="10"/>
        <v>17.812499999999996</v>
      </c>
      <c r="S49" s="19">
        <f t="shared" si="11"/>
        <v>0</v>
      </c>
      <c r="T49" s="20">
        <f t="shared" si="12"/>
        <v>17.812499999999996</v>
      </c>
    </row>
    <row r="50" spans="1:20" ht="17.399999999999999">
      <c r="A50" s="9">
        <v>1</v>
      </c>
      <c r="B50" s="8">
        <v>222</v>
      </c>
      <c r="C50" s="8">
        <v>1945277617</v>
      </c>
      <c r="D50" s="42" t="s">
        <v>97</v>
      </c>
      <c r="E50" s="42"/>
      <c r="F50" s="10">
        <v>0</v>
      </c>
      <c r="G50" s="10">
        <v>1</v>
      </c>
      <c r="H50" s="50">
        <v>0</v>
      </c>
      <c r="I50" s="50">
        <v>0</v>
      </c>
      <c r="J50" s="50">
        <v>0</v>
      </c>
      <c r="K50" s="39" t="s">
        <v>30</v>
      </c>
      <c r="L50" s="11">
        <f t="shared" si="7"/>
        <v>0</v>
      </c>
      <c r="M50" s="10">
        <f t="shared" si="13"/>
        <v>1.2</v>
      </c>
      <c r="N50" s="10">
        <f t="shared" si="8"/>
        <v>0</v>
      </c>
      <c r="O50" s="10">
        <v>0</v>
      </c>
      <c r="P50" s="10">
        <f t="shared" si="9"/>
        <v>1.2</v>
      </c>
      <c r="Q50" s="17">
        <v>14.437727649769574</v>
      </c>
      <c r="R50" s="18">
        <f t="shared" si="10"/>
        <v>15.637727649769573</v>
      </c>
      <c r="S50" s="19">
        <f t="shared" si="11"/>
        <v>0</v>
      </c>
      <c r="T50" s="20">
        <f t="shared" si="12"/>
        <v>15.637727649769573</v>
      </c>
    </row>
    <row r="51" spans="1:20" ht="17.399999999999999">
      <c r="A51" s="9">
        <v>1</v>
      </c>
      <c r="B51" s="8">
        <v>155</v>
      </c>
      <c r="C51" s="8">
        <v>1532576874</v>
      </c>
      <c r="D51" s="42" t="s">
        <v>63</v>
      </c>
      <c r="E51" s="42" t="s">
        <v>46</v>
      </c>
      <c r="F51" s="10">
        <v>0</v>
      </c>
      <c r="G51" s="10">
        <v>0</v>
      </c>
      <c r="H51" s="50">
        <v>0</v>
      </c>
      <c r="I51" s="50">
        <v>0</v>
      </c>
      <c r="J51" s="50">
        <v>0</v>
      </c>
      <c r="K51" s="39" t="s">
        <v>30</v>
      </c>
      <c r="L51" s="11">
        <f t="shared" si="7"/>
        <v>0</v>
      </c>
      <c r="M51" s="10">
        <f t="shared" si="13"/>
        <v>0</v>
      </c>
      <c r="N51" s="10">
        <f t="shared" si="8"/>
        <v>0</v>
      </c>
      <c r="O51" s="10">
        <v>0</v>
      </c>
      <c r="P51" s="10">
        <f t="shared" si="9"/>
        <v>0</v>
      </c>
      <c r="Q51" s="17">
        <v>15.212499999999999</v>
      </c>
      <c r="R51" s="18">
        <f t="shared" si="10"/>
        <v>15.212499999999999</v>
      </c>
      <c r="S51" s="19">
        <f t="shared" si="11"/>
        <v>0</v>
      </c>
      <c r="T51" s="20">
        <f t="shared" si="12"/>
        <v>15.212499999999999</v>
      </c>
    </row>
    <row r="52" spans="1:20" ht="17.399999999999999">
      <c r="A52" s="9">
        <v>1</v>
      </c>
      <c r="B52" s="8">
        <v>223</v>
      </c>
      <c r="C52" s="8">
        <v>784792167</v>
      </c>
      <c r="D52" s="42" t="s">
        <v>98</v>
      </c>
      <c r="E52" s="42"/>
      <c r="F52" s="10">
        <v>0</v>
      </c>
      <c r="G52" s="10">
        <v>0</v>
      </c>
      <c r="H52" s="50">
        <v>0</v>
      </c>
      <c r="I52" s="50">
        <v>0</v>
      </c>
      <c r="J52" s="50">
        <v>0</v>
      </c>
      <c r="K52" s="39" t="s">
        <v>30</v>
      </c>
      <c r="L52" s="11">
        <f t="shared" si="7"/>
        <v>0</v>
      </c>
      <c r="M52" s="10">
        <f t="shared" si="13"/>
        <v>0</v>
      </c>
      <c r="N52" s="10">
        <f t="shared" si="8"/>
        <v>0</v>
      </c>
      <c r="O52" s="10">
        <v>0</v>
      </c>
      <c r="P52" s="10">
        <f t="shared" si="9"/>
        <v>0</v>
      </c>
      <c r="Q52" s="17">
        <v>10.624999999999996</v>
      </c>
      <c r="R52" s="18">
        <f t="shared" si="10"/>
        <v>10.624999999999996</v>
      </c>
      <c r="S52" s="19">
        <f t="shared" si="11"/>
        <v>0</v>
      </c>
      <c r="T52" s="20">
        <f t="shared" si="12"/>
        <v>10.624999999999996</v>
      </c>
    </row>
    <row r="53" spans="1:20" ht="17.399999999999999">
      <c r="A53" s="9">
        <v>1</v>
      </c>
      <c r="B53" s="8">
        <v>219</v>
      </c>
      <c r="C53" s="8">
        <v>1128309198</v>
      </c>
      <c r="D53" s="42" t="s">
        <v>93</v>
      </c>
      <c r="E53" s="47"/>
      <c r="F53" s="10">
        <v>0</v>
      </c>
      <c r="G53" s="10">
        <v>0</v>
      </c>
      <c r="H53" s="50">
        <v>0</v>
      </c>
      <c r="I53" s="50">
        <v>0</v>
      </c>
      <c r="J53" s="50">
        <v>0</v>
      </c>
      <c r="K53" s="39" t="s">
        <v>30</v>
      </c>
      <c r="L53" s="11">
        <f t="shared" si="7"/>
        <v>0</v>
      </c>
      <c r="M53" s="10">
        <f t="shared" si="13"/>
        <v>0</v>
      </c>
      <c r="N53" s="10">
        <f t="shared" si="8"/>
        <v>0</v>
      </c>
      <c r="O53" s="10">
        <v>0</v>
      </c>
      <c r="P53" s="10">
        <f t="shared" si="9"/>
        <v>0</v>
      </c>
      <c r="Q53" s="17">
        <v>9.4499999999999957</v>
      </c>
      <c r="R53" s="18">
        <f t="shared" si="10"/>
        <v>9.4499999999999957</v>
      </c>
      <c r="S53" s="19">
        <f t="shared" si="11"/>
        <v>0</v>
      </c>
      <c r="T53" s="20">
        <f t="shared" si="12"/>
        <v>9.4499999999999957</v>
      </c>
    </row>
    <row r="54" spans="1:20" ht="20.399999999999999">
      <c r="A54" s="9">
        <v>1</v>
      </c>
      <c r="B54" s="8">
        <v>214</v>
      </c>
      <c r="C54" s="8">
        <v>2130976604</v>
      </c>
      <c r="D54" s="42" t="s">
        <v>86</v>
      </c>
      <c r="E54" s="2"/>
      <c r="F54" s="10">
        <v>1</v>
      </c>
      <c r="G54" s="10">
        <v>0</v>
      </c>
      <c r="H54" s="50">
        <v>0</v>
      </c>
      <c r="I54" s="50">
        <v>0</v>
      </c>
      <c r="J54" s="50">
        <v>0</v>
      </c>
      <c r="K54" s="14" t="s">
        <v>53</v>
      </c>
      <c r="L54" s="11">
        <f t="shared" si="7"/>
        <v>1</v>
      </c>
      <c r="M54" s="10">
        <f t="shared" si="13"/>
        <v>0</v>
      </c>
      <c r="N54" s="10">
        <f t="shared" si="8"/>
        <v>0</v>
      </c>
      <c r="O54" s="10">
        <v>0</v>
      </c>
      <c r="P54" s="10">
        <f t="shared" si="9"/>
        <v>1</v>
      </c>
      <c r="Q54" s="17">
        <v>6.7812499999999893</v>
      </c>
      <c r="R54" s="18">
        <f t="shared" si="10"/>
        <v>7.7812499999999893</v>
      </c>
      <c r="S54" s="19">
        <f t="shared" si="11"/>
        <v>1.09375</v>
      </c>
      <c r="T54" s="20">
        <f t="shared" si="12"/>
        <v>6.6874999999999893</v>
      </c>
    </row>
    <row r="55" spans="1:20" ht="17.399999999999999">
      <c r="A55" s="9">
        <v>1</v>
      </c>
      <c r="B55" s="8">
        <v>239</v>
      </c>
      <c r="C55" s="8">
        <v>416459640</v>
      </c>
      <c r="D55" s="42" t="s">
        <v>122</v>
      </c>
      <c r="F55" s="10">
        <v>0</v>
      </c>
      <c r="G55" s="10">
        <v>0</v>
      </c>
      <c r="H55" s="50">
        <v>0</v>
      </c>
      <c r="I55" s="50">
        <v>0</v>
      </c>
      <c r="J55" s="50">
        <v>0</v>
      </c>
      <c r="K55" s="39" t="s">
        <v>30</v>
      </c>
      <c r="L55" s="11">
        <f t="shared" si="7"/>
        <v>0</v>
      </c>
      <c r="M55" s="10">
        <f t="shared" si="13"/>
        <v>0</v>
      </c>
      <c r="N55" s="10">
        <f t="shared" si="8"/>
        <v>0</v>
      </c>
      <c r="O55" s="10">
        <v>0</v>
      </c>
      <c r="P55" s="10">
        <f t="shared" si="9"/>
        <v>0</v>
      </c>
      <c r="Q55" s="17">
        <v>7.1625000000000014</v>
      </c>
      <c r="R55" s="18">
        <f t="shared" si="10"/>
        <v>7.1625000000000014</v>
      </c>
      <c r="S55" s="19">
        <f t="shared" si="11"/>
        <v>0</v>
      </c>
      <c r="T55" s="20">
        <f t="shared" si="12"/>
        <v>7.1625000000000014</v>
      </c>
    </row>
    <row r="56" spans="1:20" ht="17.399999999999999">
      <c r="A56" s="9">
        <v>1</v>
      </c>
      <c r="B56" s="8">
        <v>192</v>
      </c>
      <c r="C56" s="8">
        <v>1725281178</v>
      </c>
      <c r="D56" s="42" t="s">
        <v>71</v>
      </c>
      <c r="E56" s="47"/>
      <c r="F56" s="10">
        <v>0</v>
      </c>
      <c r="G56" s="10">
        <v>0</v>
      </c>
      <c r="H56" s="50">
        <v>0</v>
      </c>
      <c r="I56" s="50">
        <v>0</v>
      </c>
      <c r="J56" s="50">
        <v>0</v>
      </c>
      <c r="K56" s="39" t="s">
        <v>30</v>
      </c>
      <c r="L56" s="11">
        <f t="shared" si="7"/>
        <v>0</v>
      </c>
      <c r="M56" s="10">
        <f t="shared" si="13"/>
        <v>0</v>
      </c>
      <c r="N56" s="10">
        <f t="shared" si="8"/>
        <v>0</v>
      </c>
      <c r="O56" s="10">
        <v>0</v>
      </c>
      <c r="P56" s="10">
        <f t="shared" si="9"/>
        <v>0</v>
      </c>
      <c r="Q56" s="17">
        <v>3.1437499999999954</v>
      </c>
      <c r="R56" s="18">
        <f t="shared" si="10"/>
        <v>3.1437499999999954</v>
      </c>
      <c r="S56" s="19">
        <f t="shared" si="11"/>
        <v>0</v>
      </c>
      <c r="T56" s="20">
        <f t="shared" si="12"/>
        <v>3.1437499999999954</v>
      </c>
    </row>
    <row r="57" spans="1:20" ht="17.399999999999999">
      <c r="A57" s="9">
        <v>1</v>
      </c>
      <c r="B57" s="8">
        <v>235</v>
      </c>
      <c r="C57" s="8">
        <v>988684940</v>
      </c>
      <c r="D57" s="42" t="s">
        <v>116</v>
      </c>
      <c r="F57" s="10">
        <v>1</v>
      </c>
      <c r="G57" s="10">
        <v>0</v>
      </c>
      <c r="H57" s="50">
        <v>0</v>
      </c>
      <c r="I57" s="50">
        <v>0</v>
      </c>
      <c r="J57" s="50">
        <v>0</v>
      </c>
      <c r="K57" s="14" t="s">
        <v>53</v>
      </c>
      <c r="L57" s="11">
        <f t="shared" si="7"/>
        <v>1</v>
      </c>
      <c r="M57" s="10">
        <f t="shared" si="13"/>
        <v>0</v>
      </c>
      <c r="N57" s="10">
        <f t="shared" si="8"/>
        <v>0</v>
      </c>
      <c r="O57" s="10">
        <v>0</v>
      </c>
      <c r="P57" s="10">
        <f t="shared" si="9"/>
        <v>1</v>
      </c>
      <c r="Q57" s="17">
        <v>1.84375</v>
      </c>
      <c r="R57" s="18">
        <f t="shared" si="10"/>
        <v>2.84375</v>
      </c>
      <c r="S57" s="19">
        <f t="shared" si="11"/>
        <v>1.09375</v>
      </c>
      <c r="T57" s="20">
        <f t="shared" si="12"/>
        <v>1.75</v>
      </c>
    </row>
    <row r="58" spans="1:20" ht="20.399999999999999">
      <c r="A58" s="9">
        <v>1</v>
      </c>
      <c r="B58" s="8">
        <v>220</v>
      </c>
      <c r="C58" s="8">
        <v>353335311</v>
      </c>
      <c r="D58" s="42" t="s">
        <v>94</v>
      </c>
      <c r="E58" s="44"/>
      <c r="F58" s="10">
        <v>0</v>
      </c>
      <c r="G58" s="10">
        <v>0</v>
      </c>
      <c r="H58" s="50">
        <v>0</v>
      </c>
      <c r="I58" s="50">
        <v>0</v>
      </c>
      <c r="J58" s="50">
        <v>0</v>
      </c>
      <c r="K58" s="39" t="s">
        <v>30</v>
      </c>
      <c r="L58" s="11">
        <f t="shared" si="7"/>
        <v>0</v>
      </c>
      <c r="M58" s="10">
        <f t="shared" si="13"/>
        <v>0</v>
      </c>
      <c r="N58" s="10">
        <f t="shared" si="8"/>
        <v>0</v>
      </c>
      <c r="O58" s="10">
        <v>0</v>
      </c>
      <c r="P58" s="10">
        <f t="shared" si="9"/>
        <v>0</v>
      </c>
      <c r="Q58" s="17">
        <v>2.0310546874999984</v>
      </c>
      <c r="R58" s="18">
        <f t="shared" si="10"/>
        <v>2.0310546874999984</v>
      </c>
      <c r="S58" s="19">
        <f t="shared" si="11"/>
        <v>0</v>
      </c>
      <c r="T58" s="20">
        <f t="shared" si="12"/>
        <v>2.0310546874999984</v>
      </c>
    </row>
    <row r="59" spans="1:20" ht="17.399999999999999">
      <c r="A59" s="9">
        <v>1</v>
      </c>
      <c r="B59" s="8">
        <v>233</v>
      </c>
      <c r="C59" s="8">
        <v>1963965829</v>
      </c>
      <c r="D59" s="42" t="s">
        <v>114</v>
      </c>
      <c r="F59" s="10">
        <v>0</v>
      </c>
      <c r="G59" s="10">
        <v>0</v>
      </c>
      <c r="H59" s="50">
        <v>0</v>
      </c>
      <c r="I59" s="50">
        <v>0</v>
      </c>
      <c r="J59" s="50">
        <v>0</v>
      </c>
      <c r="K59" s="39" t="s">
        <v>30</v>
      </c>
      <c r="L59" s="11">
        <f t="shared" si="7"/>
        <v>0</v>
      </c>
      <c r="M59" s="10">
        <f t="shared" si="13"/>
        <v>0</v>
      </c>
      <c r="N59" s="10">
        <f t="shared" si="8"/>
        <v>0</v>
      </c>
      <c r="O59" s="10">
        <v>0</v>
      </c>
      <c r="P59" s="10">
        <f t="shared" si="9"/>
        <v>0</v>
      </c>
      <c r="Q59" s="17">
        <v>2.0000000000000018</v>
      </c>
      <c r="R59" s="18">
        <f t="shared" si="10"/>
        <v>2.0000000000000018</v>
      </c>
      <c r="S59" s="19">
        <f t="shared" si="11"/>
        <v>0</v>
      </c>
      <c r="T59" s="20">
        <f t="shared" si="12"/>
        <v>2.0000000000000018</v>
      </c>
    </row>
    <row r="60" spans="1:20" ht="17.399999999999999">
      <c r="A60" s="9">
        <v>1</v>
      </c>
      <c r="B60" s="8">
        <v>207</v>
      </c>
      <c r="C60" s="8">
        <v>721273803</v>
      </c>
      <c r="D60" s="45" t="s">
        <v>81</v>
      </c>
      <c r="E60" s="47"/>
      <c r="F60" s="10">
        <v>0</v>
      </c>
      <c r="G60" s="10">
        <v>0</v>
      </c>
      <c r="H60" s="50">
        <v>0</v>
      </c>
      <c r="I60" s="50">
        <v>0</v>
      </c>
      <c r="J60" s="50">
        <v>0</v>
      </c>
      <c r="K60" s="39" t="s">
        <v>30</v>
      </c>
      <c r="L60" s="11">
        <f t="shared" si="7"/>
        <v>0</v>
      </c>
      <c r="M60" s="10">
        <f t="shared" si="13"/>
        <v>0</v>
      </c>
      <c r="N60" s="10">
        <f t="shared" si="8"/>
        <v>0</v>
      </c>
      <c r="O60" s="10">
        <v>0</v>
      </c>
      <c r="P60" s="10">
        <f t="shared" si="9"/>
        <v>0</v>
      </c>
      <c r="Q60" s="17">
        <v>1.425</v>
      </c>
      <c r="R60" s="18">
        <f t="shared" si="10"/>
        <v>1.425</v>
      </c>
      <c r="S60" s="19">
        <f t="shared" si="11"/>
        <v>0</v>
      </c>
      <c r="T60" s="20">
        <f t="shared" si="12"/>
        <v>1.425</v>
      </c>
    </row>
    <row r="61" spans="1:20" ht="20.399999999999999">
      <c r="A61" s="9">
        <v>1</v>
      </c>
      <c r="B61" s="8">
        <v>213</v>
      </c>
      <c r="C61" s="8">
        <v>311361673</v>
      </c>
      <c r="D61" s="42" t="s">
        <v>55</v>
      </c>
      <c r="E61" s="2"/>
      <c r="F61" s="10">
        <v>0</v>
      </c>
      <c r="G61" s="10">
        <v>0</v>
      </c>
      <c r="H61" s="50">
        <v>0</v>
      </c>
      <c r="I61" s="50">
        <v>0</v>
      </c>
      <c r="J61" s="50">
        <v>0</v>
      </c>
      <c r="K61" s="39" t="s">
        <v>30</v>
      </c>
      <c r="L61" s="11">
        <f t="shared" si="7"/>
        <v>0</v>
      </c>
      <c r="M61" s="10">
        <f t="shared" si="13"/>
        <v>0</v>
      </c>
      <c r="N61" s="10">
        <f t="shared" si="8"/>
        <v>0</v>
      </c>
      <c r="O61" s="10">
        <v>0</v>
      </c>
      <c r="P61" s="10">
        <f t="shared" si="9"/>
        <v>0</v>
      </c>
      <c r="Q61" s="17">
        <v>1.2687499999999945</v>
      </c>
      <c r="R61" s="18">
        <f t="shared" si="10"/>
        <v>1.2687499999999945</v>
      </c>
      <c r="S61" s="19">
        <f t="shared" si="11"/>
        <v>0</v>
      </c>
      <c r="T61" s="20">
        <f t="shared" si="12"/>
        <v>1.2687499999999945</v>
      </c>
    </row>
    <row r="62" spans="1:20" ht="17.399999999999999">
      <c r="A62" s="9">
        <v>1</v>
      </c>
      <c r="B62" s="8">
        <v>242</v>
      </c>
      <c r="C62" s="8">
        <v>250098915</v>
      </c>
      <c r="D62" s="42" t="s">
        <v>131</v>
      </c>
      <c r="F62" s="10">
        <v>0</v>
      </c>
      <c r="G62" s="10">
        <v>0</v>
      </c>
      <c r="H62" s="50">
        <v>0</v>
      </c>
      <c r="I62" s="50">
        <v>0</v>
      </c>
      <c r="J62" s="50">
        <v>0</v>
      </c>
      <c r="K62" s="39" t="s">
        <v>30</v>
      </c>
      <c r="L62" s="11">
        <f t="shared" si="7"/>
        <v>0</v>
      </c>
      <c r="M62" s="10">
        <f t="shared" si="13"/>
        <v>0</v>
      </c>
      <c r="N62" s="10">
        <f t="shared" si="8"/>
        <v>0</v>
      </c>
      <c r="O62" s="10">
        <v>0</v>
      </c>
      <c r="P62" s="10">
        <f t="shared" si="9"/>
        <v>0</v>
      </c>
      <c r="Q62" s="17">
        <v>0.90625</v>
      </c>
      <c r="R62" s="18">
        <f t="shared" si="10"/>
        <v>0.90625</v>
      </c>
      <c r="S62" s="19">
        <f t="shared" si="11"/>
        <v>0</v>
      </c>
      <c r="T62" s="20">
        <f t="shared" si="12"/>
        <v>0.90625</v>
      </c>
    </row>
    <row r="63" spans="1:20" ht="17.399999999999999">
      <c r="A63" s="9">
        <v>1</v>
      </c>
      <c r="B63" s="8">
        <v>242</v>
      </c>
      <c r="C63" s="8">
        <v>1769984287</v>
      </c>
      <c r="D63" s="8" t="s">
        <v>132</v>
      </c>
      <c r="F63" s="10">
        <v>0</v>
      </c>
      <c r="G63" s="10">
        <v>0</v>
      </c>
      <c r="H63" s="50">
        <v>0</v>
      </c>
      <c r="I63" s="50">
        <v>0</v>
      </c>
      <c r="J63" s="50">
        <v>0</v>
      </c>
      <c r="K63" s="39" t="s">
        <v>30</v>
      </c>
      <c r="L63" s="11">
        <f t="shared" si="7"/>
        <v>0</v>
      </c>
      <c r="M63" s="10">
        <f t="shared" si="13"/>
        <v>0</v>
      </c>
      <c r="N63" s="10">
        <f t="shared" si="8"/>
        <v>0</v>
      </c>
      <c r="O63" s="10">
        <v>0</v>
      </c>
      <c r="P63" s="10">
        <f t="shared" si="9"/>
        <v>0</v>
      </c>
      <c r="Q63" s="17">
        <v>0.65000000000000036</v>
      </c>
      <c r="R63" s="18">
        <f t="shared" si="10"/>
        <v>0.65000000000000036</v>
      </c>
      <c r="S63" s="19">
        <f t="shared" si="11"/>
        <v>0</v>
      </c>
      <c r="T63" s="20">
        <f t="shared" si="12"/>
        <v>0.65000000000000036</v>
      </c>
    </row>
    <row r="64" spans="1:20" ht="17.399999999999999">
      <c r="A64" s="9">
        <v>1</v>
      </c>
      <c r="B64" s="8">
        <v>218</v>
      </c>
      <c r="C64" s="8">
        <v>1804880865</v>
      </c>
      <c r="D64" s="42" t="s">
        <v>92</v>
      </c>
      <c r="E64" s="47"/>
      <c r="F64" s="10">
        <v>0</v>
      </c>
      <c r="G64" s="10">
        <v>0</v>
      </c>
      <c r="H64" s="50">
        <v>0</v>
      </c>
      <c r="I64" s="50">
        <v>0</v>
      </c>
      <c r="J64" s="50">
        <v>0</v>
      </c>
      <c r="K64" s="39" t="s">
        <v>30</v>
      </c>
      <c r="L64" s="11">
        <f t="shared" si="7"/>
        <v>0</v>
      </c>
      <c r="M64" s="10">
        <f t="shared" si="13"/>
        <v>0</v>
      </c>
      <c r="N64" s="10">
        <f t="shared" si="8"/>
        <v>0</v>
      </c>
      <c r="O64" s="10">
        <v>0</v>
      </c>
      <c r="P64" s="10">
        <f t="shared" si="9"/>
        <v>0</v>
      </c>
      <c r="Q64" s="17">
        <v>0.11749999999999983</v>
      </c>
      <c r="R64" s="18">
        <f t="shared" si="10"/>
        <v>0.11749999999999983</v>
      </c>
      <c r="S64" s="19">
        <f t="shared" si="11"/>
        <v>0</v>
      </c>
      <c r="T64" s="20">
        <f t="shared" si="12"/>
        <v>0.11749999999999983</v>
      </c>
    </row>
    <row r="65" spans="1:23" ht="17.399999999999999">
      <c r="A65" s="9">
        <v>1</v>
      </c>
      <c r="B65" s="8">
        <v>217</v>
      </c>
      <c r="C65" s="8">
        <v>331155825</v>
      </c>
      <c r="D65" s="46" t="s">
        <v>89</v>
      </c>
      <c r="E65" s="2"/>
      <c r="F65" s="10">
        <v>0</v>
      </c>
      <c r="G65" s="10">
        <v>0</v>
      </c>
      <c r="H65" s="50">
        <v>0</v>
      </c>
      <c r="I65" s="50">
        <v>0</v>
      </c>
      <c r="J65" s="50">
        <v>0</v>
      </c>
      <c r="K65" s="39" t="s">
        <v>30</v>
      </c>
      <c r="L65" s="11">
        <f t="shared" si="7"/>
        <v>0</v>
      </c>
      <c r="M65" s="10">
        <f t="shared" si="13"/>
        <v>0</v>
      </c>
      <c r="N65" s="10">
        <f t="shared" si="8"/>
        <v>0</v>
      </c>
      <c r="O65" s="10">
        <v>0</v>
      </c>
      <c r="P65" s="10">
        <f t="shared" si="9"/>
        <v>0</v>
      </c>
      <c r="Q65" s="17">
        <v>-1.3124999999999984</v>
      </c>
      <c r="R65" s="18">
        <f t="shared" si="10"/>
        <v>-1.3124999999999984</v>
      </c>
      <c r="S65" s="19">
        <f t="shared" si="11"/>
        <v>0</v>
      </c>
      <c r="T65" s="20">
        <f t="shared" si="12"/>
        <v>-1.3124999999999984</v>
      </c>
    </row>
    <row r="66" spans="1:23" ht="17.399999999999999">
      <c r="A66" s="9">
        <v>1</v>
      </c>
      <c r="B66" s="8">
        <v>237</v>
      </c>
      <c r="C66" s="8">
        <v>1331532576</v>
      </c>
      <c r="D66" s="42" t="s">
        <v>119</v>
      </c>
      <c r="F66" s="10">
        <v>0</v>
      </c>
      <c r="G66" s="10">
        <v>0</v>
      </c>
      <c r="H66" s="50">
        <v>0</v>
      </c>
      <c r="I66" s="50">
        <v>0</v>
      </c>
      <c r="J66" s="50">
        <v>0</v>
      </c>
      <c r="K66" s="39" t="s">
        <v>30</v>
      </c>
      <c r="L66" s="11">
        <f t="shared" si="7"/>
        <v>0</v>
      </c>
      <c r="M66" s="10">
        <f t="shared" si="13"/>
        <v>0</v>
      </c>
      <c r="N66" s="10">
        <f t="shared" si="8"/>
        <v>0</v>
      </c>
      <c r="O66" s="10">
        <v>0</v>
      </c>
      <c r="P66" s="10">
        <f t="shared" si="9"/>
        <v>0</v>
      </c>
      <c r="Q66" s="17">
        <v>-2.5499999999999998</v>
      </c>
      <c r="R66" s="18">
        <f t="shared" si="10"/>
        <v>-2.5499999999999998</v>
      </c>
      <c r="S66" s="19">
        <f t="shared" si="11"/>
        <v>0</v>
      </c>
      <c r="T66" s="20">
        <f t="shared" si="12"/>
        <v>-2.5499999999999998</v>
      </c>
    </row>
    <row r="67" spans="1:23" ht="17.399999999999999">
      <c r="A67" s="9">
        <v>1</v>
      </c>
      <c r="B67" s="8">
        <v>228</v>
      </c>
      <c r="C67" s="8">
        <v>1287481910</v>
      </c>
      <c r="D67" s="42" t="s">
        <v>109</v>
      </c>
      <c r="E67" s="42"/>
      <c r="F67" s="10">
        <v>0</v>
      </c>
      <c r="G67" s="10">
        <v>0</v>
      </c>
      <c r="H67" s="50">
        <v>0</v>
      </c>
      <c r="I67" s="50">
        <v>0</v>
      </c>
      <c r="J67" s="50">
        <v>0</v>
      </c>
      <c r="K67" s="39" t="s">
        <v>30</v>
      </c>
      <c r="L67" s="11">
        <f t="shared" si="7"/>
        <v>0</v>
      </c>
      <c r="M67" s="10">
        <f t="shared" si="13"/>
        <v>0</v>
      </c>
      <c r="N67" s="10">
        <f t="shared" si="8"/>
        <v>0</v>
      </c>
      <c r="O67" s="10">
        <v>0</v>
      </c>
      <c r="P67" s="10">
        <f t="shared" si="9"/>
        <v>0</v>
      </c>
      <c r="Q67" s="17">
        <v>-4.1499999999999995</v>
      </c>
      <c r="R67" s="18">
        <f t="shared" si="10"/>
        <v>-4.1499999999999995</v>
      </c>
      <c r="S67" s="19">
        <f t="shared" si="11"/>
        <v>0</v>
      </c>
      <c r="T67" s="20">
        <f t="shared" si="12"/>
        <v>-4.1499999999999995</v>
      </c>
    </row>
    <row r="68" spans="1:23" ht="17.399999999999999">
      <c r="A68" s="9">
        <v>1</v>
      </c>
      <c r="B68" s="8">
        <v>141</v>
      </c>
      <c r="C68" s="8">
        <v>1190305158</v>
      </c>
      <c r="D68" s="42" t="s">
        <v>44</v>
      </c>
      <c r="E68" s="44"/>
      <c r="F68" s="10">
        <v>0</v>
      </c>
      <c r="G68" s="10">
        <v>0</v>
      </c>
      <c r="H68" s="50">
        <v>0</v>
      </c>
      <c r="I68" s="50">
        <v>0</v>
      </c>
      <c r="J68" s="50">
        <v>0</v>
      </c>
      <c r="K68" s="39" t="s">
        <v>30</v>
      </c>
      <c r="L68" s="11">
        <f t="shared" si="7"/>
        <v>0</v>
      </c>
      <c r="M68" s="10">
        <f t="shared" si="13"/>
        <v>0</v>
      </c>
      <c r="N68" s="10">
        <f t="shared" si="8"/>
        <v>0</v>
      </c>
      <c r="O68" s="10">
        <v>0</v>
      </c>
      <c r="P68" s="10">
        <f t="shared" si="9"/>
        <v>0</v>
      </c>
      <c r="Q68" s="17">
        <v>-7.8937500000000043</v>
      </c>
      <c r="R68" s="18">
        <f t="shared" si="10"/>
        <v>-7.8937500000000043</v>
      </c>
      <c r="S68" s="19">
        <f t="shared" si="11"/>
        <v>0</v>
      </c>
      <c r="T68" s="20">
        <f t="shared" si="12"/>
        <v>-7.8937500000000043</v>
      </c>
      <c r="U68" s="40"/>
      <c r="V68" s="40"/>
      <c r="W68" s="41"/>
    </row>
    <row r="69" spans="1:23" ht="17.399999999999999">
      <c r="A69" s="9">
        <v>1</v>
      </c>
      <c r="B69" s="8">
        <v>203</v>
      </c>
      <c r="C69" s="8">
        <v>382695365</v>
      </c>
      <c r="D69" s="42" t="s">
        <v>78</v>
      </c>
      <c r="E69" s="47"/>
      <c r="F69" s="10">
        <v>0</v>
      </c>
      <c r="G69" s="10">
        <v>0</v>
      </c>
      <c r="H69" s="50">
        <v>0</v>
      </c>
      <c r="I69" s="50">
        <v>0</v>
      </c>
      <c r="J69" s="50">
        <v>0</v>
      </c>
      <c r="K69" s="39" t="s">
        <v>30</v>
      </c>
      <c r="L69" s="11">
        <f t="shared" si="7"/>
        <v>0</v>
      </c>
      <c r="M69" s="10">
        <f t="shared" si="13"/>
        <v>0</v>
      </c>
      <c r="N69" s="10">
        <f t="shared" si="8"/>
        <v>0</v>
      </c>
      <c r="O69" s="10">
        <v>0</v>
      </c>
      <c r="P69" s="10">
        <f t="shared" ref="P69" si="14">SUM(M69+L69+O69+N69)</f>
        <v>0</v>
      </c>
      <c r="Q69" s="17">
        <v>-16.90625</v>
      </c>
      <c r="R69" s="18">
        <f t="shared" ref="R69" si="15">P69+Q69</f>
        <v>-16.90625</v>
      </c>
      <c r="S69" s="19">
        <f t="shared" si="11"/>
        <v>0</v>
      </c>
      <c r="T69" s="20">
        <f t="shared" ref="T69" si="16">R69-S69</f>
        <v>-16.90625</v>
      </c>
    </row>
  </sheetData>
  <autoFilter ref="A4:W69" xr:uid="{28593B8F-03E7-4BE1-B554-FC0AADC431B2}">
    <sortState xmlns:xlrd2="http://schemas.microsoft.com/office/spreadsheetml/2017/richdata2" ref="A5:W69">
      <sortCondition descending="1" ref="R4:R69"/>
    </sortState>
  </autoFilter>
  <mergeCells count="5">
    <mergeCell ref="B1:T1"/>
    <mergeCell ref="B2:T2"/>
    <mergeCell ref="B3:E3"/>
    <mergeCell ref="H3:J3"/>
    <mergeCell ref="K3:T3"/>
  </mergeCells>
  <conditionalFormatting sqref="O5:O69 F5:J69">
    <cfRule type="cellIs" dxfId="27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6F88-B498-4D8A-866E-15F371C46B2D}">
  <dimension ref="A1:AC69"/>
  <sheetViews>
    <sheetView zoomScale="85" zoomScaleNormal="85" workbookViewId="0">
      <selection activeCell="A3" sqref="A3"/>
    </sheetView>
  </sheetViews>
  <sheetFormatPr defaultColWidth="9" defaultRowHeight="14.4"/>
  <cols>
    <col min="1" max="1" width="6.44140625" customWidth="1"/>
    <col min="2" max="2" width="6.6640625" style="4" customWidth="1"/>
    <col min="3" max="3" width="19.77734375" style="5" customWidth="1"/>
    <col min="4" max="4" width="21.21875" style="5" customWidth="1"/>
    <col min="5" max="5" width="18.33203125" style="4" customWidth="1"/>
    <col min="6" max="6" width="13.109375" style="4" customWidth="1"/>
    <col min="7" max="7" width="13.77734375" style="4" customWidth="1"/>
    <col min="8" max="8" width="5.77734375" style="4" customWidth="1"/>
    <col min="9" max="9" width="5.88671875" style="4" customWidth="1"/>
    <col min="10" max="10" width="5.77734375" style="4" customWidth="1"/>
    <col min="11" max="11" width="20" style="4" customWidth="1"/>
    <col min="12" max="12" width="9" style="4" customWidth="1"/>
    <col min="13" max="13" width="12.109375" style="4" customWidth="1"/>
    <col min="14" max="14" width="11.33203125" style="4" customWidth="1"/>
    <col min="15" max="15" width="10" style="4" customWidth="1"/>
    <col min="16" max="16" width="9" style="4" customWidth="1"/>
    <col min="17" max="17" width="12.88671875" style="4" customWidth="1"/>
    <col min="18" max="18" width="12" style="4" customWidth="1"/>
    <col min="19" max="19" width="9.21875" style="4" customWidth="1"/>
    <col min="20" max="20" width="12.6640625" style="4" customWidth="1"/>
    <col min="21" max="23" width="11.109375" style="21" customWidth="1"/>
    <col min="24" max="24" width="22.44140625" customWidth="1"/>
  </cols>
  <sheetData>
    <row r="1" spans="1:29" ht="36.6" customHeight="1">
      <c r="B1" s="99" t="str">
        <f>CONCATENATE("157区 活动中心",Y15,"年",Y16,"月",Y17,"日","分包贡献明细"," 统计：一二三")</f>
        <v>157区 活动中心2021年8月28日分包贡献明细 统计：一二三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62"/>
      <c r="V1" s="62"/>
      <c r="W1" s="62"/>
      <c r="X1" s="22" t="s">
        <v>12</v>
      </c>
      <c r="Y1" s="5">
        <v>67</v>
      </c>
      <c r="Z1" s="3"/>
      <c r="AA1" s="3"/>
      <c r="AB1" s="3"/>
      <c r="AC1" s="3"/>
    </row>
    <row r="2" spans="1:29" ht="117.6" customHeight="1">
      <c r="B2" s="101" t="s">
        <v>126</v>
      </c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63"/>
      <c r="V2" s="63"/>
      <c r="W2" s="63"/>
      <c r="X2" s="23" t="s">
        <v>0</v>
      </c>
      <c r="Y2" s="24" t="s">
        <v>13</v>
      </c>
      <c r="Z2" s="25" t="s">
        <v>14</v>
      </c>
      <c r="AA2" s="25" t="s">
        <v>15</v>
      </c>
      <c r="AB2" s="25" t="s">
        <v>56</v>
      </c>
      <c r="AC2" s="26" t="s">
        <v>16</v>
      </c>
    </row>
    <row r="3" spans="1:29" ht="20.399999999999999">
      <c r="A3">
        <f>COUNTIF(K:K,"a跨服传说礼包")</f>
        <v>7</v>
      </c>
      <c r="B3" s="104" t="s">
        <v>20</v>
      </c>
      <c r="C3" s="104"/>
      <c r="D3" s="104"/>
      <c r="E3" s="104"/>
      <c r="F3" s="64" t="s">
        <v>17</v>
      </c>
      <c r="G3" s="65" t="s">
        <v>39</v>
      </c>
      <c r="H3" s="105" t="s">
        <v>99</v>
      </c>
      <c r="I3" s="105"/>
      <c r="J3" s="105"/>
      <c r="K3" s="106" t="s">
        <v>21</v>
      </c>
      <c r="L3" s="107"/>
      <c r="M3" s="107"/>
      <c r="N3" s="107"/>
      <c r="O3" s="107"/>
      <c r="P3" s="107"/>
      <c r="Q3" s="107"/>
      <c r="R3" s="107"/>
      <c r="S3" s="107"/>
      <c r="T3" s="108"/>
      <c r="U3" s="61"/>
      <c r="V3" s="61"/>
      <c r="W3" s="61"/>
      <c r="X3" s="27" t="s">
        <v>22</v>
      </c>
      <c r="Y3" s="28">
        <f>AC3/$Y$13</f>
        <v>11.875</v>
      </c>
      <c r="Z3" s="23">
        <v>5</v>
      </c>
      <c r="AA3" s="23">
        <v>7</v>
      </c>
      <c r="AB3" s="23">
        <v>20</v>
      </c>
      <c r="AC3" s="23">
        <v>1900</v>
      </c>
    </row>
    <row r="4" spans="1:29" ht="40.799999999999997">
      <c r="A4" s="67" t="s">
        <v>117</v>
      </c>
      <c r="B4" s="67" t="s">
        <v>2</v>
      </c>
      <c r="C4" s="60" t="s">
        <v>23</v>
      </c>
      <c r="D4" s="67" t="s">
        <v>3</v>
      </c>
      <c r="E4" s="67" t="s">
        <v>4</v>
      </c>
      <c r="F4" s="6" t="s">
        <v>40</v>
      </c>
      <c r="G4" s="7" t="s">
        <v>91</v>
      </c>
      <c r="H4" s="7" t="s">
        <v>100</v>
      </c>
      <c r="I4" s="7" t="s">
        <v>101</v>
      </c>
      <c r="J4" s="7" t="s">
        <v>102</v>
      </c>
      <c r="K4" s="6" t="s">
        <v>5</v>
      </c>
      <c r="L4" s="6" t="s">
        <v>24</v>
      </c>
      <c r="M4" s="7" t="s">
        <v>41</v>
      </c>
      <c r="N4" s="7" t="s">
        <v>104</v>
      </c>
      <c r="O4" s="7" t="s">
        <v>45</v>
      </c>
      <c r="P4" s="15" t="s">
        <v>25</v>
      </c>
      <c r="Q4" s="60" t="s">
        <v>26</v>
      </c>
      <c r="R4" s="16" t="s">
        <v>7</v>
      </c>
      <c r="S4" s="60" t="s">
        <v>6</v>
      </c>
      <c r="T4" s="60" t="s">
        <v>27</v>
      </c>
      <c r="U4" s="60" t="s">
        <v>18</v>
      </c>
      <c r="V4" s="60" t="s">
        <v>19</v>
      </c>
      <c r="W4" s="60" t="s">
        <v>1</v>
      </c>
      <c r="X4" s="29" t="s">
        <v>28</v>
      </c>
      <c r="Y4" s="28">
        <f>AC4/$Y$13</f>
        <v>9.6875</v>
      </c>
      <c r="Z4" s="23">
        <v>4</v>
      </c>
      <c r="AA4" s="23">
        <v>6</v>
      </c>
      <c r="AB4" s="23">
        <v>15</v>
      </c>
      <c r="AC4" s="23">
        <v>1550</v>
      </c>
    </row>
    <row r="5" spans="1:29" s="1" customFormat="1" ht="17.399999999999999">
      <c r="A5" s="9">
        <v>1</v>
      </c>
      <c r="B5" s="8">
        <v>240</v>
      </c>
      <c r="C5" s="8">
        <v>289805855</v>
      </c>
      <c r="D5" s="42" t="s">
        <v>123</v>
      </c>
      <c r="E5" s="4"/>
      <c r="F5" s="10">
        <v>2</v>
      </c>
      <c r="G5" s="10">
        <v>1</v>
      </c>
      <c r="H5" s="50">
        <v>0</v>
      </c>
      <c r="I5" s="50">
        <v>0</v>
      </c>
      <c r="J5" s="50">
        <v>0</v>
      </c>
      <c r="K5" s="14" t="s">
        <v>29</v>
      </c>
      <c r="L5" s="11">
        <f t="shared" ref="L5:L36" si="0">F5+IF(F5&gt;2,(F5-2)*1,0)</f>
        <v>2</v>
      </c>
      <c r="M5" s="10">
        <f t="shared" ref="M5:M32" si="1">G5*$Y$14</f>
        <v>1.2</v>
      </c>
      <c r="N5" s="10">
        <f t="shared" ref="N5:N36" si="2">SUM(H5:J5)*$Y$18</f>
        <v>0</v>
      </c>
      <c r="O5" s="10">
        <v>0</v>
      </c>
      <c r="P5" s="10">
        <f t="shared" ref="P5:P36" si="3">SUM(M5+L5+O5+N5)</f>
        <v>3.2</v>
      </c>
      <c r="Q5" s="17">
        <v>40.35</v>
      </c>
      <c r="R5" s="18">
        <f t="shared" ref="R5:R36" si="4">P5+Q5</f>
        <v>43.550000000000004</v>
      </c>
      <c r="S5" s="19">
        <f t="shared" ref="S5:S36" si="5">VLOOKUP(K5,$X$3:$Y$10,2,FALSE)</f>
        <v>1.875</v>
      </c>
      <c r="T5" s="20">
        <f t="shared" ref="T5:T36" si="6">R5-S5</f>
        <v>41.675000000000004</v>
      </c>
      <c r="U5" s="4"/>
      <c r="V5" s="4"/>
      <c r="W5" s="4"/>
      <c r="X5" s="14" t="s">
        <v>29</v>
      </c>
      <c r="Y5" s="28">
        <f>AC5/$Y$13/4</f>
        <v>1.875</v>
      </c>
      <c r="Z5" s="30">
        <v>3</v>
      </c>
      <c r="AA5" s="30">
        <v>5</v>
      </c>
      <c r="AB5" s="30">
        <v>10</v>
      </c>
      <c r="AC5" s="30">
        <v>1200</v>
      </c>
    </row>
    <row r="6" spans="1:29" s="1" customFormat="1" ht="17.399999999999999">
      <c r="A6" s="9">
        <v>1</v>
      </c>
      <c r="B6" s="8">
        <v>202</v>
      </c>
      <c r="C6" s="8">
        <v>471245585</v>
      </c>
      <c r="D6" s="42" t="s">
        <v>77</v>
      </c>
      <c r="E6" s="47"/>
      <c r="F6" s="10">
        <v>3</v>
      </c>
      <c r="G6" s="10">
        <v>1</v>
      </c>
      <c r="H6" s="50">
        <v>0</v>
      </c>
      <c r="I6" s="50">
        <v>0</v>
      </c>
      <c r="J6" s="50">
        <v>0</v>
      </c>
      <c r="K6" s="27" t="s">
        <v>22</v>
      </c>
      <c r="L6" s="11">
        <f t="shared" si="0"/>
        <v>4</v>
      </c>
      <c r="M6" s="10">
        <f t="shared" si="1"/>
        <v>1.2</v>
      </c>
      <c r="N6" s="10">
        <f t="shared" si="2"/>
        <v>0</v>
      </c>
      <c r="O6" s="10">
        <v>0</v>
      </c>
      <c r="P6" s="10">
        <f t="shared" si="3"/>
        <v>5.2</v>
      </c>
      <c r="Q6" s="17">
        <v>25.681249999999995</v>
      </c>
      <c r="R6" s="18">
        <f t="shared" si="4"/>
        <v>30.881249999999994</v>
      </c>
      <c r="S6" s="19">
        <f t="shared" si="5"/>
        <v>11.875</v>
      </c>
      <c r="T6" s="20">
        <f t="shared" si="6"/>
        <v>19.006249999999994</v>
      </c>
      <c r="U6" s="4"/>
      <c r="V6" s="4"/>
      <c r="W6" s="4"/>
      <c r="X6" s="14"/>
      <c r="Y6" s="28"/>
      <c r="Z6" s="30"/>
      <c r="AA6" s="30"/>
      <c r="AB6" s="30"/>
      <c r="AC6" s="30"/>
    </row>
    <row r="7" spans="1:29" s="1" customFormat="1" ht="17.399999999999999">
      <c r="A7" s="9">
        <v>1</v>
      </c>
      <c r="B7" s="8">
        <v>185</v>
      </c>
      <c r="C7" s="8">
        <v>30705222</v>
      </c>
      <c r="D7" s="42" t="s">
        <v>68</v>
      </c>
      <c r="E7" s="47"/>
      <c r="F7" s="10">
        <v>3</v>
      </c>
      <c r="G7" s="10">
        <v>1</v>
      </c>
      <c r="H7" s="50">
        <v>0</v>
      </c>
      <c r="I7" s="50">
        <v>1</v>
      </c>
      <c r="J7" s="50">
        <v>1</v>
      </c>
      <c r="K7" s="27" t="s">
        <v>22</v>
      </c>
      <c r="L7" s="11">
        <f t="shared" si="0"/>
        <v>4</v>
      </c>
      <c r="M7" s="10">
        <f t="shared" si="1"/>
        <v>1.2</v>
      </c>
      <c r="N7" s="10">
        <f t="shared" si="2"/>
        <v>0.8</v>
      </c>
      <c r="O7" s="10">
        <v>0</v>
      </c>
      <c r="P7" s="10">
        <f t="shared" si="3"/>
        <v>6</v>
      </c>
      <c r="Q7" s="17">
        <v>23.362500000000001</v>
      </c>
      <c r="R7" s="18">
        <f t="shared" si="4"/>
        <v>29.362500000000001</v>
      </c>
      <c r="S7" s="19">
        <f t="shared" si="5"/>
        <v>11.875</v>
      </c>
      <c r="T7" s="20">
        <f t="shared" si="6"/>
        <v>17.487500000000001</v>
      </c>
      <c r="U7" s="4"/>
      <c r="V7" s="4"/>
      <c r="W7" s="4"/>
      <c r="X7" s="12" t="s">
        <v>51</v>
      </c>
      <c r="Y7" s="28">
        <f>AC7/$Y$13</f>
        <v>8.125</v>
      </c>
      <c r="Z7" s="30">
        <v>4</v>
      </c>
      <c r="AA7" s="30">
        <v>5</v>
      </c>
      <c r="AB7" s="30"/>
      <c r="AC7" s="30">
        <v>1300</v>
      </c>
    </row>
    <row r="8" spans="1:29" s="1" customFormat="1" ht="17.399999999999999">
      <c r="A8" s="9">
        <v>1</v>
      </c>
      <c r="B8" s="8">
        <v>128</v>
      </c>
      <c r="C8" s="8">
        <v>1214614935</v>
      </c>
      <c r="D8" s="42" t="s">
        <v>62</v>
      </c>
      <c r="E8" s="49" t="s">
        <v>43</v>
      </c>
      <c r="F8" s="10">
        <v>3</v>
      </c>
      <c r="G8" s="10">
        <v>1</v>
      </c>
      <c r="H8" s="50">
        <v>0</v>
      </c>
      <c r="I8" s="50">
        <v>1</v>
      </c>
      <c r="J8" s="50">
        <v>1</v>
      </c>
      <c r="K8" s="27" t="s">
        <v>22</v>
      </c>
      <c r="L8" s="11">
        <f t="shared" si="0"/>
        <v>4</v>
      </c>
      <c r="M8" s="10">
        <f t="shared" si="1"/>
        <v>1.2</v>
      </c>
      <c r="N8" s="10">
        <f t="shared" si="2"/>
        <v>0.8</v>
      </c>
      <c r="O8" s="10">
        <v>0</v>
      </c>
      <c r="P8" s="10">
        <f t="shared" si="3"/>
        <v>6</v>
      </c>
      <c r="Q8" s="17">
        <v>23.205749999999995</v>
      </c>
      <c r="R8" s="18">
        <f t="shared" si="4"/>
        <v>29.205749999999995</v>
      </c>
      <c r="S8" s="19">
        <f t="shared" si="5"/>
        <v>11.875</v>
      </c>
      <c r="T8" s="20">
        <f t="shared" si="6"/>
        <v>17.330749999999995</v>
      </c>
      <c r="U8" s="11"/>
      <c r="V8" s="11"/>
      <c r="W8" s="31"/>
      <c r="X8" s="13" t="s">
        <v>52</v>
      </c>
      <c r="Y8" s="28">
        <f>AC8/$Y$13</f>
        <v>6.25</v>
      </c>
      <c r="Z8" s="30">
        <v>3</v>
      </c>
      <c r="AA8" s="30">
        <v>4</v>
      </c>
      <c r="AB8" s="30"/>
      <c r="AC8" s="30">
        <v>1000</v>
      </c>
    </row>
    <row r="9" spans="1:29" s="1" customFormat="1" ht="17.399999999999999">
      <c r="A9" s="9">
        <v>1</v>
      </c>
      <c r="B9" s="8">
        <v>110</v>
      </c>
      <c r="C9" s="8">
        <v>1968703358</v>
      </c>
      <c r="D9" s="42" t="s">
        <v>60</v>
      </c>
      <c r="E9" s="42" t="s">
        <v>38</v>
      </c>
      <c r="F9" s="10">
        <v>2</v>
      </c>
      <c r="G9" s="10">
        <v>1</v>
      </c>
      <c r="H9" s="50">
        <v>0</v>
      </c>
      <c r="I9" s="50">
        <v>0</v>
      </c>
      <c r="J9" s="50">
        <v>1</v>
      </c>
      <c r="K9" s="27" t="s">
        <v>22</v>
      </c>
      <c r="L9" s="11">
        <f t="shared" si="0"/>
        <v>2</v>
      </c>
      <c r="M9" s="10">
        <f t="shared" si="1"/>
        <v>1.2</v>
      </c>
      <c r="N9" s="10">
        <f t="shared" si="2"/>
        <v>0.4</v>
      </c>
      <c r="O9" s="10">
        <v>0</v>
      </c>
      <c r="P9" s="10">
        <f t="shared" si="3"/>
        <v>3.6</v>
      </c>
      <c r="Q9" s="17">
        <v>25.581250000000011</v>
      </c>
      <c r="R9" s="18">
        <f t="shared" si="4"/>
        <v>29.181250000000013</v>
      </c>
      <c r="S9" s="19">
        <f t="shared" si="5"/>
        <v>11.875</v>
      </c>
      <c r="T9" s="20">
        <f t="shared" si="6"/>
        <v>17.306250000000013</v>
      </c>
      <c r="U9" s="11"/>
      <c r="V9" s="11"/>
      <c r="W9" s="17"/>
      <c r="X9" s="14" t="s">
        <v>53</v>
      </c>
      <c r="Y9" s="28">
        <f>AC9/$Y$13/4</f>
        <v>1.09375</v>
      </c>
      <c r="Z9" s="30">
        <v>2</v>
      </c>
      <c r="AA9" s="30">
        <v>3</v>
      </c>
      <c r="AB9" s="30"/>
      <c r="AC9" s="30">
        <v>700</v>
      </c>
    </row>
    <row r="10" spans="1:29" s="1" customFormat="1" ht="17.399999999999999">
      <c r="A10" s="9">
        <v>1</v>
      </c>
      <c r="B10" s="8">
        <v>118</v>
      </c>
      <c r="C10" s="8">
        <v>2018112397</v>
      </c>
      <c r="D10" s="42" t="s">
        <v>54</v>
      </c>
      <c r="E10" s="42" t="s">
        <v>47</v>
      </c>
      <c r="F10" s="10">
        <v>2</v>
      </c>
      <c r="G10" s="10">
        <v>1</v>
      </c>
      <c r="H10" s="50">
        <v>0</v>
      </c>
      <c r="I10" s="50">
        <v>0</v>
      </c>
      <c r="J10" s="50">
        <v>0</v>
      </c>
      <c r="K10" s="27" t="s">
        <v>22</v>
      </c>
      <c r="L10" s="11">
        <f t="shared" si="0"/>
        <v>2</v>
      </c>
      <c r="M10" s="10">
        <f t="shared" si="1"/>
        <v>1.2</v>
      </c>
      <c r="N10" s="10">
        <f t="shared" si="2"/>
        <v>0</v>
      </c>
      <c r="O10" s="10">
        <v>0</v>
      </c>
      <c r="P10" s="10">
        <f t="shared" si="3"/>
        <v>3.2</v>
      </c>
      <c r="Q10" s="17">
        <v>25.837499999999991</v>
      </c>
      <c r="R10" s="18">
        <f t="shared" si="4"/>
        <v>29.037499999999991</v>
      </c>
      <c r="S10" s="19">
        <f t="shared" si="5"/>
        <v>11.875</v>
      </c>
      <c r="T10" s="20">
        <f t="shared" si="6"/>
        <v>17.162499999999991</v>
      </c>
      <c r="U10" s="11"/>
      <c r="V10" s="11"/>
      <c r="W10" s="32"/>
      <c r="X10" s="33" t="s">
        <v>30</v>
      </c>
      <c r="Y10" s="2">
        <v>0</v>
      </c>
      <c r="Z10" s="2"/>
      <c r="AA10" s="2"/>
      <c r="AB10" s="2"/>
      <c r="AC10" s="2"/>
    </row>
    <row r="11" spans="1:29" s="1" customFormat="1" ht="17.399999999999999">
      <c r="A11" s="9">
        <v>1</v>
      </c>
      <c r="B11" s="8">
        <v>215</v>
      </c>
      <c r="C11" s="8">
        <v>289805855</v>
      </c>
      <c r="D11" s="42" t="s">
        <v>87</v>
      </c>
      <c r="E11" s="2"/>
      <c r="F11" s="10">
        <v>3</v>
      </c>
      <c r="G11" s="10">
        <v>1</v>
      </c>
      <c r="H11" s="50">
        <v>0</v>
      </c>
      <c r="I11" s="50">
        <v>1</v>
      </c>
      <c r="J11" s="50">
        <v>1</v>
      </c>
      <c r="K11" s="27" t="s">
        <v>22</v>
      </c>
      <c r="L11" s="11">
        <f t="shared" si="0"/>
        <v>4</v>
      </c>
      <c r="M11" s="10">
        <f t="shared" si="1"/>
        <v>1.2</v>
      </c>
      <c r="N11" s="10">
        <f t="shared" si="2"/>
        <v>0.8</v>
      </c>
      <c r="O11" s="10">
        <v>0</v>
      </c>
      <c r="P11" s="10">
        <f t="shared" si="3"/>
        <v>6</v>
      </c>
      <c r="Q11" s="17">
        <v>22.594249999999995</v>
      </c>
      <c r="R11" s="18">
        <f t="shared" si="4"/>
        <v>28.594249999999995</v>
      </c>
      <c r="S11" s="19">
        <f t="shared" si="5"/>
        <v>11.875</v>
      </c>
      <c r="T11" s="20">
        <f t="shared" si="6"/>
        <v>16.719249999999995</v>
      </c>
      <c r="U11" s="4"/>
      <c r="V11" s="4"/>
      <c r="W11" s="4"/>
      <c r="X11" s="34"/>
    </row>
    <row r="12" spans="1:29" s="1" customFormat="1" ht="17.399999999999999">
      <c r="A12" s="9">
        <v>1</v>
      </c>
      <c r="B12" s="8">
        <v>184</v>
      </c>
      <c r="C12" s="8">
        <v>1814130074</v>
      </c>
      <c r="D12" s="42" t="s">
        <v>67</v>
      </c>
      <c r="E12" s="47"/>
      <c r="F12" s="10">
        <v>3</v>
      </c>
      <c r="G12" s="10">
        <v>1</v>
      </c>
      <c r="H12" s="50">
        <v>0</v>
      </c>
      <c r="I12" s="50">
        <v>1</v>
      </c>
      <c r="J12" s="50">
        <v>0</v>
      </c>
      <c r="K12" s="27" t="s">
        <v>22</v>
      </c>
      <c r="L12" s="11">
        <f t="shared" si="0"/>
        <v>4</v>
      </c>
      <c r="M12" s="10">
        <f t="shared" si="1"/>
        <v>1.2</v>
      </c>
      <c r="N12" s="10">
        <f t="shared" si="2"/>
        <v>0.4</v>
      </c>
      <c r="O12" s="10">
        <v>0</v>
      </c>
      <c r="P12" s="10">
        <f t="shared" si="3"/>
        <v>5.6000000000000005</v>
      </c>
      <c r="Q12" s="17">
        <v>22.925000000000015</v>
      </c>
      <c r="R12" s="18">
        <f t="shared" si="4"/>
        <v>28.525000000000016</v>
      </c>
      <c r="S12" s="19">
        <f t="shared" si="5"/>
        <v>11.875</v>
      </c>
      <c r="T12" s="20">
        <f t="shared" si="6"/>
        <v>16.650000000000016</v>
      </c>
      <c r="U12" s="4"/>
      <c r="V12" s="4"/>
      <c r="W12" s="4"/>
      <c r="X12" s="35" t="s">
        <v>32</v>
      </c>
      <c r="Y12" s="1">
        <v>15000</v>
      </c>
    </row>
    <row r="13" spans="1:29" s="2" customFormat="1" ht="17.399999999999999">
      <c r="A13" s="9">
        <v>1</v>
      </c>
      <c r="B13" s="8">
        <v>178</v>
      </c>
      <c r="C13" s="8">
        <v>1059185275</v>
      </c>
      <c r="D13" s="42" t="s">
        <v>66</v>
      </c>
      <c r="E13" s="47"/>
      <c r="F13" s="10">
        <v>3</v>
      </c>
      <c r="G13" s="10">
        <v>1</v>
      </c>
      <c r="H13" s="50">
        <v>0</v>
      </c>
      <c r="I13" s="50">
        <v>1</v>
      </c>
      <c r="J13" s="50">
        <v>1</v>
      </c>
      <c r="K13" s="29" t="s">
        <v>28</v>
      </c>
      <c r="L13" s="11">
        <f t="shared" si="0"/>
        <v>4</v>
      </c>
      <c r="M13" s="10">
        <f t="shared" si="1"/>
        <v>1.2</v>
      </c>
      <c r="N13" s="10">
        <f t="shared" si="2"/>
        <v>0.8</v>
      </c>
      <c r="O13" s="10">
        <v>0</v>
      </c>
      <c r="P13" s="10">
        <f t="shared" si="3"/>
        <v>6</v>
      </c>
      <c r="Q13" s="17">
        <v>22.481249999999996</v>
      </c>
      <c r="R13" s="18">
        <f t="shared" si="4"/>
        <v>28.481249999999996</v>
      </c>
      <c r="S13" s="19">
        <f t="shared" si="5"/>
        <v>9.6875</v>
      </c>
      <c r="T13" s="20">
        <f t="shared" si="6"/>
        <v>18.793749999999996</v>
      </c>
      <c r="U13" s="4"/>
      <c r="V13" s="4"/>
      <c r="W13" s="4"/>
      <c r="X13" s="36" t="s">
        <v>33</v>
      </c>
      <c r="Y13" s="37">
        <v>160</v>
      </c>
      <c r="Z13" s="1"/>
      <c r="AA13" s="1"/>
      <c r="AB13" s="1"/>
      <c r="AC13" s="1"/>
    </row>
    <row r="14" spans="1:29" s="2" customFormat="1" ht="20.399999999999999">
      <c r="A14" s="9">
        <v>1</v>
      </c>
      <c r="B14" s="8">
        <v>221</v>
      </c>
      <c r="C14" s="8">
        <v>790956883</v>
      </c>
      <c r="D14" s="42" t="s">
        <v>96</v>
      </c>
      <c r="E14" s="42" t="s">
        <v>95</v>
      </c>
      <c r="F14" s="10">
        <v>3</v>
      </c>
      <c r="G14" s="10">
        <v>1</v>
      </c>
      <c r="H14" s="50">
        <v>0</v>
      </c>
      <c r="I14" s="50">
        <v>0</v>
      </c>
      <c r="J14" s="50">
        <v>0</v>
      </c>
      <c r="K14" s="29" t="s">
        <v>28</v>
      </c>
      <c r="L14" s="11">
        <f t="shared" si="0"/>
        <v>4</v>
      </c>
      <c r="M14" s="10">
        <f t="shared" si="1"/>
        <v>1.2</v>
      </c>
      <c r="N14" s="10">
        <f t="shared" si="2"/>
        <v>0</v>
      </c>
      <c r="O14" s="10">
        <v>0</v>
      </c>
      <c r="P14" s="10">
        <f t="shared" si="3"/>
        <v>5.2</v>
      </c>
      <c r="Q14" s="17">
        <v>22.762499999999996</v>
      </c>
      <c r="R14" s="18">
        <f t="shared" si="4"/>
        <v>27.962499999999995</v>
      </c>
      <c r="S14" s="19">
        <f t="shared" si="5"/>
        <v>9.6875</v>
      </c>
      <c r="T14" s="20">
        <f t="shared" si="6"/>
        <v>18.274999999999995</v>
      </c>
      <c r="U14" s="4"/>
      <c r="V14" s="4"/>
      <c r="W14" s="4"/>
      <c r="X14" s="38" t="s">
        <v>42</v>
      </c>
      <c r="Y14" s="37">
        <v>1.2</v>
      </c>
      <c r="Z14" s="1"/>
      <c r="AA14" s="1"/>
      <c r="AB14" s="1"/>
      <c r="AC14" s="1"/>
    </row>
    <row r="15" spans="1:29" s="2" customFormat="1" ht="17.399999999999999">
      <c r="A15" s="9">
        <v>1</v>
      </c>
      <c r="B15" s="8">
        <v>225</v>
      </c>
      <c r="C15" s="8">
        <v>1963965829</v>
      </c>
      <c r="D15" s="42" t="s">
        <v>107</v>
      </c>
      <c r="E15" s="42"/>
      <c r="F15" s="10">
        <v>3</v>
      </c>
      <c r="G15" s="10">
        <v>1</v>
      </c>
      <c r="H15" s="50">
        <v>0</v>
      </c>
      <c r="I15" s="50">
        <v>0</v>
      </c>
      <c r="J15" s="50">
        <v>0</v>
      </c>
      <c r="K15" s="29" t="s">
        <v>28</v>
      </c>
      <c r="L15" s="11">
        <f t="shared" si="0"/>
        <v>4</v>
      </c>
      <c r="M15" s="10">
        <f t="shared" si="1"/>
        <v>1.2</v>
      </c>
      <c r="N15" s="10">
        <f t="shared" si="2"/>
        <v>0</v>
      </c>
      <c r="O15" s="10">
        <v>0</v>
      </c>
      <c r="P15" s="10">
        <f t="shared" si="3"/>
        <v>5.2</v>
      </c>
      <c r="Q15" s="17">
        <v>22.716986940298497</v>
      </c>
      <c r="R15" s="18">
        <f t="shared" si="4"/>
        <v>27.916986940298496</v>
      </c>
      <c r="S15" s="19">
        <f t="shared" si="5"/>
        <v>9.6875</v>
      </c>
      <c r="T15" s="20">
        <f t="shared" si="6"/>
        <v>18.229486940298496</v>
      </c>
      <c r="U15" s="4"/>
      <c r="V15" s="4"/>
      <c r="W15" s="4"/>
      <c r="X15" s="1" t="s">
        <v>34</v>
      </c>
      <c r="Y15" s="37">
        <v>2021</v>
      </c>
      <c r="Z15" s="1"/>
      <c r="AA15" s="1"/>
      <c r="AB15" s="1"/>
      <c r="AC15" s="1"/>
    </row>
    <row r="16" spans="1:29" s="2" customFormat="1" ht="17.399999999999999">
      <c r="A16" s="9">
        <v>1</v>
      </c>
      <c r="B16" s="8">
        <v>242</v>
      </c>
      <c r="C16" s="8">
        <v>1381736232</v>
      </c>
      <c r="D16" s="42" t="s">
        <v>125</v>
      </c>
      <c r="E16" s="4"/>
      <c r="F16" s="10">
        <v>3</v>
      </c>
      <c r="G16" s="10">
        <v>1</v>
      </c>
      <c r="H16" s="50">
        <v>0</v>
      </c>
      <c r="I16" s="50">
        <v>0</v>
      </c>
      <c r="J16" s="50">
        <v>0</v>
      </c>
      <c r="K16" s="29" t="s">
        <v>28</v>
      </c>
      <c r="L16" s="11">
        <f t="shared" si="0"/>
        <v>4</v>
      </c>
      <c r="M16" s="10">
        <f t="shared" si="1"/>
        <v>1.2</v>
      </c>
      <c r="N16" s="10">
        <f t="shared" si="2"/>
        <v>0</v>
      </c>
      <c r="O16" s="10">
        <v>0</v>
      </c>
      <c r="P16" s="10">
        <f t="shared" si="3"/>
        <v>5.2</v>
      </c>
      <c r="Q16" s="17">
        <v>22.687499999999993</v>
      </c>
      <c r="R16" s="18">
        <f t="shared" si="4"/>
        <v>27.887499999999992</v>
      </c>
      <c r="S16" s="19">
        <f t="shared" si="5"/>
        <v>9.6875</v>
      </c>
      <c r="T16" s="20">
        <f t="shared" si="6"/>
        <v>18.199999999999992</v>
      </c>
      <c r="U16" s="4"/>
      <c r="V16" s="4"/>
      <c r="W16" s="4"/>
      <c r="X16" s="1" t="s">
        <v>35</v>
      </c>
      <c r="Y16" s="37">
        <v>8</v>
      </c>
      <c r="Z16" s="1"/>
      <c r="AA16" s="1"/>
      <c r="AB16" s="1"/>
      <c r="AC16" s="1"/>
    </row>
    <row r="17" spans="1:29" s="2" customFormat="1" ht="17.399999999999999">
      <c r="A17" s="9">
        <v>1</v>
      </c>
      <c r="B17" s="8">
        <v>226</v>
      </c>
      <c r="C17" s="8">
        <v>1238792963</v>
      </c>
      <c r="D17" s="42" t="s">
        <v>108</v>
      </c>
      <c r="E17" s="42"/>
      <c r="F17" s="10">
        <v>2</v>
      </c>
      <c r="G17" s="10">
        <v>1</v>
      </c>
      <c r="H17" s="50">
        <v>0</v>
      </c>
      <c r="I17" s="50">
        <v>0</v>
      </c>
      <c r="J17" s="50">
        <v>0</v>
      </c>
      <c r="K17" s="29" t="s">
        <v>28</v>
      </c>
      <c r="L17" s="11">
        <f t="shared" si="0"/>
        <v>2</v>
      </c>
      <c r="M17" s="10">
        <f t="shared" si="1"/>
        <v>1.2</v>
      </c>
      <c r="N17" s="10">
        <f t="shared" si="2"/>
        <v>0</v>
      </c>
      <c r="O17" s="10">
        <v>0</v>
      </c>
      <c r="P17" s="10">
        <f t="shared" si="3"/>
        <v>3.2</v>
      </c>
      <c r="Q17" s="17">
        <v>24.562499999999996</v>
      </c>
      <c r="R17" s="18">
        <f t="shared" si="4"/>
        <v>27.762499999999996</v>
      </c>
      <c r="S17" s="19">
        <f t="shared" si="5"/>
        <v>9.6875</v>
      </c>
      <c r="T17" s="20">
        <f t="shared" si="6"/>
        <v>18.074999999999996</v>
      </c>
      <c r="U17" s="4"/>
      <c r="V17" s="4"/>
      <c r="W17" s="4"/>
      <c r="X17" s="1" t="s">
        <v>36</v>
      </c>
      <c r="Y17" s="37">
        <v>28</v>
      </c>
      <c r="Z17" s="1"/>
      <c r="AA17" s="1"/>
      <c r="AB17" s="1"/>
      <c r="AC17" s="1"/>
    </row>
    <row r="18" spans="1:29" s="2" customFormat="1" ht="17.399999999999999">
      <c r="A18" s="9">
        <v>1</v>
      </c>
      <c r="B18" s="9">
        <v>92</v>
      </c>
      <c r="C18" s="8">
        <v>1367873925</v>
      </c>
      <c r="D18" s="42" t="s">
        <v>80</v>
      </c>
      <c r="E18" s="42" t="s">
        <v>31</v>
      </c>
      <c r="F18" s="10">
        <v>2</v>
      </c>
      <c r="G18" s="10">
        <v>1</v>
      </c>
      <c r="H18" s="50">
        <v>0</v>
      </c>
      <c r="I18" s="50">
        <v>0</v>
      </c>
      <c r="J18" s="50">
        <v>0</v>
      </c>
      <c r="K18" s="29" t="s">
        <v>28</v>
      </c>
      <c r="L18" s="11">
        <f t="shared" si="0"/>
        <v>2</v>
      </c>
      <c r="M18" s="10">
        <f t="shared" si="1"/>
        <v>1.2</v>
      </c>
      <c r="N18" s="10">
        <f t="shared" si="2"/>
        <v>0</v>
      </c>
      <c r="O18" s="10">
        <v>0</v>
      </c>
      <c r="P18" s="10">
        <f t="shared" si="3"/>
        <v>3.2</v>
      </c>
      <c r="Q18" s="17">
        <v>24.424999999999997</v>
      </c>
      <c r="R18" s="18">
        <f t="shared" si="4"/>
        <v>27.624999999999996</v>
      </c>
      <c r="S18" s="19">
        <f t="shared" si="5"/>
        <v>9.6875</v>
      </c>
      <c r="T18" s="20">
        <f t="shared" si="6"/>
        <v>17.937499999999996</v>
      </c>
      <c r="U18" s="11"/>
      <c r="V18" s="11"/>
      <c r="W18" s="31"/>
      <c r="X18" s="51" t="s">
        <v>103</v>
      </c>
      <c r="Y18" s="37">
        <v>0.4</v>
      </c>
      <c r="Z18" s="1"/>
      <c r="AA18" s="1"/>
      <c r="AB18" s="1"/>
      <c r="AC18" s="1"/>
    </row>
    <row r="19" spans="1:29" s="2" customFormat="1" ht="17.399999999999999">
      <c r="A19" s="9">
        <v>1</v>
      </c>
      <c r="B19" s="8">
        <v>189</v>
      </c>
      <c r="C19" s="8">
        <v>522812489</v>
      </c>
      <c r="D19" s="42" t="s">
        <v>70</v>
      </c>
      <c r="E19" s="47"/>
      <c r="F19" s="10">
        <v>3</v>
      </c>
      <c r="G19" s="10">
        <v>1</v>
      </c>
      <c r="H19" s="50">
        <v>0</v>
      </c>
      <c r="I19" s="50">
        <v>0</v>
      </c>
      <c r="J19" s="50">
        <v>0</v>
      </c>
      <c r="K19" s="29" t="s">
        <v>28</v>
      </c>
      <c r="L19" s="11">
        <f t="shared" si="0"/>
        <v>4</v>
      </c>
      <c r="M19" s="10">
        <f t="shared" si="1"/>
        <v>1.2</v>
      </c>
      <c r="N19" s="10">
        <f t="shared" si="2"/>
        <v>0</v>
      </c>
      <c r="O19" s="10">
        <v>0</v>
      </c>
      <c r="P19" s="10">
        <f t="shared" si="3"/>
        <v>5.2</v>
      </c>
      <c r="Q19" s="17">
        <v>22.331250000000001</v>
      </c>
      <c r="R19" s="18">
        <f t="shared" si="4"/>
        <v>27.53125</v>
      </c>
      <c r="S19" s="19">
        <f t="shared" si="5"/>
        <v>9.6875</v>
      </c>
      <c r="T19" s="20">
        <f t="shared" si="6"/>
        <v>17.84375</v>
      </c>
      <c r="U19" s="4"/>
      <c r="V19" s="4"/>
      <c r="W19" s="4"/>
      <c r="X19" s="1"/>
      <c r="Y19" s="1"/>
      <c r="Z19" s="1"/>
      <c r="AA19" s="1"/>
      <c r="AB19" s="1"/>
      <c r="AC19" s="1"/>
    </row>
    <row r="20" spans="1:29" s="2" customFormat="1" ht="17.399999999999999">
      <c r="A20" s="9">
        <v>1</v>
      </c>
      <c r="B20" s="8">
        <v>224</v>
      </c>
      <c r="C20" s="8">
        <v>862562360</v>
      </c>
      <c r="D20" s="42" t="s">
        <v>129</v>
      </c>
      <c r="E20" s="42" t="s">
        <v>106</v>
      </c>
      <c r="F20" s="10">
        <v>3</v>
      </c>
      <c r="G20" s="10">
        <v>1</v>
      </c>
      <c r="H20" s="50">
        <v>0</v>
      </c>
      <c r="I20" s="50">
        <v>0</v>
      </c>
      <c r="J20" s="50">
        <v>0</v>
      </c>
      <c r="K20" s="14" t="s">
        <v>29</v>
      </c>
      <c r="L20" s="11">
        <f t="shared" si="0"/>
        <v>4</v>
      </c>
      <c r="M20" s="10">
        <f t="shared" si="1"/>
        <v>1.2</v>
      </c>
      <c r="N20" s="10">
        <f t="shared" si="2"/>
        <v>0</v>
      </c>
      <c r="O20" s="10">
        <v>0</v>
      </c>
      <c r="P20" s="10">
        <f t="shared" si="3"/>
        <v>5.2</v>
      </c>
      <c r="Q20" s="17">
        <v>22.310354477611938</v>
      </c>
      <c r="R20" s="18">
        <f t="shared" si="4"/>
        <v>27.510354477611937</v>
      </c>
      <c r="S20" s="19">
        <f t="shared" si="5"/>
        <v>1.875</v>
      </c>
      <c r="T20" s="20">
        <f t="shared" si="6"/>
        <v>25.635354477611937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7.399999999999999">
      <c r="A21" s="9">
        <v>1</v>
      </c>
      <c r="B21" s="8">
        <v>208</v>
      </c>
      <c r="C21" s="8">
        <v>92129464</v>
      </c>
      <c r="D21" s="42" t="s">
        <v>82</v>
      </c>
      <c r="E21" s="47"/>
      <c r="F21" s="10">
        <v>3</v>
      </c>
      <c r="G21" s="10">
        <v>1</v>
      </c>
      <c r="H21" s="50">
        <v>0</v>
      </c>
      <c r="I21" s="50">
        <v>0</v>
      </c>
      <c r="J21" s="50">
        <v>0</v>
      </c>
      <c r="K21" s="14" t="s">
        <v>29</v>
      </c>
      <c r="L21" s="11">
        <f t="shared" si="0"/>
        <v>4</v>
      </c>
      <c r="M21" s="10">
        <f t="shared" si="1"/>
        <v>1.2</v>
      </c>
      <c r="N21" s="10">
        <f t="shared" si="2"/>
        <v>0</v>
      </c>
      <c r="O21" s="10">
        <v>0</v>
      </c>
      <c r="P21" s="10">
        <f t="shared" si="3"/>
        <v>5.2</v>
      </c>
      <c r="Q21" s="17">
        <v>22.274999999999995</v>
      </c>
      <c r="R21" s="18">
        <f t="shared" si="4"/>
        <v>27.474999999999994</v>
      </c>
      <c r="S21" s="19">
        <f t="shared" si="5"/>
        <v>1.875</v>
      </c>
      <c r="T21" s="20">
        <f t="shared" si="6"/>
        <v>25.599999999999994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7.399999999999999">
      <c r="A22" s="9">
        <v>1</v>
      </c>
      <c r="B22" s="8">
        <v>195</v>
      </c>
      <c r="C22" s="8">
        <v>1634663314</v>
      </c>
      <c r="D22" s="42" t="s">
        <v>73</v>
      </c>
      <c r="E22" s="47"/>
      <c r="F22" s="10">
        <v>3</v>
      </c>
      <c r="G22" s="10">
        <v>1</v>
      </c>
      <c r="H22" s="50">
        <v>0</v>
      </c>
      <c r="I22" s="50">
        <v>0</v>
      </c>
      <c r="J22" s="50">
        <v>0</v>
      </c>
      <c r="K22" s="14" t="s">
        <v>29</v>
      </c>
      <c r="L22" s="11">
        <f t="shared" si="0"/>
        <v>4</v>
      </c>
      <c r="M22" s="10">
        <f t="shared" si="1"/>
        <v>1.2</v>
      </c>
      <c r="N22" s="10">
        <f t="shared" si="2"/>
        <v>0</v>
      </c>
      <c r="O22" s="10">
        <v>0</v>
      </c>
      <c r="P22" s="10">
        <f t="shared" si="3"/>
        <v>5.2</v>
      </c>
      <c r="Q22" s="17">
        <v>22.149499999999993</v>
      </c>
      <c r="R22" s="18">
        <f t="shared" si="4"/>
        <v>27.349499999999992</v>
      </c>
      <c r="S22" s="19">
        <f t="shared" si="5"/>
        <v>1.875</v>
      </c>
      <c r="T22" s="20">
        <f t="shared" si="6"/>
        <v>25.474499999999992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7.399999999999999">
      <c r="A23" s="9">
        <v>1</v>
      </c>
      <c r="B23" s="8">
        <v>232</v>
      </c>
      <c r="C23" s="8">
        <v>1088909927</v>
      </c>
      <c r="D23" s="42" t="s">
        <v>113</v>
      </c>
      <c r="E23" s="4"/>
      <c r="F23" s="10">
        <v>3</v>
      </c>
      <c r="G23" s="10">
        <v>0</v>
      </c>
      <c r="H23" s="50">
        <v>0</v>
      </c>
      <c r="I23" s="50">
        <v>0</v>
      </c>
      <c r="J23" s="50">
        <v>0</v>
      </c>
      <c r="K23" s="14" t="s">
        <v>29</v>
      </c>
      <c r="L23" s="11">
        <f t="shared" si="0"/>
        <v>4</v>
      </c>
      <c r="M23" s="10">
        <f t="shared" si="1"/>
        <v>0</v>
      </c>
      <c r="N23" s="10">
        <f t="shared" si="2"/>
        <v>0</v>
      </c>
      <c r="O23" s="10">
        <v>0</v>
      </c>
      <c r="P23" s="10">
        <f t="shared" si="3"/>
        <v>4</v>
      </c>
      <c r="Q23" s="17">
        <v>23.256249999999998</v>
      </c>
      <c r="R23" s="18">
        <f t="shared" si="4"/>
        <v>27.256249999999998</v>
      </c>
      <c r="S23" s="19">
        <f t="shared" si="5"/>
        <v>1.875</v>
      </c>
      <c r="T23" s="20">
        <f t="shared" si="6"/>
        <v>25.381249999999998</v>
      </c>
      <c r="U23" s="4"/>
      <c r="V23" s="4"/>
      <c r="W23" s="4"/>
    </row>
    <row r="24" spans="1:29" s="1" customFormat="1" ht="17.399999999999999">
      <c r="A24" s="9">
        <v>1</v>
      </c>
      <c r="B24" s="8">
        <v>183</v>
      </c>
      <c r="C24" s="8">
        <v>1250030371</v>
      </c>
      <c r="D24" s="42" t="s">
        <v>130</v>
      </c>
      <c r="E24" s="42" t="s">
        <v>121</v>
      </c>
      <c r="F24" s="10">
        <v>3</v>
      </c>
      <c r="G24" s="10">
        <v>1</v>
      </c>
      <c r="H24" s="50">
        <v>0</v>
      </c>
      <c r="I24" s="50">
        <v>0</v>
      </c>
      <c r="J24" s="50">
        <v>0</v>
      </c>
      <c r="K24" s="14" t="s">
        <v>29</v>
      </c>
      <c r="L24" s="11">
        <f t="shared" si="0"/>
        <v>4</v>
      </c>
      <c r="M24" s="10">
        <f t="shared" si="1"/>
        <v>1.2</v>
      </c>
      <c r="N24" s="10">
        <f t="shared" si="2"/>
        <v>0</v>
      </c>
      <c r="O24" s="10">
        <v>0</v>
      </c>
      <c r="P24" s="10">
        <f t="shared" si="3"/>
        <v>5.2</v>
      </c>
      <c r="Q24" s="17">
        <v>21.743749999999999</v>
      </c>
      <c r="R24" s="18">
        <f t="shared" si="4"/>
        <v>26.943749999999998</v>
      </c>
      <c r="S24" s="19">
        <f t="shared" si="5"/>
        <v>1.875</v>
      </c>
      <c r="T24" s="20">
        <f t="shared" si="6"/>
        <v>25.068749999999998</v>
      </c>
      <c r="U24" s="4"/>
      <c r="V24" s="4"/>
      <c r="W24" s="4"/>
    </row>
    <row r="25" spans="1:29" s="1" customFormat="1" ht="17.399999999999999">
      <c r="A25" s="9">
        <v>1</v>
      </c>
      <c r="B25" s="9">
        <v>230</v>
      </c>
      <c r="C25" s="8">
        <v>1076026693</v>
      </c>
      <c r="D25" s="42" t="s">
        <v>111</v>
      </c>
      <c r="E25" s="4"/>
      <c r="F25" s="10">
        <v>2</v>
      </c>
      <c r="G25" s="10">
        <v>1</v>
      </c>
      <c r="H25" s="50">
        <v>0</v>
      </c>
      <c r="I25" s="50">
        <v>0</v>
      </c>
      <c r="J25" s="50">
        <v>0</v>
      </c>
      <c r="K25" s="14" t="s">
        <v>29</v>
      </c>
      <c r="L25" s="11">
        <f t="shared" si="0"/>
        <v>2</v>
      </c>
      <c r="M25" s="10">
        <f t="shared" si="1"/>
        <v>1.2</v>
      </c>
      <c r="N25" s="10">
        <f t="shared" si="2"/>
        <v>0</v>
      </c>
      <c r="O25" s="10">
        <v>0</v>
      </c>
      <c r="P25" s="10">
        <f t="shared" si="3"/>
        <v>3.2</v>
      </c>
      <c r="Q25" s="17">
        <v>23.643749999999997</v>
      </c>
      <c r="R25" s="18">
        <f t="shared" si="4"/>
        <v>26.843749999999996</v>
      </c>
      <c r="S25" s="19">
        <f t="shared" si="5"/>
        <v>1.875</v>
      </c>
      <c r="T25" s="20">
        <f t="shared" si="6"/>
        <v>24.968749999999996</v>
      </c>
      <c r="U25" s="4"/>
      <c r="V25" s="4"/>
      <c r="W25" s="4"/>
    </row>
    <row r="26" spans="1:29" s="1" customFormat="1" ht="18.75" customHeight="1">
      <c r="A26" s="9">
        <v>1</v>
      </c>
      <c r="B26" s="8">
        <v>156</v>
      </c>
      <c r="C26" s="8">
        <v>1744610165</v>
      </c>
      <c r="D26" s="42" t="s">
        <v>64</v>
      </c>
      <c r="E26" s="42"/>
      <c r="F26" s="10">
        <v>2</v>
      </c>
      <c r="G26" s="10">
        <v>1</v>
      </c>
      <c r="H26" s="50">
        <v>0</v>
      </c>
      <c r="I26" s="50">
        <v>0</v>
      </c>
      <c r="J26" s="50">
        <v>0</v>
      </c>
      <c r="K26" s="14" t="s">
        <v>29</v>
      </c>
      <c r="L26" s="11">
        <f t="shared" si="0"/>
        <v>2</v>
      </c>
      <c r="M26" s="10">
        <f t="shared" si="1"/>
        <v>1.2</v>
      </c>
      <c r="N26" s="10">
        <f t="shared" si="2"/>
        <v>0</v>
      </c>
      <c r="O26" s="10">
        <v>0</v>
      </c>
      <c r="P26" s="10">
        <f t="shared" si="3"/>
        <v>3.2</v>
      </c>
      <c r="Q26" s="17">
        <v>23.467516129032244</v>
      </c>
      <c r="R26" s="18">
        <f t="shared" si="4"/>
        <v>26.667516129032244</v>
      </c>
      <c r="S26" s="19">
        <f t="shared" si="5"/>
        <v>1.875</v>
      </c>
      <c r="T26" s="20">
        <f t="shared" si="6"/>
        <v>24.792516129032244</v>
      </c>
      <c r="U26" s="4"/>
      <c r="V26" s="4"/>
      <c r="W26" s="4"/>
    </row>
    <row r="27" spans="1:29" s="1" customFormat="1" ht="17.399999999999999">
      <c r="A27" s="9">
        <v>1</v>
      </c>
      <c r="B27" s="8">
        <v>216</v>
      </c>
      <c r="C27" s="8">
        <v>395700385</v>
      </c>
      <c r="D27" s="42" t="s">
        <v>88</v>
      </c>
      <c r="E27" s="2"/>
      <c r="F27" s="10">
        <v>3</v>
      </c>
      <c r="G27" s="10">
        <v>1</v>
      </c>
      <c r="H27" s="50">
        <v>0</v>
      </c>
      <c r="I27" s="50">
        <v>0</v>
      </c>
      <c r="J27" s="50">
        <v>0</v>
      </c>
      <c r="K27" s="14" t="s">
        <v>29</v>
      </c>
      <c r="L27" s="11">
        <f t="shared" si="0"/>
        <v>4</v>
      </c>
      <c r="M27" s="10">
        <f t="shared" si="1"/>
        <v>1.2</v>
      </c>
      <c r="N27" s="10">
        <f t="shared" si="2"/>
        <v>0</v>
      </c>
      <c r="O27" s="10">
        <v>0</v>
      </c>
      <c r="P27" s="10">
        <f t="shared" si="3"/>
        <v>5.2</v>
      </c>
      <c r="Q27" s="17">
        <v>21.300201612903216</v>
      </c>
      <c r="R27" s="18">
        <f t="shared" si="4"/>
        <v>26.500201612903215</v>
      </c>
      <c r="S27" s="19">
        <f t="shared" si="5"/>
        <v>1.875</v>
      </c>
      <c r="T27" s="20">
        <f t="shared" si="6"/>
        <v>24.625201612903215</v>
      </c>
      <c r="U27" s="4"/>
      <c r="V27" s="4"/>
      <c r="W27" s="4"/>
    </row>
    <row r="28" spans="1:29" s="1" customFormat="1" ht="17.399999999999999">
      <c r="A28" s="9">
        <v>1</v>
      </c>
      <c r="B28" s="8">
        <v>182</v>
      </c>
      <c r="C28" s="8">
        <v>828260319</v>
      </c>
      <c r="D28" s="42" t="s">
        <v>127</v>
      </c>
      <c r="E28" s="42" t="s">
        <v>90</v>
      </c>
      <c r="F28" s="10">
        <v>2</v>
      </c>
      <c r="G28" s="10">
        <v>1</v>
      </c>
      <c r="H28" s="50">
        <v>0</v>
      </c>
      <c r="I28" s="50">
        <v>0</v>
      </c>
      <c r="J28" s="50">
        <v>1</v>
      </c>
      <c r="K28" s="14" t="s">
        <v>29</v>
      </c>
      <c r="L28" s="11">
        <f t="shared" si="0"/>
        <v>2</v>
      </c>
      <c r="M28" s="10">
        <f t="shared" si="1"/>
        <v>1.2</v>
      </c>
      <c r="N28" s="10">
        <f t="shared" si="2"/>
        <v>0.4</v>
      </c>
      <c r="O28" s="10">
        <v>0</v>
      </c>
      <c r="P28" s="10">
        <f t="shared" si="3"/>
        <v>3.6</v>
      </c>
      <c r="Q28" s="17">
        <v>22.894250000000017</v>
      </c>
      <c r="R28" s="18">
        <f t="shared" si="4"/>
        <v>26.494250000000019</v>
      </c>
      <c r="S28" s="19">
        <f t="shared" si="5"/>
        <v>1.875</v>
      </c>
      <c r="T28" s="20">
        <f t="shared" si="6"/>
        <v>24.619250000000019</v>
      </c>
      <c r="U28" s="4"/>
      <c r="V28" s="4"/>
      <c r="W28" s="4"/>
    </row>
    <row r="29" spans="1:29" s="2" customFormat="1" ht="17.399999999999999">
      <c r="A29" s="9">
        <v>1</v>
      </c>
      <c r="B29" s="8">
        <v>116</v>
      </c>
      <c r="C29" s="8">
        <v>2122596917</v>
      </c>
      <c r="D29" s="42" t="s">
        <v>61</v>
      </c>
      <c r="E29" s="42" t="s">
        <v>37</v>
      </c>
      <c r="F29" s="10">
        <v>3</v>
      </c>
      <c r="G29" s="10">
        <v>1</v>
      </c>
      <c r="H29" s="50">
        <v>0</v>
      </c>
      <c r="I29" s="50">
        <v>1</v>
      </c>
      <c r="J29" s="50">
        <v>1</v>
      </c>
      <c r="K29" s="14" t="s">
        <v>29</v>
      </c>
      <c r="L29" s="11">
        <f t="shared" si="0"/>
        <v>4</v>
      </c>
      <c r="M29" s="10">
        <f t="shared" si="1"/>
        <v>1.2</v>
      </c>
      <c r="N29" s="10">
        <f t="shared" si="2"/>
        <v>0.8</v>
      </c>
      <c r="O29" s="10">
        <v>0</v>
      </c>
      <c r="P29" s="10">
        <f t="shared" si="3"/>
        <v>6</v>
      </c>
      <c r="Q29" s="17">
        <v>20.312499999999996</v>
      </c>
      <c r="R29" s="18">
        <f t="shared" si="4"/>
        <v>26.312499999999996</v>
      </c>
      <c r="S29" s="19">
        <f t="shared" si="5"/>
        <v>1.875</v>
      </c>
      <c r="T29" s="20">
        <f t="shared" si="6"/>
        <v>24.437499999999996</v>
      </c>
      <c r="U29" s="11"/>
      <c r="V29" s="11"/>
      <c r="W29" s="32"/>
      <c r="X29" s="1"/>
      <c r="Y29" s="1"/>
      <c r="Z29" s="1"/>
      <c r="AA29" s="1"/>
      <c r="AB29" s="1"/>
      <c r="AC29" s="1"/>
    </row>
    <row r="30" spans="1:29" s="2" customFormat="1" ht="17.399999999999999">
      <c r="A30" s="9">
        <v>1</v>
      </c>
      <c r="B30" s="8">
        <v>174</v>
      </c>
      <c r="C30" s="8">
        <v>775720958</v>
      </c>
      <c r="D30" s="42" t="s">
        <v>79</v>
      </c>
      <c r="E30" s="42" t="s">
        <v>49</v>
      </c>
      <c r="F30" s="10">
        <v>3</v>
      </c>
      <c r="G30" s="10">
        <v>1</v>
      </c>
      <c r="H30" s="50">
        <v>0</v>
      </c>
      <c r="I30" s="50">
        <v>0</v>
      </c>
      <c r="J30" s="50">
        <v>0</v>
      </c>
      <c r="K30" s="14" t="s">
        <v>29</v>
      </c>
      <c r="L30" s="11">
        <f t="shared" si="0"/>
        <v>4</v>
      </c>
      <c r="M30" s="10">
        <f t="shared" si="1"/>
        <v>1.2</v>
      </c>
      <c r="N30" s="10">
        <f t="shared" si="2"/>
        <v>0</v>
      </c>
      <c r="O30" s="10">
        <v>0</v>
      </c>
      <c r="P30" s="10">
        <f t="shared" si="3"/>
        <v>5.2</v>
      </c>
      <c r="Q30" s="17">
        <v>20.912499999999987</v>
      </c>
      <c r="R30" s="18">
        <f t="shared" si="4"/>
        <v>26.112499999999986</v>
      </c>
      <c r="S30" s="19">
        <f t="shared" si="5"/>
        <v>1.875</v>
      </c>
      <c r="T30" s="20">
        <f t="shared" si="6"/>
        <v>24.237499999999986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7.399999999999999">
      <c r="A31" s="9">
        <v>1</v>
      </c>
      <c r="B31" s="8">
        <v>200</v>
      </c>
      <c r="C31" s="8">
        <v>967589156</v>
      </c>
      <c r="D31" s="42" t="s">
        <v>76</v>
      </c>
      <c r="E31" s="47"/>
      <c r="F31" s="10">
        <v>2</v>
      </c>
      <c r="G31" s="10">
        <v>1</v>
      </c>
      <c r="H31" s="50">
        <v>0</v>
      </c>
      <c r="I31" s="50">
        <v>1</v>
      </c>
      <c r="J31" s="50">
        <v>0</v>
      </c>
      <c r="K31" s="14" t="s">
        <v>29</v>
      </c>
      <c r="L31" s="11">
        <f t="shared" si="0"/>
        <v>2</v>
      </c>
      <c r="M31" s="10">
        <f t="shared" si="1"/>
        <v>1.2</v>
      </c>
      <c r="N31" s="10">
        <f t="shared" si="2"/>
        <v>0.4</v>
      </c>
      <c r="O31" s="10">
        <v>0</v>
      </c>
      <c r="P31" s="10">
        <f t="shared" si="3"/>
        <v>3.6</v>
      </c>
      <c r="Q31" s="17">
        <v>22.48125000000001</v>
      </c>
      <c r="R31" s="18">
        <f t="shared" si="4"/>
        <v>26.081250000000011</v>
      </c>
      <c r="S31" s="19">
        <f t="shared" si="5"/>
        <v>1.875</v>
      </c>
      <c r="T31" s="20">
        <f t="shared" si="6"/>
        <v>24.206250000000011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7.399999999999999">
      <c r="A32" s="9">
        <v>1</v>
      </c>
      <c r="B32" s="9">
        <v>26</v>
      </c>
      <c r="C32" s="8">
        <v>1754932067</v>
      </c>
      <c r="D32" s="42" t="s">
        <v>58</v>
      </c>
      <c r="E32" s="42" t="s">
        <v>9</v>
      </c>
      <c r="F32" s="10">
        <v>2</v>
      </c>
      <c r="G32" s="10">
        <v>1</v>
      </c>
      <c r="H32" s="50">
        <v>0</v>
      </c>
      <c r="I32" s="50">
        <v>1</v>
      </c>
      <c r="J32" s="50">
        <v>1</v>
      </c>
      <c r="K32" s="14" t="s">
        <v>29</v>
      </c>
      <c r="L32" s="11">
        <f t="shared" si="0"/>
        <v>2</v>
      </c>
      <c r="M32" s="10">
        <f t="shared" si="1"/>
        <v>1.2</v>
      </c>
      <c r="N32" s="10">
        <f t="shared" si="2"/>
        <v>0.8</v>
      </c>
      <c r="O32" s="10">
        <v>0</v>
      </c>
      <c r="P32" s="10">
        <f t="shared" si="3"/>
        <v>4</v>
      </c>
      <c r="Q32" s="17">
        <v>22.074999999999999</v>
      </c>
      <c r="R32" s="18">
        <f t="shared" si="4"/>
        <v>26.074999999999999</v>
      </c>
      <c r="S32" s="19">
        <f t="shared" si="5"/>
        <v>1.875</v>
      </c>
      <c r="T32" s="20">
        <f t="shared" si="6"/>
        <v>24.2</v>
      </c>
      <c r="U32" s="11"/>
      <c r="V32" s="11"/>
      <c r="W32" s="11"/>
      <c r="X32" s="1"/>
      <c r="Y32" s="1"/>
      <c r="Z32" s="1"/>
      <c r="AA32" s="1"/>
      <c r="AB32" s="1"/>
      <c r="AC32" s="1"/>
    </row>
    <row r="33" spans="1:29" s="2" customFormat="1" ht="20.399999999999999">
      <c r="A33" s="9">
        <v>1</v>
      </c>
      <c r="B33" s="9">
        <v>49</v>
      </c>
      <c r="C33" s="8">
        <v>311361673</v>
      </c>
      <c r="D33" s="43" t="s">
        <v>105</v>
      </c>
      <c r="E33" s="49" t="s">
        <v>11</v>
      </c>
      <c r="F33" s="10">
        <v>2</v>
      </c>
      <c r="G33" s="10">
        <v>1</v>
      </c>
      <c r="H33" s="50">
        <v>0</v>
      </c>
      <c r="I33" s="50">
        <v>1</v>
      </c>
      <c r="J33" s="50">
        <v>1</v>
      </c>
      <c r="K33" s="14" t="s">
        <v>29</v>
      </c>
      <c r="L33" s="11">
        <f t="shared" si="0"/>
        <v>2</v>
      </c>
      <c r="M33" s="10">
        <f>IF(G33&gt;0,1,0)*$Y$14</f>
        <v>1.2</v>
      </c>
      <c r="N33" s="10">
        <f t="shared" si="2"/>
        <v>0.8</v>
      </c>
      <c r="O33" s="10">
        <v>0</v>
      </c>
      <c r="P33" s="10">
        <f t="shared" si="3"/>
        <v>4</v>
      </c>
      <c r="Q33" s="17">
        <v>21.737500000000001</v>
      </c>
      <c r="R33" s="18">
        <f t="shared" si="4"/>
        <v>25.737500000000001</v>
      </c>
      <c r="S33" s="19">
        <f t="shared" si="5"/>
        <v>1.875</v>
      </c>
      <c r="T33" s="20">
        <f t="shared" si="6"/>
        <v>23.862500000000001</v>
      </c>
      <c r="U33" s="11"/>
      <c r="V33" s="11"/>
      <c r="W33" s="11"/>
      <c r="X33" s="1"/>
      <c r="Y33" s="1"/>
      <c r="Z33" s="1"/>
      <c r="AA33" s="1"/>
      <c r="AB33" s="1"/>
      <c r="AC33" s="1"/>
    </row>
    <row r="34" spans="1:29" s="2" customFormat="1" ht="17.399999999999999">
      <c r="A34" s="9">
        <v>1</v>
      </c>
      <c r="B34" s="9">
        <v>231</v>
      </c>
      <c r="C34" s="8">
        <v>1725915293</v>
      </c>
      <c r="D34" s="42" t="s">
        <v>112</v>
      </c>
      <c r="E34" s="4"/>
      <c r="F34" s="10">
        <v>3</v>
      </c>
      <c r="G34" s="10">
        <v>1</v>
      </c>
      <c r="H34" s="50">
        <v>0</v>
      </c>
      <c r="I34" s="50">
        <v>0</v>
      </c>
      <c r="J34" s="50">
        <v>0</v>
      </c>
      <c r="K34" s="14" t="s">
        <v>29</v>
      </c>
      <c r="L34" s="11">
        <f t="shared" si="0"/>
        <v>4</v>
      </c>
      <c r="M34" s="10">
        <f t="shared" ref="M34:M69" si="7">G34*$Y$14</f>
        <v>1.2</v>
      </c>
      <c r="N34" s="10">
        <f t="shared" si="2"/>
        <v>0</v>
      </c>
      <c r="O34" s="10">
        <v>0</v>
      </c>
      <c r="P34" s="10">
        <f t="shared" si="3"/>
        <v>5.2</v>
      </c>
      <c r="Q34" s="17">
        <v>20.368749999999995</v>
      </c>
      <c r="R34" s="18">
        <f t="shared" si="4"/>
        <v>25.568749999999994</v>
      </c>
      <c r="S34" s="19">
        <f t="shared" si="5"/>
        <v>1.875</v>
      </c>
      <c r="T34" s="20">
        <f t="shared" si="6"/>
        <v>23.693749999999994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7.399999999999999">
      <c r="A35" s="9">
        <v>1</v>
      </c>
      <c r="B35" s="8">
        <v>234</v>
      </c>
      <c r="C35" s="8">
        <v>1333428907</v>
      </c>
      <c r="D35" s="42" t="s">
        <v>128</v>
      </c>
      <c r="E35" s="42" t="s">
        <v>115</v>
      </c>
      <c r="F35" s="10">
        <v>1</v>
      </c>
      <c r="G35" s="10">
        <v>0</v>
      </c>
      <c r="H35" s="50">
        <v>0</v>
      </c>
      <c r="I35" s="50">
        <v>0</v>
      </c>
      <c r="J35" s="50">
        <v>0</v>
      </c>
      <c r="K35" s="14" t="s">
        <v>29</v>
      </c>
      <c r="L35" s="11">
        <f t="shared" si="0"/>
        <v>1</v>
      </c>
      <c r="M35" s="10">
        <f t="shared" si="7"/>
        <v>0</v>
      </c>
      <c r="N35" s="10">
        <f t="shared" si="2"/>
        <v>0</v>
      </c>
      <c r="O35" s="10">
        <v>0</v>
      </c>
      <c r="P35" s="10">
        <f t="shared" si="3"/>
        <v>1</v>
      </c>
      <c r="Q35" s="17">
        <v>24.5</v>
      </c>
      <c r="R35" s="18">
        <f t="shared" si="4"/>
        <v>25.5</v>
      </c>
      <c r="S35" s="19">
        <f t="shared" si="5"/>
        <v>1.875</v>
      </c>
      <c r="T35" s="20">
        <f t="shared" si="6"/>
        <v>23.625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7.399999999999999">
      <c r="A36" s="9">
        <v>1</v>
      </c>
      <c r="B36" s="8">
        <v>172</v>
      </c>
      <c r="C36" s="8">
        <v>724061220</v>
      </c>
      <c r="D36" s="42" t="s">
        <v>65</v>
      </c>
      <c r="E36" s="42" t="s">
        <v>50</v>
      </c>
      <c r="F36" s="10">
        <v>3</v>
      </c>
      <c r="G36" s="10">
        <v>0</v>
      </c>
      <c r="H36" s="50">
        <v>0</v>
      </c>
      <c r="I36" s="50">
        <v>0</v>
      </c>
      <c r="J36" s="50">
        <v>0</v>
      </c>
      <c r="K36" s="14" t="s">
        <v>29</v>
      </c>
      <c r="L36" s="11">
        <f t="shared" si="0"/>
        <v>4</v>
      </c>
      <c r="M36" s="10">
        <f t="shared" si="7"/>
        <v>0</v>
      </c>
      <c r="N36" s="10">
        <f t="shared" si="2"/>
        <v>0</v>
      </c>
      <c r="O36" s="10">
        <v>0</v>
      </c>
      <c r="P36" s="10">
        <f t="shared" si="3"/>
        <v>4</v>
      </c>
      <c r="Q36" s="17">
        <v>21.424999999999997</v>
      </c>
      <c r="R36" s="18">
        <f t="shared" si="4"/>
        <v>25.424999999999997</v>
      </c>
      <c r="S36" s="19">
        <f t="shared" si="5"/>
        <v>1.875</v>
      </c>
      <c r="T36" s="20">
        <f t="shared" si="6"/>
        <v>23.549999999999997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7.399999999999999">
      <c r="A37" s="9">
        <v>1</v>
      </c>
      <c r="B37" s="9">
        <v>46</v>
      </c>
      <c r="C37" s="8">
        <v>2109182835</v>
      </c>
      <c r="D37" s="42" t="s">
        <v>59</v>
      </c>
      <c r="E37" s="42" t="s">
        <v>10</v>
      </c>
      <c r="F37" s="10">
        <v>2</v>
      </c>
      <c r="G37" s="10">
        <v>1</v>
      </c>
      <c r="H37" s="50">
        <v>0</v>
      </c>
      <c r="I37" s="50">
        <v>1</v>
      </c>
      <c r="J37" s="50">
        <v>0</v>
      </c>
      <c r="K37" s="14" t="s">
        <v>29</v>
      </c>
      <c r="L37" s="11">
        <f t="shared" ref="L37:L69" si="8">F37+IF(F37&gt;2,(F37-2)*1,0)</f>
        <v>2</v>
      </c>
      <c r="M37" s="10">
        <f t="shared" si="7"/>
        <v>1.2</v>
      </c>
      <c r="N37" s="10">
        <f t="shared" ref="N37:N69" si="9">SUM(H37:J37)*$Y$18</f>
        <v>0.4</v>
      </c>
      <c r="O37" s="10">
        <v>0</v>
      </c>
      <c r="P37" s="10">
        <f t="shared" ref="P37:P68" si="10">SUM(M37+L37+O37+N37)</f>
        <v>3.6</v>
      </c>
      <c r="Q37" s="17">
        <v>21.455000000000009</v>
      </c>
      <c r="R37" s="18">
        <f t="shared" ref="R37:R68" si="11">P37+Q37</f>
        <v>25.05500000000001</v>
      </c>
      <c r="S37" s="19">
        <f t="shared" ref="S37:S69" si="12">VLOOKUP(K37,$X$3:$Y$10,2,FALSE)</f>
        <v>1.875</v>
      </c>
      <c r="T37" s="20">
        <f t="shared" ref="T37:T68" si="13">R37-S37</f>
        <v>23.18000000000001</v>
      </c>
      <c r="U37" s="11"/>
      <c r="V37" s="11"/>
      <c r="W37" s="11"/>
    </row>
    <row r="38" spans="1:29" s="2" customFormat="1" ht="17.399999999999999">
      <c r="A38" s="9">
        <v>1</v>
      </c>
      <c r="B38" s="9">
        <v>10</v>
      </c>
      <c r="C38" s="8">
        <v>2108977014</v>
      </c>
      <c r="D38" s="42" t="s">
        <v>57</v>
      </c>
      <c r="E38" s="42" t="s">
        <v>8</v>
      </c>
      <c r="F38" s="10">
        <v>2</v>
      </c>
      <c r="G38" s="10">
        <v>1</v>
      </c>
      <c r="H38" s="50">
        <v>0</v>
      </c>
      <c r="I38" s="50">
        <v>0</v>
      </c>
      <c r="J38" s="50">
        <v>1</v>
      </c>
      <c r="K38" s="14" t="s">
        <v>29</v>
      </c>
      <c r="L38" s="11">
        <f t="shared" si="8"/>
        <v>2</v>
      </c>
      <c r="M38" s="10">
        <f t="shared" si="7"/>
        <v>1.2</v>
      </c>
      <c r="N38" s="10">
        <f t="shared" si="9"/>
        <v>0.4</v>
      </c>
      <c r="O38" s="10">
        <v>0</v>
      </c>
      <c r="P38" s="10">
        <f t="shared" si="10"/>
        <v>3.6</v>
      </c>
      <c r="Q38" s="17">
        <v>21.343750000000007</v>
      </c>
      <c r="R38" s="18">
        <f t="shared" si="11"/>
        <v>24.943750000000009</v>
      </c>
      <c r="S38" s="19">
        <f t="shared" si="12"/>
        <v>1.875</v>
      </c>
      <c r="T38" s="20">
        <f t="shared" si="13"/>
        <v>23.068750000000009</v>
      </c>
      <c r="U38" s="11"/>
      <c r="V38" s="11"/>
      <c r="W38" s="11"/>
      <c r="X38" s="1"/>
      <c r="Y38" s="1"/>
      <c r="Z38" s="1"/>
      <c r="AA38" s="1"/>
      <c r="AB38" s="1"/>
      <c r="AC38" s="1"/>
    </row>
    <row r="39" spans="1:29" s="3" customFormat="1" ht="17.399999999999999">
      <c r="A39" s="9">
        <v>1</v>
      </c>
      <c r="B39" s="8">
        <v>238</v>
      </c>
      <c r="C39" s="8">
        <v>108179057</v>
      </c>
      <c r="D39" s="42" t="s">
        <v>120</v>
      </c>
      <c r="E39" s="4"/>
      <c r="F39" s="10">
        <v>1</v>
      </c>
      <c r="G39" s="10">
        <v>1</v>
      </c>
      <c r="H39" s="50">
        <v>0</v>
      </c>
      <c r="I39" s="50">
        <v>0</v>
      </c>
      <c r="J39" s="50">
        <v>0</v>
      </c>
      <c r="K39" s="14" t="s">
        <v>29</v>
      </c>
      <c r="L39" s="11">
        <f t="shared" si="8"/>
        <v>1</v>
      </c>
      <c r="M39" s="10">
        <f t="shared" si="7"/>
        <v>1.2</v>
      </c>
      <c r="N39" s="10">
        <f t="shared" si="9"/>
        <v>0</v>
      </c>
      <c r="O39" s="10">
        <v>0</v>
      </c>
      <c r="P39" s="10">
        <f t="shared" si="10"/>
        <v>2.2000000000000002</v>
      </c>
      <c r="Q39" s="17">
        <v>22.731249999999992</v>
      </c>
      <c r="R39" s="18">
        <f t="shared" si="11"/>
        <v>24.931249999999991</v>
      </c>
      <c r="S39" s="19">
        <f t="shared" si="12"/>
        <v>1.875</v>
      </c>
      <c r="T39" s="20">
        <f t="shared" si="13"/>
        <v>23.056249999999991</v>
      </c>
      <c r="U39" s="4"/>
      <c r="V39" s="4"/>
      <c r="W39" s="4"/>
    </row>
    <row r="40" spans="1:29" ht="17.399999999999999">
      <c r="A40" s="9">
        <v>1</v>
      </c>
      <c r="B40" s="8">
        <v>212</v>
      </c>
      <c r="C40" s="8">
        <v>2133045883</v>
      </c>
      <c r="D40" s="42" t="s">
        <v>84</v>
      </c>
      <c r="E40" s="47"/>
      <c r="F40" s="10">
        <v>3</v>
      </c>
      <c r="G40" s="10">
        <v>1</v>
      </c>
      <c r="H40" s="50">
        <v>0</v>
      </c>
      <c r="I40" s="50">
        <v>0</v>
      </c>
      <c r="J40" s="50">
        <v>0</v>
      </c>
      <c r="K40" s="14" t="s">
        <v>29</v>
      </c>
      <c r="L40" s="11">
        <f t="shared" si="8"/>
        <v>4</v>
      </c>
      <c r="M40" s="10">
        <f t="shared" si="7"/>
        <v>1.2</v>
      </c>
      <c r="N40" s="10">
        <f t="shared" si="9"/>
        <v>0</v>
      </c>
      <c r="O40" s="10">
        <v>0</v>
      </c>
      <c r="P40" s="10">
        <f t="shared" si="10"/>
        <v>5.2</v>
      </c>
      <c r="Q40" s="17">
        <v>19.499999999999989</v>
      </c>
      <c r="R40" s="18">
        <f t="shared" si="11"/>
        <v>24.699999999999989</v>
      </c>
      <c r="S40" s="19">
        <f t="shared" si="12"/>
        <v>1.875</v>
      </c>
      <c r="T40" s="20">
        <f t="shared" si="13"/>
        <v>22.824999999999989</v>
      </c>
      <c r="U40" s="4"/>
      <c r="V40" s="4"/>
      <c r="W40" s="4"/>
    </row>
    <row r="41" spans="1:29" ht="17.399999999999999">
      <c r="A41" s="9">
        <v>1</v>
      </c>
      <c r="B41" s="8">
        <v>167</v>
      </c>
      <c r="C41" s="8">
        <v>1173807161</v>
      </c>
      <c r="D41" s="42" t="s">
        <v>48</v>
      </c>
      <c r="E41" s="48"/>
      <c r="F41" s="10">
        <v>0</v>
      </c>
      <c r="G41" s="10">
        <v>0</v>
      </c>
      <c r="H41" s="50">
        <v>0</v>
      </c>
      <c r="I41" s="50">
        <v>0</v>
      </c>
      <c r="J41" s="50">
        <v>0</v>
      </c>
      <c r="K41" s="39" t="s">
        <v>30</v>
      </c>
      <c r="L41" s="11">
        <f t="shared" si="8"/>
        <v>0</v>
      </c>
      <c r="M41" s="10">
        <f t="shared" si="7"/>
        <v>0</v>
      </c>
      <c r="N41" s="10">
        <f t="shared" si="9"/>
        <v>0</v>
      </c>
      <c r="O41" s="10">
        <v>0</v>
      </c>
      <c r="P41" s="10">
        <f t="shared" si="10"/>
        <v>0</v>
      </c>
      <c r="Q41" s="17">
        <v>24.624999999999979</v>
      </c>
      <c r="R41" s="18">
        <f t="shared" si="11"/>
        <v>24.624999999999979</v>
      </c>
      <c r="S41" s="19">
        <f t="shared" si="12"/>
        <v>0</v>
      </c>
      <c r="T41" s="20">
        <f t="shared" si="13"/>
        <v>24.624999999999979</v>
      </c>
      <c r="U41" s="4"/>
      <c r="V41" s="4"/>
      <c r="W41" s="4"/>
    </row>
    <row r="42" spans="1:29" ht="17.399999999999999">
      <c r="A42" s="9">
        <v>1</v>
      </c>
      <c r="B42" s="8">
        <v>196</v>
      </c>
      <c r="C42" s="8">
        <v>1065641844</v>
      </c>
      <c r="D42" s="42" t="s">
        <v>74</v>
      </c>
      <c r="E42" s="47"/>
      <c r="F42" s="10">
        <v>1</v>
      </c>
      <c r="G42" s="10">
        <v>1</v>
      </c>
      <c r="H42" s="50">
        <v>0</v>
      </c>
      <c r="I42" s="50">
        <v>0</v>
      </c>
      <c r="J42" s="50">
        <v>0</v>
      </c>
      <c r="K42" s="14" t="s">
        <v>29</v>
      </c>
      <c r="L42" s="11">
        <f t="shared" si="8"/>
        <v>1</v>
      </c>
      <c r="M42" s="10">
        <f t="shared" si="7"/>
        <v>1.2</v>
      </c>
      <c r="N42" s="10">
        <f t="shared" si="9"/>
        <v>0</v>
      </c>
      <c r="O42" s="10">
        <v>0</v>
      </c>
      <c r="P42" s="10">
        <f t="shared" si="10"/>
        <v>2.2000000000000002</v>
      </c>
      <c r="Q42" s="17">
        <v>22.118749999999995</v>
      </c>
      <c r="R42" s="18">
        <f t="shared" si="11"/>
        <v>24.318749999999994</v>
      </c>
      <c r="S42" s="19">
        <f t="shared" si="12"/>
        <v>1.875</v>
      </c>
      <c r="T42" s="20">
        <f t="shared" si="13"/>
        <v>22.443749999999994</v>
      </c>
      <c r="U42" s="4"/>
      <c r="V42" s="4"/>
      <c r="W42" s="4"/>
    </row>
    <row r="43" spans="1:29" ht="17.399999999999999">
      <c r="A43" s="9">
        <v>1</v>
      </c>
      <c r="B43" s="8">
        <v>236</v>
      </c>
      <c r="C43" s="8">
        <v>1968448898</v>
      </c>
      <c r="D43" s="42" t="s">
        <v>118</v>
      </c>
      <c r="F43" s="10">
        <v>2</v>
      </c>
      <c r="G43" s="10">
        <v>1</v>
      </c>
      <c r="H43" s="50">
        <v>0</v>
      </c>
      <c r="I43" s="50">
        <v>0</v>
      </c>
      <c r="J43" s="50">
        <v>0</v>
      </c>
      <c r="K43" s="14" t="s">
        <v>29</v>
      </c>
      <c r="L43" s="11">
        <f t="shared" si="8"/>
        <v>2</v>
      </c>
      <c r="M43" s="10">
        <f t="shared" si="7"/>
        <v>1.2</v>
      </c>
      <c r="N43" s="10">
        <f t="shared" si="9"/>
        <v>0</v>
      </c>
      <c r="O43" s="10">
        <v>0</v>
      </c>
      <c r="P43" s="10">
        <f t="shared" si="10"/>
        <v>3.2</v>
      </c>
      <c r="Q43" s="17">
        <v>20.962499999999995</v>
      </c>
      <c r="R43" s="18">
        <f t="shared" si="11"/>
        <v>24.162499999999994</v>
      </c>
      <c r="S43" s="19">
        <f t="shared" si="12"/>
        <v>1.875</v>
      </c>
      <c r="T43" s="20">
        <f t="shared" si="13"/>
        <v>22.287499999999994</v>
      </c>
      <c r="U43" s="4"/>
      <c r="V43" s="4"/>
      <c r="W43" s="4"/>
    </row>
    <row r="44" spans="1:29" ht="17.399999999999999">
      <c r="A44" s="9">
        <v>1</v>
      </c>
      <c r="B44" s="8">
        <v>187</v>
      </c>
      <c r="C44" s="8">
        <v>1241038267</v>
      </c>
      <c r="D44" s="42" t="s">
        <v>69</v>
      </c>
      <c r="E44" s="47"/>
      <c r="F44" s="10">
        <v>2</v>
      </c>
      <c r="G44" s="10">
        <v>1</v>
      </c>
      <c r="H44" s="50">
        <v>0</v>
      </c>
      <c r="I44" s="50">
        <v>0</v>
      </c>
      <c r="J44" s="50">
        <v>0</v>
      </c>
      <c r="K44" s="14" t="s">
        <v>29</v>
      </c>
      <c r="L44" s="11">
        <f t="shared" si="8"/>
        <v>2</v>
      </c>
      <c r="M44" s="10">
        <f t="shared" si="7"/>
        <v>1.2</v>
      </c>
      <c r="N44" s="10">
        <f t="shared" si="9"/>
        <v>0</v>
      </c>
      <c r="O44" s="10">
        <v>0</v>
      </c>
      <c r="P44" s="10">
        <f t="shared" si="10"/>
        <v>3.2</v>
      </c>
      <c r="Q44" s="17">
        <v>20.593749999999989</v>
      </c>
      <c r="R44" s="18">
        <f t="shared" si="11"/>
        <v>23.793749999999989</v>
      </c>
      <c r="S44" s="19">
        <f t="shared" si="12"/>
        <v>1.875</v>
      </c>
      <c r="T44" s="20">
        <f t="shared" si="13"/>
        <v>21.918749999999989</v>
      </c>
      <c r="U44" s="4"/>
      <c r="V44" s="4"/>
      <c r="W44" s="4"/>
    </row>
    <row r="45" spans="1:29" ht="17.399999999999999">
      <c r="A45" s="9">
        <v>1</v>
      </c>
      <c r="B45" s="8">
        <v>241</v>
      </c>
      <c r="C45" s="8">
        <v>1136259669</v>
      </c>
      <c r="D45" s="42" t="s">
        <v>124</v>
      </c>
      <c r="F45" s="10">
        <v>2</v>
      </c>
      <c r="G45" s="10">
        <v>1</v>
      </c>
      <c r="H45" s="50">
        <v>0</v>
      </c>
      <c r="I45" s="50">
        <v>0</v>
      </c>
      <c r="J45" s="50">
        <v>0</v>
      </c>
      <c r="K45" s="14" t="s">
        <v>29</v>
      </c>
      <c r="L45" s="11">
        <f t="shared" si="8"/>
        <v>2</v>
      </c>
      <c r="M45" s="10">
        <f t="shared" si="7"/>
        <v>1.2</v>
      </c>
      <c r="N45" s="10">
        <f t="shared" si="9"/>
        <v>0</v>
      </c>
      <c r="O45" s="10">
        <v>0</v>
      </c>
      <c r="P45" s="10">
        <f t="shared" si="10"/>
        <v>3.2</v>
      </c>
      <c r="Q45" s="17">
        <v>18.687499999999993</v>
      </c>
      <c r="R45" s="18">
        <f t="shared" si="11"/>
        <v>21.887499999999992</v>
      </c>
      <c r="S45" s="19">
        <f t="shared" si="12"/>
        <v>1.875</v>
      </c>
      <c r="T45" s="20">
        <f t="shared" si="13"/>
        <v>20.012499999999992</v>
      </c>
      <c r="U45" s="4"/>
      <c r="V45" s="4"/>
      <c r="W45" s="4"/>
    </row>
    <row r="46" spans="1:29" ht="20.399999999999999">
      <c r="A46" s="9">
        <v>1</v>
      </c>
      <c r="B46" s="8">
        <v>229</v>
      </c>
      <c r="C46" s="8">
        <v>1598972736</v>
      </c>
      <c r="D46" s="42" t="s">
        <v>110</v>
      </c>
      <c r="E46" s="42"/>
      <c r="F46" s="10">
        <v>0</v>
      </c>
      <c r="G46" s="10">
        <v>0</v>
      </c>
      <c r="H46" s="50">
        <v>0</v>
      </c>
      <c r="I46" s="50">
        <v>0</v>
      </c>
      <c r="J46" s="50">
        <v>0</v>
      </c>
      <c r="K46" s="39" t="s">
        <v>30</v>
      </c>
      <c r="L46" s="11">
        <f t="shared" si="8"/>
        <v>0</v>
      </c>
      <c r="M46" s="10">
        <f t="shared" si="7"/>
        <v>0</v>
      </c>
      <c r="N46" s="10">
        <f t="shared" si="9"/>
        <v>0</v>
      </c>
      <c r="O46" s="10">
        <v>0</v>
      </c>
      <c r="P46" s="10">
        <f t="shared" si="10"/>
        <v>0</v>
      </c>
      <c r="Q46" s="17">
        <v>21.197089552238797</v>
      </c>
      <c r="R46" s="18">
        <f t="shared" si="11"/>
        <v>21.197089552238797</v>
      </c>
      <c r="S46" s="19">
        <f t="shared" si="12"/>
        <v>0</v>
      </c>
      <c r="T46" s="20">
        <f t="shared" si="13"/>
        <v>21.197089552238797</v>
      </c>
      <c r="U46" s="4"/>
      <c r="V46" s="4"/>
      <c r="W46" s="4"/>
    </row>
    <row r="47" spans="1:29" ht="17.399999999999999">
      <c r="A47" s="9">
        <v>1</v>
      </c>
      <c r="B47" s="8">
        <v>209</v>
      </c>
      <c r="C47" s="8">
        <v>1525950050</v>
      </c>
      <c r="D47" s="42" t="s">
        <v>85</v>
      </c>
      <c r="E47" s="42" t="s">
        <v>83</v>
      </c>
      <c r="F47" s="10">
        <v>3</v>
      </c>
      <c r="G47" s="10">
        <v>0</v>
      </c>
      <c r="H47" s="50">
        <v>0</v>
      </c>
      <c r="I47" s="50">
        <v>0</v>
      </c>
      <c r="J47" s="50">
        <v>0</v>
      </c>
      <c r="K47" s="14" t="s">
        <v>29</v>
      </c>
      <c r="L47" s="11">
        <f t="shared" si="8"/>
        <v>4</v>
      </c>
      <c r="M47" s="10">
        <f t="shared" si="7"/>
        <v>0</v>
      </c>
      <c r="N47" s="10">
        <f t="shared" si="9"/>
        <v>0</v>
      </c>
      <c r="O47" s="10">
        <v>0</v>
      </c>
      <c r="P47" s="10">
        <f t="shared" si="10"/>
        <v>4</v>
      </c>
      <c r="Q47" s="17">
        <v>16.993749999999991</v>
      </c>
      <c r="R47" s="18">
        <f t="shared" si="11"/>
        <v>20.993749999999991</v>
      </c>
      <c r="S47" s="19">
        <f t="shared" si="12"/>
        <v>1.875</v>
      </c>
      <c r="T47" s="20">
        <f t="shared" si="13"/>
        <v>19.118749999999991</v>
      </c>
      <c r="U47" s="4"/>
      <c r="V47" s="4"/>
      <c r="W47" s="4"/>
    </row>
    <row r="48" spans="1:29" ht="17.399999999999999">
      <c r="A48" s="9">
        <v>1</v>
      </c>
      <c r="B48" s="8">
        <v>198</v>
      </c>
      <c r="C48" s="8">
        <v>723448640</v>
      </c>
      <c r="D48" s="42" t="s">
        <v>75</v>
      </c>
      <c r="E48" s="47"/>
      <c r="F48" s="10">
        <v>0</v>
      </c>
      <c r="G48" s="10">
        <v>0</v>
      </c>
      <c r="H48" s="50">
        <v>0</v>
      </c>
      <c r="I48" s="50">
        <v>0</v>
      </c>
      <c r="J48" s="50">
        <v>0</v>
      </c>
      <c r="K48" s="39" t="s">
        <v>30</v>
      </c>
      <c r="L48" s="11">
        <f t="shared" si="8"/>
        <v>0</v>
      </c>
      <c r="M48" s="10">
        <f t="shared" si="7"/>
        <v>0</v>
      </c>
      <c r="N48" s="10">
        <f t="shared" si="9"/>
        <v>0</v>
      </c>
      <c r="O48" s="10">
        <v>0</v>
      </c>
      <c r="P48" s="10">
        <f t="shared" si="10"/>
        <v>0</v>
      </c>
      <c r="Q48" s="17">
        <v>18.01874999999999</v>
      </c>
      <c r="R48" s="18">
        <f t="shared" si="11"/>
        <v>18.01874999999999</v>
      </c>
      <c r="S48" s="19">
        <f t="shared" si="12"/>
        <v>0</v>
      </c>
      <c r="T48" s="20">
        <f t="shared" si="13"/>
        <v>18.01874999999999</v>
      </c>
    </row>
    <row r="49" spans="1:20" ht="17.399999999999999">
      <c r="A49" s="9">
        <v>1</v>
      </c>
      <c r="B49" s="8">
        <v>193</v>
      </c>
      <c r="C49" s="8">
        <v>2125731287</v>
      </c>
      <c r="D49" s="42" t="s">
        <v>72</v>
      </c>
      <c r="E49" s="47"/>
      <c r="F49" s="10">
        <v>0</v>
      </c>
      <c r="G49" s="10">
        <v>0</v>
      </c>
      <c r="H49" s="50">
        <v>0</v>
      </c>
      <c r="I49" s="50">
        <v>0</v>
      </c>
      <c r="J49" s="50">
        <v>0</v>
      </c>
      <c r="K49" s="39" t="s">
        <v>30</v>
      </c>
      <c r="L49" s="11">
        <f t="shared" si="8"/>
        <v>0</v>
      </c>
      <c r="M49" s="10">
        <f t="shared" si="7"/>
        <v>0</v>
      </c>
      <c r="N49" s="10">
        <f t="shared" si="9"/>
        <v>0</v>
      </c>
      <c r="O49" s="10">
        <v>0</v>
      </c>
      <c r="P49" s="10">
        <f t="shared" si="10"/>
        <v>0</v>
      </c>
      <c r="Q49" s="17">
        <v>17.812499999999996</v>
      </c>
      <c r="R49" s="18">
        <f t="shared" si="11"/>
        <v>17.812499999999996</v>
      </c>
      <c r="S49" s="19">
        <f t="shared" si="12"/>
        <v>0</v>
      </c>
      <c r="T49" s="20">
        <f t="shared" si="13"/>
        <v>17.812499999999996</v>
      </c>
    </row>
    <row r="50" spans="1:20" ht="17.399999999999999">
      <c r="A50" s="9">
        <v>1</v>
      </c>
      <c r="B50" s="8">
        <v>222</v>
      </c>
      <c r="C50" s="8">
        <v>1945277617</v>
      </c>
      <c r="D50" s="42" t="s">
        <v>97</v>
      </c>
      <c r="E50" s="42"/>
      <c r="F50" s="10">
        <v>0</v>
      </c>
      <c r="G50" s="10">
        <v>0</v>
      </c>
      <c r="H50" s="50">
        <v>0</v>
      </c>
      <c r="I50" s="50">
        <v>0</v>
      </c>
      <c r="J50" s="50">
        <v>0</v>
      </c>
      <c r="K50" s="39" t="s">
        <v>30</v>
      </c>
      <c r="L50" s="11">
        <f t="shared" si="8"/>
        <v>0</v>
      </c>
      <c r="M50" s="10">
        <f t="shared" si="7"/>
        <v>0</v>
      </c>
      <c r="N50" s="10">
        <f t="shared" si="9"/>
        <v>0</v>
      </c>
      <c r="O50" s="10">
        <v>0</v>
      </c>
      <c r="P50" s="10">
        <f t="shared" si="10"/>
        <v>0</v>
      </c>
      <c r="Q50" s="17">
        <v>15.637727649769573</v>
      </c>
      <c r="R50" s="18">
        <f t="shared" si="11"/>
        <v>15.637727649769573</v>
      </c>
      <c r="S50" s="19">
        <f t="shared" si="12"/>
        <v>0</v>
      </c>
      <c r="T50" s="20">
        <f t="shared" si="13"/>
        <v>15.637727649769573</v>
      </c>
    </row>
    <row r="51" spans="1:20" ht="17.399999999999999">
      <c r="A51" s="9">
        <v>1</v>
      </c>
      <c r="B51" s="8">
        <v>155</v>
      </c>
      <c r="C51" s="8">
        <v>1532576874</v>
      </c>
      <c r="D51" s="42" t="s">
        <v>63</v>
      </c>
      <c r="E51" s="42" t="s">
        <v>46</v>
      </c>
      <c r="F51" s="10">
        <v>0</v>
      </c>
      <c r="G51" s="10">
        <v>0</v>
      </c>
      <c r="H51" s="50">
        <v>0</v>
      </c>
      <c r="I51" s="50">
        <v>0</v>
      </c>
      <c r="J51" s="50">
        <v>0</v>
      </c>
      <c r="K51" s="39" t="s">
        <v>30</v>
      </c>
      <c r="L51" s="11">
        <f t="shared" si="8"/>
        <v>0</v>
      </c>
      <c r="M51" s="10">
        <f t="shared" si="7"/>
        <v>0</v>
      </c>
      <c r="N51" s="10">
        <f t="shared" si="9"/>
        <v>0</v>
      </c>
      <c r="O51" s="10">
        <v>0</v>
      </c>
      <c r="P51" s="10">
        <f t="shared" si="10"/>
        <v>0</v>
      </c>
      <c r="Q51" s="17">
        <v>15.212499999999999</v>
      </c>
      <c r="R51" s="18">
        <f t="shared" si="11"/>
        <v>15.212499999999999</v>
      </c>
      <c r="S51" s="19">
        <f t="shared" si="12"/>
        <v>0</v>
      </c>
      <c r="T51" s="20">
        <f t="shared" si="13"/>
        <v>15.212499999999999</v>
      </c>
    </row>
    <row r="52" spans="1:20" ht="17.399999999999999">
      <c r="A52" s="9">
        <v>1</v>
      </c>
      <c r="B52" s="8">
        <v>239</v>
      </c>
      <c r="C52" s="8">
        <v>416459640</v>
      </c>
      <c r="D52" s="42" t="s">
        <v>122</v>
      </c>
      <c r="F52" s="10">
        <v>3</v>
      </c>
      <c r="G52" s="10">
        <v>0</v>
      </c>
      <c r="H52" s="50">
        <v>0</v>
      </c>
      <c r="I52" s="50">
        <v>0</v>
      </c>
      <c r="J52" s="50">
        <v>0</v>
      </c>
      <c r="K52" s="14" t="s">
        <v>29</v>
      </c>
      <c r="L52" s="11">
        <f t="shared" si="8"/>
        <v>4</v>
      </c>
      <c r="M52" s="10">
        <f t="shared" si="7"/>
        <v>0</v>
      </c>
      <c r="N52" s="10">
        <f t="shared" si="9"/>
        <v>0</v>
      </c>
      <c r="O52" s="10">
        <v>0</v>
      </c>
      <c r="P52" s="10">
        <f t="shared" si="10"/>
        <v>4</v>
      </c>
      <c r="Q52" s="17">
        <v>7.1625000000000014</v>
      </c>
      <c r="R52" s="18">
        <f t="shared" si="11"/>
        <v>11.162500000000001</v>
      </c>
      <c r="S52" s="19">
        <f t="shared" si="12"/>
        <v>1.875</v>
      </c>
      <c r="T52" s="20">
        <f t="shared" si="13"/>
        <v>9.2875000000000014</v>
      </c>
    </row>
    <row r="53" spans="1:20" ht="17.399999999999999">
      <c r="A53" s="9">
        <v>1</v>
      </c>
      <c r="B53" s="8">
        <v>223</v>
      </c>
      <c r="C53" s="8">
        <v>784792167</v>
      </c>
      <c r="D53" s="42" t="s">
        <v>98</v>
      </c>
      <c r="E53" s="42"/>
      <c r="F53" s="10">
        <v>0</v>
      </c>
      <c r="G53" s="10">
        <v>0</v>
      </c>
      <c r="H53" s="50">
        <v>0</v>
      </c>
      <c r="I53" s="50">
        <v>0</v>
      </c>
      <c r="J53" s="50">
        <v>0</v>
      </c>
      <c r="K53" s="39" t="s">
        <v>30</v>
      </c>
      <c r="L53" s="11">
        <f t="shared" si="8"/>
        <v>0</v>
      </c>
      <c r="M53" s="10">
        <f t="shared" si="7"/>
        <v>0</v>
      </c>
      <c r="N53" s="10">
        <f t="shared" si="9"/>
        <v>0</v>
      </c>
      <c r="O53" s="10">
        <v>0</v>
      </c>
      <c r="P53" s="10">
        <f t="shared" si="10"/>
        <v>0</v>
      </c>
      <c r="Q53" s="17">
        <v>10.624999999999996</v>
      </c>
      <c r="R53" s="18">
        <f t="shared" si="11"/>
        <v>10.624999999999996</v>
      </c>
      <c r="S53" s="19">
        <f t="shared" si="12"/>
        <v>0</v>
      </c>
      <c r="T53" s="20">
        <f t="shared" si="13"/>
        <v>10.624999999999996</v>
      </c>
    </row>
    <row r="54" spans="1:20" ht="17.399999999999999">
      <c r="A54" s="9">
        <v>1</v>
      </c>
      <c r="B54" s="8">
        <v>219</v>
      </c>
      <c r="C54" s="8">
        <v>1128309198</v>
      </c>
      <c r="D54" s="42" t="s">
        <v>93</v>
      </c>
      <c r="E54" s="47"/>
      <c r="F54" s="10">
        <v>0</v>
      </c>
      <c r="G54" s="10">
        <v>0</v>
      </c>
      <c r="H54" s="50">
        <v>0</v>
      </c>
      <c r="I54" s="50">
        <v>0</v>
      </c>
      <c r="J54" s="50">
        <v>0</v>
      </c>
      <c r="K54" s="39" t="s">
        <v>30</v>
      </c>
      <c r="L54" s="11">
        <f t="shared" si="8"/>
        <v>0</v>
      </c>
      <c r="M54" s="10">
        <f t="shared" si="7"/>
        <v>0</v>
      </c>
      <c r="N54" s="10">
        <f t="shared" si="9"/>
        <v>0</v>
      </c>
      <c r="O54" s="10">
        <v>0</v>
      </c>
      <c r="P54" s="10">
        <f t="shared" si="10"/>
        <v>0</v>
      </c>
      <c r="Q54" s="17">
        <v>9.4499999999999957</v>
      </c>
      <c r="R54" s="18">
        <f t="shared" si="11"/>
        <v>9.4499999999999957</v>
      </c>
      <c r="S54" s="19">
        <f t="shared" si="12"/>
        <v>0</v>
      </c>
      <c r="T54" s="20">
        <f t="shared" si="13"/>
        <v>9.4499999999999957</v>
      </c>
    </row>
    <row r="55" spans="1:20" ht="20.399999999999999">
      <c r="A55" s="9">
        <v>1</v>
      </c>
      <c r="B55" s="8">
        <v>214</v>
      </c>
      <c r="C55" s="8">
        <v>2130976604</v>
      </c>
      <c r="D55" s="42" t="s">
        <v>86</v>
      </c>
      <c r="E55" s="2"/>
      <c r="F55" s="10">
        <v>1</v>
      </c>
      <c r="G55" s="10">
        <v>0</v>
      </c>
      <c r="H55" s="50">
        <v>0</v>
      </c>
      <c r="I55" s="50">
        <v>0</v>
      </c>
      <c r="J55" s="50">
        <v>0</v>
      </c>
      <c r="K55" s="14" t="s">
        <v>29</v>
      </c>
      <c r="L55" s="11">
        <f t="shared" si="8"/>
        <v>1</v>
      </c>
      <c r="M55" s="10">
        <f t="shared" si="7"/>
        <v>0</v>
      </c>
      <c r="N55" s="10">
        <f t="shared" si="9"/>
        <v>0</v>
      </c>
      <c r="O55" s="10">
        <v>0</v>
      </c>
      <c r="P55" s="10">
        <f t="shared" si="10"/>
        <v>1</v>
      </c>
      <c r="Q55" s="17">
        <v>6.6874999999999893</v>
      </c>
      <c r="R55" s="18">
        <f t="shared" si="11"/>
        <v>7.6874999999999893</v>
      </c>
      <c r="S55" s="19">
        <f t="shared" si="12"/>
        <v>1.875</v>
      </c>
      <c r="T55" s="20">
        <f t="shared" si="13"/>
        <v>5.8124999999999893</v>
      </c>
    </row>
    <row r="56" spans="1:20" ht="17.399999999999999">
      <c r="A56" s="9">
        <v>1</v>
      </c>
      <c r="B56" s="8">
        <v>192</v>
      </c>
      <c r="C56" s="8">
        <v>1725281178</v>
      </c>
      <c r="D56" s="42" t="s">
        <v>71</v>
      </c>
      <c r="E56" s="47"/>
      <c r="F56" s="10">
        <v>0</v>
      </c>
      <c r="G56" s="10">
        <v>0</v>
      </c>
      <c r="H56" s="50">
        <v>0</v>
      </c>
      <c r="I56" s="50">
        <v>0</v>
      </c>
      <c r="J56" s="50">
        <v>0</v>
      </c>
      <c r="K56" s="39" t="s">
        <v>30</v>
      </c>
      <c r="L56" s="11">
        <f t="shared" si="8"/>
        <v>0</v>
      </c>
      <c r="M56" s="10">
        <f t="shared" si="7"/>
        <v>0</v>
      </c>
      <c r="N56" s="10">
        <f t="shared" si="9"/>
        <v>0</v>
      </c>
      <c r="O56" s="10">
        <v>0</v>
      </c>
      <c r="P56" s="10">
        <f t="shared" si="10"/>
        <v>0</v>
      </c>
      <c r="Q56" s="17">
        <v>3.1437499999999954</v>
      </c>
      <c r="R56" s="18">
        <f t="shared" si="11"/>
        <v>3.1437499999999954</v>
      </c>
      <c r="S56" s="19">
        <f t="shared" si="12"/>
        <v>0</v>
      </c>
      <c r="T56" s="20">
        <f t="shared" si="13"/>
        <v>3.1437499999999954</v>
      </c>
    </row>
    <row r="57" spans="1:20" ht="17.399999999999999">
      <c r="A57" s="9">
        <v>1</v>
      </c>
      <c r="B57" s="8">
        <v>235</v>
      </c>
      <c r="C57" s="8">
        <v>988684940</v>
      </c>
      <c r="D57" s="42" t="s">
        <v>116</v>
      </c>
      <c r="F57" s="10">
        <v>1</v>
      </c>
      <c r="G57" s="10">
        <v>0</v>
      </c>
      <c r="H57" s="50">
        <v>0</v>
      </c>
      <c r="I57" s="50">
        <v>0</v>
      </c>
      <c r="J57" s="50">
        <v>0</v>
      </c>
      <c r="K57" s="14" t="s">
        <v>29</v>
      </c>
      <c r="L57" s="11">
        <f t="shared" si="8"/>
        <v>1</v>
      </c>
      <c r="M57" s="10">
        <f t="shared" si="7"/>
        <v>0</v>
      </c>
      <c r="N57" s="10">
        <f t="shared" si="9"/>
        <v>0</v>
      </c>
      <c r="O57" s="10">
        <v>0</v>
      </c>
      <c r="P57" s="10">
        <f t="shared" si="10"/>
        <v>1</v>
      </c>
      <c r="Q57" s="17">
        <v>1.75</v>
      </c>
      <c r="R57" s="18">
        <f t="shared" si="11"/>
        <v>2.75</v>
      </c>
      <c r="S57" s="19">
        <f t="shared" si="12"/>
        <v>1.875</v>
      </c>
      <c r="T57" s="20">
        <f t="shared" si="13"/>
        <v>0.875</v>
      </c>
    </row>
    <row r="58" spans="1:20" ht="20.399999999999999">
      <c r="A58" s="9">
        <v>1</v>
      </c>
      <c r="B58" s="8">
        <v>220</v>
      </c>
      <c r="C58" s="8">
        <v>353335311</v>
      </c>
      <c r="D58" s="42" t="s">
        <v>94</v>
      </c>
      <c r="E58" s="44"/>
      <c r="F58" s="10">
        <v>0</v>
      </c>
      <c r="G58" s="10">
        <v>0</v>
      </c>
      <c r="H58" s="50">
        <v>0</v>
      </c>
      <c r="I58" s="50">
        <v>0</v>
      </c>
      <c r="J58" s="50">
        <v>0</v>
      </c>
      <c r="K58" s="39" t="s">
        <v>30</v>
      </c>
      <c r="L58" s="11">
        <f t="shared" si="8"/>
        <v>0</v>
      </c>
      <c r="M58" s="10">
        <f t="shared" si="7"/>
        <v>0</v>
      </c>
      <c r="N58" s="10">
        <f t="shared" si="9"/>
        <v>0</v>
      </c>
      <c r="O58" s="10">
        <v>0</v>
      </c>
      <c r="P58" s="10">
        <f t="shared" si="10"/>
        <v>0</v>
      </c>
      <c r="Q58" s="17">
        <v>2.0310546874999984</v>
      </c>
      <c r="R58" s="18">
        <f t="shared" si="11"/>
        <v>2.0310546874999984</v>
      </c>
      <c r="S58" s="19">
        <f t="shared" si="12"/>
        <v>0</v>
      </c>
      <c r="T58" s="20">
        <f t="shared" si="13"/>
        <v>2.0310546874999984</v>
      </c>
    </row>
    <row r="59" spans="1:20" ht="17.399999999999999">
      <c r="A59" s="9">
        <v>1</v>
      </c>
      <c r="B59" s="8">
        <v>233</v>
      </c>
      <c r="C59" s="8">
        <v>1963965829</v>
      </c>
      <c r="D59" s="42" t="s">
        <v>114</v>
      </c>
      <c r="F59" s="10">
        <v>0</v>
      </c>
      <c r="G59" s="10">
        <v>0</v>
      </c>
      <c r="H59" s="50">
        <v>0</v>
      </c>
      <c r="I59" s="50">
        <v>0</v>
      </c>
      <c r="J59" s="50">
        <v>0</v>
      </c>
      <c r="K59" s="39" t="s">
        <v>30</v>
      </c>
      <c r="L59" s="11">
        <f t="shared" si="8"/>
        <v>0</v>
      </c>
      <c r="M59" s="10">
        <f t="shared" si="7"/>
        <v>0</v>
      </c>
      <c r="N59" s="10">
        <f t="shared" si="9"/>
        <v>0</v>
      </c>
      <c r="O59" s="10">
        <v>0</v>
      </c>
      <c r="P59" s="10">
        <f t="shared" si="10"/>
        <v>0</v>
      </c>
      <c r="Q59" s="17">
        <v>2.0000000000000018</v>
      </c>
      <c r="R59" s="18">
        <f t="shared" si="11"/>
        <v>2.0000000000000018</v>
      </c>
      <c r="S59" s="19">
        <f t="shared" si="12"/>
        <v>0</v>
      </c>
      <c r="T59" s="20">
        <f t="shared" si="13"/>
        <v>2.0000000000000018</v>
      </c>
    </row>
    <row r="60" spans="1:20" ht="17.399999999999999">
      <c r="A60" s="9">
        <v>1</v>
      </c>
      <c r="B60" s="8">
        <v>207</v>
      </c>
      <c r="C60" s="8">
        <v>721273803</v>
      </c>
      <c r="D60" s="45" t="s">
        <v>81</v>
      </c>
      <c r="E60" s="47"/>
      <c r="F60" s="10">
        <v>0</v>
      </c>
      <c r="G60" s="10">
        <v>0</v>
      </c>
      <c r="H60" s="50">
        <v>0</v>
      </c>
      <c r="I60" s="50">
        <v>0</v>
      </c>
      <c r="J60" s="50">
        <v>0</v>
      </c>
      <c r="K60" s="39" t="s">
        <v>30</v>
      </c>
      <c r="L60" s="11">
        <f t="shared" si="8"/>
        <v>0</v>
      </c>
      <c r="M60" s="10">
        <f t="shared" si="7"/>
        <v>0</v>
      </c>
      <c r="N60" s="10">
        <f t="shared" si="9"/>
        <v>0</v>
      </c>
      <c r="O60" s="10">
        <v>0</v>
      </c>
      <c r="P60" s="10">
        <f t="shared" si="10"/>
        <v>0</v>
      </c>
      <c r="Q60" s="17">
        <v>1.425</v>
      </c>
      <c r="R60" s="18">
        <f t="shared" si="11"/>
        <v>1.425</v>
      </c>
      <c r="S60" s="19">
        <f t="shared" si="12"/>
        <v>0</v>
      </c>
      <c r="T60" s="20">
        <f t="shared" si="13"/>
        <v>1.425</v>
      </c>
    </row>
    <row r="61" spans="1:20" ht="20.399999999999999">
      <c r="A61" s="9">
        <v>1</v>
      </c>
      <c r="B61" s="8">
        <v>213</v>
      </c>
      <c r="C61" s="8">
        <v>311361673</v>
      </c>
      <c r="D61" s="42" t="s">
        <v>55</v>
      </c>
      <c r="E61" s="2"/>
      <c r="F61" s="10">
        <v>0</v>
      </c>
      <c r="G61" s="10">
        <v>0</v>
      </c>
      <c r="H61" s="50">
        <v>0</v>
      </c>
      <c r="I61" s="50">
        <v>0</v>
      </c>
      <c r="J61" s="50">
        <v>0</v>
      </c>
      <c r="K61" s="39" t="s">
        <v>30</v>
      </c>
      <c r="L61" s="11">
        <f t="shared" si="8"/>
        <v>0</v>
      </c>
      <c r="M61" s="10">
        <f t="shared" si="7"/>
        <v>0</v>
      </c>
      <c r="N61" s="10">
        <f t="shared" si="9"/>
        <v>0</v>
      </c>
      <c r="O61" s="10">
        <v>0</v>
      </c>
      <c r="P61" s="10">
        <f t="shared" si="10"/>
        <v>0</v>
      </c>
      <c r="Q61" s="17">
        <v>1.2687499999999945</v>
      </c>
      <c r="R61" s="18">
        <f t="shared" si="11"/>
        <v>1.2687499999999945</v>
      </c>
      <c r="S61" s="19">
        <f t="shared" si="12"/>
        <v>0</v>
      </c>
      <c r="T61" s="20">
        <f t="shared" si="13"/>
        <v>1.2687499999999945</v>
      </c>
    </row>
    <row r="62" spans="1:20" ht="17.399999999999999">
      <c r="A62" s="9">
        <v>1</v>
      </c>
      <c r="B62" s="8">
        <v>242</v>
      </c>
      <c r="C62" s="8">
        <v>250098915</v>
      </c>
      <c r="D62" s="42" t="s">
        <v>131</v>
      </c>
      <c r="F62" s="10">
        <v>0</v>
      </c>
      <c r="G62" s="10">
        <v>0</v>
      </c>
      <c r="H62" s="50">
        <v>0</v>
      </c>
      <c r="I62" s="50">
        <v>0</v>
      </c>
      <c r="J62" s="50">
        <v>0</v>
      </c>
      <c r="K62" s="39" t="s">
        <v>30</v>
      </c>
      <c r="L62" s="11">
        <f t="shared" si="8"/>
        <v>0</v>
      </c>
      <c r="M62" s="10">
        <f t="shared" si="7"/>
        <v>0</v>
      </c>
      <c r="N62" s="10">
        <f t="shared" si="9"/>
        <v>0</v>
      </c>
      <c r="O62" s="10">
        <v>0</v>
      </c>
      <c r="P62" s="10">
        <f t="shared" si="10"/>
        <v>0</v>
      </c>
      <c r="Q62" s="17">
        <v>0.90625</v>
      </c>
      <c r="R62" s="18">
        <f t="shared" si="11"/>
        <v>0.90625</v>
      </c>
      <c r="S62" s="19">
        <f t="shared" si="12"/>
        <v>0</v>
      </c>
      <c r="T62" s="20">
        <f t="shared" si="13"/>
        <v>0.90625</v>
      </c>
    </row>
    <row r="63" spans="1:20" ht="17.399999999999999">
      <c r="A63" s="9">
        <v>1</v>
      </c>
      <c r="B63" s="8">
        <v>242</v>
      </c>
      <c r="C63" s="8">
        <v>1769984287</v>
      </c>
      <c r="D63" s="8" t="s">
        <v>132</v>
      </c>
      <c r="F63" s="10">
        <v>0</v>
      </c>
      <c r="G63" s="10">
        <v>0</v>
      </c>
      <c r="H63" s="50">
        <v>0</v>
      </c>
      <c r="I63" s="50">
        <v>0</v>
      </c>
      <c r="J63" s="50">
        <v>0</v>
      </c>
      <c r="K63" s="39" t="s">
        <v>30</v>
      </c>
      <c r="L63" s="11">
        <f t="shared" si="8"/>
        <v>0</v>
      </c>
      <c r="M63" s="10">
        <f t="shared" si="7"/>
        <v>0</v>
      </c>
      <c r="N63" s="10">
        <f t="shared" si="9"/>
        <v>0</v>
      </c>
      <c r="O63" s="10">
        <v>0</v>
      </c>
      <c r="P63" s="10">
        <f t="shared" si="10"/>
        <v>0</v>
      </c>
      <c r="Q63" s="17">
        <v>0.65000000000000036</v>
      </c>
      <c r="R63" s="18">
        <f t="shared" si="11"/>
        <v>0.65000000000000036</v>
      </c>
      <c r="S63" s="19">
        <f t="shared" si="12"/>
        <v>0</v>
      </c>
      <c r="T63" s="20">
        <f t="shared" si="13"/>
        <v>0.65000000000000036</v>
      </c>
    </row>
    <row r="64" spans="1:20" ht="17.399999999999999">
      <c r="A64" s="9">
        <v>1</v>
      </c>
      <c r="B64" s="8">
        <v>218</v>
      </c>
      <c r="C64" s="8">
        <v>1804880865</v>
      </c>
      <c r="D64" s="42" t="s">
        <v>92</v>
      </c>
      <c r="E64" s="47"/>
      <c r="F64" s="10">
        <v>0</v>
      </c>
      <c r="G64" s="10">
        <v>0</v>
      </c>
      <c r="H64" s="50">
        <v>0</v>
      </c>
      <c r="I64" s="50">
        <v>0</v>
      </c>
      <c r="J64" s="50">
        <v>0</v>
      </c>
      <c r="K64" s="39" t="s">
        <v>30</v>
      </c>
      <c r="L64" s="11">
        <f t="shared" si="8"/>
        <v>0</v>
      </c>
      <c r="M64" s="10">
        <f t="shared" si="7"/>
        <v>0</v>
      </c>
      <c r="N64" s="10">
        <f t="shared" si="9"/>
        <v>0</v>
      </c>
      <c r="O64" s="10">
        <v>0</v>
      </c>
      <c r="P64" s="10">
        <f t="shared" si="10"/>
        <v>0</v>
      </c>
      <c r="Q64" s="17">
        <v>0.11749999999999983</v>
      </c>
      <c r="R64" s="18">
        <f t="shared" si="11"/>
        <v>0.11749999999999983</v>
      </c>
      <c r="S64" s="19">
        <f t="shared" si="12"/>
        <v>0</v>
      </c>
      <c r="T64" s="20">
        <f t="shared" si="13"/>
        <v>0.11749999999999983</v>
      </c>
    </row>
    <row r="65" spans="1:23" ht="17.399999999999999">
      <c r="A65" s="9">
        <v>1</v>
      </c>
      <c r="B65" s="8">
        <v>217</v>
      </c>
      <c r="C65" s="8">
        <v>331155825</v>
      </c>
      <c r="D65" s="46" t="s">
        <v>89</v>
      </c>
      <c r="E65" s="2"/>
      <c r="F65" s="10">
        <v>0</v>
      </c>
      <c r="G65" s="10">
        <v>0</v>
      </c>
      <c r="H65" s="50">
        <v>0</v>
      </c>
      <c r="I65" s="50">
        <v>0</v>
      </c>
      <c r="J65" s="50">
        <v>0</v>
      </c>
      <c r="K65" s="39" t="s">
        <v>30</v>
      </c>
      <c r="L65" s="11">
        <f t="shared" si="8"/>
        <v>0</v>
      </c>
      <c r="M65" s="10">
        <f t="shared" si="7"/>
        <v>0</v>
      </c>
      <c r="N65" s="10">
        <f t="shared" si="9"/>
        <v>0</v>
      </c>
      <c r="O65" s="10">
        <v>0</v>
      </c>
      <c r="P65" s="10">
        <f t="shared" si="10"/>
        <v>0</v>
      </c>
      <c r="Q65" s="17">
        <v>-1.3124999999999984</v>
      </c>
      <c r="R65" s="18">
        <f t="shared" si="11"/>
        <v>-1.3124999999999984</v>
      </c>
      <c r="S65" s="19">
        <f t="shared" si="12"/>
        <v>0</v>
      </c>
      <c r="T65" s="20">
        <f t="shared" si="13"/>
        <v>-1.3124999999999984</v>
      </c>
    </row>
    <row r="66" spans="1:23" ht="17.399999999999999">
      <c r="A66" s="9">
        <v>1</v>
      </c>
      <c r="B66" s="8">
        <v>237</v>
      </c>
      <c r="C66" s="8">
        <v>1331532576</v>
      </c>
      <c r="D66" s="42" t="s">
        <v>119</v>
      </c>
      <c r="F66" s="10">
        <v>0</v>
      </c>
      <c r="G66" s="10">
        <v>0</v>
      </c>
      <c r="H66" s="50">
        <v>0</v>
      </c>
      <c r="I66" s="50">
        <v>0</v>
      </c>
      <c r="J66" s="50">
        <v>0</v>
      </c>
      <c r="K66" s="39" t="s">
        <v>30</v>
      </c>
      <c r="L66" s="11">
        <f t="shared" si="8"/>
        <v>0</v>
      </c>
      <c r="M66" s="10">
        <f t="shared" si="7"/>
        <v>0</v>
      </c>
      <c r="N66" s="10">
        <f t="shared" si="9"/>
        <v>0</v>
      </c>
      <c r="O66" s="10">
        <v>0</v>
      </c>
      <c r="P66" s="10">
        <f t="shared" si="10"/>
        <v>0</v>
      </c>
      <c r="Q66" s="17">
        <v>-2.5499999999999998</v>
      </c>
      <c r="R66" s="18">
        <f t="shared" si="11"/>
        <v>-2.5499999999999998</v>
      </c>
      <c r="S66" s="19">
        <f t="shared" si="12"/>
        <v>0</v>
      </c>
      <c r="T66" s="20">
        <f t="shared" si="13"/>
        <v>-2.5499999999999998</v>
      </c>
    </row>
    <row r="67" spans="1:23" ht="17.399999999999999">
      <c r="A67" s="9">
        <v>1</v>
      </c>
      <c r="B67" s="8">
        <v>228</v>
      </c>
      <c r="C67" s="8">
        <v>1287481910</v>
      </c>
      <c r="D67" s="42" t="s">
        <v>109</v>
      </c>
      <c r="E67" s="42"/>
      <c r="F67" s="10">
        <v>0</v>
      </c>
      <c r="G67" s="10">
        <v>0</v>
      </c>
      <c r="H67" s="50">
        <v>0</v>
      </c>
      <c r="I67" s="50">
        <v>0</v>
      </c>
      <c r="J67" s="50">
        <v>0</v>
      </c>
      <c r="K67" s="39" t="s">
        <v>30</v>
      </c>
      <c r="L67" s="11">
        <f t="shared" si="8"/>
        <v>0</v>
      </c>
      <c r="M67" s="10">
        <f t="shared" si="7"/>
        <v>0</v>
      </c>
      <c r="N67" s="10">
        <f t="shared" si="9"/>
        <v>0</v>
      </c>
      <c r="O67" s="10">
        <v>0</v>
      </c>
      <c r="P67" s="10">
        <f t="shared" si="10"/>
        <v>0</v>
      </c>
      <c r="Q67" s="17">
        <v>-4.1499999999999995</v>
      </c>
      <c r="R67" s="18">
        <f t="shared" si="11"/>
        <v>-4.1499999999999995</v>
      </c>
      <c r="S67" s="19">
        <f t="shared" si="12"/>
        <v>0</v>
      </c>
      <c r="T67" s="20">
        <f t="shared" si="13"/>
        <v>-4.1499999999999995</v>
      </c>
    </row>
    <row r="68" spans="1:23" ht="17.399999999999999">
      <c r="A68" s="9">
        <v>1</v>
      </c>
      <c r="B68" s="8">
        <v>141</v>
      </c>
      <c r="C68" s="8">
        <v>1190305158</v>
      </c>
      <c r="D68" s="42" t="s">
        <v>44</v>
      </c>
      <c r="E68" s="44"/>
      <c r="F68" s="10">
        <v>0</v>
      </c>
      <c r="G68" s="10">
        <v>0</v>
      </c>
      <c r="H68" s="50">
        <v>0</v>
      </c>
      <c r="I68" s="50">
        <v>0</v>
      </c>
      <c r="J68" s="50">
        <v>0</v>
      </c>
      <c r="K68" s="39" t="s">
        <v>30</v>
      </c>
      <c r="L68" s="11">
        <f t="shared" si="8"/>
        <v>0</v>
      </c>
      <c r="M68" s="10">
        <f t="shared" si="7"/>
        <v>0</v>
      </c>
      <c r="N68" s="10">
        <f t="shared" si="9"/>
        <v>0</v>
      </c>
      <c r="O68" s="10">
        <v>0</v>
      </c>
      <c r="P68" s="10">
        <f t="shared" si="10"/>
        <v>0</v>
      </c>
      <c r="Q68" s="17">
        <v>-7.8937500000000043</v>
      </c>
      <c r="R68" s="18">
        <f t="shared" si="11"/>
        <v>-7.8937500000000043</v>
      </c>
      <c r="S68" s="19">
        <f t="shared" si="12"/>
        <v>0</v>
      </c>
      <c r="T68" s="20">
        <f t="shared" si="13"/>
        <v>-7.8937500000000043</v>
      </c>
      <c r="U68" s="40"/>
      <c r="V68" s="40"/>
      <c r="W68" s="41"/>
    </row>
    <row r="69" spans="1:23" ht="17.399999999999999">
      <c r="A69" s="9">
        <v>1</v>
      </c>
      <c r="B69" s="8">
        <v>203</v>
      </c>
      <c r="C69" s="8">
        <v>382695365</v>
      </c>
      <c r="D69" s="42" t="s">
        <v>78</v>
      </c>
      <c r="E69" s="47"/>
      <c r="F69" s="10">
        <v>0</v>
      </c>
      <c r="G69" s="10">
        <v>0</v>
      </c>
      <c r="H69" s="50">
        <v>0</v>
      </c>
      <c r="I69" s="50">
        <v>0</v>
      </c>
      <c r="J69" s="50">
        <v>0</v>
      </c>
      <c r="K69" s="39" t="s">
        <v>30</v>
      </c>
      <c r="L69" s="11">
        <f t="shared" si="8"/>
        <v>0</v>
      </c>
      <c r="M69" s="10">
        <f t="shared" si="7"/>
        <v>0</v>
      </c>
      <c r="N69" s="10">
        <f t="shared" si="9"/>
        <v>0</v>
      </c>
      <c r="O69" s="10">
        <v>0</v>
      </c>
      <c r="P69" s="10">
        <f t="shared" ref="P69" si="14">SUM(M69+L69+O69+N69)</f>
        <v>0</v>
      </c>
      <c r="Q69" s="17">
        <v>-16.90625</v>
      </c>
      <c r="R69" s="18">
        <f t="shared" ref="R69" si="15">P69+Q69</f>
        <v>-16.90625</v>
      </c>
      <c r="S69" s="19">
        <f t="shared" si="12"/>
        <v>0</v>
      </c>
      <c r="T69" s="20">
        <f t="shared" ref="T69" si="16">R69-S69</f>
        <v>-16.90625</v>
      </c>
    </row>
  </sheetData>
  <autoFilter ref="A4:W69" xr:uid="{28593B8F-03E7-4BE1-B554-FC0AADC431B2}">
    <sortState xmlns:xlrd2="http://schemas.microsoft.com/office/spreadsheetml/2017/richdata2" ref="A5:W69">
      <sortCondition descending="1" ref="R4:R69"/>
    </sortState>
  </autoFilter>
  <mergeCells count="5">
    <mergeCell ref="B1:T1"/>
    <mergeCell ref="B2:T2"/>
    <mergeCell ref="B3:E3"/>
    <mergeCell ref="H3:J3"/>
    <mergeCell ref="K3:T3"/>
  </mergeCells>
  <conditionalFormatting sqref="O5:O69 F5:J69">
    <cfRule type="cellIs" dxfId="26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9F2C-D988-4C9E-91C7-D4A3CEADFE90}">
  <dimension ref="A1:AC71"/>
  <sheetViews>
    <sheetView topLeftCell="A40" zoomScale="85" zoomScaleNormal="85" workbookViewId="0">
      <selection activeCell="T5" sqref="T5:T70"/>
    </sheetView>
  </sheetViews>
  <sheetFormatPr defaultColWidth="9" defaultRowHeight="14.4"/>
  <cols>
    <col min="1" max="1" width="6.44140625" customWidth="1"/>
    <col min="2" max="2" width="6.6640625" style="4" customWidth="1"/>
    <col min="3" max="3" width="19.77734375" style="5" customWidth="1"/>
    <col min="4" max="4" width="21.21875" style="5" customWidth="1"/>
    <col min="5" max="5" width="18.33203125" style="4" customWidth="1"/>
    <col min="6" max="6" width="13.109375" style="4" customWidth="1"/>
    <col min="7" max="7" width="13.77734375" style="4" customWidth="1"/>
    <col min="8" max="8" width="5.77734375" style="4" customWidth="1"/>
    <col min="9" max="9" width="5.88671875" style="4" customWidth="1"/>
    <col min="10" max="10" width="5.77734375" style="4" customWidth="1"/>
    <col min="11" max="11" width="20" style="4" customWidth="1"/>
    <col min="12" max="12" width="9" style="4" customWidth="1"/>
    <col min="13" max="13" width="12.109375" style="4" customWidth="1"/>
    <col min="14" max="14" width="11.33203125" style="4" customWidth="1"/>
    <col min="15" max="15" width="10" style="4" customWidth="1"/>
    <col min="16" max="16" width="9" style="4" customWidth="1"/>
    <col min="17" max="17" width="12.88671875" style="4" customWidth="1"/>
    <col min="18" max="18" width="12" style="4" customWidth="1"/>
    <col min="19" max="19" width="9.21875" style="4" customWidth="1"/>
    <col min="20" max="20" width="12.6640625" style="4" customWidth="1"/>
    <col min="21" max="23" width="11.109375" style="21" customWidth="1"/>
    <col min="24" max="24" width="22.44140625" customWidth="1"/>
  </cols>
  <sheetData>
    <row r="1" spans="1:29" ht="36.6" customHeight="1">
      <c r="B1" s="99" t="str">
        <f>CONCATENATE("157区 活动中心",Y15,"年",Y16,"月",Y17,"日","分包贡献明细"," 统计：一二三")</f>
        <v>157区 活动中心2021年9月4日分包贡献明细 统计：一二三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62"/>
      <c r="V1" s="62"/>
      <c r="W1" s="62"/>
      <c r="X1" s="22" t="s">
        <v>12</v>
      </c>
      <c r="Y1" s="5">
        <v>67</v>
      </c>
      <c r="Z1" s="3"/>
      <c r="AA1" s="3"/>
      <c r="AB1" s="3"/>
      <c r="AC1" s="3"/>
    </row>
    <row r="2" spans="1:29" ht="117.6" customHeight="1">
      <c r="B2" s="101" t="s">
        <v>126</v>
      </c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63"/>
      <c r="V2" s="63"/>
      <c r="W2" s="63"/>
      <c r="X2" s="23" t="s">
        <v>0</v>
      </c>
      <c r="Y2" s="24" t="s">
        <v>13</v>
      </c>
      <c r="Z2" s="25" t="s">
        <v>14</v>
      </c>
      <c r="AA2" s="25" t="s">
        <v>15</v>
      </c>
      <c r="AB2" s="25" t="s">
        <v>56</v>
      </c>
      <c r="AC2" s="26" t="s">
        <v>16</v>
      </c>
    </row>
    <row r="3" spans="1:29" ht="20.399999999999999">
      <c r="B3" s="104" t="s">
        <v>20</v>
      </c>
      <c r="C3" s="104"/>
      <c r="D3" s="104"/>
      <c r="E3" s="104"/>
      <c r="F3" s="64" t="s">
        <v>17</v>
      </c>
      <c r="G3" s="65" t="s">
        <v>39</v>
      </c>
      <c r="H3" s="105" t="s">
        <v>99</v>
      </c>
      <c r="I3" s="105"/>
      <c r="J3" s="105"/>
      <c r="K3" s="106" t="s">
        <v>21</v>
      </c>
      <c r="L3" s="107"/>
      <c r="M3" s="107"/>
      <c r="N3" s="107"/>
      <c r="O3" s="107"/>
      <c r="P3" s="107"/>
      <c r="Q3" s="107"/>
      <c r="R3" s="107"/>
      <c r="S3" s="107"/>
      <c r="T3" s="108"/>
      <c r="U3" s="61"/>
      <c r="V3" s="61"/>
      <c r="W3" s="61"/>
      <c r="X3" s="27" t="s">
        <v>22</v>
      </c>
      <c r="Y3" s="28">
        <f>AC3/$Y$13</f>
        <v>11.875</v>
      </c>
      <c r="Z3" s="23">
        <v>5</v>
      </c>
      <c r="AA3" s="23">
        <v>7</v>
      </c>
      <c r="AB3" s="23">
        <v>20</v>
      </c>
      <c r="AC3" s="23">
        <v>1900</v>
      </c>
    </row>
    <row r="4" spans="1:29" ht="40.799999999999997">
      <c r="A4" s="68" t="s">
        <v>117</v>
      </c>
      <c r="B4" s="68" t="s">
        <v>2</v>
      </c>
      <c r="C4" s="60" t="s">
        <v>23</v>
      </c>
      <c r="D4" s="68" t="s">
        <v>3</v>
      </c>
      <c r="E4" s="68" t="s">
        <v>4</v>
      </c>
      <c r="F4" s="6" t="s">
        <v>40</v>
      </c>
      <c r="G4" s="7" t="s">
        <v>91</v>
      </c>
      <c r="H4" s="7" t="s">
        <v>100</v>
      </c>
      <c r="I4" s="7" t="s">
        <v>101</v>
      </c>
      <c r="J4" s="7" t="s">
        <v>102</v>
      </c>
      <c r="K4" s="6" t="s">
        <v>5</v>
      </c>
      <c r="L4" s="6" t="s">
        <v>24</v>
      </c>
      <c r="M4" s="7" t="s">
        <v>41</v>
      </c>
      <c r="N4" s="7" t="s">
        <v>104</v>
      </c>
      <c r="O4" s="7" t="s">
        <v>45</v>
      </c>
      <c r="P4" s="15" t="s">
        <v>25</v>
      </c>
      <c r="Q4" s="60" t="s">
        <v>26</v>
      </c>
      <c r="R4" s="16" t="s">
        <v>7</v>
      </c>
      <c r="S4" s="60" t="s">
        <v>6</v>
      </c>
      <c r="T4" s="60" t="s">
        <v>27</v>
      </c>
      <c r="U4" s="60" t="s">
        <v>18</v>
      </c>
      <c r="V4" s="60" t="s">
        <v>19</v>
      </c>
      <c r="W4" s="60" t="s">
        <v>1</v>
      </c>
      <c r="X4" s="29" t="s">
        <v>28</v>
      </c>
      <c r="Y4" s="28">
        <f>AC4/$Y$13</f>
        <v>9.6875</v>
      </c>
      <c r="Z4" s="23">
        <v>4</v>
      </c>
      <c r="AA4" s="23">
        <v>6</v>
      </c>
      <c r="AB4" s="23">
        <v>15</v>
      </c>
      <c r="AC4" s="23">
        <v>1550</v>
      </c>
    </row>
    <row r="5" spans="1:29" s="1" customFormat="1" ht="17.399999999999999">
      <c r="A5" s="9">
        <v>1</v>
      </c>
      <c r="B5" s="8">
        <v>240</v>
      </c>
      <c r="C5" s="8">
        <v>289805855</v>
      </c>
      <c r="D5" s="42" t="s">
        <v>123</v>
      </c>
      <c r="E5" s="4"/>
      <c r="F5" s="10">
        <v>4</v>
      </c>
      <c r="G5" s="10">
        <v>1</v>
      </c>
      <c r="H5" s="50">
        <v>0</v>
      </c>
      <c r="I5" s="50">
        <v>0</v>
      </c>
      <c r="J5" s="50">
        <v>0</v>
      </c>
      <c r="K5" s="14" t="s">
        <v>53</v>
      </c>
      <c r="L5" s="11">
        <f t="shared" ref="L5:L36" si="0">F5+IF(F5&gt;2,(F5-2)*1,0)</f>
        <v>6</v>
      </c>
      <c r="M5" s="10">
        <f t="shared" ref="M5:M20" si="1">G5*$Y$14</f>
        <v>1.2</v>
      </c>
      <c r="N5" s="10">
        <f t="shared" ref="N5:N36" si="2">SUM(H5:J5)*$Y$18</f>
        <v>0</v>
      </c>
      <c r="O5" s="10">
        <v>0</v>
      </c>
      <c r="P5" s="10">
        <f t="shared" ref="P5:P36" si="3">SUM(M5+L5+O5+N5)</f>
        <v>7.2</v>
      </c>
      <c r="Q5" s="17">
        <v>41.675000000000004</v>
      </c>
      <c r="R5" s="18">
        <f t="shared" ref="R5:R36" si="4">P5+Q5</f>
        <v>48.875000000000007</v>
      </c>
      <c r="S5" s="19">
        <f t="shared" ref="S5:S36" si="5">VLOOKUP(K5,$X$3:$Y$10,2,FALSE)</f>
        <v>1.09375</v>
      </c>
      <c r="T5" s="20">
        <f t="shared" ref="T5:T36" si="6">R5-S5</f>
        <v>47.781250000000007</v>
      </c>
      <c r="U5" s="4"/>
      <c r="V5" s="4"/>
      <c r="W5" s="4"/>
      <c r="X5" s="14" t="s">
        <v>29</v>
      </c>
      <c r="Y5" s="28">
        <f>AC5/$Y$13/4</f>
        <v>1.875</v>
      </c>
      <c r="Z5" s="30">
        <v>3</v>
      </c>
      <c r="AA5" s="30">
        <v>5</v>
      </c>
      <c r="AB5" s="30">
        <v>10</v>
      </c>
      <c r="AC5" s="30">
        <v>1200</v>
      </c>
    </row>
    <row r="6" spans="1:29" s="1" customFormat="1" ht="17.399999999999999">
      <c r="A6" s="9">
        <v>1</v>
      </c>
      <c r="B6" s="8">
        <v>224</v>
      </c>
      <c r="C6" s="8">
        <v>862562360</v>
      </c>
      <c r="D6" s="42" t="s">
        <v>129</v>
      </c>
      <c r="E6" s="42" t="s">
        <v>106</v>
      </c>
      <c r="F6" s="10">
        <v>4</v>
      </c>
      <c r="G6" s="10">
        <v>1</v>
      </c>
      <c r="H6" s="50">
        <v>0</v>
      </c>
      <c r="I6" s="50">
        <v>0</v>
      </c>
      <c r="J6" s="50">
        <v>0</v>
      </c>
      <c r="K6" s="12" t="s">
        <v>51</v>
      </c>
      <c r="L6" s="11">
        <f t="shared" si="0"/>
        <v>6</v>
      </c>
      <c r="M6" s="10">
        <f t="shared" si="1"/>
        <v>1.2</v>
      </c>
      <c r="N6" s="10">
        <f t="shared" si="2"/>
        <v>0</v>
      </c>
      <c r="O6" s="10">
        <v>0</v>
      </c>
      <c r="P6" s="10">
        <f t="shared" si="3"/>
        <v>7.2</v>
      </c>
      <c r="Q6" s="17">
        <v>25.635354477611937</v>
      </c>
      <c r="R6" s="18">
        <f t="shared" si="4"/>
        <v>32.835354477611936</v>
      </c>
      <c r="S6" s="19">
        <f t="shared" si="5"/>
        <v>8.125</v>
      </c>
      <c r="T6" s="20">
        <f t="shared" si="6"/>
        <v>24.710354477611936</v>
      </c>
      <c r="U6" s="4"/>
      <c r="V6" s="4"/>
      <c r="W6" s="4"/>
      <c r="X6" s="14"/>
      <c r="Y6" s="28"/>
      <c r="Z6" s="30"/>
      <c r="AA6" s="30"/>
      <c r="AB6" s="30"/>
      <c r="AC6" s="30"/>
    </row>
    <row r="7" spans="1:29" s="1" customFormat="1" ht="17.399999999999999">
      <c r="A7" s="9">
        <v>1</v>
      </c>
      <c r="B7" s="8">
        <v>116</v>
      </c>
      <c r="C7" s="8">
        <v>2122596917</v>
      </c>
      <c r="D7" s="42" t="s">
        <v>61</v>
      </c>
      <c r="E7" s="42" t="s">
        <v>37</v>
      </c>
      <c r="F7" s="10">
        <v>4</v>
      </c>
      <c r="G7" s="10">
        <v>1</v>
      </c>
      <c r="H7" s="50">
        <v>0</v>
      </c>
      <c r="I7" s="50">
        <v>1</v>
      </c>
      <c r="J7" s="50">
        <v>1</v>
      </c>
      <c r="K7" s="12" t="s">
        <v>51</v>
      </c>
      <c r="L7" s="11">
        <f t="shared" si="0"/>
        <v>6</v>
      </c>
      <c r="M7" s="10">
        <f t="shared" si="1"/>
        <v>1.2</v>
      </c>
      <c r="N7" s="10">
        <f t="shared" si="2"/>
        <v>0.8</v>
      </c>
      <c r="O7" s="10">
        <v>0</v>
      </c>
      <c r="P7" s="10">
        <f t="shared" si="3"/>
        <v>8</v>
      </c>
      <c r="Q7" s="17">
        <v>24.437499999999996</v>
      </c>
      <c r="R7" s="18">
        <f t="shared" si="4"/>
        <v>32.4375</v>
      </c>
      <c r="S7" s="19">
        <f t="shared" si="5"/>
        <v>8.125</v>
      </c>
      <c r="T7" s="20">
        <f t="shared" si="6"/>
        <v>24.3125</v>
      </c>
      <c r="U7" s="11"/>
      <c r="V7" s="11"/>
      <c r="W7" s="32"/>
      <c r="X7" s="12" t="s">
        <v>51</v>
      </c>
      <c r="Y7" s="28">
        <f>AC7/$Y$13</f>
        <v>8.125</v>
      </c>
      <c r="Z7" s="30">
        <v>4</v>
      </c>
      <c r="AA7" s="30">
        <v>5</v>
      </c>
      <c r="AB7" s="30"/>
      <c r="AC7" s="30">
        <v>1300</v>
      </c>
    </row>
    <row r="8" spans="1:29" s="1" customFormat="1" ht="17.399999999999999">
      <c r="A8" s="9">
        <v>1</v>
      </c>
      <c r="B8" s="8">
        <v>182</v>
      </c>
      <c r="C8" s="8">
        <v>828260319</v>
      </c>
      <c r="D8" s="42" t="s">
        <v>127</v>
      </c>
      <c r="E8" s="42" t="s">
        <v>90</v>
      </c>
      <c r="F8" s="10">
        <v>4</v>
      </c>
      <c r="G8" s="10">
        <v>1</v>
      </c>
      <c r="H8" s="50">
        <v>0</v>
      </c>
      <c r="I8" s="50">
        <v>0</v>
      </c>
      <c r="J8" s="50">
        <v>1</v>
      </c>
      <c r="K8" s="12" t="s">
        <v>51</v>
      </c>
      <c r="L8" s="11">
        <f t="shared" si="0"/>
        <v>6</v>
      </c>
      <c r="M8" s="10">
        <f t="shared" si="1"/>
        <v>1.2</v>
      </c>
      <c r="N8" s="10">
        <f t="shared" si="2"/>
        <v>0.4</v>
      </c>
      <c r="O8" s="10">
        <v>0</v>
      </c>
      <c r="P8" s="10">
        <f t="shared" si="3"/>
        <v>7.6000000000000005</v>
      </c>
      <c r="Q8" s="17">
        <v>24.619250000000019</v>
      </c>
      <c r="R8" s="18">
        <f t="shared" si="4"/>
        <v>32.219250000000017</v>
      </c>
      <c r="S8" s="19">
        <f t="shared" si="5"/>
        <v>8.125</v>
      </c>
      <c r="T8" s="20">
        <f t="shared" si="6"/>
        <v>24.094250000000017</v>
      </c>
      <c r="U8" s="4"/>
      <c r="V8" s="4"/>
      <c r="W8" s="4"/>
      <c r="X8" s="13" t="s">
        <v>52</v>
      </c>
      <c r="Y8" s="28">
        <f>AC8/$Y$13</f>
        <v>6.25</v>
      </c>
      <c r="Z8" s="30">
        <v>3</v>
      </c>
      <c r="AA8" s="30">
        <v>4</v>
      </c>
      <c r="AB8" s="30"/>
      <c r="AC8" s="30">
        <v>1000</v>
      </c>
    </row>
    <row r="9" spans="1:29" s="1" customFormat="1" ht="17.399999999999999">
      <c r="A9" s="9">
        <v>1</v>
      </c>
      <c r="B9" s="9">
        <v>26</v>
      </c>
      <c r="C9" s="8">
        <v>1754932067</v>
      </c>
      <c r="D9" s="42" t="s">
        <v>58</v>
      </c>
      <c r="E9" s="42" t="s">
        <v>9</v>
      </c>
      <c r="F9" s="10">
        <v>4</v>
      </c>
      <c r="G9" s="10">
        <v>1</v>
      </c>
      <c r="H9" s="50">
        <v>0</v>
      </c>
      <c r="I9" s="50">
        <v>1</v>
      </c>
      <c r="J9" s="50">
        <v>1</v>
      </c>
      <c r="K9" s="12" t="s">
        <v>51</v>
      </c>
      <c r="L9" s="11">
        <f t="shared" si="0"/>
        <v>6</v>
      </c>
      <c r="M9" s="10">
        <f t="shared" si="1"/>
        <v>1.2</v>
      </c>
      <c r="N9" s="10">
        <f t="shared" si="2"/>
        <v>0.8</v>
      </c>
      <c r="O9" s="10">
        <v>0</v>
      </c>
      <c r="P9" s="10">
        <f t="shared" si="3"/>
        <v>8</v>
      </c>
      <c r="Q9" s="17">
        <v>24.2</v>
      </c>
      <c r="R9" s="18">
        <f t="shared" si="4"/>
        <v>32.200000000000003</v>
      </c>
      <c r="S9" s="19">
        <f t="shared" si="5"/>
        <v>8.125</v>
      </c>
      <c r="T9" s="20">
        <f t="shared" si="6"/>
        <v>24.075000000000003</v>
      </c>
      <c r="U9" s="11"/>
      <c r="V9" s="11"/>
      <c r="W9" s="11"/>
      <c r="X9" s="14" t="s">
        <v>53</v>
      </c>
      <c r="Y9" s="28">
        <f>AC9/$Y$13/4</f>
        <v>1.09375</v>
      </c>
      <c r="Z9" s="30">
        <v>2</v>
      </c>
      <c r="AA9" s="30">
        <v>3</v>
      </c>
      <c r="AB9" s="30"/>
      <c r="AC9" s="30">
        <v>700</v>
      </c>
    </row>
    <row r="10" spans="1:29" s="1" customFormat="1" ht="17.399999999999999">
      <c r="A10" s="9">
        <v>1</v>
      </c>
      <c r="B10" s="8">
        <v>216</v>
      </c>
      <c r="C10" s="8">
        <v>395700385</v>
      </c>
      <c r="D10" s="42" t="s">
        <v>88</v>
      </c>
      <c r="E10" s="2"/>
      <c r="F10" s="10">
        <v>4</v>
      </c>
      <c r="G10" s="10">
        <v>1</v>
      </c>
      <c r="H10" s="50">
        <v>0</v>
      </c>
      <c r="I10" s="50">
        <v>0</v>
      </c>
      <c r="J10" s="50">
        <v>0</v>
      </c>
      <c r="K10" s="12" t="s">
        <v>51</v>
      </c>
      <c r="L10" s="11">
        <f t="shared" si="0"/>
        <v>6</v>
      </c>
      <c r="M10" s="10">
        <f t="shared" si="1"/>
        <v>1.2</v>
      </c>
      <c r="N10" s="10">
        <f t="shared" si="2"/>
        <v>0</v>
      </c>
      <c r="O10" s="10">
        <v>0</v>
      </c>
      <c r="P10" s="10">
        <f t="shared" si="3"/>
        <v>7.2</v>
      </c>
      <c r="Q10" s="17">
        <v>24.625201612903215</v>
      </c>
      <c r="R10" s="18">
        <f t="shared" si="4"/>
        <v>31.825201612903214</v>
      </c>
      <c r="S10" s="19">
        <f t="shared" si="5"/>
        <v>8.125</v>
      </c>
      <c r="T10" s="20">
        <f t="shared" si="6"/>
        <v>23.700201612903214</v>
      </c>
      <c r="U10" s="4"/>
      <c r="V10" s="4"/>
      <c r="W10" s="4"/>
      <c r="X10" s="33" t="s">
        <v>30</v>
      </c>
      <c r="Y10" s="2">
        <v>0</v>
      </c>
      <c r="Z10" s="2"/>
      <c r="AA10" s="2"/>
      <c r="AB10" s="2"/>
      <c r="AC10" s="2"/>
    </row>
    <row r="11" spans="1:29" s="1" customFormat="1" ht="17.399999999999999">
      <c r="A11" s="9">
        <v>1</v>
      </c>
      <c r="B11" s="8">
        <v>200</v>
      </c>
      <c r="C11" s="8">
        <v>967589156</v>
      </c>
      <c r="D11" s="42" t="s">
        <v>76</v>
      </c>
      <c r="E11" s="47"/>
      <c r="F11" s="10">
        <v>4</v>
      </c>
      <c r="G11" s="10">
        <v>1</v>
      </c>
      <c r="H11" s="50">
        <v>0</v>
      </c>
      <c r="I11" s="50">
        <v>1</v>
      </c>
      <c r="J11" s="50">
        <v>0</v>
      </c>
      <c r="K11" s="12" t="s">
        <v>51</v>
      </c>
      <c r="L11" s="11">
        <f t="shared" si="0"/>
        <v>6</v>
      </c>
      <c r="M11" s="10">
        <f t="shared" si="1"/>
        <v>1.2</v>
      </c>
      <c r="N11" s="10">
        <f t="shared" si="2"/>
        <v>0.4</v>
      </c>
      <c r="O11" s="10">
        <v>0</v>
      </c>
      <c r="P11" s="10">
        <f t="shared" si="3"/>
        <v>7.6000000000000005</v>
      </c>
      <c r="Q11" s="17">
        <v>24.206250000000011</v>
      </c>
      <c r="R11" s="18">
        <f t="shared" si="4"/>
        <v>31.806250000000013</v>
      </c>
      <c r="S11" s="19">
        <f t="shared" si="5"/>
        <v>8.125</v>
      </c>
      <c r="T11" s="20">
        <f t="shared" si="6"/>
        <v>23.681250000000013</v>
      </c>
      <c r="U11" s="4"/>
      <c r="V11" s="4"/>
      <c r="W11" s="4"/>
      <c r="X11" s="34"/>
    </row>
    <row r="12" spans="1:29" s="1" customFormat="1" ht="17.399999999999999">
      <c r="A12" s="9">
        <v>1</v>
      </c>
      <c r="B12" s="8">
        <v>174</v>
      </c>
      <c r="C12" s="8">
        <v>775720958</v>
      </c>
      <c r="D12" s="42" t="s">
        <v>79</v>
      </c>
      <c r="E12" s="42" t="s">
        <v>49</v>
      </c>
      <c r="F12" s="10">
        <v>4</v>
      </c>
      <c r="G12" s="10">
        <v>1</v>
      </c>
      <c r="H12" s="50">
        <v>0</v>
      </c>
      <c r="I12" s="50">
        <v>0</v>
      </c>
      <c r="J12" s="50">
        <v>0</v>
      </c>
      <c r="K12" s="13" t="s">
        <v>52</v>
      </c>
      <c r="L12" s="11">
        <f t="shared" si="0"/>
        <v>6</v>
      </c>
      <c r="M12" s="10">
        <f t="shared" si="1"/>
        <v>1.2</v>
      </c>
      <c r="N12" s="10">
        <f t="shared" si="2"/>
        <v>0</v>
      </c>
      <c r="O12" s="10">
        <v>0</v>
      </c>
      <c r="P12" s="10">
        <f t="shared" si="3"/>
        <v>7.2</v>
      </c>
      <c r="Q12" s="17">
        <v>24.237499999999986</v>
      </c>
      <c r="R12" s="18">
        <f t="shared" si="4"/>
        <v>31.437499999999986</v>
      </c>
      <c r="S12" s="19">
        <f t="shared" si="5"/>
        <v>6.25</v>
      </c>
      <c r="T12" s="20">
        <f t="shared" si="6"/>
        <v>25.187499999999986</v>
      </c>
      <c r="U12" s="4"/>
      <c r="V12" s="4"/>
      <c r="W12" s="4"/>
      <c r="X12" s="35" t="s">
        <v>32</v>
      </c>
      <c r="Y12" s="1">
        <v>15000</v>
      </c>
    </row>
    <row r="13" spans="1:29" s="2" customFormat="1" ht="17.399999999999999">
      <c r="A13" s="9">
        <v>1</v>
      </c>
      <c r="B13" s="8">
        <v>232</v>
      </c>
      <c r="C13" s="8">
        <v>1088909927</v>
      </c>
      <c r="D13" s="42" t="s">
        <v>113</v>
      </c>
      <c r="E13" s="4"/>
      <c r="F13" s="10">
        <v>4</v>
      </c>
      <c r="G13" s="10">
        <v>0</v>
      </c>
      <c r="H13" s="50">
        <v>0</v>
      </c>
      <c r="I13" s="50">
        <v>0</v>
      </c>
      <c r="J13" s="50">
        <v>0</v>
      </c>
      <c r="K13" s="13" t="s">
        <v>52</v>
      </c>
      <c r="L13" s="11">
        <f t="shared" si="0"/>
        <v>6</v>
      </c>
      <c r="M13" s="10">
        <f t="shared" si="1"/>
        <v>0</v>
      </c>
      <c r="N13" s="10">
        <f t="shared" si="2"/>
        <v>0</v>
      </c>
      <c r="O13" s="10">
        <v>0</v>
      </c>
      <c r="P13" s="10">
        <f t="shared" si="3"/>
        <v>6</v>
      </c>
      <c r="Q13" s="17">
        <v>25.381249999999998</v>
      </c>
      <c r="R13" s="18">
        <f t="shared" si="4"/>
        <v>31.381249999999998</v>
      </c>
      <c r="S13" s="19">
        <f t="shared" si="5"/>
        <v>6.25</v>
      </c>
      <c r="T13" s="20">
        <f t="shared" si="6"/>
        <v>25.131249999999998</v>
      </c>
      <c r="U13" s="4"/>
      <c r="V13" s="4"/>
      <c r="W13" s="4"/>
      <c r="X13" s="36" t="s">
        <v>33</v>
      </c>
      <c r="Y13" s="37">
        <v>160</v>
      </c>
      <c r="Z13" s="1"/>
      <c r="AA13" s="1"/>
      <c r="AB13" s="1"/>
      <c r="AC13" s="1"/>
    </row>
    <row r="14" spans="1:29" s="2" customFormat="1" ht="17.399999999999999">
      <c r="A14" s="9">
        <v>1</v>
      </c>
      <c r="B14" s="9">
        <v>231</v>
      </c>
      <c r="C14" s="8">
        <v>1725915293</v>
      </c>
      <c r="D14" s="42" t="s">
        <v>112</v>
      </c>
      <c r="E14" s="4"/>
      <c r="F14" s="10">
        <v>4</v>
      </c>
      <c r="G14" s="10">
        <v>1</v>
      </c>
      <c r="H14" s="50">
        <v>0</v>
      </c>
      <c r="I14" s="50">
        <v>0</v>
      </c>
      <c r="J14" s="50">
        <v>0</v>
      </c>
      <c r="K14" s="13" t="s">
        <v>52</v>
      </c>
      <c r="L14" s="11">
        <f t="shared" si="0"/>
        <v>6</v>
      </c>
      <c r="M14" s="10">
        <f t="shared" si="1"/>
        <v>1.2</v>
      </c>
      <c r="N14" s="10">
        <f t="shared" si="2"/>
        <v>0</v>
      </c>
      <c r="O14" s="10">
        <v>0</v>
      </c>
      <c r="P14" s="10">
        <f t="shared" si="3"/>
        <v>7.2</v>
      </c>
      <c r="Q14" s="17">
        <v>23.693749999999994</v>
      </c>
      <c r="R14" s="18">
        <f t="shared" si="4"/>
        <v>30.893749999999994</v>
      </c>
      <c r="S14" s="19">
        <f t="shared" si="5"/>
        <v>6.25</v>
      </c>
      <c r="T14" s="20">
        <f t="shared" si="6"/>
        <v>24.643749999999994</v>
      </c>
      <c r="U14" s="4"/>
      <c r="V14" s="4"/>
      <c r="W14" s="4"/>
      <c r="X14" s="38" t="s">
        <v>42</v>
      </c>
      <c r="Y14" s="37">
        <v>1.2</v>
      </c>
      <c r="Z14" s="1"/>
      <c r="AA14" s="1"/>
      <c r="AB14" s="1"/>
      <c r="AC14" s="1"/>
    </row>
    <row r="15" spans="1:29" s="2" customFormat="1" ht="17.399999999999999">
      <c r="A15" s="9">
        <v>1</v>
      </c>
      <c r="B15" s="8">
        <v>208</v>
      </c>
      <c r="C15" s="8">
        <v>92129464</v>
      </c>
      <c r="D15" s="42" t="s">
        <v>82</v>
      </c>
      <c r="E15" s="47"/>
      <c r="F15" s="10">
        <v>3</v>
      </c>
      <c r="G15" s="10">
        <v>1</v>
      </c>
      <c r="H15" s="50">
        <v>0</v>
      </c>
      <c r="I15" s="50">
        <v>0</v>
      </c>
      <c r="J15" s="50">
        <v>0</v>
      </c>
      <c r="K15" s="13" t="s">
        <v>52</v>
      </c>
      <c r="L15" s="11">
        <f t="shared" si="0"/>
        <v>4</v>
      </c>
      <c r="M15" s="10">
        <f t="shared" si="1"/>
        <v>1.2</v>
      </c>
      <c r="N15" s="10">
        <f t="shared" si="2"/>
        <v>0</v>
      </c>
      <c r="O15" s="10">
        <v>0</v>
      </c>
      <c r="P15" s="10">
        <f t="shared" si="3"/>
        <v>5.2</v>
      </c>
      <c r="Q15" s="17">
        <v>25.599999999999994</v>
      </c>
      <c r="R15" s="18">
        <f t="shared" si="4"/>
        <v>30.799999999999994</v>
      </c>
      <c r="S15" s="19">
        <f t="shared" si="5"/>
        <v>6.25</v>
      </c>
      <c r="T15" s="20">
        <f t="shared" si="6"/>
        <v>24.549999999999994</v>
      </c>
      <c r="U15" s="4"/>
      <c r="V15" s="4"/>
      <c r="W15" s="4"/>
      <c r="X15" s="1" t="s">
        <v>34</v>
      </c>
      <c r="Y15" s="37">
        <v>2021</v>
      </c>
      <c r="Z15" s="1"/>
      <c r="AA15" s="1"/>
      <c r="AB15" s="1"/>
      <c r="AC15" s="1"/>
    </row>
    <row r="16" spans="1:29" s="2" customFormat="1" ht="17.399999999999999">
      <c r="A16" s="9">
        <v>1</v>
      </c>
      <c r="B16" s="9">
        <v>46</v>
      </c>
      <c r="C16" s="8">
        <v>2109182835</v>
      </c>
      <c r="D16" s="42" t="s">
        <v>59</v>
      </c>
      <c r="E16" s="42" t="s">
        <v>10</v>
      </c>
      <c r="F16" s="10">
        <v>4</v>
      </c>
      <c r="G16" s="10">
        <v>1</v>
      </c>
      <c r="H16" s="50">
        <v>0</v>
      </c>
      <c r="I16" s="50">
        <v>1</v>
      </c>
      <c r="J16" s="50">
        <v>0</v>
      </c>
      <c r="K16" s="13" t="s">
        <v>52</v>
      </c>
      <c r="L16" s="11">
        <f t="shared" si="0"/>
        <v>6</v>
      </c>
      <c r="M16" s="10">
        <f t="shared" si="1"/>
        <v>1.2</v>
      </c>
      <c r="N16" s="10">
        <f t="shared" si="2"/>
        <v>0.4</v>
      </c>
      <c r="O16" s="10">
        <v>0</v>
      </c>
      <c r="P16" s="10">
        <f t="shared" si="3"/>
        <v>7.6000000000000005</v>
      </c>
      <c r="Q16" s="17">
        <v>23.18000000000001</v>
      </c>
      <c r="R16" s="18">
        <f t="shared" si="4"/>
        <v>30.780000000000012</v>
      </c>
      <c r="S16" s="19">
        <f t="shared" si="5"/>
        <v>6.25</v>
      </c>
      <c r="T16" s="20">
        <f t="shared" si="6"/>
        <v>24.530000000000012</v>
      </c>
      <c r="U16" s="11"/>
      <c r="V16" s="11"/>
      <c r="W16" s="11"/>
      <c r="X16" s="1" t="s">
        <v>35</v>
      </c>
      <c r="Y16" s="37">
        <v>9</v>
      </c>
      <c r="Z16" s="1"/>
      <c r="AA16" s="1"/>
      <c r="AB16" s="1"/>
      <c r="AC16" s="1"/>
    </row>
    <row r="17" spans="1:29" s="2" customFormat="1" ht="17.399999999999999">
      <c r="A17" s="9">
        <v>1</v>
      </c>
      <c r="B17" s="8">
        <v>183</v>
      </c>
      <c r="C17" s="8">
        <v>1250030371</v>
      </c>
      <c r="D17" s="42" t="s">
        <v>130</v>
      </c>
      <c r="E17" s="42" t="s">
        <v>121</v>
      </c>
      <c r="F17" s="10">
        <v>3</v>
      </c>
      <c r="G17" s="10">
        <v>1</v>
      </c>
      <c r="H17" s="50">
        <v>0</v>
      </c>
      <c r="I17" s="50">
        <v>0</v>
      </c>
      <c r="J17" s="50">
        <v>0</v>
      </c>
      <c r="K17" s="13" t="s">
        <v>52</v>
      </c>
      <c r="L17" s="11">
        <f t="shared" si="0"/>
        <v>4</v>
      </c>
      <c r="M17" s="10">
        <f t="shared" si="1"/>
        <v>1.2</v>
      </c>
      <c r="N17" s="10">
        <f t="shared" si="2"/>
        <v>0</v>
      </c>
      <c r="O17" s="10">
        <v>0</v>
      </c>
      <c r="P17" s="10">
        <f t="shared" si="3"/>
        <v>5.2</v>
      </c>
      <c r="Q17" s="17">
        <v>25.068749999999998</v>
      </c>
      <c r="R17" s="18">
        <f t="shared" si="4"/>
        <v>30.268749999999997</v>
      </c>
      <c r="S17" s="19">
        <f t="shared" si="5"/>
        <v>6.25</v>
      </c>
      <c r="T17" s="20">
        <f t="shared" si="6"/>
        <v>24.018749999999997</v>
      </c>
      <c r="U17" s="4"/>
      <c r="V17" s="4"/>
      <c r="W17" s="4"/>
      <c r="X17" s="1" t="s">
        <v>36</v>
      </c>
      <c r="Y17" s="37">
        <v>4</v>
      </c>
      <c r="Z17" s="1"/>
      <c r="AA17" s="1"/>
      <c r="AB17" s="1"/>
      <c r="AC17" s="1"/>
    </row>
    <row r="18" spans="1:29" s="2" customFormat="1" ht="17.399999999999999">
      <c r="A18" s="9">
        <v>1</v>
      </c>
      <c r="B18" s="8">
        <v>238</v>
      </c>
      <c r="C18" s="8">
        <v>108179057</v>
      </c>
      <c r="D18" s="42" t="s">
        <v>120</v>
      </c>
      <c r="E18" s="4"/>
      <c r="F18" s="10">
        <v>4</v>
      </c>
      <c r="G18" s="10">
        <v>1</v>
      </c>
      <c r="H18" s="50">
        <v>0</v>
      </c>
      <c r="I18" s="50">
        <v>0</v>
      </c>
      <c r="J18" s="50">
        <v>0</v>
      </c>
      <c r="K18" s="14" t="s">
        <v>53</v>
      </c>
      <c r="L18" s="11">
        <f t="shared" si="0"/>
        <v>6</v>
      </c>
      <c r="M18" s="10">
        <f t="shared" si="1"/>
        <v>1.2</v>
      </c>
      <c r="N18" s="10">
        <f t="shared" si="2"/>
        <v>0</v>
      </c>
      <c r="O18" s="10">
        <v>0</v>
      </c>
      <c r="P18" s="10">
        <f t="shared" si="3"/>
        <v>7.2</v>
      </c>
      <c r="Q18" s="17">
        <v>23.056249999999991</v>
      </c>
      <c r="R18" s="18">
        <f t="shared" si="4"/>
        <v>30.256249999999991</v>
      </c>
      <c r="S18" s="19">
        <f t="shared" si="5"/>
        <v>1.09375</v>
      </c>
      <c r="T18" s="20">
        <f t="shared" si="6"/>
        <v>29.162499999999991</v>
      </c>
      <c r="U18" s="4"/>
      <c r="V18" s="4"/>
      <c r="W18" s="4"/>
      <c r="X18" s="51" t="s">
        <v>103</v>
      </c>
      <c r="Y18" s="37">
        <v>0.4</v>
      </c>
      <c r="Z18" s="1"/>
      <c r="AA18" s="1"/>
      <c r="AB18" s="1"/>
      <c r="AC18" s="1"/>
    </row>
    <row r="19" spans="1:29" s="2" customFormat="1" ht="17.399999999999999">
      <c r="A19" s="9">
        <v>1</v>
      </c>
      <c r="B19" s="9">
        <v>230</v>
      </c>
      <c r="C19" s="8">
        <v>1076026693</v>
      </c>
      <c r="D19" s="42" t="s">
        <v>111</v>
      </c>
      <c r="E19" s="4"/>
      <c r="F19" s="10">
        <v>3</v>
      </c>
      <c r="G19" s="10">
        <v>1</v>
      </c>
      <c r="H19" s="50">
        <v>0</v>
      </c>
      <c r="I19" s="50">
        <v>0</v>
      </c>
      <c r="J19" s="50">
        <v>0</v>
      </c>
      <c r="K19" s="14" t="s">
        <v>53</v>
      </c>
      <c r="L19" s="11">
        <f t="shared" si="0"/>
        <v>4</v>
      </c>
      <c r="M19" s="10">
        <f t="shared" si="1"/>
        <v>1.2</v>
      </c>
      <c r="N19" s="10">
        <f t="shared" si="2"/>
        <v>0</v>
      </c>
      <c r="O19" s="10">
        <v>0</v>
      </c>
      <c r="P19" s="10">
        <f t="shared" si="3"/>
        <v>5.2</v>
      </c>
      <c r="Q19" s="17">
        <v>24.968749999999996</v>
      </c>
      <c r="R19" s="18">
        <f t="shared" si="4"/>
        <v>30.168749999999996</v>
      </c>
      <c r="S19" s="19">
        <f t="shared" si="5"/>
        <v>1.09375</v>
      </c>
      <c r="T19" s="20">
        <f t="shared" si="6"/>
        <v>29.074999999999996</v>
      </c>
      <c r="U19" s="4"/>
      <c r="V19" s="4"/>
      <c r="W19" s="4"/>
      <c r="X19" s="1"/>
      <c r="Y19" s="1"/>
      <c r="Z19" s="1"/>
      <c r="AA19" s="1"/>
      <c r="AB19" s="1"/>
      <c r="AC19" s="1"/>
    </row>
    <row r="20" spans="1:29" s="2" customFormat="1" ht="17.399999999999999">
      <c r="A20" s="9">
        <v>1</v>
      </c>
      <c r="B20" s="8">
        <v>212</v>
      </c>
      <c r="C20" s="8">
        <v>2133045883</v>
      </c>
      <c r="D20" s="42" t="s">
        <v>84</v>
      </c>
      <c r="E20" s="47"/>
      <c r="F20" s="10">
        <v>4</v>
      </c>
      <c r="G20" s="10">
        <v>1</v>
      </c>
      <c r="H20" s="50">
        <v>0</v>
      </c>
      <c r="I20" s="50">
        <v>0</v>
      </c>
      <c r="J20" s="50">
        <v>0</v>
      </c>
      <c r="K20" s="14" t="s">
        <v>53</v>
      </c>
      <c r="L20" s="11">
        <f t="shared" si="0"/>
        <v>6</v>
      </c>
      <c r="M20" s="10">
        <f t="shared" si="1"/>
        <v>1.2</v>
      </c>
      <c r="N20" s="10">
        <f t="shared" si="2"/>
        <v>0</v>
      </c>
      <c r="O20" s="10">
        <v>0</v>
      </c>
      <c r="P20" s="10">
        <f t="shared" si="3"/>
        <v>7.2</v>
      </c>
      <c r="Q20" s="17">
        <v>22.824999999999989</v>
      </c>
      <c r="R20" s="18">
        <f t="shared" si="4"/>
        <v>30.024999999999988</v>
      </c>
      <c r="S20" s="19">
        <f t="shared" si="5"/>
        <v>1.09375</v>
      </c>
      <c r="T20" s="20">
        <f t="shared" si="6"/>
        <v>28.931249999999988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20.399999999999999">
      <c r="A21" s="9">
        <v>1</v>
      </c>
      <c r="B21" s="9">
        <v>49</v>
      </c>
      <c r="C21" s="8">
        <v>311361673</v>
      </c>
      <c r="D21" s="43" t="s">
        <v>105</v>
      </c>
      <c r="E21" s="49" t="s">
        <v>11</v>
      </c>
      <c r="F21" s="10">
        <v>3</v>
      </c>
      <c r="G21" s="10">
        <v>1</v>
      </c>
      <c r="H21" s="50">
        <v>0</v>
      </c>
      <c r="I21" s="50">
        <v>1</v>
      </c>
      <c r="J21" s="50">
        <v>1</v>
      </c>
      <c r="K21" s="14" t="s">
        <v>53</v>
      </c>
      <c r="L21" s="11">
        <f t="shared" si="0"/>
        <v>4</v>
      </c>
      <c r="M21" s="10">
        <f>IF(G21&gt;0,1,0)*$Y$14</f>
        <v>1.2</v>
      </c>
      <c r="N21" s="10">
        <f t="shared" si="2"/>
        <v>0.8</v>
      </c>
      <c r="O21" s="10">
        <v>0</v>
      </c>
      <c r="P21" s="10">
        <f t="shared" si="3"/>
        <v>6</v>
      </c>
      <c r="Q21" s="17">
        <v>23.862500000000001</v>
      </c>
      <c r="R21" s="18">
        <f t="shared" si="4"/>
        <v>29.862500000000001</v>
      </c>
      <c r="S21" s="19">
        <f t="shared" si="5"/>
        <v>1.09375</v>
      </c>
      <c r="T21" s="20">
        <f t="shared" si="6"/>
        <v>28.768750000000001</v>
      </c>
      <c r="U21" s="11"/>
      <c r="V21" s="11"/>
      <c r="W21" s="11"/>
      <c r="X21" s="1"/>
      <c r="Y21" s="1"/>
      <c r="Z21" s="1"/>
      <c r="AA21" s="1"/>
      <c r="AB21" s="1"/>
      <c r="AC21" s="1"/>
    </row>
    <row r="22" spans="1:29" s="2" customFormat="1" ht="17.399999999999999">
      <c r="A22" s="9">
        <v>1</v>
      </c>
      <c r="B22" s="8">
        <v>196</v>
      </c>
      <c r="C22" s="8">
        <v>1065641844</v>
      </c>
      <c r="D22" s="42" t="s">
        <v>74</v>
      </c>
      <c r="E22" s="47"/>
      <c r="F22" s="10">
        <v>4</v>
      </c>
      <c r="G22" s="10">
        <v>1</v>
      </c>
      <c r="H22" s="50">
        <v>0</v>
      </c>
      <c r="I22" s="50">
        <v>0</v>
      </c>
      <c r="J22" s="50">
        <v>0</v>
      </c>
      <c r="K22" s="14" t="s">
        <v>53</v>
      </c>
      <c r="L22" s="11">
        <f t="shared" si="0"/>
        <v>6</v>
      </c>
      <c r="M22" s="10">
        <f t="shared" ref="M22:M53" si="7">G22*$Y$14</f>
        <v>1.2</v>
      </c>
      <c r="N22" s="10">
        <f t="shared" si="2"/>
        <v>0</v>
      </c>
      <c r="O22" s="10">
        <v>0</v>
      </c>
      <c r="P22" s="10">
        <f t="shared" si="3"/>
        <v>7.2</v>
      </c>
      <c r="Q22" s="17">
        <v>22.443749999999994</v>
      </c>
      <c r="R22" s="18">
        <f t="shared" si="4"/>
        <v>29.643749999999994</v>
      </c>
      <c r="S22" s="19">
        <f t="shared" si="5"/>
        <v>1.09375</v>
      </c>
      <c r="T22" s="20">
        <f t="shared" si="6"/>
        <v>28.549999999999994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7.399999999999999">
      <c r="A23" s="9">
        <v>1</v>
      </c>
      <c r="B23" s="8">
        <v>172</v>
      </c>
      <c r="C23" s="8">
        <v>724061220</v>
      </c>
      <c r="D23" s="42" t="s">
        <v>65</v>
      </c>
      <c r="E23" s="42" t="s">
        <v>50</v>
      </c>
      <c r="F23" s="10">
        <v>4</v>
      </c>
      <c r="G23" s="10">
        <v>0</v>
      </c>
      <c r="H23" s="50">
        <v>0</v>
      </c>
      <c r="I23" s="50">
        <v>0</v>
      </c>
      <c r="J23" s="50">
        <v>0</v>
      </c>
      <c r="K23" s="14" t="s">
        <v>53</v>
      </c>
      <c r="L23" s="11">
        <f t="shared" si="0"/>
        <v>6</v>
      </c>
      <c r="M23" s="10">
        <f t="shared" si="7"/>
        <v>0</v>
      </c>
      <c r="N23" s="10">
        <f t="shared" si="2"/>
        <v>0</v>
      </c>
      <c r="O23" s="10">
        <v>0</v>
      </c>
      <c r="P23" s="10">
        <f t="shared" si="3"/>
        <v>6</v>
      </c>
      <c r="Q23" s="17">
        <v>23.549999999999997</v>
      </c>
      <c r="R23" s="18">
        <f t="shared" si="4"/>
        <v>29.549999999999997</v>
      </c>
      <c r="S23" s="19">
        <f t="shared" si="5"/>
        <v>1.09375</v>
      </c>
      <c r="T23" s="20">
        <f t="shared" si="6"/>
        <v>28.456249999999997</v>
      </c>
      <c r="U23" s="4"/>
      <c r="V23" s="4"/>
      <c r="W23" s="4"/>
    </row>
    <row r="24" spans="1:29" s="1" customFormat="1" ht="17.399999999999999">
      <c r="A24" s="9">
        <v>1</v>
      </c>
      <c r="B24" s="8">
        <v>236</v>
      </c>
      <c r="C24" s="8">
        <v>1968448898</v>
      </c>
      <c r="D24" s="42" t="s">
        <v>118</v>
      </c>
      <c r="E24" s="4"/>
      <c r="F24" s="10">
        <v>4</v>
      </c>
      <c r="G24" s="10">
        <v>1</v>
      </c>
      <c r="H24" s="50">
        <v>0</v>
      </c>
      <c r="I24" s="50">
        <v>0</v>
      </c>
      <c r="J24" s="50">
        <v>0</v>
      </c>
      <c r="K24" s="14" t="s">
        <v>53</v>
      </c>
      <c r="L24" s="11">
        <f t="shared" si="0"/>
        <v>6</v>
      </c>
      <c r="M24" s="10">
        <f t="shared" si="7"/>
        <v>1.2</v>
      </c>
      <c r="N24" s="10">
        <f t="shared" si="2"/>
        <v>0</v>
      </c>
      <c r="O24" s="10">
        <v>0</v>
      </c>
      <c r="P24" s="10">
        <f t="shared" si="3"/>
        <v>7.2</v>
      </c>
      <c r="Q24" s="17">
        <v>22.287499999999994</v>
      </c>
      <c r="R24" s="18">
        <f t="shared" si="4"/>
        <v>29.487499999999994</v>
      </c>
      <c r="S24" s="19">
        <f t="shared" si="5"/>
        <v>1.09375</v>
      </c>
      <c r="T24" s="20">
        <f t="shared" si="6"/>
        <v>28.393749999999994</v>
      </c>
      <c r="U24" s="4"/>
      <c r="V24" s="4"/>
      <c r="W24" s="4"/>
    </row>
    <row r="25" spans="1:29" s="1" customFormat="1" ht="17.399999999999999">
      <c r="A25" s="9">
        <v>1</v>
      </c>
      <c r="B25" s="8">
        <v>156</v>
      </c>
      <c r="C25" s="8">
        <v>1744610165</v>
      </c>
      <c r="D25" s="42" t="s">
        <v>64</v>
      </c>
      <c r="E25" s="42"/>
      <c r="F25" s="10">
        <v>3</v>
      </c>
      <c r="G25" s="10">
        <v>0</v>
      </c>
      <c r="H25" s="50">
        <v>0</v>
      </c>
      <c r="I25" s="50">
        <v>0</v>
      </c>
      <c r="J25" s="50">
        <v>0</v>
      </c>
      <c r="K25" s="14" t="s">
        <v>53</v>
      </c>
      <c r="L25" s="11">
        <f t="shared" si="0"/>
        <v>4</v>
      </c>
      <c r="M25" s="10">
        <f t="shared" si="7"/>
        <v>0</v>
      </c>
      <c r="N25" s="10">
        <f t="shared" si="2"/>
        <v>0</v>
      </c>
      <c r="O25" s="10">
        <v>0</v>
      </c>
      <c r="P25" s="10">
        <f t="shared" si="3"/>
        <v>4</v>
      </c>
      <c r="Q25" s="17">
        <v>24.792516129032244</v>
      </c>
      <c r="R25" s="18">
        <f t="shared" si="4"/>
        <v>28.792516129032244</v>
      </c>
      <c r="S25" s="19">
        <f t="shared" si="5"/>
        <v>1.09375</v>
      </c>
      <c r="T25" s="20">
        <f t="shared" si="6"/>
        <v>27.698766129032244</v>
      </c>
      <c r="U25" s="4"/>
      <c r="V25" s="4"/>
      <c r="W25" s="4"/>
    </row>
    <row r="26" spans="1:29" s="1" customFormat="1" ht="18.75" customHeight="1">
      <c r="A26" s="9">
        <v>1</v>
      </c>
      <c r="B26" s="8">
        <v>195</v>
      </c>
      <c r="C26" s="8">
        <v>1634663314</v>
      </c>
      <c r="D26" s="42" t="s">
        <v>73</v>
      </c>
      <c r="E26" s="47"/>
      <c r="F26" s="10">
        <v>1</v>
      </c>
      <c r="G26" s="10">
        <v>1</v>
      </c>
      <c r="H26" s="50">
        <v>0</v>
      </c>
      <c r="I26" s="50">
        <v>0</v>
      </c>
      <c r="J26" s="50">
        <v>0</v>
      </c>
      <c r="K26" s="14" t="s">
        <v>53</v>
      </c>
      <c r="L26" s="11">
        <f t="shared" si="0"/>
        <v>1</v>
      </c>
      <c r="M26" s="10">
        <f t="shared" si="7"/>
        <v>1.2</v>
      </c>
      <c r="N26" s="10">
        <f t="shared" si="2"/>
        <v>0</v>
      </c>
      <c r="O26" s="10">
        <v>0</v>
      </c>
      <c r="P26" s="10">
        <f t="shared" si="3"/>
        <v>2.2000000000000002</v>
      </c>
      <c r="Q26" s="17">
        <v>25.474499999999992</v>
      </c>
      <c r="R26" s="18">
        <f t="shared" si="4"/>
        <v>27.674499999999991</v>
      </c>
      <c r="S26" s="19">
        <f t="shared" si="5"/>
        <v>1.09375</v>
      </c>
      <c r="T26" s="20">
        <f t="shared" si="6"/>
        <v>26.580749999999991</v>
      </c>
      <c r="U26" s="4"/>
      <c r="V26" s="4"/>
      <c r="W26" s="4"/>
    </row>
    <row r="27" spans="1:29" s="1" customFormat="1" ht="17.399999999999999">
      <c r="A27" s="9">
        <v>1</v>
      </c>
      <c r="B27" s="8">
        <v>178</v>
      </c>
      <c r="C27" s="8">
        <v>1059185275</v>
      </c>
      <c r="D27" s="42" t="s">
        <v>66</v>
      </c>
      <c r="E27" s="47"/>
      <c r="F27" s="10">
        <v>4</v>
      </c>
      <c r="G27" s="10">
        <v>1</v>
      </c>
      <c r="H27" s="50">
        <v>0</v>
      </c>
      <c r="I27" s="50">
        <v>1</v>
      </c>
      <c r="J27" s="50">
        <v>1</v>
      </c>
      <c r="K27" s="14" t="s">
        <v>53</v>
      </c>
      <c r="L27" s="11">
        <f t="shared" si="0"/>
        <v>6</v>
      </c>
      <c r="M27" s="10">
        <f t="shared" si="7"/>
        <v>1.2</v>
      </c>
      <c r="N27" s="10">
        <f t="shared" si="2"/>
        <v>0.8</v>
      </c>
      <c r="O27" s="10">
        <v>0</v>
      </c>
      <c r="P27" s="10">
        <f t="shared" si="3"/>
        <v>8</v>
      </c>
      <c r="Q27" s="17">
        <v>18.793749999999996</v>
      </c>
      <c r="R27" s="18">
        <f t="shared" si="4"/>
        <v>26.793749999999996</v>
      </c>
      <c r="S27" s="19">
        <f t="shared" si="5"/>
        <v>1.09375</v>
      </c>
      <c r="T27" s="20">
        <f t="shared" si="6"/>
        <v>25.699999999999996</v>
      </c>
      <c r="U27" s="4"/>
      <c r="V27" s="4"/>
      <c r="W27" s="4"/>
    </row>
    <row r="28" spans="1:29" s="1" customFormat="1" ht="17.399999999999999">
      <c r="A28" s="9">
        <v>1</v>
      </c>
      <c r="B28" s="9">
        <v>10</v>
      </c>
      <c r="C28" s="8">
        <v>2108977014</v>
      </c>
      <c r="D28" s="42" t="s">
        <v>57</v>
      </c>
      <c r="E28" s="42" t="s">
        <v>8</v>
      </c>
      <c r="F28" s="10">
        <v>2</v>
      </c>
      <c r="G28" s="10">
        <v>1</v>
      </c>
      <c r="H28" s="50">
        <v>0</v>
      </c>
      <c r="I28" s="50">
        <v>0</v>
      </c>
      <c r="J28" s="50">
        <v>1</v>
      </c>
      <c r="K28" s="14" t="s">
        <v>53</v>
      </c>
      <c r="L28" s="11">
        <f t="shared" si="0"/>
        <v>2</v>
      </c>
      <c r="M28" s="10">
        <f t="shared" si="7"/>
        <v>1.2</v>
      </c>
      <c r="N28" s="10">
        <f t="shared" si="2"/>
        <v>0.4</v>
      </c>
      <c r="O28" s="10">
        <v>0</v>
      </c>
      <c r="P28" s="10">
        <f t="shared" si="3"/>
        <v>3.6</v>
      </c>
      <c r="Q28" s="17">
        <v>23.068750000000009</v>
      </c>
      <c r="R28" s="18">
        <f t="shared" si="4"/>
        <v>26.66875000000001</v>
      </c>
      <c r="S28" s="19">
        <f t="shared" si="5"/>
        <v>1.09375</v>
      </c>
      <c r="T28" s="20">
        <f t="shared" si="6"/>
        <v>25.57500000000001</v>
      </c>
      <c r="U28" s="11"/>
      <c r="V28" s="11"/>
      <c r="W28" s="11"/>
    </row>
    <row r="29" spans="1:29" s="2" customFormat="1" ht="17.399999999999999">
      <c r="A29" s="9">
        <v>1</v>
      </c>
      <c r="B29" s="8">
        <v>185</v>
      </c>
      <c r="C29" s="8">
        <v>30705222</v>
      </c>
      <c r="D29" s="42" t="s">
        <v>68</v>
      </c>
      <c r="E29" s="47"/>
      <c r="F29" s="10">
        <v>4</v>
      </c>
      <c r="G29" s="10">
        <v>1</v>
      </c>
      <c r="H29" s="50">
        <v>0</v>
      </c>
      <c r="I29" s="50">
        <v>1</v>
      </c>
      <c r="J29" s="50">
        <v>1</v>
      </c>
      <c r="K29" s="14" t="s">
        <v>53</v>
      </c>
      <c r="L29" s="11">
        <f t="shared" si="0"/>
        <v>6</v>
      </c>
      <c r="M29" s="10">
        <f t="shared" si="7"/>
        <v>1.2</v>
      </c>
      <c r="N29" s="10">
        <f t="shared" si="2"/>
        <v>0.8</v>
      </c>
      <c r="O29" s="10">
        <v>0</v>
      </c>
      <c r="P29" s="10">
        <f t="shared" si="3"/>
        <v>8</v>
      </c>
      <c r="Q29" s="17">
        <v>17.487500000000001</v>
      </c>
      <c r="R29" s="18">
        <f t="shared" si="4"/>
        <v>25.487500000000001</v>
      </c>
      <c r="S29" s="19">
        <f t="shared" si="5"/>
        <v>1.09375</v>
      </c>
      <c r="T29" s="20">
        <f t="shared" si="6"/>
        <v>24.393750000000001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20.399999999999999">
      <c r="A30" s="9">
        <v>1</v>
      </c>
      <c r="B30" s="8">
        <v>221</v>
      </c>
      <c r="C30" s="8">
        <v>790956883</v>
      </c>
      <c r="D30" s="42" t="s">
        <v>96</v>
      </c>
      <c r="E30" s="42" t="s">
        <v>95</v>
      </c>
      <c r="F30" s="10">
        <v>4</v>
      </c>
      <c r="G30" s="10">
        <v>1</v>
      </c>
      <c r="H30" s="50">
        <v>0</v>
      </c>
      <c r="I30" s="50">
        <v>0</v>
      </c>
      <c r="J30" s="50">
        <v>0</v>
      </c>
      <c r="K30" s="14" t="s">
        <v>53</v>
      </c>
      <c r="L30" s="11">
        <f t="shared" si="0"/>
        <v>6</v>
      </c>
      <c r="M30" s="10">
        <f t="shared" si="7"/>
        <v>1.2</v>
      </c>
      <c r="N30" s="10">
        <f t="shared" si="2"/>
        <v>0</v>
      </c>
      <c r="O30" s="10">
        <v>0</v>
      </c>
      <c r="P30" s="10">
        <f t="shared" si="3"/>
        <v>7.2</v>
      </c>
      <c r="Q30" s="17">
        <v>18.274999999999995</v>
      </c>
      <c r="R30" s="18">
        <f t="shared" si="4"/>
        <v>25.474999999999994</v>
      </c>
      <c r="S30" s="19">
        <f t="shared" si="5"/>
        <v>1.09375</v>
      </c>
      <c r="T30" s="20">
        <f t="shared" si="6"/>
        <v>24.381249999999994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7.399999999999999">
      <c r="A31" s="9">
        <v>1</v>
      </c>
      <c r="B31" s="8">
        <v>225</v>
      </c>
      <c r="C31" s="8">
        <v>1963965829</v>
      </c>
      <c r="D31" s="42" t="s">
        <v>107</v>
      </c>
      <c r="E31" s="42"/>
      <c r="F31" s="10">
        <v>4</v>
      </c>
      <c r="G31" s="10">
        <v>1</v>
      </c>
      <c r="H31" s="50">
        <v>0</v>
      </c>
      <c r="I31" s="50">
        <v>0</v>
      </c>
      <c r="J31" s="50">
        <v>0</v>
      </c>
      <c r="K31" s="14" t="s">
        <v>53</v>
      </c>
      <c r="L31" s="11">
        <f t="shared" si="0"/>
        <v>6</v>
      </c>
      <c r="M31" s="10">
        <f t="shared" si="7"/>
        <v>1.2</v>
      </c>
      <c r="N31" s="10">
        <f t="shared" si="2"/>
        <v>0</v>
      </c>
      <c r="O31" s="10">
        <v>0</v>
      </c>
      <c r="P31" s="10">
        <f t="shared" si="3"/>
        <v>7.2</v>
      </c>
      <c r="Q31" s="17">
        <v>18.229486940298496</v>
      </c>
      <c r="R31" s="18">
        <f t="shared" si="4"/>
        <v>25.429486940298496</v>
      </c>
      <c r="S31" s="19">
        <f t="shared" si="5"/>
        <v>1.09375</v>
      </c>
      <c r="T31" s="20">
        <f t="shared" si="6"/>
        <v>24.335736940298496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7.399999999999999">
      <c r="A32" s="9">
        <v>1</v>
      </c>
      <c r="B32" s="8">
        <v>242</v>
      </c>
      <c r="C32" s="8">
        <v>1381736232</v>
      </c>
      <c r="D32" s="42" t="s">
        <v>125</v>
      </c>
      <c r="E32" s="4"/>
      <c r="F32" s="10">
        <v>4</v>
      </c>
      <c r="G32" s="10">
        <v>1</v>
      </c>
      <c r="H32" s="50">
        <v>0</v>
      </c>
      <c r="I32" s="50">
        <v>0</v>
      </c>
      <c r="J32" s="50">
        <v>0</v>
      </c>
      <c r="K32" s="14" t="s">
        <v>53</v>
      </c>
      <c r="L32" s="11">
        <f t="shared" si="0"/>
        <v>6</v>
      </c>
      <c r="M32" s="10">
        <f t="shared" si="7"/>
        <v>1.2</v>
      </c>
      <c r="N32" s="10">
        <f t="shared" si="2"/>
        <v>0</v>
      </c>
      <c r="O32" s="10">
        <v>0</v>
      </c>
      <c r="P32" s="10">
        <f t="shared" si="3"/>
        <v>7.2</v>
      </c>
      <c r="Q32" s="17">
        <v>18.199999999999992</v>
      </c>
      <c r="R32" s="18">
        <f t="shared" si="4"/>
        <v>25.399999999999991</v>
      </c>
      <c r="S32" s="19">
        <f t="shared" si="5"/>
        <v>1.09375</v>
      </c>
      <c r="T32" s="20">
        <f t="shared" si="6"/>
        <v>24.306249999999991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7.399999999999999">
      <c r="A33" s="9">
        <v>1</v>
      </c>
      <c r="B33" s="8">
        <v>226</v>
      </c>
      <c r="C33" s="8">
        <v>1238792963</v>
      </c>
      <c r="D33" s="42" t="s">
        <v>108</v>
      </c>
      <c r="E33" s="42"/>
      <c r="F33" s="10">
        <v>4</v>
      </c>
      <c r="G33" s="10">
        <v>1</v>
      </c>
      <c r="H33" s="50">
        <v>0</v>
      </c>
      <c r="I33" s="50">
        <v>0</v>
      </c>
      <c r="J33" s="50">
        <v>0</v>
      </c>
      <c r="K33" s="14" t="s">
        <v>53</v>
      </c>
      <c r="L33" s="11">
        <f t="shared" si="0"/>
        <v>6</v>
      </c>
      <c r="M33" s="10">
        <f t="shared" si="7"/>
        <v>1.2</v>
      </c>
      <c r="N33" s="10">
        <f t="shared" si="2"/>
        <v>0</v>
      </c>
      <c r="O33" s="10">
        <v>0</v>
      </c>
      <c r="P33" s="10">
        <f t="shared" si="3"/>
        <v>7.2</v>
      </c>
      <c r="Q33" s="17">
        <v>18.074999999999996</v>
      </c>
      <c r="R33" s="18">
        <f t="shared" si="4"/>
        <v>25.274999999999995</v>
      </c>
      <c r="S33" s="19">
        <f t="shared" si="5"/>
        <v>1.09375</v>
      </c>
      <c r="T33" s="20">
        <f t="shared" si="6"/>
        <v>24.181249999999995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7.399999999999999">
      <c r="A34" s="9">
        <v>1</v>
      </c>
      <c r="B34" s="8">
        <v>241</v>
      </c>
      <c r="C34" s="8">
        <v>1136259669</v>
      </c>
      <c r="D34" s="42" t="s">
        <v>124</v>
      </c>
      <c r="E34" s="4"/>
      <c r="F34" s="10">
        <v>3</v>
      </c>
      <c r="G34" s="10">
        <v>1</v>
      </c>
      <c r="H34" s="50">
        <v>0</v>
      </c>
      <c r="I34" s="50">
        <v>0</v>
      </c>
      <c r="J34" s="50">
        <v>0</v>
      </c>
      <c r="K34" s="14" t="s">
        <v>53</v>
      </c>
      <c r="L34" s="11">
        <f t="shared" si="0"/>
        <v>4</v>
      </c>
      <c r="M34" s="10">
        <f t="shared" si="7"/>
        <v>1.2</v>
      </c>
      <c r="N34" s="10">
        <f t="shared" si="2"/>
        <v>0</v>
      </c>
      <c r="O34" s="10">
        <v>0</v>
      </c>
      <c r="P34" s="10">
        <f t="shared" si="3"/>
        <v>5.2</v>
      </c>
      <c r="Q34" s="17">
        <v>20.012499999999992</v>
      </c>
      <c r="R34" s="18">
        <f t="shared" si="4"/>
        <v>25.212499999999991</v>
      </c>
      <c r="S34" s="19">
        <f t="shared" si="5"/>
        <v>1.09375</v>
      </c>
      <c r="T34" s="20">
        <f t="shared" si="6"/>
        <v>24.118749999999991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7.399999999999999">
      <c r="A35" s="9">
        <v>1</v>
      </c>
      <c r="B35" s="8">
        <v>189</v>
      </c>
      <c r="C35" s="8">
        <v>522812489</v>
      </c>
      <c r="D35" s="42" t="s">
        <v>70</v>
      </c>
      <c r="E35" s="47"/>
      <c r="F35" s="10">
        <v>4</v>
      </c>
      <c r="G35" s="10">
        <v>1</v>
      </c>
      <c r="H35" s="50">
        <v>0</v>
      </c>
      <c r="I35" s="50">
        <v>0</v>
      </c>
      <c r="J35" s="50">
        <v>0</v>
      </c>
      <c r="K35" s="14" t="s">
        <v>53</v>
      </c>
      <c r="L35" s="11">
        <f t="shared" si="0"/>
        <v>6</v>
      </c>
      <c r="M35" s="10">
        <f t="shared" si="7"/>
        <v>1.2</v>
      </c>
      <c r="N35" s="10">
        <f t="shared" si="2"/>
        <v>0</v>
      </c>
      <c r="O35" s="10">
        <v>0</v>
      </c>
      <c r="P35" s="10">
        <f t="shared" si="3"/>
        <v>7.2</v>
      </c>
      <c r="Q35" s="17">
        <v>17.84375</v>
      </c>
      <c r="R35" s="18">
        <f t="shared" si="4"/>
        <v>25.043749999999999</v>
      </c>
      <c r="S35" s="19">
        <f t="shared" si="5"/>
        <v>1.09375</v>
      </c>
      <c r="T35" s="20">
        <f t="shared" si="6"/>
        <v>23.95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7.399999999999999">
      <c r="A36" s="9">
        <v>1</v>
      </c>
      <c r="B36" s="8">
        <v>215</v>
      </c>
      <c r="C36" s="8">
        <v>289805855</v>
      </c>
      <c r="D36" s="42" t="s">
        <v>87</v>
      </c>
      <c r="F36" s="10">
        <v>4</v>
      </c>
      <c r="G36" s="10">
        <v>1</v>
      </c>
      <c r="H36" s="50">
        <v>0</v>
      </c>
      <c r="I36" s="50">
        <v>1</v>
      </c>
      <c r="J36" s="50">
        <v>1</v>
      </c>
      <c r="K36" s="14" t="s">
        <v>53</v>
      </c>
      <c r="L36" s="11">
        <f t="shared" si="0"/>
        <v>6</v>
      </c>
      <c r="M36" s="10">
        <f t="shared" si="7"/>
        <v>1.2</v>
      </c>
      <c r="N36" s="10">
        <f t="shared" si="2"/>
        <v>0.8</v>
      </c>
      <c r="O36" s="10">
        <v>0</v>
      </c>
      <c r="P36" s="10">
        <f t="shared" si="3"/>
        <v>8</v>
      </c>
      <c r="Q36" s="17">
        <v>16.719249999999995</v>
      </c>
      <c r="R36" s="18">
        <f t="shared" si="4"/>
        <v>24.719249999999995</v>
      </c>
      <c r="S36" s="19">
        <f t="shared" si="5"/>
        <v>1.09375</v>
      </c>
      <c r="T36" s="20">
        <f t="shared" si="6"/>
        <v>23.625499999999995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7.399999999999999">
      <c r="A37" s="9">
        <v>1</v>
      </c>
      <c r="B37" s="8">
        <v>167</v>
      </c>
      <c r="C37" s="8">
        <v>1173807161</v>
      </c>
      <c r="D37" s="42" t="s">
        <v>48</v>
      </c>
      <c r="E37" s="48"/>
      <c r="F37" s="10">
        <v>0</v>
      </c>
      <c r="G37" s="10">
        <v>0</v>
      </c>
      <c r="H37" s="50">
        <v>0</v>
      </c>
      <c r="I37" s="50">
        <v>0</v>
      </c>
      <c r="J37" s="50">
        <v>0</v>
      </c>
      <c r="K37" s="39" t="s">
        <v>30</v>
      </c>
      <c r="L37" s="11">
        <f t="shared" ref="L37:L70" si="8">F37+IF(F37&gt;2,(F37-2)*1,0)</f>
        <v>0</v>
      </c>
      <c r="M37" s="10">
        <f t="shared" si="7"/>
        <v>0</v>
      </c>
      <c r="N37" s="10">
        <f t="shared" ref="N37:N70" si="9">SUM(H37:J37)*$Y$18</f>
        <v>0</v>
      </c>
      <c r="O37" s="10">
        <v>0</v>
      </c>
      <c r="P37" s="10">
        <f t="shared" ref="P37:P68" si="10">SUM(M37+L37+O37+N37)</f>
        <v>0</v>
      </c>
      <c r="Q37" s="17">
        <v>24.624999999999979</v>
      </c>
      <c r="R37" s="18">
        <f t="shared" ref="R37:R68" si="11">P37+Q37</f>
        <v>24.624999999999979</v>
      </c>
      <c r="S37" s="19">
        <f t="shared" ref="S37:S70" si="12">VLOOKUP(K37,$X$3:$Y$10,2,FALSE)</f>
        <v>0</v>
      </c>
      <c r="T37" s="20">
        <f t="shared" ref="T37:T68" si="13">R37-S37</f>
        <v>24.624999999999979</v>
      </c>
      <c r="U37" s="4"/>
      <c r="V37" s="4"/>
      <c r="W37" s="4"/>
    </row>
    <row r="38" spans="1:29" s="2" customFormat="1" ht="17.399999999999999">
      <c r="A38" s="9">
        <v>1</v>
      </c>
      <c r="B38" s="8">
        <v>118</v>
      </c>
      <c r="C38" s="8">
        <v>2018112397</v>
      </c>
      <c r="D38" s="42" t="s">
        <v>54</v>
      </c>
      <c r="E38" s="42" t="s">
        <v>47</v>
      </c>
      <c r="F38" s="10">
        <v>4</v>
      </c>
      <c r="G38" s="10">
        <v>1</v>
      </c>
      <c r="H38" s="50">
        <v>0</v>
      </c>
      <c r="I38" s="50">
        <v>0</v>
      </c>
      <c r="J38" s="50">
        <v>0</v>
      </c>
      <c r="K38" s="14" t="s">
        <v>53</v>
      </c>
      <c r="L38" s="11">
        <f t="shared" si="8"/>
        <v>6</v>
      </c>
      <c r="M38" s="10">
        <f t="shared" si="7"/>
        <v>1.2</v>
      </c>
      <c r="N38" s="10">
        <f t="shared" si="9"/>
        <v>0</v>
      </c>
      <c r="O38" s="10">
        <v>0</v>
      </c>
      <c r="P38" s="10">
        <f t="shared" si="10"/>
        <v>7.2</v>
      </c>
      <c r="Q38" s="17">
        <v>17.162499999999991</v>
      </c>
      <c r="R38" s="18">
        <f t="shared" si="11"/>
        <v>24.36249999999999</v>
      </c>
      <c r="S38" s="19">
        <f t="shared" si="12"/>
        <v>1.09375</v>
      </c>
      <c r="T38" s="20">
        <f t="shared" si="13"/>
        <v>23.26874999999999</v>
      </c>
      <c r="U38" s="11"/>
      <c r="V38" s="11"/>
      <c r="W38" s="32"/>
      <c r="X38" s="1"/>
      <c r="Y38" s="1"/>
      <c r="Z38" s="1"/>
      <c r="AA38" s="1"/>
      <c r="AB38" s="1"/>
      <c r="AC38" s="1"/>
    </row>
    <row r="39" spans="1:29" s="3" customFormat="1" ht="17.399999999999999">
      <c r="A39" s="9">
        <v>1</v>
      </c>
      <c r="B39" s="8">
        <v>184</v>
      </c>
      <c r="C39" s="8">
        <v>1814130074</v>
      </c>
      <c r="D39" s="42" t="s">
        <v>67</v>
      </c>
      <c r="E39" s="47"/>
      <c r="F39" s="10">
        <v>4</v>
      </c>
      <c r="G39" s="10">
        <v>1</v>
      </c>
      <c r="H39" s="50">
        <v>0</v>
      </c>
      <c r="I39" s="50">
        <v>1</v>
      </c>
      <c r="J39" s="50">
        <v>0</v>
      </c>
      <c r="K39" s="14" t="s">
        <v>53</v>
      </c>
      <c r="L39" s="11">
        <f t="shared" si="8"/>
        <v>6</v>
      </c>
      <c r="M39" s="10">
        <f t="shared" si="7"/>
        <v>1.2</v>
      </c>
      <c r="N39" s="10">
        <f t="shared" si="9"/>
        <v>0.4</v>
      </c>
      <c r="O39" s="10">
        <v>0</v>
      </c>
      <c r="P39" s="10">
        <f t="shared" si="10"/>
        <v>7.6000000000000005</v>
      </c>
      <c r="Q39" s="17">
        <v>16.650000000000016</v>
      </c>
      <c r="R39" s="18">
        <f t="shared" si="11"/>
        <v>24.250000000000018</v>
      </c>
      <c r="S39" s="19">
        <f t="shared" si="12"/>
        <v>1.09375</v>
      </c>
      <c r="T39" s="20">
        <f t="shared" si="13"/>
        <v>23.156250000000018</v>
      </c>
      <c r="U39" s="4"/>
      <c r="V39" s="4"/>
      <c r="W39" s="4"/>
    </row>
    <row r="40" spans="1:29" ht="17.399999999999999">
      <c r="A40" s="9">
        <v>1</v>
      </c>
      <c r="B40" s="8">
        <v>202</v>
      </c>
      <c r="C40" s="8">
        <v>471245585</v>
      </c>
      <c r="D40" s="42" t="s">
        <v>77</v>
      </c>
      <c r="E40" s="47"/>
      <c r="F40" s="10">
        <v>3</v>
      </c>
      <c r="G40" s="10">
        <v>1</v>
      </c>
      <c r="H40" s="50">
        <v>0</v>
      </c>
      <c r="I40" s="50">
        <v>0</v>
      </c>
      <c r="J40" s="50">
        <v>0</v>
      </c>
      <c r="K40" s="14" t="s">
        <v>53</v>
      </c>
      <c r="L40" s="11">
        <f t="shared" si="8"/>
        <v>4</v>
      </c>
      <c r="M40" s="10">
        <f t="shared" si="7"/>
        <v>1.2</v>
      </c>
      <c r="N40" s="10">
        <f t="shared" si="9"/>
        <v>0</v>
      </c>
      <c r="O40" s="10">
        <v>0</v>
      </c>
      <c r="P40" s="10">
        <f t="shared" si="10"/>
        <v>5.2</v>
      </c>
      <c r="Q40" s="17">
        <v>19.006249999999994</v>
      </c>
      <c r="R40" s="18">
        <f t="shared" si="11"/>
        <v>24.206249999999994</v>
      </c>
      <c r="S40" s="19">
        <f t="shared" si="12"/>
        <v>1.09375</v>
      </c>
      <c r="T40" s="20">
        <f t="shared" si="13"/>
        <v>23.112499999999994</v>
      </c>
      <c r="U40" s="4"/>
      <c r="V40" s="4"/>
      <c r="W40" s="4"/>
    </row>
    <row r="41" spans="1:29" ht="17.399999999999999">
      <c r="A41" s="9">
        <v>1</v>
      </c>
      <c r="B41" s="8">
        <v>234</v>
      </c>
      <c r="C41" s="8">
        <v>1333428907</v>
      </c>
      <c r="D41" s="42" t="s">
        <v>128</v>
      </c>
      <c r="E41" s="42" t="s">
        <v>115</v>
      </c>
      <c r="F41" s="10">
        <v>0</v>
      </c>
      <c r="G41" s="10">
        <v>0</v>
      </c>
      <c r="H41" s="50">
        <v>0</v>
      </c>
      <c r="I41" s="50">
        <v>0</v>
      </c>
      <c r="J41" s="50">
        <v>0</v>
      </c>
      <c r="K41" s="39" t="s">
        <v>30</v>
      </c>
      <c r="L41" s="11">
        <f t="shared" si="8"/>
        <v>0</v>
      </c>
      <c r="M41" s="10">
        <f t="shared" si="7"/>
        <v>0</v>
      </c>
      <c r="N41" s="10">
        <f t="shared" si="9"/>
        <v>0</v>
      </c>
      <c r="O41" s="10">
        <v>0</v>
      </c>
      <c r="P41" s="10">
        <f t="shared" si="10"/>
        <v>0</v>
      </c>
      <c r="Q41" s="17">
        <v>23.625</v>
      </c>
      <c r="R41" s="18">
        <f t="shared" si="11"/>
        <v>23.625</v>
      </c>
      <c r="S41" s="19">
        <f t="shared" si="12"/>
        <v>0</v>
      </c>
      <c r="T41" s="20">
        <f t="shared" si="13"/>
        <v>23.625</v>
      </c>
      <c r="U41" s="4"/>
      <c r="V41" s="4"/>
      <c r="W41" s="4"/>
    </row>
    <row r="42" spans="1:29" ht="17.399999999999999">
      <c r="A42" s="9">
        <v>1</v>
      </c>
      <c r="B42" s="9">
        <v>92</v>
      </c>
      <c r="C42" s="8">
        <v>1367873925</v>
      </c>
      <c r="D42" s="42" t="s">
        <v>80</v>
      </c>
      <c r="E42" s="42" t="s">
        <v>31</v>
      </c>
      <c r="F42" s="10">
        <v>3</v>
      </c>
      <c r="G42" s="10">
        <v>1</v>
      </c>
      <c r="H42" s="50">
        <v>0</v>
      </c>
      <c r="I42" s="50">
        <v>0</v>
      </c>
      <c r="J42" s="50">
        <v>0</v>
      </c>
      <c r="K42" s="14" t="s">
        <v>53</v>
      </c>
      <c r="L42" s="11">
        <f t="shared" si="8"/>
        <v>4</v>
      </c>
      <c r="M42" s="10">
        <f t="shared" si="7"/>
        <v>1.2</v>
      </c>
      <c r="N42" s="10">
        <f t="shared" si="9"/>
        <v>0</v>
      </c>
      <c r="O42" s="10">
        <v>0</v>
      </c>
      <c r="P42" s="10">
        <f t="shared" si="10"/>
        <v>5.2</v>
      </c>
      <c r="Q42" s="17">
        <v>17.937499999999996</v>
      </c>
      <c r="R42" s="18">
        <f t="shared" si="11"/>
        <v>23.137499999999996</v>
      </c>
      <c r="S42" s="19">
        <f t="shared" si="12"/>
        <v>1.09375</v>
      </c>
      <c r="T42" s="20">
        <f t="shared" si="13"/>
        <v>22.043749999999996</v>
      </c>
      <c r="U42" s="11"/>
      <c r="V42" s="11"/>
      <c r="W42" s="31"/>
    </row>
    <row r="43" spans="1:29" ht="17.399999999999999">
      <c r="A43" s="9">
        <v>1</v>
      </c>
      <c r="B43" s="8">
        <v>187</v>
      </c>
      <c r="C43" s="8">
        <v>1241038267</v>
      </c>
      <c r="D43" s="42" t="s">
        <v>69</v>
      </c>
      <c r="E43" s="47"/>
      <c r="F43" s="10">
        <v>0</v>
      </c>
      <c r="G43" s="10">
        <v>1</v>
      </c>
      <c r="H43" s="50">
        <v>0</v>
      </c>
      <c r="I43" s="50">
        <v>0</v>
      </c>
      <c r="J43" s="50">
        <v>0</v>
      </c>
      <c r="K43" s="39" t="s">
        <v>30</v>
      </c>
      <c r="L43" s="11">
        <f t="shared" si="8"/>
        <v>0</v>
      </c>
      <c r="M43" s="10">
        <f t="shared" si="7"/>
        <v>1.2</v>
      </c>
      <c r="N43" s="10">
        <f t="shared" si="9"/>
        <v>0</v>
      </c>
      <c r="O43" s="10">
        <v>0</v>
      </c>
      <c r="P43" s="10">
        <f t="shared" si="10"/>
        <v>1.2</v>
      </c>
      <c r="Q43" s="17">
        <v>21.918749999999989</v>
      </c>
      <c r="R43" s="18">
        <f t="shared" si="11"/>
        <v>23.118749999999988</v>
      </c>
      <c r="S43" s="19">
        <f t="shared" si="12"/>
        <v>0</v>
      </c>
      <c r="T43" s="20">
        <f t="shared" si="13"/>
        <v>23.118749999999988</v>
      </c>
      <c r="U43" s="4"/>
      <c r="V43" s="4"/>
      <c r="W43" s="4"/>
    </row>
    <row r="44" spans="1:29" ht="17.399999999999999">
      <c r="A44" s="9">
        <v>1</v>
      </c>
      <c r="B44" s="8">
        <v>110</v>
      </c>
      <c r="C44" s="8">
        <v>1968703358</v>
      </c>
      <c r="D44" s="42" t="s">
        <v>60</v>
      </c>
      <c r="E44" s="42" t="s">
        <v>38</v>
      </c>
      <c r="F44" s="10">
        <v>3</v>
      </c>
      <c r="G44" s="10">
        <v>1</v>
      </c>
      <c r="H44" s="50">
        <v>0</v>
      </c>
      <c r="I44" s="50">
        <v>0</v>
      </c>
      <c r="J44" s="50">
        <v>1</v>
      </c>
      <c r="K44" s="14" t="s">
        <v>53</v>
      </c>
      <c r="L44" s="11">
        <f t="shared" si="8"/>
        <v>4</v>
      </c>
      <c r="M44" s="10">
        <f t="shared" si="7"/>
        <v>1.2</v>
      </c>
      <c r="N44" s="10">
        <f t="shared" si="9"/>
        <v>0.4</v>
      </c>
      <c r="O44" s="10">
        <v>0</v>
      </c>
      <c r="P44" s="10">
        <f t="shared" si="10"/>
        <v>5.6000000000000005</v>
      </c>
      <c r="Q44" s="17">
        <v>17.306250000000013</v>
      </c>
      <c r="R44" s="18">
        <f t="shared" si="11"/>
        <v>22.906250000000014</v>
      </c>
      <c r="S44" s="19">
        <f t="shared" si="12"/>
        <v>1.09375</v>
      </c>
      <c r="T44" s="20">
        <f t="shared" si="13"/>
        <v>21.812500000000014</v>
      </c>
      <c r="U44" s="11"/>
      <c r="V44" s="11"/>
      <c r="W44" s="17"/>
    </row>
    <row r="45" spans="1:29" ht="17.399999999999999">
      <c r="A45" s="9">
        <v>1</v>
      </c>
      <c r="B45" s="8">
        <v>128</v>
      </c>
      <c r="C45" s="8">
        <v>1214614935</v>
      </c>
      <c r="D45" s="42" t="s">
        <v>62</v>
      </c>
      <c r="E45" s="49" t="s">
        <v>43</v>
      </c>
      <c r="F45" s="10">
        <v>2</v>
      </c>
      <c r="G45" s="10">
        <v>1</v>
      </c>
      <c r="H45" s="50">
        <v>0</v>
      </c>
      <c r="I45" s="50">
        <v>1</v>
      </c>
      <c r="J45" s="50">
        <v>1</v>
      </c>
      <c r="K45" s="14" t="s">
        <v>53</v>
      </c>
      <c r="L45" s="11">
        <f t="shared" si="8"/>
        <v>2</v>
      </c>
      <c r="M45" s="10">
        <f t="shared" si="7"/>
        <v>1.2</v>
      </c>
      <c r="N45" s="10">
        <f t="shared" si="9"/>
        <v>0.8</v>
      </c>
      <c r="O45" s="10">
        <v>0</v>
      </c>
      <c r="P45" s="10">
        <f t="shared" si="10"/>
        <v>4</v>
      </c>
      <c r="Q45" s="17">
        <v>17.330749999999995</v>
      </c>
      <c r="R45" s="18">
        <f t="shared" si="11"/>
        <v>21.330749999999995</v>
      </c>
      <c r="S45" s="19">
        <f t="shared" si="12"/>
        <v>1.09375</v>
      </c>
      <c r="T45" s="20">
        <f t="shared" si="13"/>
        <v>20.236999999999995</v>
      </c>
      <c r="U45" s="11"/>
      <c r="V45" s="11"/>
      <c r="W45" s="31"/>
    </row>
    <row r="46" spans="1:29" ht="20.399999999999999">
      <c r="A46" s="9">
        <v>1</v>
      </c>
      <c r="B46" s="8">
        <v>229</v>
      </c>
      <c r="C46" s="8">
        <v>1598972736</v>
      </c>
      <c r="D46" s="42" t="s">
        <v>110</v>
      </c>
      <c r="E46" s="42"/>
      <c r="F46" s="10">
        <v>0</v>
      </c>
      <c r="G46" s="10">
        <v>0</v>
      </c>
      <c r="H46" s="50">
        <v>0</v>
      </c>
      <c r="I46" s="50">
        <v>0</v>
      </c>
      <c r="J46" s="50">
        <v>0</v>
      </c>
      <c r="K46" s="39" t="s">
        <v>30</v>
      </c>
      <c r="L46" s="11">
        <f t="shared" si="8"/>
        <v>0</v>
      </c>
      <c r="M46" s="10">
        <f t="shared" si="7"/>
        <v>0</v>
      </c>
      <c r="N46" s="10">
        <f t="shared" si="9"/>
        <v>0</v>
      </c>
      <c r="O46" s="10">
        <v>0</v>
      </c>
      <c r="P46" s="10">
        <f t="shared" si="10"/>
        <v>0</v>
      </c>
      <c r="Q46" s="17">
        <v>21.197089552238797</v>
      </c>
      <c r="R46" s="18">
        <f t="shared" si="11"/>
        <v>21.197089552238797</v>
      </c>
      <c r="S46" s="19">
        <f t="shared" si="12"/>
        <v>0</v>
      </c>
      <c r="T46" s="20">
        <f t="shared" si="13"/>
        <v>21.197089552238797</v>
      </c>
      <c r="U46" s="4"/>
      <c r="V46" s="4"/>
      <c r="W46" s="4"/>
    </row>
    <row r="47" spans="1:29" ht="17.399999999999999">
      <c r="A47" s="9">
        <v>1</v>
      </c>
      <c r="B47" s="8">
        <v>209</v>
      </c>
      <c r="C47" s="8">
        <v>1525950050</v>
      </c>
      <c r="D47" s="42" t="s">
        <v>85</v>
      </c>
      <c r="E47" s="42" t="s">
        <v>83</v>
      </c>
      <c r="F47" s="10">
        <v>2</v>
      </c>
      <c r="G47" s="10">
        <v>0</v>
      </c>
      <c r="H47" s="50">
        <v>0</v>
      </c>
      <c r="I47" s="50">
        <v>0</v>
      </c>
      <c r="J47" s="50">
        <v>0</v>
      </c>
      <c r="K47" s="14" t="s">
        <v>53</v>
      </c>
      <c r="L47" s="11">
        <f t="shared" si="8"/>
        <v>2</v>
      </c>
      <c r="M47" s="10">
        <f t="shared" si="7"/>
        <v>0</v>
      </c>
      <c r="N47" s="10">
        <f t="shared" si="9"/>
        <v>0</v>
      </c>
      <c r="O47" s="10">
        <v>0</v>
      </c>
      <c r="P47" s="10">
        <f t="shared" si="10"/>
        <v>2</v>
      </c>
      <c r="Q47" s="17">
        <v>19.118749999999991</v>
      </c>
      <c r="R47" s="18">
        <f t="shared" si="11"/>
        <v>21.118749999999991</v>
      </c>
      <c r="S47" s="19">
        <f t="shared" si="12"/>
        <v>1.09375</v>
      </c>
      <c r="T47" s="20">
        <f t="shared" si="13"/>
        <v>20.024999999999991</v>
      </c>
      <c r="U47" s="4"/>
      <c r="V47" s="4"/>
      <c r="W47" s="4"/>
    </row>
    <row r="48" spans="1:29" ht="17.399999999999999">
      <c r="A48" s="9">
        <v>1</v>
      </c>
      <c r="B48" s="8">
        <v>198</v>
      </c>
      <c r="C48" s="8">
        <v>723448640</v>
      </c>
      <c r="D48" s="42" t="s">
        <v>75</v>
      </c>
      <c r="E48" s="47"/>
      <c r="F48" s="10">
        <v>0</v>
      </c>
      <c r="G48" s="10">
        <v>0</v>
      </c>
      <c r="H48" s="50">
        <v>0</v>
      </c>
      <c r="I48" s="50">
        <v>0</v>
      </c>
      <c r="J48" s="50">
        <v>0</v>
      </c>
      <c r="K48" s="39" t="s">
        <v>30</v>
      </c>
      <c r="L48" s="11">
        <f t="shared" si="8"/>
        <v>0</v>
      </c>
      <c r="M48" s="10">
        <f t="shared" si="7"/>
        <v>0</v>
      </c>
      <c r="N48" s="10">
        <f t="shared" si="9"/>
        <v>0</v>
      </c>
      <c r="O48" s="10">
        <v>0</v>
      </c>
      <c r="P48" s="10">
        <f t="shared" si="10"/>
        <v>0</v>
      </c>
      <c r="Q48" s="17">
        <v>18.01874999999999</v>
      </c>
      <c r="R48" s="18">
        <f t="shared" si="11"/>
        <v>18.01874999999999</v>
      </c>
      <c r="S48" s="19">
        <f t="shared" si="12"/>
        <v>0</v>
      </c>
      <c r="T48" s="20">
        <f t="shared" si="13"/>
        <v>18.01874999999999</v>
      </c>
    </row>
    <row r="49" spans="1:20" ht="17.399999999999999">
      <c r="A49" s="9">
        <v>1</v>
      </c>
      <c r="B49" s="8">
        <v>193</v>
      </c>
      <c r="C49" s="8">
        <v>2125731287</v>
      </c>
      <c r="D49" s="42" t="s">
        <v>72</v>
      </c>
      <c r="E49" s="47"/>
      <c r="F49" s="10">
        <v>0</v>
      </c>
      <c r="G49" s="10">
        <v>0</v>
      </c>
      <c r="H49" s="50">
        <v>0</v>
      </c>
      <c r="I49" s="50">
        <v>0</v>
      </c>
      <c r="J49" s="50">
        <v>0</v>
      </c>
      <c r="K49" s="39" t="s">
        <v>30</v>
      </c>
      <c r="L49" s="11">
        <f t="shared" si="8"/>
        <v>0</v>
      </c>
      <c r="M49" s="10">
        <f t="shared" si="7"/>
        <v>0</v>
      </c>
      <c r="N49" s="10">
        <f t="shared" si="9"/>
        <v>0</v>
      </c>
      <c r="O49" s="10">
        <v>0</v>
      </c>
      <c r="P49" s="10">
        <f t="shared" si="10"/>
        <v>0</v>
      </c>
      <c r="Q49" s="17">
        <v>17.812499999999996</v>
      </c>
      <c r="R49" s="18">
        <f t="shared" si="11"/>
        <v>17.812499999999996</v>
      </c>
      <c r="S49" s="19">
        <f t="shared" si="12"/>
        <v>0</v>
      </c>
      <c r="T49" s="20">
        <f t="shared" si="13"/>
        <v>17.812499999999996</v>
      </c>
    </row>
    <row r="50" spans="1:20" ht="17.399999999999999">
      <c r="A50" s="9">
        <v>1</v>
      </c>
      <c r="B50" s="8">
        <v>239</v>
      </c>
      <c r="C50" s="8">
        <v>416459640</v>
      </c>
      <c r="D50" s="42" t="s">
        <v>122</v>
      </c>
      <c r="F50" s="10">
        <v>4</v>
      </c>
      <c r="G50" s="10">
        <v>1</v>
      </c>
      <c r="H50" s="50">
        <v>0</v>
      </c>
      <c r="I50" s="50">
        <v>0</v>
      </c>
      <c r="J50" s="50">
        <v>0</v>
      </c>
      <c r="K50" s="14" t="s">
        <v>53</v>
      </c>
      <c r="L50" s="11">
        <f t="shared" si="8"/>
        <v>6</v>
      </c>
      <c r="M50" s="10">
        <f t="shared" si="7"/>
        <v>1.2</v>
      </c>
      <c r="N50" s="10">
        <f t="shared" si="9"/>
        <v>0</v>
      </c>
      <c r="O50" s="10">
        <v>0</v>
      </c>
      <c r="P50" s="10">
        <f t="shared" si="10"/>
        <v>7.2</v>
      </c>
      <c r="Q50" s="17">
        <v>9.2875000000000014</v>
      </c>
      <c r="R50" s="18">
        <f t="shared" si="11"/>
        <v>16.487500000000001</v>
      </c>
      <c r="S50" s="19">
        <f t="shared" si="12"/>
        <v>1.09375</v>
      </c>
      <c r="T50" s="20">
        <f t="shared" si="13"/>
        <v>15.393750000000001</v>
      </c>
    </row>
    <row r="51" spans="1:20" ht="17.399999999999999">
      <c r="A51" s="9">
        <v>1</v>
      </c>
      <c r="B51" s="8">
        <v>222</v>
      </c>
      <c r="C51" s="8">
        <v>1945277617</v>
      </c>
      <c r="D51" s="42" t="s">
        <v>97</v>
      </c>
      <c r="E51" s="42"/>
      <c r="F51" s="10">
        <v>0</v>
      </c>
      <c r="G51" s="10">
        <v>0</v>
      </c>
      <c r="H51" s="50">
        <v>0</v>
      </c>
      <c r="I51" s="50">
        <v>0</v>
      </c>
      <c r="J51" s="50">
        <v>0</v>
      </c>
      <c r="K51" s="39" t="s">
        <v>30</v>
      </c>
      <c r="L51" s="11">
        <f t="shared" si="8"/>
        <v>0</v>
      </c>
      <c r="M51" s="10">
        <f t="shared" si="7"/>
        <v>0</v>
      </c>
      <c r="N51" s="10">
        <f t="shared" si="9"/>
        <v>0</v>
      </c>
      <c r="O51" s="10">
        <v>0</v>
      </c>
      <c r="P51" s="10">
        <f t="shared" si="10"/>
        <v>0</v>
      </c>
      <c r="Q51" s="17">
        <v>15.637727649769573</v>
      </c>
      <c r="R51" s="18">
        <f t="shared" si="11"/>
        <v>15.637727649769573</v>
      </c>
      <c r="S51" s="19">
        <f t="shared" si="12"/>
        <v>0</v>
      </c>
      <c r="T51" s="20">
        <f t="shared" si="13"/>
        <v>15.637727649769573</v>
      </c>
    </row>
    <row r="52" spans="1:20" ht="17.399999999999999">
      <c r="A52" s="9">
        <v>1</v>
      </c>
      <c r="B52" s="8">
        <v>155</v>
      </c>
      <c r="C52" s="8">
        <v>1532576874</v>
      </c>
      <c r="D52" s="42" t="s">
        <v>63</v>
      </c>
      <c r="E52" s="42" t="s">
        <v>46</v>
      </c>
      <c r="F52" s="10">
        <v>0</v>
      </c>
      <c r="G52" s="10">
        <v>0</v>
      </c>
      <c r="H52" s="50">
        <v>0</v>
      </c>
      <c r="I52" s="50">
        <v>0</v>
      </c>
      <c r="J52" s="50">
        <v>0</v>
      </c>
      <c r="K52" s="39" t="s">
        <v>30</v>
      </c>
      <c r="L52" s="11">
        <f t="shared" si="8"/>
        <v>0</v>
      </c>
      <c r="M52" s="10">
        <f t="shared" si="7"/>
        <v>0</v>
      </c>
      <c r="N52" s="10">
        <f t="shared" si="9"/>
        <v>0</v>
      </c>
      <c r="O52" s="10">
        <v>0</v>
      </c>
      <c r="P52" s="10">
        <f t="shared" si="10"/>
        <v>0</v>
      </c>
      <c r="Q52" s="17">
        <v>15.212499999999999</v>
      </c>
      <c r="R52" s="18">
        <f t="shared" si="11"/>
        <v>15.212499999999999</v>
      </c>
      <c r="S52" s="19">
        <f t="shared" si="12"/>
        <v>0</v>
      </c>
      <c r="T52" s="20">
        <f t="shared" si="13"/>
        <v>15.212499999999999</v>
      </c>
    </row>
    <row r="53" spans="1:20" ht="17.399999999999999">
      <c r="A53" s="9">
        <v>1</v>
      </c>
      <c r="B53" s="8">
        <v>223</v>
      </c>
      <c r="C53" s="8">
        <v>784792167</v>
      </c>
      <c r="D53" s="42" t="s">
        <v>98</v>
      </c>
      <c r="E53" s="42"/>
      <c r="F53" s="10">
        <v>0</v>
      </c>
      <c r="G53" s="10">
        <v>0</v>
      </c>
      <c r="H53" s="50">
        <v>0</v>
      </c>
      <c r="I53" s="50">
        <v>0</v>
      </c>
      <c r="J53" s="50">
        <v>0</v>
      </c>
      <c r="K53" s="39" t="s">
        <v>30</v>
      </c>
      <c r="L53" s="11">
        <f t="shared" si="8"/>
        <v>0</v>
      </c>
      <c r="M53" s="10">
        <f t="shared" si="7"/>
        <v>0</v>
      </c>
      <c r="N53" s="10">
        <f t="shared" si="9"/>
        <v>0</v>
      </c>
      <c r="O53" s="10">
        <v>0</v>
      </c>
      <c r="P53" s="10">
        <f t="shared" si="10"/>
        <v>0</v>
      </c>
      <c r="Q53" s="17">
        <v>10.624999999999996</v>
      </c>
      <c r="R53" s="18">
        <f t="shared" si="11"/>
        <v>10.624999999999996</v>
      </c>
      <c r="S53" s="19">
        <f t="shared" si="12"/>
        <v>0</v>
      </c>
      <c r="T53" s="20">
        <f t="shared" si="13"/>
        <v>10.624999999999996</v>
      </c>
    </row>
    <row r="54" spans="1:20" ht="17.399999999999999">
      <c r="A54" s="9">
        <v>1</v>
      </c>
      <c r="B54" s="8">
        <v>219</v>
      </c>
      <c r="C54" s="8">
        <v>1128309198</v>
      </c>
      <c r="D54" s="42" t="s">
        <v>93</v>
      </c>
      <c r="E54" s="47"/>
      <c r="F54" s="10">
        <v>0</v>
      </c>
      <c r="G54" s="10">
        <v>0</v>
      </c>
      <c r="H54" s="50">
        <v>0</v>
      </c>
      <c r="I54" s="50">
        <v>0</v>
      </c>
      <c r="J54" s="50">
        <v>0</v>
      </c>
      <c r="K54" s="39" t="s">
        <v>30</v>
      </c>
      <c r="L54" s="11">
        <f t="shared" si="8"/>
        <v>0</v>
      </c>
      <c r="M54" s="10">
        <f t="shared" ref="M54:M70" si="14">G54*$Y$14</f>
        <v>0</v>
      </c>
      <c r="N54" s="10">
        <f t="shared" si="9"/>
        <v>0</v>
      </c>
      <c r="O54" s="10">
        <v>0</v>
      </c>
      <c r="P54" s="10">
        <f t="shared" si="10"/>
        <v>0</v>
      </c>
      <c r="Q54" s="17">
        <v>9.4499999999999957</v>
      </c>
      <c r="R54" s="18">
        <f t="shared" si="11"/>
        <v>9.4499999999999957</v>
      </c>
      <c r="S54" s="19">
        <f t="shared" si="12"/>
        <v>0</v>
      </c>
      <c r="T54" s="20">
        <f t="shared" si="13"/>
        <v>9.4499999999999957</v>
      </c>
    </row>
    <row r="55" spans="1:20" ht="17.399999999999999">
      <c r="A55" s="9">
        <v>1</v>
      </c>
      <c r="B55" s="8">
        <v>243</v>
      </c>
      <c r="D55" s="42" t="s">
        <v>133</v>
      </c>
      <c r="F55" s="10">
        <v>4</v>
      </c>
      <c r="G55" s="10">
        <v>1</v>
      </c>
      <c r="H55" s="50">
        <v>0</v>
      </c>
      <c r="I55" s="50">
        <v>0</v>
      </c>
      <c r="J55" s="50">
        <v>0</v>
      </c>
      <c r="K55" s="14" t="s">
        <v>53</v>
      </c>
      <c r="L55" s="11">
        <f t="shared" si="8"/>
        <v>6</v>
      </c>
      <c r="M55" s="10">
        <f t="shared" si="14"/>
        <v>1.2</v>
      </c>
      <c r="N55" s="10">
        <f t="shared" si="9"/>
        <v>0</v>
      </c>
      <c r="O55" s="10">
        <v>0</v>
      </c>
      <c r="P55" s="10">
        <f t="shared" si="10"/>
        <v>7.2</v>
      </c>
      <c r="Q55" s="17">
        <v>0</v>
      </c>
      <c r="R55" s="18">
        <f t="shared" si="11"/>
        <v>7.2</v>
      </c>
      <c r="S55" s="19">
        <f t="shared" si="12"/>
        <v>1.09375</v>
      </c>
      <c r="T55" s="20">
        <f t="shared" si="13"/>
        <v>6.1062500000000002</v>
      </c>
    </row>
    <row r="56" spans="1:20" ht="20.399999999999999">
      <c r="A56" s="9">
        <v>1</v>
      </c>
      <c r="B56" s="8">
        <v>214</v>
      </c>
      <c r="C56" s="8">
        <v>2130976604</v>
      </c>
      <c r="D56" s="42" t="s">
        <v>86</v>
      </c>
      <c r="E56" s="2"/>
      <c r="F56" s="10">
        <v>0</v>
      </c>
      <c r="G56" s="10">
        <v>1</v>
      </c>
      <c r="H56" s="50">
        <v>0</v>
      </c>
      <c r="I56" s="50">
        <v>0</v>
      </c>
      <c r="J56" s="50">
        <v>0</v>
      </c>
      <c r="K56" s="39" t="s">
        <v>30</v>
      </c>
      <c r="L56" s="11">
        <f t="shared" si="8"/>
        <v>0</v>
      </c>
      <c r="M56" s="10">
        <f t="shared" si="14"/>
        <v>1.2</v>
      </c>
      <c r="N56" s="10">
        <f t="shared" si="9"/>
        <v>0</v>
      </c>
      <c r="O56" s="10">
        <v>0</v>
      </c>
      <c r="P56" s="10">
        <f t="shared" si="10"/>
        <v>1.2</v>
      </c>
      <c r="Q56" s="17">
        <v>5.8124999999999893</v>
      </c>
      <c r="R56" s="18">
        <f t="shared" si="11"/>
        <v>7.0124999999999895</v>
      </c>
      <c r="S56" s="19">
        <f t="shared" si="12"/>
        <v>0</v>
      </c>
      <c r="T56" s="20">
        <f t="shared" si="13"/>
        <v>7.0124999999999895</v>
      </c>
    </row>
    <row r="57" spans="1:20" ht="17.399999999999999">
      <c r="A57" s="9">
        <v>1</v>
      </c>
      <c r="B57" s="8">
        <v>192</v>
      </c>
      <c r="C57" s="8">
        <v>1725281178</v>
      </c>
      <c r="D57" s="42" t="s">
        <v>71</v>
      </c>
      <c r="E57" s="47"/>
      <c r="F57" s="10">
        <v>0</v>
      </c>
      <c r="G57" s="10">
        <v>0</v>
      </c>
      <c r="H57" s="50">
        <v>0</v>
      </c>
      <c r="I57" s="50">
        <v>0</v>
      </c>
      <c r="J57" s="50">
        <v>0</v>
      </c>
      <c r="K57" s="39" t="s">
        <v>30</v>
      </c>
      <c r="L57" s="11">
        <f t="shared" si="8"/>
        <v>0</v>
      </c>
      <c r="M57" s="10">
        <f t="shared" si="14"/>
        <v>0</v>
      </c>
      <c r="N57" s="10">
        <f t="shared" si="9"/>
        <v>0</v>
      </c>
      <c r="O57" s="10">
        <v>0</v>
      </c>
      <c r="P57" s="10">
        <f t="shared" si="10"/>
        <v>0</v>
      </c>
      <c r="Q57" s="17">
        <v>3.1437499999999954</v>
      </c>
      <c r="R57" s="18">
        <f t="shared" si="11"/>
        <v>3.1437499999999954</v>
      </c>
      <c r="S57" s="19">
        <f t="shared" si="12"/>
        <v>0</v>
      </c>
      <c r="T57" s="20">
        <f t="shared" si="13"/>
        <v>3.1437499999999954</v>
      </c>
    </row>
    <row r="58" spans="1:20" ht="20.399999999999999">
      <c r="A58" s="9">
        <v>1</v>
      </c>
      <c r="B58" s="8">
        <v>220</v>
      </c>
      <c r="C58" s="8">
        <v>353335311</v>
      </c>
      <c r="D58" s="42" t="s">
        <v>94</v>
      </c>
      <c r="E58" s="44"/>
      <c r="F58" s="10">
        <v>0</v>
      </c>
      <c r="G58" s="10">
        <v>0</v>
      </c>
      <c r="H58" s="50">
        <v>0</v>
      </c>
      <c r="I58" s="50">
        <v>0</v>
      </c>
      <c r="J58" s="50">
        <v>0</v>
      </c>
      <c r="K58" s="39" t="s">
        <v>30</v>
      </c>
      <c r="L58" s="11">
        <f t="shared" si="8"/>
        <v>0</v>
      </c>
      <c r="M58" s="10">
        <f t="shared" si="14"/>
        <v>0</v>
      </c>
      <c r="N58" s="10">
        <f t="shared" si="9"/>
        <v>0</v>
      </c>
      <c r="O58" s="10">
        <v>0</v>
      </c>
      <c r="P58" s="10">
        <f t="shared" si="10"/>
        <v>0</v>
      </c>
      <c r="Q58" s="17">
        <v>2.0310546874999984</v>
      </c>
      <c r="R58" s="18">
        <f t="shared" si="11"/>
        <v>2.0310546874999984</v>
      </c>
      <c r="S58" s="19">
        <f t="shared" si="12"/>
        <v>0</v>
      </c>
      <c r="T58" s="20">
        <f t="shared" si="13"/>
        <v>2.0310546874999984</v>
      </c>
    </row>
    <row r="59" spans="1:20" ht="17.399999999999999">
      <c r="A59" s="9">
        <v>1</v>
      </c>
      <c r="B59" s="8">
        <v>233</v>
      </c>
      <c r="C59" s="8">
        <v>1963965829</v>
      </c>
      <c r="D59" s="42" t="s">
        <v>114</v>
      </c>
      <c r="F59" s="10">
        <v>0</v>
      </c>
      <c r="G59" s="10">
        <v>0</v>
      </c>
      <c r="H59" s="50">
        <v>0</v>
      </c>
      <c r="I59" s="50">
        <v>0</v>
      </c>
      <c r="J59" s="50">
        <v>0</v>
      </c>
      <c r="K59" s="39" t="s">
        <v>30</v>
      </c>
      <c r="L59" s="11">
        <f t="shared" si="8"/>
        <v>0</v>
      </c>
      <c r="M59" s="10">
        <f t="shared" si="14"/>
        <v>0</v>
      </c>
      <c r="N59" s="10">
        <f t="shared" si="9"/>
        <v>0</v>
      </c>
      <c r="O59" s="10">
        <v>0</v>
      </c>
      <c r="P59" s="10">
        <f t="shared" si="10"/>
        <v>0</v>
      </c>
      <c r="Q59" s="17">
        <v>2.0000000000000018</v>
      </c>
      <c r="R59" s="18">
        <f t="shared" si="11"/>
        <v>2.0000000000000018</v>
      </c>
      <c r="S59" s="19">
        <f t="shared" si="12"/>
        <v>0</v>
      </c>
      <c r="T59" s="20">
        <f t="shared" si="13"/>
        <v>2.0000000000000018</v>
      </c>
    </row>
    <row r="60" spans="1:20" ht="17.399999999999999">
      <c r="A60" s="9">
        <v>1</v>
      </c>
      <c r="B60" s="8">
        <v>207</v>
      </c>
      <c r="C60" s="8">
        <v>721273803</v>
      </c>
      <c r="D60" s="45" t="s">
        <v>81</v>
      </c>
      <c r="E60" s="47"/>
      <c r="F60" s="10">
        <v>0</v>
      </c>
      <c r="G60" s="10">
        <v>0</v>
      </c>
      <c r="H60" s="50">
        <v>0</v>
      </c>
      <c r="I60" s="50">
        <v>0</v>
      </c>
      <c r="J60" s="50">
        <v>0</v>
      </c>
      <c r="K60" s="39" t="s">
        <v>30</v>
      </c>
      <c r="L60" s="11">
        <f t="shared" si="8"/>
        <v>0</v>
      </c>
      <c r="M60" s="10">
        <f t="shared" si="14"/>
        <v>0</v>
      </c>
      <c r="N60" s="10">
        <f t="shared" si="9"/>
        <v>0</v>
      </c>
      <c r="O60" s="10">
        <v>0</v>
      </c>
      <c r="P60" s="10">
        <f t="shared" si="10"/>
        <v>0</v>
      </c>
      <c r="Q60" s="17">
        <v>1.425</v>
      </c>
      <c r="R60" s="18">
        <f t="shared" si="11"/>
        <v>1.425</v>
      </c>
      <c r="S60" s="19">
        <f t="shared" si="12"/>
        <v>0</v>
      </c>
      <c r="T60" s="20">
        <f t="shared" si="13"/>
        <v>1.425</v>
      </c>
    </row>
    <row r="61" spans="1:20" ht="20.399999999999999">
      <c r="A61" s="9">
        <v>1</v>
      </c>
      <c r="B61" s="8">
        <v>213</v>
      </c>
      <c r="C61" s="8">
        <v>311361673</v>
      </c>
      <c r="D61" s="42" t="s">
        <v>55</v>
      </c>
      <c r="E61" s="2"/>
      <c r="F61" s="10">
        <v>0</v>
      </c>
      <c r="G61" s="10">
        <v>0</v>
      </c>
      <c r="H61" s="50">
        <v>0</v>
      </c>
      <c r="I61" s="50">
        <v>0</v>
      </c>
      <c r="J61" s="50">
        <v>0</v>
      </c>
      <c r="K61" s="39" t="s">
        <v>30</v>
      </c>
      <c r="L61" s="11">
        <f t="shared" si="8"/>
        <v>0</v>
      </c>
      <c r="M61" s="10">
        <f t="shared" si="14"/>
        <v>0</v>
      </c>
      <c r="N61" s="10">
        <f t="shared" si="9"/>
        <v>0</v>
      </c>
      <c r="O61" s="10">
        <v>0</v>
      </c>
      <c r="P61" s="10">
        <f t="shared" si="10"/>
        <v>0</v>
      </c>
      <c r="Q61" s="17">
        <v>1.2687499999999945</v>
      </c>
      <c r="R61" s="18">
        <f t="shared" si="11"/>
        <v>1.2687499999999945</v>
      </c>
      <c r="S61" s="19">
        <f t="shared" si="12"/>
        <v>0</v>
      </c>
      <c r="T61" s="20">
        <f t="shared" si="13"/>
        <v>1.2687499999999945</v>
      </c>
    </row>
    <row r="62" spans="1:20" ht="17.399999999999999">
      <c r="A62" s="9">
        <v>1</v>
      </c>
      <c r="B62" s="8">
        <v>242</v>
      </c>
      <c r="C62" s="8">
        <v>250098915</v>
      </c>
      <c r="D62" s="42" t="s">
        <v>131</v>
      </c>
      <c r="F62" s="10">
        <v>0</v>
      </c>
      <c r="G62" s="10">
        <v>0</v>
      </c>
      <c r="H62" s="50">
        <v>0</v>
      </c>
      <c r="I62" s="50">
        <v>0</v>
      </c>
      <c r="J62" s="50">
        <v>0</v>
      </c>
      <c r="K62" s="39" t="s">
        <v>30</v>
      </c>
      <c r="L62" s="11">
        <f t="shared" si="8"/>
        <v>0</v>
      </c>
      <c r="M62" s="10">
        <f t="shared" si="14"/>
        <v>0</v>
      </c>
      <c r="N62" s="10">
        <f t="shared" si="9"/>
        <v>0</v>
      </c>
      <c r="O62" s="10">
        <v>0</v>
      </c>
      <c r="P62" s="10">
        <f t="shared" si="10"/>
        <v>0</v>
      </c>
      <c r="Q62" s="17">
        <v>0.90625</v>
      </c>
      <c r="R62" s="18">
        <f t="shared" si="11"/>
        <v>0.90625</v>
      </c>
      <c r="S62" s="19">
        <f t="shared" si="12"/>
        <v>0</v>
      </c>
      <c r="T62" s="20">
        <f t="shared" si="13"/>
        <v>0.90625</v>
      </c>
    </row>
    <row r="63" spans="1:20" ht="17.399999999999999">
      <c r="A63" s="9">
        <v>1</v>
      </c>
      <c r="B63" s="8">
        <v>235</v>
      </c>
      <c r="C63" s="8">
        <v>988684940</v>
      </c>
      <c r="D63" s="42" t="s">
        <v>116</v>
      </c>
      <c r="F63" s="10">
        <v>0</v>
      </c>
      <c r="G63" s="10">
        <v>0</v>
      </c>
      <c r="H63" s="50">
        <v>0</v>
      </c>
      <c r="I63" s="50">
        <v>0</v>
      </c>
      <c r="J63" s="50">
        <v>0</v>
      </c>
      <c r="K63" s="39" t="s">
        <v>30</v>
      </c>
      <c r="L63" s="11">
        <f t="shared" si="8"/>
        <v>0</v>
      </c>
      <c r="M63" s="10">
        <f t="shared" si="14"/>
        <v>0</v>
      </c>
      <c r="N63" s="10">
        <f t="shared" si="9"/>
        <v>0</v>
      </c>
      <c r="O63" s="10">
        <v>0</v>
      </c>
      <c r="P63" s="10">
        <f t="shared" si="10"/>
        <v>0</v>
      </c>
      <c r="Q63" s="17">
        <v>0.875</v>
      </c>
      <c r="R63" s="18">
        <f t="shared" si="11"/>
        <v>0.875</v>
      </c>
      <c r="S63" s="19">
        <f t="shared" si="12"/>
        <v>0</v>
      </c>
      <c r="T63" s="20">
        <f t="shared" si="13"/>
        <v>0.875</v>
      </c>
    </row>
    <row r="64" spans="1:20" ht="17.399999999999999">
      <c r="A64" s="9">
        <v>1</v>
      </c>
      <c r="B64" s="8">
        <v>242</v>
      </c>
      <c r="C64" s="8">
        <v>1769984287</v>
      </c>
      <c r="D64" s="8" t="s">
        <v>132</v>
      </c>
      <c r="F64" s="10">
        <v>0</v>
      </c>
      <c r="G64" s="10">
        <v>0</v>
      </c>
      <c r="H64" s="50">
        <v>0</v>
      </c>
      <c r="I64" s="50">
        <v>0</v>
      </c>
      <c r="J64" s="50">
        <v>0</v>
      </c>
      <c r="K64" s="39" t="s">
        <v>30</v>
      </c>
      <c r="L64" s="11">
        <f t="shared" si="8"/>
        <v>0</v>
      </c>
      <c r="M64" s="10">
        <f t="shared" si="14"/>
        <v>0</v>
      </c>
      <c r="N64" s="10">
        <f t="shared" si="9"/>
        <v>0</v>
      </c>
      <c r="O64" s="10">
        <v>0</v>
      </c>
      <c r="P64" s="10">
        <f t="shared" si="10"/>
        <v>0</v>
      </c>
      <c r="Q64" s="17">
        <v>0.65000000000000036</v>
      </c>
      <c r="R64" s="18">
        <f t="shared" si="11"/>
        <v>0.65000000000000036</v>
      </c>
      <c r="S64" s="19">
        <f t="shared" si="12"/>
        <v>0</v>
      </c>
      <c r="T64" s="20">
        <f t="shared" si="13"/>
        <v>0.65000000000000036</v>
      </c>
    </row>
    <row r="65" spans="1:23" ht="17.399999999999999">
      <c r="A65" s="9">
        <v>1</v>
      </c>
      <c r="B65" s="8">
        <v>218</v>
      </c>
      <c r="C65" s="8">
        <v>1804880865</v>
      </c>
      <c r="D65" s="42" t="s">
        <v>92</v>
      </c>
      <c r="E65" s="47"/>
      <c r="F65" s="10">
        <v>0</v>
      </c>
      <c r="G65" s="10">
        <v>0</v>
      </c>
      <c r="H65" s="50">
        <v>0</v>
      </c>
      <c r="I65" s="50">
        <v>0</v>
      </c>
      <c r="J65" s="50">
        <v>0</v>
      </c>
      <c r="K65" s="39" t="s">
        <v>30</v>
      </c>
      <c r="L65" s="11">
        <f t="shared" si="8"/>
        <v>0</v>
      </c>
      <c r="M65" s="10">
        <f t="shared" si="14"/>
        <v>0</v>
      </c>
      <c r="N65" s="10">
        <f t="shared" si="9"/>
        <v>0</v>
      </c>
      <c r="O65" s="10">
        <v>0</v>
      </c>
      <c r="P65" s="10">
        <f t="shared" si="10"/>
        <v>0</v>
      </c>
      <c r="Q65" s="17">
        <v>0.11749999999999983</v>
      </c>
      <c r="R65" s="18">
        <f t="shared" si="11"/>
        <v>0.11749999999999983</v>
      </c>
      <c r="S65" s="19">
        <f t="shared" si="12"/>
        <v>0</v>
      </c>
      <c r="T65" s="20">
        <f t="shared" si="13"/>
        <v>0.11749999999999983</v>
      </c>
    </row>
    <row r="66" spans="1:23" ht="17.399999999999999">
      <c r="A66" s="9">
        <v>1</v>
      </c>
      <c r="B66" s="8">
        <v>217</v>
      </c>
      <c r="C66" s="8">
        <v>331155825</v>
      </c>
      <c r="D66" s="46" t="s">
        <v>89</v>
      </c>
      <c r="E66" s="2"/>
      <c r="F66" s="10">
        <v>0</v>
      </c>
      <c r="G66" s="10">
        <v>0</v>
      </c>
      <c r="H66" s="50">
        <v>0</v>
      </c>
      <c r="I66" s="50">
        <v>0</v>
      </c>
      <c r="J66" s="50">
        <v>0</v>
      </c>
      <c r="K66" s="39" t="s">
        <v>30</v>
      </c>
      <c r="L66" s="11">
        <f t="shared" si="8"/>
        <v>0</v>
      </c>
      <c r="M66" s="10">
        <f t="shared" si="14"/>
        <v>0</v>
      </c>
      <c r="N66" s="10">
        <f t="shared" si="9"/>
        <v>0</v>
      </c>
      <c r="O66" s="10">
        <v>0</v>
      </c>
      <c r="P66" s="10">
        <f t="shared" si="10"/>
        <v>0</v>
      </c>
      <c r="Q66" s="17">
        <v>-1.3124999999999984</v>
      </c>
      <c r="R66" s="18">
        <f t="shared" si="11"/>
        <v>-1.3124999999999984</v>
      </c>
      <c r="S66" s="19">
        <f t="shared" si="12"/>
        <v>0</v>
      </c>
      <c r="T66" s="20">
        <f t="shared" si="13"/>
        <v>-1.3124999999999984</v>
      </c>
    </row>
    <row r="67" spans="1:23" ht="17.399999999999999">
      <c r="A67" s="9">
        <v>1</v>
      </c>
      <c r="B67" s="8">
        <v>237</v>
      </c>
      <c r="C67" s="8">
        <v>1331532576</v>
      </c>
      <c r="D67" s="42" t="s">
        <v>119</v>
      </c>
      <c r="F67" s="10">
        <v>0</v>
      </c>
      <c r="G67" s="10">
        <v>0</v>
      </c>
      <c r="H67" s="50">
        <v>0</v>
      </c>
      <c r="I67" s="50">
        <v>0</v>
      </c>
      <c r="J67" s="50">
        <v>0</v>
      </c>
      <c r="K67" s="39" t="s">
        <v>30</v>
      </c>
      <c r="L67" s="11">
        <f t="shared" si="8"/>
        <v>0</v>
      </c>
      <c r="M67" s="10">
        <f t="shared" si="14"/>
        <v>0</v>
      </c>
      <c r="N67" s="10">
        <f t="shared" si="9"/>
        <v>0</v>
      </c>
      <c r="O67" s="10">
        <v>0</v>
      </c>
      <c r="P67" s="10">
        <f t="shared" si="10"/>
        <v>0</v>
      </c>
      <c r="Q67" s="17">
        <v>-2.5499999999999998</v>
      </c>
      <c r="R67" s="18">
        <f t="shared" si="11"/>
        <v>-2.5499999999999998</v>
      </c>
      <c r="S67" s="19">
        <f t="shared" si="12"/>
        <v>0</v>
      </c>
      <c r="T67" s="20">
        <f t="shared" si="13"/>
        <v>-2.5499999999999998</v>
      </c>
    </row>
    <row r="68" spans="1:23" ht="17.399999999999999">
      <c r="A68" s="9">
        <v>1</v>
      </c>
      <c r="B68" s="8">
        <v>228</v>
      </c>
      <c r="C68" s="8">
        <v>1287481910</v>
      </c>
      <c r="D68" s="42" t="s">
        <v>109</v>
      </c>
      <c r="E68" s="42"/>
      <c r="F68" s="10">
        <v>0</v>
      </c>
      <c r="G68" s="10">
        <v>0</v>
      </c>
      <c r="H68" s="50">
        <v>0</v>
      </c>
      <c r="I68" s="50">
        <v>0</v>
      </c>
      <c r="J68" s="50">
        <v>0</v>
      </c>
      <c r="K68" s="39" t="s">
        <v>30</v>
      </c>
      <c r="L68" s="11">
        <f t="shared" si="8"/>
        <v>0</v>
      </c>
      <c r="M68" s="10">
        <f t="shared" si="14"/>
        <v>0</v>
      </c>
      <c r="N68" s="10">
        <f t="shared" si="9"/>
        <v>0</v>
      </c>
      <c r="O68" s="10">
        <v>0</v>
      </c>
      <c r="P68" s="10">
        <f t="shared" si="10"/>
        <v>0</v>
      </c>
      <c r="Q68" s="17">
        <v>-4.1499999999999995</v>
      </c>
      <c r="R68" s="18">
        <f t="shared" si="11"/>
        <v>-4.1499999999999995</v>
      </c>
      <c r="S68" s="19">
        <f t="shared" si="12"/>
        <v>0</v>
      </c>
      <c r="T68" s="20">
        <f t="shared" si="13"/>
        <v>-4.1499999999999995</v>
      </c>
    </row>
    <row r="69" spans="1:23" ht="17.399999999999999">
      <c r="A69" s="9">
        <v>1</v>
      </c>
      <c r="B69" s="8">
        <v>141</v>
      </c>
      <c r="C69" s="8">
        <v>1190305158</v>
      </c>
      <c r="D69" s="42" t="s">
        <v>44</v>
      </c>
      <c r="E69" s="44"/>
      <c r="F69" s="10">
        <v>0</v>
      </c>
      <c r="G69" s="10">
        <v>0</v>
      </c>
      <c r="H69" s="50">
        <v>0</v>
      </c>
      <c r="I69" s="50">
        <v>0</v>
      </c>
      <c r="J69" s="50">
        <v>0</v>
      </c>
      <c r="K69" s="39" t="s">
        <v>30</v>
      </c>
      <c r="L69" s="11">
        <f t="shared" si="8"/>
        <v>0</v>
      </c>
      <c r="M69" s="10">
        <f t="shared" si="14"/>
        <v>0</v>
      </c>
      <c r="N69" s="10">
        <f t="shared" si="9"/>
        <v>0</v>
      </c>
      <c r="O69" s="10">
        <v>0</v>
      </c>
      <c r="P69" s="10">
        <f t="shared" ref="P69:P70" si="15">SUM(M69+L69+O69+N69)</f>
        <v>0</v>
      </c>
      <c r="Q69" s="17">
        <v>-7.8937500000000043</v>
      </c>
      <c r="R69" s="18">
        <f t="shared" ref="R69:R70" si="16">P69+Q69</f>
        <v>-7.8937500000000043</v>
      </c>
      <c r="S69" s="19">
        <f t="shared" si="12"/>
        <v>0</v>
      </c>
      <c r="T69" s="20">
        <f t="shared" ref="T69:T70" si="17">R69-S69</f>
        <v>-7.8937500000000043</v>
      </c>
      <c r="U69" s="40"/>
      <c r="V69" s="40"/>
      <c r="W69" s="41"/>
    </row>
    <row r="70" spans="1:23" ht="17.399999999999999">
      <c r="A70" s="70">
        <v>1</v>
      </c>
      <c r="B70" s="8">
        <v>203</v>
      </c>
      <c r="C70" s="8">
        <v>382695365</v>
      </c>
      <c r="D70" s="42" t="s">
        <v>78</v>
      </c>
      <c r="E70" s="47"/>
      <c r="F70" s="10">
        <v>0</v>
      </c>
      <c r="G70" s="10">
        <v>0</v>
      </c>
      <c r="H70" s="50">
        <v>0</v>
      </c>
      <c r="I70" s="50">
        <v>0</v>
      </c>
      <c r="J70" s="50">
        <v>0</v>
      </c>
      <c r="K70" s="39" t="s">
        <v>30</v>
      </c>
      <c r="L70" s="11">
        <f t="shared" si="8"/>
        <v>0</v>
      </c>
      <c r="M70" s="10">
        <f t="shared" si="14"/>
        <v>0</v>
      </c>
      <c r="N70" s="10">
        <f t="shared" si="9"/>
        <v>0</v>
      </c>
      <c r="O70" s="10">
        <v>0</v>
      </c>
      <c r="P70" s="10">
        <f t="shared" si="15"/>
        <v>0</v>
      </c>
      <c r="Q70" s="17">
        <v>-16.90625</v>
      </c>
      <c r="R70" s="18">
        <f t="shared" si="16"/>
        <v>-16.90625</v>
      </c>
      <c r="S70" s="19">
        <f t="shared" si="12"/>
        <v>0</v>
      </c>
      <c r="T70" s="20">
        <f t="shared" si="17"/>
        <v>-16.90625</v>
      </c>
    </row>
    <row r="71" spans="1:23" ht="17.399999999999999">
      <c r="A71" s="70"/>
    </row>
  </sheetData>
  <autoFilter ref="A4:W70" xr:uid="{28593B8F-03E7-4BE1-B554-FC0AADC431B2}">
    <sortState xmlns:xlrd2="http://schemas.microsoft.com/office/spreadsheetml/2017/richdata2" ref="A5:W70">
      <sortCondition descending="1" ref="R4:R69"/>
    </sortState>
  </autoFilter>
  <mergeCells count="5">
    <mergeCell ref="B1:T1"/>
    <mergeCell ref="B2:T2"/>
    <mergeCell ref="B3:E3"/>
    <mergeCell ref="H3:J3"/>
    <mergeCell ref="K3:T3"/>
  </mergeCells>
  <conditionalFormatting sqref="O5:O70 F5:J70">
    <cfRule type="cellIs" dxfId="25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BD67-9B5C-4A48-A232-B12CF9DA6585}">
  <dimension ref="A1:AC71"/>
  <sheetViews>
    <sheetView zoomScaleNormal="100" workbookViewId="0">
      <selection activeCell="A3" sqref="A3"/>
    </sheetView>
  </sheetViews>
  <sheetFormatPr defaultColWidth="9" defaultRowHeight="14.4"/>
  <cols>
    <col min="1" max="1" width="6.44140625" customWidth="1"/>
    <col min="2" max="2" width="6.6640625" style="4" customWidth="1"/>
    <col min="3" max="3" width="19.77734375" style="5" customWidth="1"/>
    <col min="4" max="4" width="21.21875" style="5" customWidth="1"/>
    <col min="5" max="5" width="18.33203125" style="4" customWidth="1"/>
    <col min="6" max="6" width="13.109375" style="4" customWidth="1"/>
    <col min="7" max="7" width="13.77734375" style="4" customWidth="1"/>
    <col min="8" max="8" width="5.77734375" style="4" customWidth="1"/>
    <col min="9" max="9" width="5.88671875" style="4" customWidth="1"/>
    <col min="10" max="10" width="5.77734375" style="4" customWidth="1"/>
    <col min="11" max="11" width="20" style="4" customWidth="1"/>
    <col min="12" max="12" width="9" style="4" customWidth="1"/>
    <col min="13" max="13" width="12.109375" style="4" customWidth="1"/>
    <col min="14" max="14" width="11.33203125" style="4" customWidth="1"/>
    <col min="15" max="15" width="10" style="4" customWidth="1"/>
    <col min="16" max="16" width="9" style="4" customWidth="1"/>
    <col min="17" max="17" width="12.88671875" style="4" customWidth="1"/>
    <col min="18" max="18" width="12" style="4" customWidth="1"/>
    <col min="19" max="19" width="9.21875" style="4" customWidth="1"/>
    <col min="20" max="20" width="12.6640625" style="4" customWidth="1"/>
    <col min="21" max="23" width="11.109375" style="21" customWidth="1"/>
    <col min="24" max="24" width="22.44140625" customWidth="1"/>
  </cols>
  <sheetData>
    <row r="1" spans="1:29" ht="36.6" customHeight="1">
      <c r="B1" s="99" t="str">
        <f>CONCATENATE("157区 活动中心",Y15,"年",Y16,"月",Y17,"日","分包贡献明细"," 统计：一二三")</f>
        <v>157区 活动中心2021年9月11日分包贡献明细 统计：一二三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62"/>
      <c r="V1" s="62"/>
      <c r="W1" s="62"/>
      <c r="X1" s="22" t="s">
        <v>12</v>
      </c>
      <c r="Y1" s="5">
        <v>67</v>
      </c>
      <c r="Z1" s="3"/>
      <c r="AA1" s="3"/>
      <c r="AB1" s="3"/>
      <c r="AC1" s="3"/>
    </row>
    <row r="2" spans="1:29" ht="117.6" customHeight="1">
      <c r="B2" s="101" t="s">
        <v>126</v>
      </c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63"/>
      <c r="V2" s="63"/>
      <c r="W2" s="63"/>
      <c r="X2" s="23" t="s">
        <v>0</v>
      </c>
      <c r="Y2" s="24" t="s">
        <v>13</v>
      </c>
      <c r="Z2" s="25" t="s">
        <v>14</v>
      </c>
      <c r="AA2" s="25" t="s">
        <v>15</v>
      </c>
      <c r="AB2" s="25" t="s">
        <v>56</v>
      </c>
      <c r="AC2" s="26" t="s">
        <v>16</v>
      </c>
    </row>
    <row r="3" spans="1:29" ht="20.399999999999999">
      <c r="A3">
        <f>COUNTIF(K:K,"a跨服传说礼包")</f>
        <v>7</v>
      </c>
      <c r="B3" s="104" t="s">
        <v>20</v>
      </c>
      <c r="C3" s="104"/>
      <c r="D3" s="104"/>
      <c r="E3" s="104"/>
      <c r="F3" s="64" t="s">
        <v>17</v>
      </c>
      <c r="G3" s="65" t="s">
        <v>39</v>
      </c>
      <c r="H3" s="105" t="s">
        <v>99</v>
      </c>
      <c r="I3" s="105"/>
      <c r="J3" s="105"/>
      <c r="K3" s="106" t="s">
        <v>21</v>
      </c>
      <c r="L3" s="107"/>
      <c r="M3" s="107"/>
      <c r="N3" s="107"/>
      <c r="O3" s="107"/>
      <c r="P3" s="107"/>
      <c r="Q3" s="107"/>
      <c r="R3" s="107"/>
      <c r="S3" s="107"/>
      <c r="T3" s="108"/>
      <c r="U3" s="61"/>
      <c r="V3" s="61"/>
      <c r="W3" s="61"/>
      <c r="X3" s="27" t="s">
        <v>22</v>
      </c>
      <c r="Y3" s="28">
        <f>AC3/$Y$13</f>
        <v>11.875</v>
      </c>
      <c r="Z3" s="23">
        <v>5</v>
      </c>
      <c r="AA3" s="23">
        <v>7</v>
      </c>
      <c r="AB3" s="23">
        <v>20</v>
      </c>
      <c r="AC3" s="23">
        <v>1900</v>
      </c>
    </row>
    <row r="4" spans="1:29" ht="40.799999999999997">
      <c r="A4" s="69" t="s">
        <v>117</v>
      </c>
      <c r="B4" s="69" t="s">
        <v>2</v>
      </c>
      <c r="C4" s="60" t="s">
        <v>23</v>
      </c>
      <c r="D4" s="69" t="s">
        <v>3</v>
      </c>
      <c r="E4" s="69" t="s">
        <v>4</v>
      </c>
      <c r="F4" s="6" t="s">
        <v>40</v>
      </c>
      <c r="G4" s="7" t="s">
        <v>91</v>
      </c>
      <c r="H4" s="7" t="s">
        <v>100</v>
      </c>
      <c r="I4" s="7" t="s">
        <v>101</v>
      </c>
      <c r="J4" s="7" t="s">
        <v>102</v>
      </c>
      <c r="K4" s="6" t="s">
        <v>5</v>
      </c>
      <c r="L4" s="6" t="s">
        <v>24</v>
      </c>
      <c r="M4" s="7" t="s">
        <v>41</v>
      </c>
      <c r="N4" s="7" t="s">
        <v>104</v>
      </c>
      <c r="O4" s="7" t="s">
        <v>45</v>
      </c>
      <c r="P4" s="15" t="s">
        <v>25</v>
      </c>
      <c r="Q4" s="60" t="s">
        <v>26</v>
      </c>
      <c r="R4" s="16" t="s">
        <v>7</v>
      </c>
      <c r="S4" s="60" t="s">
        <v>6</v>
      </c>
      <c r="T4" s="60" t="s">
        <v>27</v>
      </c>
      <c r="U4" s="60" t="s">
        <v>18</v>
      </c>
      <c r="V4" s="60" t="s">
        <v>19</v>
      </c>
      <c r="W4" s="60" t="s">
        <v>1</v>
      </c>
      <c r="X4" s="29" t="s">
        <v>28</v>
      </c>
      <c r="Y4" s="28">
        <f>AC4/$Y$13</f>
        <v>9.6875</v>
      </c>
      <c r="Z4" s="23">
        <v>4</v>
      </c>
      <c r="AA4" s="23">
        <v>6</v>
      </c>
      <c r="AB4" s="23">
        <v>15</v>
      </c>
      <c r="AC4" s="23">
        <v>1550</v>
      </c>
    </row>
    <row r="5" spans="1:29" s="1" customFormat="1" ht="17.399999999999999">
      <c r="A5" s="9">
        <v>1</v>
      </c>
      <c r="B5" s="8">
        <v>240</v>
      </c>
      <c r="C5" s="8">
        <v>289805855</v>
      </c>
      <c r="D5" s="42" t="s">
        <v>123</v>
      </c>
      <c r="E5" s="4"/>
      <c r="F5" s="10">
        <v>3</v>
      </c>
      <c r="G5" s="10">
        <v>1</v>
      </c>
      <c r="H5" s="50">
        <v>0</v>
      </c>
      <c r="I5" s="50">
        <v>0</v>
      </c>
      <c r="J5" s="50">
        <v>0</v>
      </c>
      <c r="K5" s="14" t="s">
        <v>29</v>
      </c>
      <c r="L5" s="11">
        <f t="shared" ref="L5:L36" si="0">F5+IF(F5&gt;2,(F5-2)*1,0)</f>
        <v>4</v>
      </c>
      <c r="M5" s="10">
        <f t="shared" ref="M5:M10" si="1">G5*$Y$14</f>
        <v>1.2</v>
      </c>
      <c r="N5" s="10">
        <f t="shared" ref="N5:N36" si="2">SUM(H5:J5)*$Y$18</f>
        <v>0</v>
      </c>
      <c r="O5" s="10">
        <v>-5</v>
      </c>
      <c r="P5" s="10">
        <f t="shared" ref="P5:P36" si="3">SUM(M5+L5+O5+N5)</f>
        <v>0.20000000000000018</v>
      </c>
      <c r="Q5" s="17">
        <v>47.781250000000007</v>
      </c>
      <c r="R5" s="18">
        <f t="shared" ref="R5:R36" si="4">P5+Q5</f>
        <v>47.98125000000001</v>
      </c>
      <c r="S5" s="19">
        <f t="shared" ref="S5:S36" si="5">VLOOKUP(K5,$X$3:$Y$10,2,FALSE)</f>
        <v>1.875</v>
      </c>
      <c r="T5" s="20">
        <f t="shared" ref="T5:T36" si="6">R5-S5</f>
        <v>46.10625000000001</v>
      </c>
      <c r="U5" s="4"/>
      <c r="V5" s="4"/>
      <c r="W5" s="4"/>
      <c r="X5" s="14" t="s">
        <v>29</v>
      </c>
      <c r="Y5" s="28">
        <f>AC5/$Y$13/4</f>
        <v>1.875</v>
      </c>
      <c r="Z5" s="30">
        <v>3</v>
      </c>
      <c r="AA5" s="30">
        <v>5</v>
      </c>
      <c r="AB5" s="30">
        <v>10</v>
      </c>
      <c r="AC5" s="30">
        <v>1200</v>
      </c>
    </row>
    <row r="6" spans="1:29" s="1" customFormat="1" ht="17.399999999999999">
      <c r="A6" s="9">
        <v>1</v>
      </c>
      <c r="B6" s="8">
        <v>238</v>
      </c>
      <c r="C6" s="8">
        <v>108179057</v>
      </c>
      <c r="D6" s="42" t="s">
        <v>120</v>
      </c>
      <c r="E6" s="4"/>
      <c r="F6" s="10">
        <v>3</v>
      </c>
      <c r="G6" s="10">
        <v>1</v>
      </c>
      <c r="H6" s="50">
        <v>0</v>
      </c>
      <c r="I6" s="50">
        <v>0</v>
      </c>
      <c r="J6" s="50">
        <v>0</v>
      </c>
      <c r="K6" s="27" t="s">
        <v>22</v>
      </c>
      <c r="L6" s="11">
        <f t="shared" si="0"/>
        <v>4</v>
      </c>
      <c r="M6" s="10">
        <f t="shared" si="1"/>
        <v>1.2</v>
      </c>
      <c r="N6" s="10">
        <f t="shared" si="2"/>
        <v>0</v>
      </c>
      <c r="O6" s="10">
        <v>0</v>
      </c>
      <c r="P6" s="10">
        <f t="shared" si="3"/>
        <v>5.2</v>
      </c>
      <c r="Q6" s="17">
        <v>29.162499999999991</v>
      </c>
      <c r="R6" s="18">
        <f t="shared" si="4"/>
        <v>34.36249999999999</v>
      </c>
      <c r="S6" s="19">
        <f t="shared" si="5"/>
        <v>11.875</v>
      </c>
      <c r="T6" s="20">
        <f t="shared" si="6"/>
        <v>22.48749999999999</v>
      </c>
      <c r="U6" s="4"/>
      <c r="V6" s="4"/>
      <c r="W6" s="4"/>
      <c r="X6" s="14"/>
      <c r="Y6" s="28"/>
      <c r="Z6" s="30"/>
      <c r="AA6" s="30"/>
      <c r="AB6" s="30"/>
      <c r="AC6" s="30"/>
    </row>
    <row r="7" spans="1:29" s="1" customFormat="1" ht="17.399999999999999">
      <c r="A7" s="9">
        <v>1</v>
      </c>
      <c r="B7" s="8">
        <v>212</v>
      </c>
      <c r="C7" s="8">
        <v>2133045883</v>
      </c>
      <c r="D7" s="42" t="s">
        <v>84</v>
      </c>
      <c r="E7" s="47"/>
      <c r="F7" s="10">
        <v>3</v>
      </c>
      <c r="G7" s="10">
        <v>1</v>
      </c>
      <c r="H7" s="50">
        <v>0</v>
      </c>
      <c r="I7" s="50">
        <v>0</v>
      </c>
      <c r="J7" s="50">
        <v>0</v>
      </c>
      <c r="K7" s="27" t="s">
        <v>22</v>
      </c>
      <c r="L7" s="11">
        <f t="shared" si="0"/>
        <v>4</v>
      </c>
      <c r="M7" s="10">
        <f t="shared" si="1"/>
        <v>1.2</v>
      </c>
      <c r="N7" s="10">
        <f t="shared" si="2"/>
        <v>0</v>
      </c>
      <c r="O7" s="10">
        <v>0</v>
      </c>
      <c r="P7" s="10">
        <f t="shared" si="3"/>
        <v>5.2</v>
      </c>
      <c r="Q7" s="17">
        <v>28.931249999999988</v>
      </c>
      <c r="R7" s="18">
        <f t="shared" si="4"/>
        <v>34.131249999999987</v>
      </c>
      <c r="S7" s="19">
        <f t="shared" si="5"/>
        <v>11.875</v>
      </c>
      <c r="T7" s="20">
        <f t="shared" si="6"/>
        <v>22.256249999999987</v>
      </c>
      <c r="U7" s="4"/>
      <c r="V7" s="4"/>
      <c r="W7" s="4"/>
      <c r="X7" s="12" t="s">
        <v>51</v>
      </c>
      <c r="Y7" s="28">
        <f>AC7/$Y$13</f>
        <v>8.125</v>
      </c>
      <c r="Z7" s="30">
        <v>4</v>
      </c>
      <c r="AA7" s="30">
        <v>5</v>
      </c>
      <c r="AB7" s="30"/>
      <c r="AC7" s="30">
        <v>1300</v>
      </c>
    </row>
    <row r="8" spans="1:29" s="1" customFormat="1" ht="17.399999999999999">
      <c r="A8" s="9">
        <v>1</v>
      </c>
      <c r="B8" s="8">
        <v>216</v>
      </c>
      <c r="C8" s="8">
        <v>395700385</v>
      </c>
      <c r="D8" s="42" t="s">
        <v>88</v>
      </c>
      <c r="E8" s="2"/>
      <c r="F8" s="10">
        <v>3</v>
      </c>
      <c r="G8" s="10">
        <v>1</v>
      </c>
      <c r="H8" s="50">
        <v>0</v>
      </c>
      <c r="I8" s="50">
        <v>0</v>
      </c>
      <c r="J8" s="50">
        <v>0</v>
      </c>
      <c r="K8" s="27" t="s">
        <v>22</v>
      </c>
      <c r="L8" s="11">
        <f t="shared" si="0"/>
        <v>4</v>
      </c>
      <c r="M8" s="10">
        <f t="shared" si="1"/>
        <v>1.2</v>
      </c>
      <c r="N8" s="10">
        <f t="shared" si="2"/>
        <v>0</v>
      </c>
      <c r="O8" s="10">
        <v>5</v>
      </c>
      <c r="P8" s="10">
        <f t="shared" si="3"/>
        <v>10.199999999999999</v>
      </c>
      <c r="Q8" s="17">
        <v>23.700201612903214</v>
      </c>
      <c r="R8" s="18">
        <f t="shared" si="4"/>
        <v>33.900201612903217</v>
      </c>
      <c r="S8" s="19">
        <f t="shared" si="5"/>
        <v>11.875</v>
      </c>
      <c r="T8" s="20">
        <f t="shared" si="6"/>
        <v>22.025201612903217</v>
      </c>
      <c r="U8" s="4"/>
      <c r="V8" s="4"/>
      <c r="W8" s="4"/>
      <c r="X8" s="13" t="s">
        <v>52</v>
      </c>
      <c r="Y8" s="28">
        <f>AC8/$Y$13</f>
        <v>6.25</v>
      </c>
      <c r="Z8" s="30">
        <v>3</v>
      </c>
      <c r="AA8" s="30">
        <v>4</v>
      </c>
      <c r="AB8" s="30"/>
      <c r="AC8" s="30">
        <v>1000</v>
      </c>
    </row>
    <row r="9" spans="1:29" s="1" customFormat="1" ht="17.399999999999999">
      <c r="A9" s="9">
        <v>1</v>
      </c>
      <c r="B9" s="8">
        <v>172</v>
      </c>
      <c r="C9" s="8">
        <v>724061220</v>
      </c>
      <c r="D9" s="42" t="s">
        <v>65</v>
      </c>
      <c r="E9" s="42" t="s">
        <v>50</v>
      </c>
      <c r="F9" s="10">
        <v>3</v>
      </c>
      <c r="G9" s="10">
        <v>1</v>
      </c>
      <c r="H9" s="50">
        <v>0</v>
      </c>
      <c r="I9" s="50">
        <v>0</v>
      </c>
      <c r="J9" s="50">
        <v>0</v>
      </c>
      <c r="K9" s="27" t="s">
        <v>22</v>
      </c>
      <c r="L9" s="11">
        <f t="shared" si="0"/>
        <v>4</v>
      </c>
      <c r="M9" s="10">
        <f t="shared" si="1"/>
        <v>1.2</v>
      </c>
      <c r="N9" s="10">
        <f t="shared" si="2"/>
        <v>0</v>
      </c>
      <c r="O9" s="10">
        <v>0</v>
      </c>
      <c r="P9" s="10">
        <f t="shared" si="3"/>
        <v>5.2</v>
      </c>
      <c r="Q9" s="17">
        <v>28.456249999999997</v>
      </c>
      <c r="R9" s="18">
        <f t="shared" si="4"/>
        <v>33.65625</v>
      </c>
      <c r="S9" s="19">
        <f t="shared" si="5"/>
        <v>11.875</v>
      </c>
      <c r="T9" s="20">
        <f t="shared" si="6"/>
        <v>21.78125</v>
      </c>
      <c r="U9" s="4"/>
      <c r="V9" s="4"/>
      <c r="W9" s="4"/>
      <c r="X9" s="14" t="s">
        <v>53</v>
      </c>
      <c r="Y9" s="28">
        <f>AC9/$Y$13/4</f>
        <v>1.09375</v>
      </c>
      <c r="Z9" s="30">
        <v>2</v>
      </c>
      <c r="AA9" s="30">
        <v>3</v>
      </c>
      <c r="AB9" s="30"/>
      <c r="AC9" s="30">
        <v>700</v>
      </c>
    </row>
    <row r="10" spans="1:29" s="1" customFormat="1" ht="17.399999999999999">
      <c r="A10" s="9">
        <v>1</v>
      </c>
      <c r="B10" s="8">
        <v>156</v>
      </c>
      <c r="C10" s="8">
        <v>1744610165</v>
      </c>
      <c r="D10" s="42" t="s">
        <v>135</v>
      </c>
      <c r="E10" s="42" t="s">
        <v>64</v>
      </c>
      <c r="F10" s="10">
        <v>3</v>
      </c>
      <c r="G10" s="10">
        <v>1</v>
      </c>
      <c r="H10" s="50">
        <v>0</v>
      </c>
      <c r="I10" s="50">
        <v>0</v>
      </c>
      <c r="J10" s="50">
        <v>0</v>
      </c>
      <c r="K10" s="27" t="s">
        <v>22</v>
      </c>
      <c r="L10" s="11">
        <f t="shared" si="0"/>
        <v>4</v>
      </c>
      <c r="M10" s="10">
        <f t="shared" si="1"/>
        <v>1.2</v>
      </c>
      <c r="N10" s="10">
        <f t="shared" si="2"/>
        <v>0</v>
      </c>
      <c r="O10" s="10">
        <v>0</v>
      </c>
      <c r="P10" s="10">
        <f t="shared" si="3"/>
        <v>5.2</v>
      </c>
      <c r="Q10" s="17">
        <v>27.698766129032244</v>
      </c>
      <c r="R10" s="18">
        <f t="shared" si="4"/>
        <v>32.898766129032246</v>
      </c>
      <c r="S10" s="19">
        <f t="shared" si="5"/>
        <v>11.875</v>
      </c>
      <c r="T10" s="20">
        <f t="shared" si="6"/>
        <v>21.023766129032246</v>
      </c>
      <c r="U10" s="4"/>
      <c r="V10" s="4"/>
      <c r="W10" s="4"/>
      <c r="X10" s="33" t="s">
        <v>30</v>
      </c>
      <c r="Y10" s="2">
        <v>0</v>
      </c>
      <c r="Z10" s="2"/>
      <c r="AA10" s="2"/>
      <c r="AB10" s="2"/>
      <c r="AC10" s="2"/>
    </row>
    <row r="11" spans="1:29" s="1" customFormat="1" ht="20.399999999999999">
      <c r="A11" s="9">
        <v>1</v>
      </c>
      <c r="B11" s="9">
        <v>49</v>
      </c>
      <c r="C11" s="8">
        <v>311361673</v>
      </c>
      <c r="D11" s="43" t="s">
        <v>105</v>
      </c>
      <c r="E11" s="49" t="s">
        <v>11</v>
      </c>
      <c r="F11" s="10">
        <v>2</v>
      </c>
      <c r="G11" s="10">
        <v>1</v>
      </c>
      <c r="H11" s="50">
        <v>0</v>
      </c>
      <c r="I11" s="50">
        <v>1</v>
      </c>
      <c r="J11" s="50">
        <v>1</v>
      </c>
      <c r="K11" s="27" t="s">
        <v>22</v>
      </c>
      <c r="L11" s="11">
        <f t="shared" si="0"/>
        <v>2</v>
      </c>
      <c r="M11" s="10">
        <f>IF(G11&gt;0,1,0)*$Y$14</f>
        <v>1.2</v>
      </c>
      <c r="N11" s="10">
        <f t="shared" si="2"/>
        <v>0.8</v>
      </c>
      <c r="O11" s="10">
        <v>0</v>
      </c>
      <c r="P11" s="10">
        <f t="shared" si="3"/>
        <v>4</v>
      </c>
      <c r="Q11" s="17">
        <v>28.768750000000001</v>
      </c>
      <c r="R11" s="18">
        <f t="shared" si="4"/>
        <v>32.768749999999997</v>
      </c>
      <c r="S11" s="19">
        <f t="shared" si="5"/>
        <v>11.875</v>
      </c>
      <c r="T11" s="20">
        <f t="shared" si="6"/>
        <v>20.893749999999997</v>
      </c>
      <c r="U11" s="11"/>
      <c r="V11" s="11"/>
      <c r="W11" s="11"/>
      <c r="X11" s="34"/>
    </row>
    <row r="12" spans="1:29" s="1" customFormat="1" ht="17.399999999999999">
      <c r="A12" s="9">
        <v>1</v>
      </c>
      <c r="B12" s="9">
        <v>230</v>
      </c>
      <c r="C12" s="8">
        <v>1076026693</v>
      </c>
      <c r="D12" s="42" t="s">
        <v>111</v>
      </c>
      <c r="E12" s="4"/>
      <c r="F12" s="10">
        <v>2</v>
      </c>
      <c r="G12" s="10">
        <v>1</v>
      </c>
      <c r="H12" s="50">
        <v>0</v>
      </c>
      <c r="I12" s="50">
        <v>0</v>
      </c>
      <c r="J12" s="50">
        <v>0</v>
      </c>
      <c r="K12" s="27" t="s">
        <v>22</v>
      </c>
      <c r="L12" s="11">
        <f t="shared" si="0"/>
        <v>2</v>
      </c>
      <c r="M12" s="10">
        <f t="shared" ref="M12:M43" si="7">G12*$Y$14</f>
        <v>1.2</v>
      </c>
      <c r="N12" s="10">
        <f t="shared" si="2"/>
        <v>0</v>
      </c>
      <c r="O12" s="10">
        <v>0</v>
      </c>
      <c r="P12" s="10">
        <f t="shared" si="3"/>
        <v>3.2</v>
      </c>
      <c r="Q12" s="17">
        <v>29.074999999999996</v>
      </c>
      <c r="R12" s="18">
        <f t="shared" si="4"/>
        <v>32.274999999999999</v>
      </c>
      <c r="S12" s="19">
        <f t="shared" si="5"/>
        <v>11.875</v>
      </c>
      <c r="T12" s="20">
        <f t="shared" si="6"/>
        <v>20.399999999999999</v>
      </c>
      <c r="U12" s="4"/>
      <c r="V12" s="4"/>
      <c r="W12" s="4"/>
      <c r="X12" s="35" t="s">
        <v>32</v>
      </c>
      <c r="Y12" s="1">
        <v>15000</v>
      </c>
    </row>
    <row r="13" spans="1:29" s="2" customFormat="1" ht="17.399999999999999">
      <c r="A13" s="9">
        <v>1</v>
      </c>
      <c r="B13" s="8">
        <v>178</v>
      </c>
      <c r="C13" s="8">
        <v>1059185275</v>
      </c>
      <c r="D13" s="42" t="s">
        <v>66</v>
      </c>
      <c r="E13" s="47"/>
      <c r="F13" s="10">
        <v>3</v>
      </c>
      <c r="G13" s="10">
        <v>1</v>
      </c>
      <c r="H13" s="50">
        <v>0</v>
      </c>
      <c r="I13" s="50">
        <v>1</v>
      </c>
      <c r="J13" s="50">
        <v>1</v>
      </c>
      <c r="K13" s="29" t="s">
        <v>28</v>
      </c>
      <c r="L13" s="11">
        <f t="shared" si="0"/>
        <v>4</v>
      </c>
      <c r="M13" s="10">
        <f t="shared" si="7"/>
        <v>1.2</v>
      </c>
      <c r="N13" s="10">
        <f t="shared" si="2"/>
        <v>0.8</v>
      </c>
      <c r="O13" s="10">
        <v>0</v>
      </c>
      <c r="P13" s="10">
        <f t="shared" si="3"/>
        <v>6</v>
      </c>
      <c r="Q13" s="17">
        <v>25.699999999999996</v>
      </c>
      <c r="R13" s="18">
        <f t="shared" si="4"/>
        <v>31.699999999999996</v>
      </c>
      <c r="S13" s="19">
        <f t="shared" si="5"/>
        <v>9.6875</v>
      </c>
      <c r="T13" s="20">
        <f t="shared" si="6"/>
        <v>22.012499999999996</v>
      </c>
      <c r="U13" s="4"/>
      <c r="V13" s="4"/>
      <c r="W13" s="4"/>
      <c r="X13" s="36" t="s">
        <v>33</v>
      </c>
      <c r="Y13" s="37">
        <v>160</v>
      </c>
      <c r="Z13" s="1"/>
      <c r="AA13" s="1"/>
      <c r="AB13" s="1"/>
      <c r="AC13" s="1"/>
    </row>
    <row r="14" spans="1:29" s="2" customFormat="1" ht="17.399999999999999">
      <c r="A14" s="9">
        <v>1</v>
      </c>
      <c r="B14" s="8">
        <v>236</v>
      </c>
      <c r="C14" s="8">
        <v>1968448898</v>
      </c>
      <c r="D14" s="42" t="s">
        <v>118</v>
      </c>
      <c r="E14" s="4"/>
      <c r="F14" s="10">
        <v>2</v>
      </c>
      <c r="G14" s="10">
        <v>1</v>
      </c>
      <c r="H14" s="50">
        <v>0</v>
      </c>
      <c r="I14" s="50">
        <v>0</v>
      </c>
      <c r="J14" s="50">
        <v>0</v>
      </c>
      <c r="K14" s="29" t="s">
        <v>28</v>
      </c>
      <c r="L14" s="11">
        <f t="shared" si="0"/>
        <v>2</v>
      </c>
      <c r="M14" s="10">
        <f t="shared" si="7"/>
        <v>1.2</v>
      </c>
      <c r="N14" s="10">
        <f t="shared" si="2"/>
        <v>0</v>
      </c>
      <c r="O14" s="10">
        <v>0</v>
      </c>
      <c r="P14" s="10">
        <f t="shared" si="3"/>
        <v>3.2</v>
      </c>
      <c r="Q14" s="17">
        <v>28.393749999999994</v>
      </c>
      <c r="R14" s="18">
        <f t="shared" si="4"/>
        <v>31.593749999999993</v>
      </c>
      <c r="S14" s="19">
        <f t="shared" si="5"/>
        <v>9.6875</v>
      </c>
      <c r="T14" s="20">
        <f t="shared" si="6"/>
        <v>21.906249999999993</v>
      </c>
      <c r="U14" s="4"/>
      <c r="V14" s="4"/>
      <c r="W14" s="4"/>
      <c r="X14" s="38" t="s">
        <v>42</v>
      </c>
      <c r="Y14" s="37">
        <v>1.2</v>
      </c>
      <c r="Z14" s="1"/>
      <c r="AA14" s="1"/>
      <c r="AB14" s="1"/>
      <c r="AC14" s="1"/>
    </row>
    <row r="15" spans="1:29" s="2" customFormat="1" ht="17.399999999999999">
      <c r="A15" s="9">
        <v>1</v>
      </c>
      <c r="B15" s="8">
        <v>196</v>
      </c>
      <c r="C15" s="8">
        <v>1065641844</v>
      </c>
      <c r="D15" s="42" t="s">
        <v>74</v>
      </c>
      <c r="E15" s="47"/>
      <c r="F15" s="10">
        <v>1</v>
      </c>
      <c r="G15" s="10">
        <v>1</v>
      </c>
      <c r="H15" s="50">
        <v>0</v>
      </c>
      <c r="I15" s="50">
        <v>0</v>
      </c>
      <c r="J15" s="50">
        <v>0</v>
      </c>
      <c r="K15" s="29" t="s">
        <v>28</v>
      </c>
      <c r="L15" s="11">
        <f t="shared" si="0"/>
        <v>1</v>
      </c>
      <c r="M15" s="10">
        <f t="shared" si="7"/>
        <v>1.2</v>
      </c>
      <c r="N15" s="10">
        <f t="shared" si="2"/>
        <v>0</v>
      </c>
      <c r="O15" s="10">
        <v>0</v>
      </c>
      <c r="P15" s="10">
        <f t="shared" si="3"/>
        <v>2.2000000000000002</v>
      </c>
      <c r="Q15" s="17">
        <v>28.549999999999994</v>
      </c>
      <c r="R15" s="18">
        <f t="shared" si="4"/>
        <v>30.749999999999993</v>
      </c>
      <c r="S15" s="19">
        <f t="shared" si="5"/>
        <v>9.6875</v>
      </c>
      <c r="T15" s="20">
        <f t="shared" si="6"/>
        <v>21.062499999999993</v>
      </c>
      <c r="U15" s="4"/>
      <c r="V15" s="4"/>
      <c r="W15" s="4"/>
      <c r="X15" s="1" t="s">
        <v>34</v>
      </c>
      <c r="Y15" s="37">
        <v>2021</v>
      </c>
      <c r="Z15" s="1"/>
      <c r="AA15" s="1"/>
      <c r="AB15" s="1"/>
      <c r="AC15" s="1"/>
    </row>
    <row r="16" spans="1:29" s="2" customFormat="1" ht="17.399999999999999">
      <c r="A16" s="9">
        <v>1</v>
      </c>
      <c r="B16" s="8">
        <v>185</v>
      </c>
      <c r="C16" s="8">
        <v>30705222</v>
      </c>
      <c r="D16" s="42" t="s">
        <v>68</v>
      </c>
      <c r="E16" s="47"/>
      <c r="F16" s="10">
        <v>3</v>
      </c>
      <c r="G16" s="10">
        <v>1</v>
      </c>
      <c r="H16" s="50">
        <v>0</v>
      </c>
      <c r="I16" s="50">
        <v>1</v>
      </c>
      <c r="J16" s="50">
        <v>1</v>
      </c>
      <c r="K16" s="29" t="s">
        <v>28</v>
      </c>
      <c r="L16" s="11">
        <f t="shared" si="0"/>
        <v>4</v>
      </c>
      <c r="M16" s="10">
        <f t="shared" si="7"/>
        <v>1.2</v>
      </c>
      <c r="N16" s="10">
        <f t="shared" si="2"/>
        <v>0.8</v>
      </c>
      <c r="O16" s="10">
        <v>0</v>
      </c>
      <c r="P16" s="10">
        <f t="shared" si="3"/>
        <v>6</v>
      </c>
      <c r="Q16" s="17">
        <v>24.393750000000001</v>
      </c>
      <c r="R16" s="18">
        <f t="shared" si="4"/>
        <v>30.393750000000001</v>
      </c>
      <c r="S16" s="19">
        <f t="shared" si="5"/>
        <v>9.6875</v>
      </c>
      <c r="T16" s="20">
        <f t="shared" si="6"/>
        <v>20.706250000000001</v>
      </c>
      <c r="U16" s="4"/>
      <c r="V16" s="4"/>
      <c r="W16" s="4"/>
      <c r="X16" s="1" t="s">
        <v>35</v>
      </c>
      <c r="Y16" s="37">
        <v>9</v>
      </c>
      <c r="Z16" s="1"/>
      <c r="AA16" s="1"/>
      <c r="AB16" s="1"/>
      <c r="AC16" s="1"/>
    </row>
    <row r="17" spans="1:29" s="2" customFormat="1" ht="17.399999999999999">
      <c r="A17" s="9">
        <v>1</v>
      </c>
      <c r="B17" s="8">
        <v>174</v>
      </c>
      <c r="C17" s="8">
        <v>775720958</v>
      </c>
      <c r="D17" s="42" t="s">
        <v>79</v>
      </c>
      <c r="E17" s="42" t="s">
        <v>49</v>
      </c>
      <c r="F17" s="10">
        <v>3</v>
      </c>
      <c r="G17" s="10">
        <v>1</v>
      </c>
      <c r="H17" s="50">
        <v>0</v>
      </c>
      <c r="I17" s="50">
        <v>0</v>
      </c>
      <c r="J17" s="50">
        <v>0</v>
      </c>
      <c r="K17" s="29" t="s">
        <v>28</v>
      </c>
      <c r="L17" s="11">
        <f t="shared" si="0"/>
        <v>4</v>
      </c>
      <c r="M17" s="10">
        <f t="shared" si="7"/>
        <v>1.2</v>
      </c>
      <c r="N17" s="10">
        <f t="shared" si="2"/>
        <v>0</v>
      </c>
      <c r="O17" s="10">
        <v>0</v>
      </c>
      <c r="P17" s="10">
        <f t="shared" si="3"/>
        <v>5.2</v>
      </c>
      <c r="Q17" s="17">
        <v>25.187499999999986</v>
      </c>
      <c r="R17" s="18">
        <f t="shared" si="4"/>
        <v>30.387499999999985</v>
      </c>
      <c r="S17" s="19">
        <f t="shared" si="5"/>
        <v>9.6875</v>
      </c>
      <c r="T17" s="20">
        <f t="shared" si="6"/>
        <v>20.699999999999985</v>
      </c>
      <c r="U17" s="4"/>
      <c r="V17" s="4"/>
      <c r="W17" s="4"/>
      <c r="X17" s="1" t="s">
        <v>36</v>
      </c>
      <c r="Y17" s="37">
        <v>11</v>
      </c>
      <c r="Z17" s="1"/>
      <c r="AA17" s="1"/>
      <c r="AB17" s="1"/>
      <c r="AC17" s="1"/>
    </row>
    <row r="18" spans="1:29" s="2" customFormat="1" ht="17.399999999999999">
      <c r="A18" s="9">
        <v>1</v>
      </c>
      <c r="B18" s="8">
        <v>116</v>
      </c>
      <c r="C18" s="8">
        <v>2122596917</v>
      </c>
      <c r="D18" s="42" t="s">
        <v>61</v>
      </c>
      <c r="E18" s="42" t="s">
        <v>37</v>
      </c>
      <c r="F18" s="10">
        <v>3</v>
      </c>
      <c r="G18" s="10">
        <v>1</v>
      </c>
      <c r="H18" s="50">
        <v>0</v>
      </c>
      <c r="I18" s="50">
        <v>1</v>
      </c>
      <c r="J18" s="50">
        <v>1</v>
      </c>
      <c r="K18" s="29" t="s">
        <v>28</v>
      </c>
      <c r="L18" s="11">
        <f t="shared" si="0"/>
        <v>4</v>
      </c>
      <c r="M18" s="10">
        <f t="shared" si="7"/>
        <v>1.2</v>
      </c>
      <c r="N18" s="10">
        <f t="shared" si="2"/>
        <v>0.8</v>
      </c>
      <c r="O18" s="10">
        <v>0</v>
      </c>
      <c r="P18" s="10">
        <f t="shared" si="3"/>
        <v>6</v>
      </c>
      <c r="Q18" s="17">
        <v>24.3125</v>
      </c>
      <c r="R18" s="18">
        <f t="shared" si="4"/>
        <v>30.3125</v>
      </c>
      <c r="S18" s="19">
        <f t="shared" si="5"/>
        <v>9.6875</v>
      </c>
      <c r="T18" s="20">
        <f t="shared" si="6"/>
        <v>20.625</v>
      </c>
      <c r="U18" s="11"/>
      <c r="V18" s="11"/>
      <c r="W18" s="32"/>
      <c r="X18" s="51" t="s">
        <v>103</v>
      </c>
      <c r="Y18" s="37">
        <v>0.4</v>
      </c>
      <c r="Z18" s="1"/>
      <c r="AA18" s="1"/>
      <c r="AB18" s="1"/>
      <c r="AC18" s="1"/>
    </row>
    <row r="19" spans="1:29" s="2" customFormat="1" ht="17.399999999999999">
      <c r="A19" s="9">
        <v>1</v>
      </c>
      <c r="B19" s="9">
        <v>46</v>
      </c>
      <c r="C19" s="8">
        <v>2109182835</v>
      </c>
      <c r="D19" s="42" t="s">
        <v>59</v>
      </c>
      <c r="E19" s="42" t="s">
        <v>10</v>
      </c>
      <c r="F19" s="10">
        <v>3</v>
      </c>
      <c r="G19" s="10">
        <v>1</v>
      </c>
      <c r="H19" s="50">
        <v>0</v>
      </c>
      <c r="I19" s="50">
        <v>1</v>
      </c>
      <c r="J19" s="50">
        <v>0</v>
      </c>
      <c r="K19" s="29" t="s">
        <v>28</v>
      </c>
      <c r="L19" s="11">
        <f t="shared" si="0"/>
        <v>4</v>
      </c>
      <c r="M19" s="10">
        <f t="shared" si="7"/>
        <v>1.2</v>
      </c>
      <c r="N19" s="10">
        <f t="shared" si="2"/>
        <v>0.4</v>
      </c>
      <c r="O19" s="10">
        <v>0</v>
      </c>
      <c r="P19" s="10">
        <f t="shared" si="3"/>
        <v>5.6000000000000005</v>
      </c>
      <c r="Q19" s="17">
        <v>24.530000000000012</v>
      </c>
      <c r="R19" s="18">
        <f t="shared" si="4"/>
        <v>30.130000000000013</v>
      </c>
      <c r="S19" s="19">
        <f t="shared" si="5"/>
        <v>9.6875</v>
      </c>
      <c r="T19" s="20">
        <f t="shared" si="6"/>
        <v>20.442500000000013</v>
      </c>
      <c r="U19" s="11"/>
      <c r="V19" s="11"/>
      <c r="W19" s="11"/>
      <c r="X19" s="1"/>
      <c r="Y19" s="1"/>
      <c r="Z19" s="1"/>
      <c r="AA19" s="1"/>
      <c r="AB19" s="1"/>
      <c r="AC19" s="1"/>
    </row>
    <row r="20" spans="1:29" s="2" customFormat="1" ht="17.399999999999999">
      <c r="A20" s="9">
        <v>1</v>
      </c>
      <c r="B20" s="9">
        <v>26</v>
      </c>
      <c r="C20" s="8">
        <v>1754932067</v>
      </c>
      <c r="D20" s="42" t="s">
        <v>58</v>
      </c>
      <c r="E20" s="42" t="s">
        <v>9</v>
      </c>
      <c r="F20" s="10">
        <v>3</v>
      </c>
      <c r="G20" s="10">
        <v>1</v>
      </c>
      <c r="H20" s="50">
        <v>0</v>
      </c>
      <c r="I20" s="50">
        <v>1</v>
      </c>
      <c r="J20" s="50">
        <v>1</v>
      </c>
      <c r="K20" s="14" t="s">
        <v>29</v>
      </c>
      <c r="L20" s="11">
        <f t="shared" si="0"/>
        <v>4</v>
      </c>
      <c r="M20" s="10">
        <f t="shared" si="7"/>
        <v>1.2</v>
      </c>
      <c r="N20" s="10">
        <f t="shared" si="2"/>
        <v>0.8</v>
      </c>
      <c r="O20" s="10">
        <v>0</v>
      </c>
      <c r="P20" s="10">
        <f t="shared" si="3"/>
        <v>6</v>
      </c>
      <c r="Q20" s="17">
        <v>24.075000000000003</v>
      </c>
      <c r="R20" s="18">
        <f t="shared" si="4"/>
        <v>30.075000000000003</v>
      </c>
      <c r="S20" s="19">
        <f t="shared" si="5"/>
        <v>1.875</v>
      </c>
      <c r="T20" s="20">
        <f t="shared" si="6"/>
        <v>28.200000000000003</v>
      </c>
      <c r="U20" s="11"/>
      <c r="V20" s="11"/>
      <c r="W20" s="11"/>
      <c r="X20" s="1"/>
      <c r="Y20" s="1"/>
      <c r="Z20" s="1"/>
      <c r="AA20" s="1"/>
      <c r="AB20" s="1"/>
      <c r="AC20" s="1"/>
    </row>
    <row r="21" spans="1:29" s="2" customFormat="1" ht="17.399999999999999">
      <c r="A21" s="9">
        <v>1</v>
      </c>
      <c r="B21" s="9">
        <v>231</v>
      </c>
      <c r="C21" s="8">
        <v>1725915293</v>
      </c>
      <c r="D21" s="42" t="s">
        <v>112</v>
      </c>
      <c r="E21" s="4"/>
      <c r="F21" s="10">
        <v>3</v>
      </c>
      <c r="G21" s="10">
        <v>1</v>
      </c>
      <c r="H21" s="50">
        <v>0</v>
      </c>
      <c r="I21" s="50">
        <v>0</v>
      </c>
      <c r="J21" s="50">
        <v>0</v>
      </c>
      <c r="K21" s="14" t="s">
        <v>29</v>
      </c>
      <c r="L21" s="11">
        <f t="shared" si="0"/>
        <v>4</v>
      </c>
      <c r="M21" s="10">
        <f t="shared" si="7"/>
        <v>1.2</v>
      </c>
      <c r="N21" s="10">
        <f t="shared" si="2"/>
        <v>0</v>
      </c>
      <c r="O21" s="10">
        <v>0</v>
      </c>
      <c r="P21" s="10">
        <f t="shared" si="3"/>
        <v>5.2</v>
      </c>
      <c r="Q21" s="17">
        <v>24.643749999999994</v>
      </c>
      <c r="R21" s="18">
        <f t="shared" si="4"/>
        <v>29.843749999999993</v>
      </c>
      <c r="S21" s="19">
        <f t="shared" si="5"/>
        <v>1.875</v>
      </c>
      <c r="T21" s="20">
        <f t="shared" si="6"/>
        <v>27.968749999999993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7.399999999999999">
      <c r="A22" s="9">
        <v>1</v>
      </c>
      <c r="B22" s="8">
        <v>195</v>
      </c>
      <c r="C22" s="8">
        <v>1634663314</v>
      </c>
      <c r="D22" s="42" t="s">
        <v>73</v>
      </c>
      <c r="E22" s="47"/>
      <c r="F22" s="10">
        <v>2</v>
      </c>
      <c r="G22" s="10">
        <v>1</v>
      </c>
      <c r="H22" s="50">
        <v>0</v>
      </c>
      <c r="I22" s="50">
        <v>0</v>
      </c>
      <c r="J22" s="50">
        <v>0</v>
      </c>
      <c r="K22" s="14" t="s">
        <v>29</v>
      </c>
      <c r="L22" s="11">
        <f t="shared" si="0"/>
        <v>2</v>
      </c>
      <c r="M22" s="10">
        <f t="shared" si="7"/>
        <v>1.2</v>
      </c>
      <c r="N22" s="10">
        <f t="shared" si="2"/>
        <v>0</v>
      </c>
      <c r="O22" s="10">
        <v>0</v>
      </c>
      <c r="P22" s="10">
        <f t="shared" si="3"/>
        <v>3.2</v>
      </c>
      <c r="Q22" s="17">
        <v>26.580749999999991</v>
      </c>
      <c r="R22" s="18">
        <f t="shared" si="4"/>
        <v>29.780749999999991</v>
      </c>
      <c r="S22" s="19">
        <f t="shared" si="5"/>
        <v>1.875</v>
      </c>
      <c r="T22" s="20">
        <f t="shared" si="6"/>
        <v>27.905749999999991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7.399999999999999">
      <c r="A23" s="9">
        <v>1</v>
      </c>
      <c r="B23" s="8">
        <v>182</v>
      </c>
      <c r="C23" s="8">
        <v>828260319</v>
      </c>
      <c r="D23" s="42" t="s">
        <v>134</v>
      </c>
      <c r="E23" s="42" t="s">
        <v>127</v>
      </c>
      <c r="F23" s="10">
        <v>3</v>
      </c>
      <c r="G23" s="10">
        <v>1</v>
      </c>
      <c r="H23" s="50">
        <v>0</v>
      </c>
      <c r="I23" s="50">
        <v>0</v>
      </c>
      <c r="J23" s="50">
        <v>1</v>
      </c>
      <c r="K23" s="14" t="s">
        <v>29</v>
      </c>
      <c r="L23" s="11">
        <f t="shared" si="0"/>
        <v>4</v>
      </c>
      <c r="M23" s="10">
        <f t="shared" si="7"/>
        <v>1.2</v>
      </c>
      <c r="N23" s="10">
        <f t="shared" si="2"/>
        <v>0.4</v>
      </c>
      <c r="O23" s="10">
        <v>0</v>
      </c>
      <c r="P23" s="10">
        <f t="shared" si="3"/>
        <v>5.6000000000000005</v>
      </c>
      <c r="Q23" s="17">
        <v>24.094250000000017</v>
      </c>
      <c r="R23" s="18">
        <f t="shared" si="4"/>
        <v>29.694250000000018</v>
      </c>
      <c r="S23" s="19">
        <f t="shared" si="5"/>
        <v>1.875</v>
      </c>
      <c r="T23" s="20">
        <f t="shared" si="6"/>
        <v>27.819250000000018</v>
      </c>
      <c r="U23" s="4"/>
      <c r="V23" s="4"/>
      <c r="W23" s="4"/>
    </row>
    <row r="24" spans="1:29" s="1" customFormat="1" ht="17.399999999999999">
      <c r="A24" s="9">
        <v>1</v>
      </c>
      <c r="B24" s="8">
        <v>215</v>
      </c>
      <c r="C24" s="8">
        <v>289805855</v>
      </c>
      <c r="D24" s="42" t="s">
        <v>87</v>
      </c>
      <c r="E24" s="2"/>
      <c r="F24" s="10">
        <v>3</v>
      </c>
      <c r="G24" s="10">
        <v>1</v>
      </c>
      <c r="H24" s="50">
        <v>0</v>
      </c>
      <c r="I24" s="50">
        <v>1</v>
      </c>
      <c r="J24" s="50">
        <v>1</v>
      </c>
      <c r="K24" s="14" t="s">
        <v>29</v>
      </c>
      <c r="L24" s="11">
        <f t="shared" si="0"/>
        <v>4</v>
      </c>
      <c r="M24" s="10">
        <f t="shared" si="7"/>
        <v>1.2</v>
      </c>
      <c r="N24" s="10">
        <f t="shared" si="2"/>
        <v>0.8</v>
      </c>
      <c r="O24" s="10">
        <v>0</v>
      </c>
      <c r="P24" s="10">
        <f t="shared" si="3"/>
        <v>6</v>
      </c>
      <c r="Q24" s="17">
        <v>23.625499999999995</v>
      </c>
      <c r="R24" s="18">
        <f t="shared" si="4"/>
        <v>29.625499999999995</v>
      </c>
      <c r="S24" s="19">
        <f t="shared" si="5"/>
        <v>1.875</v>
      </c>
      <c r="T24" s="20">
        <f t="shared" si="6"/>
        <v>27.750499999999995</v>
      </c>
      <c r="U24" s="4"/>
      <c r="V24" s="4"/>
      <c r="W24" s="4"/>
    </row>
    <row r="25" spans="1:29" s="1" customFormat="1" ht="20.399999999999999">
      <c r="A25" s="9">
        <v>1</v>
      </c>
      <c r="B25" s="8">
        <v>221</v>
      </c>
      <c r="C25" s="8">
        <v>790956883</v>
      </c>
      <c r="D25" s="42" t="s">
        <v>96</v>
      </c>
      <c r="E25" s="42" t="s">
        <v>95</v>
      </c>
      <c r="F25" s="10">
        <v>3</v>
      </c>
      <c r="G25" s="10">
        <v>1</v>
      </c>
      <c r="H25" s="50">
        <v>0</v>
      </c>
      <c r="I25" s="50">
        <v>0</v>
      </c>
      <c r="J25" s="50">
        <v>0</v>
      </c>
      <c r="K25" s="14" t="s">
        <v>29</v>
      </c>
      <c r="L25" s="11">
        <f t="shared" si="0"/>
        <v>4</v>
      </c>
      <c r="M25" s="10">
        <f t="shared" si="7"/>
        <v>1.2</v>
      </c>
      <c r="N25" s="10">
        <f t="shared" si="2"/>
        <v>0</v>
      </c>
      <c r="O25" s="10">
        <v>0</v>
      </c>
      <c r="P25" s="10">
        <f t="shared" si="3"/>
        <v>5.2</v>
      </c>
      <c r="Q25" s="17">
        <v>24.381249999999994</v>
      </c>
      <c r="R25" s="18">
        <f t="shared" si="4"/>
        <v>29.581249999999994</v>
      </c>
      <c r="S25" s="19">
        <f t="shared" si="5"/>
        <v>1.875</v>
      </c>
      <c r="T25" s="20">
        <f t="shared" si="6"/>
        <v>27.706249999999994</v>
      </c>
      <c r="U25" s="4"/>
      <c r="V25" s="4"/>
      <c r="W25" s="4"/>
    </row>
    <row r="26" spans="1:29" s="1" customFormat="1" ht="18.75" customHeight="1">
      <c r="A26" s="9">
        <v>1</v>
      </c>
      <c r="B26" s="8">
        <v>225</v>
      </c>
      <c r="C26" s="8">
        <v>1963965829</v>
      </c>
      <c r="D26" s="42" t="s">
        <v>107</v>
      </c>
      <c r="E26" s="42"/>
      <c r="F26" s="10">
        <v>3</v>
      </c>
      <c r="G26" s="10">
        <v>1</v>
      </c>
      <c r="H26" s="50">
        <v>0</v>
      </c>
      <c r="I26" s="50">
        <v>0</v>
      </c>
      <c r="J26" s="50">
        <v>0</v>
      </c>
      <c r="K26" s="14" t="s">
        <v>29</v>
      </c>
      <c r="L26" s="11">
        <f t="shared" si="0"/>
        <v>4</v>
      </c>
      <c r="M26" s="10">
        <f t="shared" si="7"/>
        <v>1.2</v>
      </c>
      <c r="N26" s="10">
        <f t="shared" si="2"/>
        <v>0</v>
      </c>
      <c r="O26" s="10">
        <v>0</v>
      </c>
      <c r="P26" s="10">
        <f t="shared" si="3"/>
        <v>5.2</v>
      </c>
      <c r="Q26" s="17">
        <v>24.335736940298496</v>
      </c>
      <c r="R26" s="18">
        <f t="shared" si="4"/>
        <v>29.535736940298495</v>
      </c>
      <c r="S26" s="19">
        <f t="shared" si="5"/>
        <v>1.875</v>
      </c>
      <c r="T26" s="20">
        <f t="shared" si="6"/>
        <v>27.660736940298495</v>
      </c>
      <c r="U26" s="4"/>
      <c r="V26" s="4"/>
      <c r="W26" s="4"/>
    </row>
    <row r="27" spans="1:29" s="1" customFormat="1" ht="17.399999999999999">
      <c r="A27" s="9">
        <v>1</v>
      </c>
      <c r="B27" s="8">
        <v>242</v>
      </c>
      <c r="C27" s="8">
        <v>1381736232</v>
      </c>
      <c r="D27" s="42" t="s">
        <v>125</v>
      </c>
      <c r="E27" s="4"/>
      <c r="F27" s="10">
        <v>3</v>
      </c>
      <c r="G27" s="10">
        <v>1</v>
      </c>
      <c r="H27" s="50">
        <v>0</v>
      </c>
      <c r="I27" s="50">
        <v>0</v>
      </c>
      <c r="J27" s="50">
        <v>0</v>
      </c>
      <c r="K27" s="14" t="s">
        <v>29</v>
      </c>
      <c r="L27" s="11">
        <f t="shared" si="0"/>
        <v>4</v>
      </c>
      <c r="M27" s="10">
        <f t="shared" si="7"/>
        <v>1.2</v>
      </c>
      <c r="N27" s="10">
        <f t="shared" si="2"/>
        <v>0</v>
      </c>
      <c r="O27" s="10">
        <v>0</v>
      </c>
      <c r="P27" s="10">
        <f t="shared" si="3"/>
        <v>5.2</v>
      </c>
      <c r="Q27" s="17">
        <v>24.306249999999991</v>
      </c>
      <c r="R27" s="18">
        <f t="shared" si="4"/>
        <v>29.506249999999991</v>
      </c>
      <c r="S27" s="19">
        <f t="shared" si="5"/>
        <v>1.875</v>
      </c>
      <c r="T27" s="20">
        <f t="shared" si="6"/>
        <v>27.631249999999991</v>
      </c>
      <c r="U27" s="4"/>
      <c r="V27" s="4"/>
      <c r="W27" s="4"/>
    </row>
    <row r="28" spans="1:29" s="1" customFormat="1" ht="17.399999999999999">
      <c r="A28" s="9">
        <v>1</v>
      </c>
      <c r="B28" s="8">
        <v>226</v>
      </c>
      <c r="C28" s="8">
        <v>1238792963</v>
      </c>
      <c r="D28" s="42" t="s">
        <v>108</v>
      </c>
      <c r="E28" s="42"/>
      <c r="F28" s="10">
        <v>3</v>
      </c>
      <c r="G28" s="10">
        <v>1</v>
      </c>
      <c r="H28" s="50">
        <v>0</v>
      </c>
      <c r="I28" s="50">
        <v>0</v>
      </c>
      <c r="J28" s="50">
        <v>0</v>
      </c>
      <c r="K28" s="14" t="s">
        <v>29</v>
      </c>
      <c r="L28" s="11">
        <f t="shared" si="0"/>
        <v>4</v>
      </c>
      <c r="M28" s="10">
        <f t="shared" si="7"/>
        <v>1.2</v>
      </c>
      <c r="N28" s="10">
        <f t="shared" si="2"/>
        <v>0</v>
      </c>
      <c r="O28" s="10">
        <v>0</v>
      </c>
      <c r="P28" s="10">
        <f t="shared" si="3"/>
        <v>5.2</v>
      </c>
      <c r="Q28" s="17">
        <v>24.181249999999995</v>
      </c>
      <c r="R28" s="18">
        <f t="shared" si="4"/>
        <v>29.381249999999994</v>
      </c>
      <c r="S28" s="19">
        <f t="shared" si="5"/>
        <v>1.875</v>
      </c>
      <c r="T28" s="20">
        <f t="shared" si="6"/>
        <v>27.506249999999994</v>
      </c>
      <c r="U28" s="4"/>
      <c r="V28" s="4"/>
      <c r="W28" s="4"/>
    </row>
    <row r="29" spans="1:29" s="2" customFormat="1" ht="17.399999999999999">
      <c r="A29" s="9">
        <v>1</v>
      </c>
      <c r="B29" s="8">
        <v>183</v>
      </c>
      <c r="C29" s="8">
        <v>1250030371</v>
      </c>
      <c r="D29" s="42" t="s">
        <v>130</v>
      </c>
      <c r="E29" s="42" t="s">
        <v>121</v>
      </c>
      <c r="F29" s="10">
        <v>3</v>
      </c>
      <c r="G29" s="10">
        <v>1</v>
      </c>
      <c r="H29" s="50">
        <v>0</v>
      </c>
      <c r="I29" s="50">
        <v>0</v>
      </c>
      <c r="J29" s="50">
        <v>0</v>
      </c>
      <c r="K29" s="14" t="s">
        <v>29</v>
      </c>
      <c r="L29" s="11">
        <f t="shared" si="0"/>
        <v>4</v>
      </c>
      <c r="M29" s="10">
        <f t="shared" si="7"/>
        <v>1.2</v>
      </c>
      <c r="N29" s="10">
        <f t="shared" si="2"/>
        <v>0</v>
      </c>
      <c r="O29" s="10">
        <v>0</v>
      </c>
      <c r="P29" s="10">
        <f t="shared" si="3"/>
        <v>5.2</v>
      </c>
      <c r="Q29" s="17">
        <v>24.018749999999997</v>
      </c>
      <c r="R29" s="18">
        <f t="shared" si="4"/>
        <v>29.218749999999996</v>
      </c>
      <c r="S29" s="19">
        <f t="shared" si="5"/>
        <v>1.875</v>
      </c>
      <c r="T29" s="20">
        <f t="shared" si="6"/>
        <v>27.343749999999996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7.399999999999999">
      <c r="A30" s="9">
        <v>1</v>
      </c>
      <c r="B30" s="8">
        <v>189</v>
      </c>
      <c r="C30" s="8">
        <v>522812489</v>
      </c>
      <c r="D30" s="42" t="s">
        <v>70</v>
      </c>
      <c r="E30" s="47"/>
      <c r="F30" s="10">
        <v>3</v>
      </c>
      <c r="G30" s="10">
        <v>1</v>
      </c>
      <c r="H30" s="50">
        <v>0</v>
      </c>
      <c r="I30" s="50">
        <v>0</v>
      </c>
      <c r="J30" s="50">
        <v>0</v>
      </c>
      <c r="K30" s="14" t="s">
        <v>29</v>
      </c>
      <c r="L30" s="11">
        <f t="shared" si="0"/>
        <v>4</v>
      </c>
      <c r="M30" s="10">
        <f t="shared" si="7"/>
        <v>1.2</v>
      </c>
      <c r="N30" s="10">
        <f t="shared" si="2"/>
        <v>0</v>
      </c>
      <c r="O30" s="10">
        <v>0</v>
      </c>
      <c r="P30" s="10">
        <f t="shared" si="3"/>
        <v>5.2</v>
      </c>
      <c r="Q30" s="17">
        <v>23.95</v>
      </c>
      <c r="R30" s="18">
        <f t="shared" si="4"/>
        <v>29.15</v>
      </c>
      <c r="S30" s="19">
        <f t="shared" si="5"/>
        <v>1.875</v>
      </c>
      <c r="T30" s="20">
        <f t="shared" si="6"/>
        <v>27.274999999999999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7.399999999999999">
      <c r="A31" s="9">
        <v>1</v>
      </c>
      <c r="B31" s="8">
        <v>232</v>
      </c>
      <c r="C31" s="8">
        <v>1088909927</v>
      </c>
      <c r="D31" s="42" t="s">
        <v>113</v>
      </c>
      <c r="E31" s="4"/>
      <c r="F31" s="10">
        <v>3</v>
      </c>
      <c r="G31" s="10">
        <v>0</v>
      </c>
      <c r="H31" s="50">
        <v>0</v>
      </c>
      <c r="I31" s="50">
        <v>0</v>
      </c>
      <c r="J31" s="50">
        <v>0</v>
      </c>
      <c r="K31" s="14" t="s">
        <v>29</v>
      </c>
      <c r="L31" s="11">
        <f t="shared" si="0"/>
        <v>4</v>
      </c>
      <c r="M31" s="10">
        <f t="shared" si="7"/>
        <v>0</v>
      </c>
      <c r="N31" s="10">
        <f t="shared" si="2"/>
        <v>0</v>
      </c>
      <c r="O31" s="10">
        <v>0</v>
      </c>
      <c r="P31" s="10">
        <f t="shared" si="3"/>
        <v>4</v>
      </c>
      <c r="Q31" s="17">
        <v>25.131249999999998</v>
      </c>
      <c r="R31" s="18">
        <f t="shared" si="4"/>
        <v>29.131249999999998</v>
      </c>
      <c r="S31" s="19">
        <f t="shared" si="5"/>
        <v>1.875</v>
      </c>
      <c r="T31" s="20">
        <f t="shared" si="6"/>
        <v>27.256249999999998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7.399999999999999">
      <c r="A32" s="9">
        <v>1</v>
      </c>
      <c r="B32" s="8">
        <v>184</v>
      </c>
      <c r="C32" s="8">
        <v>1814130074</v>
      </c>
      <c r="D32" s="42" t="s">
        <v>67</v>
      </c>
      <c r="E32" s="47"/>
      <c r="F32" s="10">
        <v>3</v>
      </c>
      <c r="G32" s="10">
        <v>1</v>
      </c>
      <c r="H32" s="50">
        <v>0</v>
      </c>
      <c r="I32" s="50">
        <v>1</v>
      </c>
      <c r="J32" s="50">
        <v>0</v>
      </c>
      <c r="K32" s="14" t="s">
        <v>29</v>
      </c>
      <c r="L32" s="11">
        <f t="shared" si="0"/>
        <v>4</v>
      </c>
      <c r="M32" s="10">
        <f t="shared" si="7"/>
        <v>1.2</v>
      </c>
      <c r="N32" s="10">
        <f t="shared" si="2"/>
        <v>0.4</v>
      </c>
      <c r="O32" s="10">
        <v>0</v>
      </c>
      <c r="P32" s="10">
        <f t="shared" si="3"/>
        <v>5.6000000000000005</v>
      </c>
      <c r="Q32" s="17">
        <v>23.156250000000018</v>
      </c>
      <c r="R32" s="18">
        <f t="shared" si="4"/>
        <v>28.756250000000019</v>
      </c>
      <c r="S32" s="19">
        <f t="shared" si="5"/>
        <v>1.875</v>
      </c>
      <c r="T32" s="20">
        <f t="shared" si="6"/>
        <v>26.881250000000019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7.399999999999999">
      <c r="A33" s="9">
        <v>1</v>
      </c>
      <c r="B33" s="8">
        <v>224</v>
      </c>
      <c r="C33" s="8">
        <v>862562360</v>
      </c>
      <c r="D33" s="42" t="s">
        <v>129</v>
      </c>
      <c r="E33" s="42" t="s">
        <v>106</v>
      </c>
      <c r="F33" s="10">
        <v>3</v>
      </c>
      <c r="G33" s="10">
        <v>0</v>
      </c>
      <c r="H33" s="50">
        <v>0</v>
      </c>
      <c r="I33" s="50">
        <v>0</v>
      </c>
      <c r="J33" s="50">
        <v>0</v>
      </c>
      <c r="K33" s="14" t="s">
        <v>29</v>
      </c>
      <c r="L33" s="11">
        <f t="shared" si="0"/>
        <v>4</v>
      </c>
      <c r="M33" s="10">
        <f t="shared" si="7"/>
        <v>0</v>
      </c>
      <c r="N33" s="10">
        <f t="shared" si="2"/>
        <v>0</v>
      </c>
      <c r="O33" s="10">
        <v>0</v>
      </c>
      <c r="P33" s="10">
        <f t="shared" si="3"/>
        <v>4</v>
      </c>
      <c r="Q33" s="17">
        <v>24.710354477611936</v>
      </c>
      <c r="R33" s="18">
        <f t="shared" si="4"/>
        <v>28.710354477611936</v>
      </c>
      <c r="S33" s="19">
        <f t="shared" si="5"/>
        <v>1.875</v>
      </c>
      <c r="T33" s="20">
        <f t="shared" si="6"/>
        <v>26.835354477611936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7.399999999999999">
      <c r="A34" s="9">
        <v>1</v>
      </c>
      <c r="B34" s="8">
        <v>202</v>
      </c>
      <c r="C34" s="8">
        <v>471245585</v>
      </c>
      <c r="D34" s="42" t="s">
        <v>77</v>
      </c>
      <c r="E34" s="47"/>
      <c r="F34" s="10">
        <v>3</v>
      </c>
      <c r="G34" s="10">
        <v>1</v>
      </c>
      <c r="H34" s="50">
        <v>0</v>
      </c>
      <c r="I34" s="50">
        <v>0</v>
      </c>
      <c r="J34" s="50">
        <v>0</v>
      </c>
      <c r="K34" s="14" t="s">
        <v>29</v>
      </c>
      <c r="L34" s="11">
        <f t="shared" si="0"/>
        <v>4</v>
      </c>
      <c r="M34" s="10">
        <f t="shared" si="7"/>
        <v>1.2</v>
      </c>
      <c r="N34" s="10">
        <f t="shared" si="2"/>
        <v>0</v>
      </c>
      <c r="O34" s="10">
        <v>0</v>
      </c>
      <c r="P34" s="10">
        <f t="shared" si="3"/>
        <v>5.2</v>
      </c>
      <c r="Q34" s="17">
        <v>23.112499999999994</v>
      </c>
      <c r="R34" s="18">
        <f t="shared" si="4"/>
        <v>28.312499999999993</v>
      </c>
      <c r="S34" s="19">
        <f t="shared" si="5"/>
        <v>1.875</v>
      </c>
      <c r="T34" s="20">
        <f t="shared" si="6"/>
        <v>26.437499999999993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7.399999999999999">
      <c r="A35" s="9">
        <v>1</v>
      </c>
      <c r="B35" s="9">
        <v>10</v>
      </c>
      <c r="C35" s="8">
        <v>2108977014</v>
      </c>
      <c r="D35" s="42" t="s">
        <v>57</v>
      </c>
      <c r="E35" s="42" t="s">
        <v>8</v>
      </c>
      <c r="F35" s="10">
        <v>1</v>
      </c>
      <c r="G35" s="10">
        <v>1</v>
      </c>
      <c r="H35" s="50">
        <v>0</v>
      </c>
      <c r="I35" s="50">
        <v>0</v>
      </c>
      <c r="J35" s="50">
        <v>1</v>
      </c>
      <c r="K35" s="14" t="s">
        <v>29</v>
      </c>
      <c r="L35" s="11">
        <f t="shared" si="0"/>
        <v>1</v>
      </c>
      <c r="M35" s="10">
        <f t="shared" si="7"/>
        <v>1.2</v>
      </c>
      <c r="N35" s="10">
        <f t="shared" si="2"/>
        <v>0.4</v>
      </c>
      <c r="O35" s="10">
        <v>0</v>
      </c>
      <c r="P35" s="10">
        <f t="shared" si="3"/>
        <v>2.6</v>
      </c>
      <c r="Q35" s="17">
        <v>25.57500000000001</v>
      </c>
      <c r="R35" s="18">
        <f t="shared" si="4"/>
        <v>28.175000000000011</v>
      </c>
      <c r="S35" s="19">
        <f t="shared" si="5"/>
        <v>1.875</v>
      </c>
      <c r="T35" s="20">
        <f t="shared" si="6"/>
        <v>26.300000000000011</v>
      </c>
      <c r="U35" s="11"/>
      <c r="V35" s="11"/>
      <c r="W35" s="11"/>
      <c r="X35" s="1"/>
      <c r="Y35" s="1"/>
      <c r="Z35" s="1"/>
      <c r="AA35" s="1"/>
      <c r="AB35" s="1"/>
      <c r="AC35" s="1"/>
    </row>
    <row r="36" spans="1:29" s="2" customFormat="1" ht="17.399999999999999">
      <c r="A36" s="9">
        <v>1</v>
      </c>
      <c r="B36" s="8">
        <v>208</v>
      </c>
      <c r="C36" s="8">
        <v>92129464</v>
      </c>
      <c r="D36" s="42" t="s">
        <v>82</v>
      </c>
      <c r="E36" s="47"/>
      <c r="F36" s="10">
        <v>2</v>
      </c>
      <c r="G36" s="10">
        <v>1</v>
      </c>
      <c r="H36" s="50">
        <v>0</v>
      </c>
      <c r="I36" s="50">
        <v>0</v>
      </c>
      <c r="J36" s="50">
        <v>0</v>
      </c>
      <c r="K36" s="14" t="s">
        <v>29</v>
      </c>
      <c r="L36" s="11">
        <f t="shared" si="0"/>
        <v>2</v>
      </c>
      <c r="M36" s="10">
        <f t="shared" si="7"/>
        <v>1.2</v>
      </c>
      <c r="N36" s="10">
        <f t="shared" si="2"/>
        <v>0</v>
      </c>
      <c r="O36" s="10">
        <v>0</v>
      </c>
      <c r="P36" s="10">
        <f t="shared" si="3"/>
        <v>3.2</v>
      </c>
      <c r="Q36" s="17">
        <v>24.549999999999994</v>
      </c>
      <c r="R36" s="18">
        <f t="shared" si="4"/>
        <v>27.749999999999993</v>
      </c>
      <c r="S36" s="19">
        <f t="shared" si="5"/>
        <v>1.875</v>
      </c>
      <c r="T36" s="20">
        <f t="shared" si="6"/>
        <v>25.874999999999993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7.399999999999999">
      <c r="A37" s="9">
        <v>1</v>
      </c>
      <c r="B37" s="8">
        <v>200</v>
      </c>
      <c r="C37" s="8">
        <v>967589156</v>
      </c>
      <c r="D37" s="42" t="s">
        <v>76</v>
      </c>
      <c r="E37" s="47"/>
      <c r="F37" s="10">
        <v>2</v>
      </c>
      <c r="G37" s="10">
        <v>1</v>
      </c>
      <c r="H37" s="50">
        <v>0</v>
      </c>
      <c r="I37" s="50">
        <v>1</v>
      </c>
      <c r="J37" s="50">
        <v>0</v>
      </c>
      <c r="K37" s="14" t="s">
        <v>29</v>
      </c>
      <c r="L37" s="11">
        <f t="shared" ref="L37:L70" si="8">F37+IF(F37&gt;2,(F37-2)*1,0)</f>
        <v>2</v>
      </c>
      <c r="M37" s="10">
        <f t="shared" si="7"/>
        <v>1.2</v>
      </c>
      <c r="N37" s="10">
        <f t="shared" ref="N37:N70" si="9">SUM(H37:J37)*$Y$18</f>
        <v>0.4</v>
      </c>
      <c r="O37" s="10">
        <v>0</v>
      </c>
      <c r="P37" s="10">
        <f t="shared" ref="P37:P68" si="10">SUM(M37+L37+O37+N37)</f>
        <v>3.6</v>
      </c>
      <c r="Q37" s="17">
        <v>23.681250000000013</v>
      </c>
      <c r="R37" s="18">
        <f t="shared" ref="R37:R68" si="11">P37+Q37</f>
        <v>27.281250000000014</v>
      </c>
      <c r="S37" s="19">
        <f t="shared" ref="S37:S70" si="12">VLOOKUP(K37,$X$3:$Y$10,2,FALSE)</f>
        <v>1.875</v>
      </c>
      <c r="T37" s="20">
        <f t="shared" ref="T37:T68" si="13">R37-S37</f>
        <v>25.406250000000014</v>
      </c>
      <c r="U37" s="4"/>
      <c r="V37" s="4"/>
      <c r="W37" s="4"/>
    </row>
    <row r="38" spans="1:29" s="2" customFormat="1" ht="17.399999999999999">
      <c r="A38" s="9">
        <v>1</v>
      </c>
      <c r="B38" s="8">
        <v>241</v>
      </c>
      <c r="C38" s="8">
        <v>1136259669</v>
      </c>
      <c r="D38" s="42" t="s">
        <v>124</v>
      </c>
      <c r="E38" s="4"/>
      <c r="F38" s="10">
        <v>1</v>
      </c>
      <c r="G38" s="10">
        <v>1</v>
      </c>
      <c r="H38" s="50">
        <v>0</v>
      </c>
      <c r="I38" s="50">
        <v>0</v>
      </c>
      <c r="J38" s="50">
        <v>0</v>
      </c>
      <c r="K38" s="14" t="s">
        <v>29</v>
      </c>
      <c r="L38" s="11">
        <f t="shared" si="8"/>
        <v>1</v>
      </c>
      <c r="M38" s="10">
        <f t="shared" si="7"/>
        <v>1.2</v>
      </c>
      <c r="N38" s="10">
        <f t="shared" si="9"/>
        <v>0</v>
      </c>
      <c r="O38" s="10">
        <v>0</v>
      </c>
      <c r="P38" s="10">
        <f t="shared" si="10"/>
        <v>2.2000000000000002</v>
      </c>
      <c r="Q38" s="17">
        <v>24.118749999999991</v>
      </c>
      <c r="R38" s="18">
        <f t="shared" si="11"/>
        <v>26.318749999999991</v>
      </c>
      <c r="S38" s="19">
        <f t="shared" si="12"/>
        <v>1.875</v>
      </c>
      <c r="T38" s="20">
        <f t="shared" si="13"/>
        <v>24.443749999999991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7.399999999999999">
      <c r="A39" s="9">
        <v>1</v>
      </c>
      <c r="B39" s="8">
        <v>128</v>
      </c>
      <c r="C39" s="8">
        <v>1214614935</v>
      </c>
      <c r="D39" s="42" t="s">
        <v>62</v>
      </c>
      <c r="E39" s="49" t="s">
        <v>43</v>
      </c>
      <c r="F39" s="10">
        <v>3</v>
      </c>
      <c r="G39" s="10">
        <v>1</v>
      </c>
      <c r="H39" s="50">
        <v>0</v>
      </c>
      <c r="I39" s="50">
        <v>1</v>
      </c>
      <c r="J39" s="50">
        <v>1</v>
      </c>
      <c r="K39" s="14" t="s">
        <v>29</v>
      </c>
      <c r="L39" s="11">
        <f t="shared" si="8"/>
        <v>4</v>
      </c>
      <c r="M39" s="10">
        <f t="shared" si="7"/>
        <v>1.2</v>
      </c>
      <c r="N39" s="10">
        <f t="shared" si="9"/>
        <v>0.8</v>
      </c>
      <c r="O39" s="10">
        <v>0</v>
      </c>
      <c r="P39" s="10">
        <f t="shared" si="10"/>
        <v>6</v>
      </c>
      <c r="Q39" s="17">
        <v>20.236999999999995</v>
      </c>
      <c r="R39" s="18">
        <f t="shared" si="11"/>
        <v>26.236999999999995</v>
      </c>
      <c r="S39" s="19">
        <f t="shared" si="12"/>
        <v>1.875</v>
      </c>
      <c r="T39" s="20">
        <f t="shared" si="13"/>
        <v>24.361999999999995</v>
      </c>
      <c r="U39" s="11"/>
      <c r="V39" s="11"/>
      <c r="W39" s="31"/>
    </row>
    <row r="40" spans="1:29" ht="17.399999999999999">
      <c r="A40" s="9">
        <v>1</v>
      </c>
      <c r="B40" s="8">
        <v>167</v>
      </c>
      <c r="C40" s="8">
        <v>1173807161</v>
      </c>
      <c r="D40" s="42" t="s">
        <v>48</v>
      </c>
      <c r="E40" s="48"/>
      <c r="F40" s="10">
        <v>0</v>
      </c>
      <c r="G40" s="10">
        <v>1</v>
      </c>
      <c r="H40" s="50">
        <v>0</v>
      </c>
      <c r="I40" s="50">
        <v>0</v>
      </c>
      <c r="J40" s="50">
        <v>0</v>
      </c>
      <c r="K40" s="39" t="s">
        <v>30</v>
      </c>
      <c r="L40" s="11">
        <f t="shared" si="8"/>
        <v>0</v>
      </c>
      <c r="M40" s="10">
        <f t="shared" si="7"/>
        <v>1.2</v>
      </c>
      <c r="N40" s="10">
        <f t="shared" si="9"/>
        <v>0</v>
      </c>
      <c r="O40" s="10">
        <v>0</v>
      </c>
      <c r="P40" s="10">
        <f t="shared" si="10"/>
        <v>1.2</v>
      </c>
      <c r="Q40" s="17">
        <v>24.624999999999979</v>
      </c>
      <c r="R40" s="18">
        <f t="shared" si="11"/>
        <v>25.824999999999978</v>
      </c>
      <c r="S40" s="19">
        <f t="shared" si="12"/>
        <v>0</v>
      </c>
      <c r="T40" s="20">
        <f t="shared" si="13"/>
        <v>25.824999999999978</v>
      </c>
      <c r="U40" s="4"/>
      <c r="V40" s="4"/>
      <c r="W40" s="4"/>
    </row>
    <row r="41" spans="1:29" ht="17.399999999999999">
      <c r="A41" s="9">
        <v>1</v>
      </c>
      <c r="B41" s="8">
        <v>118</v>
      </c>
      <c r="C41" s="8">
        <v>2018112397</v>
      </c>
      <c r="D41" s="42" t="s">
        <v>54</v>
      </c>
      <c r="E41" s="42" t="s">
        <v>47</v>
      </c>
      <c r="F41" s="10">
        <v>1</v>
      </c>
      <c r="G41" s="10">
        <v>1</v>
      </c>
      <c r="H41" s="50">
        <v>0</v>
      </c>
      <c r="I41" s="50">
        <v>0</v>
      </c>
      <c r="J41" s="50">
        <v>0</v>
      </c>
      <c r="K41" s="14" t="s">
        <v>29</v>
      </c>
      <c r="L41" s="11">
        <f t="shared" si="8"/>
        <v>1</v>
      </c>
      <c r="M41" s="10">
        <f t="shared" si="7"/>
        <v>1.2</v>
      </c>
      <c r="N41" s="10">
        <f t="shared" si="9"/>
        <v>0</v>
      </c>
      <c r="O41" s="10">
        <v>0</v>
      </c>
      <c r="P41" s="10">
        <f t="shared" si="10"/>
        <v>2.2000000000000002</v>
      </c>
      <c r="Q41" s="17">
        <v>23.26874999999999</v>
      </c>
      <c r="R41" s="18">
        <f t="shared" si="11"/>
        <v>25.468749999999989</v>
      </c>
      <c r="S41" s="19">
        <f t="shared" si="12"/>
        <v>1.875</v>
      </c>
      <c r="T41" s="20">
        <f t="shared" si="13"/>
        <v>23.593749999999989</v>
      </c>
      <c r="U41" s="11"/>
      <c r="V41" s="11"/>
      <c r="W41" s="32"/>
    </row>
    <row r="42" spans="1:29" ht="17.399999999999999">
      <c r="A42" s="9">
        <v>1</v>
      </c>
      <c r="B42" s="8">
        <v>187</v>
      </c>
      <c r="C42" s="8">
        <v>1241038267</v>
      </c>
      <c r="D42" s="42" t="s">
        <v>69</v>
      </c>
      <c r="E42" s="47"/>
      <c r="F42" s="10">
        <v>1</v>
      </c>
      <c r="G42" s="10">
        <v>1</v>
      </c>
      <c r="H42" s="50">
        <v>0</v>
      </c>
      <c r="I42" s="50">
        <v>0</v>
      </c>
      <c r="J42" s="50">
        <v>0</v>
      </c>
      <c r="K42" s="14" t="s">
        <v>29</v>
      </c>
      <c r="L42" s="11">
        <f t="shared" si="8"/>
        <v>1</v>
      </c>
      <c r="M42" s="10">
        <f t="shared" si="7"/>
        <v>1.2</v>
      </c>
      <c r="N42" s="10">
        <f t="shared" si="9"/>
        <v>0</v>
      </c>
      <c r="O42" s="10">
        <v>0</v>
      </c>
      <c r="P42" s="10">
        <f t="shared" si="10"/>
        <v>2.2000000000000002</v>
      </c>
      <c r="Q42" s="17">
        <v>23.118749999999988</v>
      </c>
      <c r="R42" s="18">
        <f t="shared" si="11"/>
        <v>25.318749999999987</v>
      </c>
      <c r="S42" s="19">
        <f t="shared" si="12"/>
        <v>1.875</v>
      </c>
      <c r="T42" s="20">
        <f t="shared" si="13"/>
        <v>23.443749999999987</v>
      </c>
      <c r="U42" s="4"/>
      <c r="V42" s="4"/>
      <c r="W42" s="4"/>
    </row>
    <row r="43" spans="1:29" ht="17.399999999999999">
      <c r="A43" s="9">
        <v>1</v>
      </c>
      <c r="B43" s="8">
        <v>234</v>
      </c>
      <c r="C43" s="8">
        <v>1333428907</v>
      </c>
      <c r="D43" s="42" t="s">
        <v>128</v>
      </c>
      <c r="E43" s="42" t="s">
        <v>115</v>
      </c>
      <c r="F43" s="10">
        <v>1</v>
      </c>
      <c r="G43" s="10">
        <v>0</v>
      </c>
      <c r="H43" s="50">
        <v>0</v>
      </c>
      <c r="I43" s="50">
        <v>0</v>
      </c>
      <c r="J43" s="50">
        <v>0</v>
      </c>
      <c r="K43" s="14" t="s">
        <v>29</v>
      </c>
      <c r="L43" s="11">
        <f t="shared" si="8"/>
        <v>1</v>
      </c>
      <c r="M43" s="10">
        <f t="shared" si="7"/>
        <v>0</v>
      </c>
      <c r="N43" s="10">
        <f t="shared" si="9"/>
        <v>0</v>
      </c>
      <c r="O43" s="10">
        <v>0</v>
      </c>
      <c r="P43" s="10">
        <f t="shared" si="10"/>
        <v>1</v>
      </c>
      <c r="Q43" s="17">
        <v>23.625</v>
      </c>
      <c r="R43" s="18">
        <f t="shared" si="11"/>
        <v>24.625</v>
      </c>
      <c r="S43" s="19">
        <f t="shared" si="12"/>
        <v>1.875</v>
      </c>
      <c r="T43" s="20">
        <f t="shared" si="13"/>
        <v>22.75</v>
      </c>
      <c r="U43" s="4"/>
      <c r="V43" s="4"/>
      <c r="W43" s="4"/>
    </row>
    <row r="44" spans="1:29" ht="17.399999999999999">
      <c r="A44" s="9">
        <v>1</v>
      </c>
      <c r="B44" s="8">
        <v>110</v>
      </c>
      <c r="C44" s="8">
        <v>1968703358</v>
      </c>
      <c r="D44" s="42" t="s">
        <v>60</v>
      </c>
      <c r="E44" s="42" t="s">
        <v>38</v>
      </c>
      <c r="F44" s="10">
        <v>1</v>
      </c>
      <c r="G44" s="10">
        <v>1</v>
      </c>
      <c r="H44" s="50">
        <v>0</v>
      </c>
      <c r="I44" s="50">
        <v>0</v>
      </c>
      <c r="J44" s="50">
        <v>1</v>
      </c>
      <c r="K44" s="14" t="s">
        <v>29</v>
      </c>
      <c r="L44" s="11">
        <f t="shared" si="8"/>
        <v>1</v>
      </c>
      <c r="M44" s="10">
        <f t="shared" ref="M44:M70" si="14">G44*$Y$14</f>
        <v>1.2</v>
      </c>
      <c r="N44" s="10">
        <f t="shared" si="9"/>
        <v>0.4</v>
      </c>
      <c r="O44" s="10">
        <v>0</v>
      </c>
      <c r="P44" s="10">
        <f t="shared" si="10"/>
        <v>2.6</v>
      </c>
      <c r="Q44" s="17">
        <v>21.812500000000014</v>
      </c>
      <c r="R44" s="18">
        <f t="shared" si="11"/>
        <v>24.412500000000016</v>
      </c>
      <c r="S44" s="19">
        <f t="shared" si="12"/>
        <v>1.875</v>
      </c>
      <c r="T44" s="20">
        <f t="shared" si="13"/>
        <v>22.537500000000016</v>
      </c>
      <c r="U44" s="11"/>
      <c r="V44" s="11"/>
      <c r="W44" s="17"/>
    </row>
    <row r="45" spans="1:29" ht="17.399999999999999">
      <c r="A45" s="9">
        <v>1</v>
      </c>
      <c r="B45" s="9">
        <v>92</v>
      </c>
      <c r="C45" s="8">
        <v>1367873925</v>
      </c>
      <c r="D45" s="42" t="s">
        <v>80</v>
      </c>
      <c r="E45" s="42" t="s">
        <v>31</v>
      </c>
      <c r="F45" s="10">
        <v>1</v>
      </c>
      <c r="G45" s="10">
        <v>1</v>
      </c>
      <c r="H45" s="50">
        <v>0</v>
      </c>
      <c r="I45" s="50">
        <v>0</v>
      </c>
      <c r="J45" s="50">
        <v>0</v>
      </c>
      <c r="K45" s="14" t="s">
        <v>29</v>
      </c>
      <c r="L45" s="11">
        <f t="shared" si="8"/>
        <v>1</v>
      </c>
      <c r="M45" s="10">
        <f t="shared" si="14"/>
        <v>1.2</v>
      </c>
      <c r="N45" s="10">
        <f t="shared" si="9"/>
        <v>0</v>
      </c>
      <c r="O45" s="10">
        <v>0</v>
      </c>
      <c r="P45" s="10">
        <f t="shared" si="10"/>
        <v>2.2000000000000002</v>
      </c>
      <c r="Q45" s="17">
        <v>22.043749999999996</v>
      </c>
      <c r="R45" s="18">
        <f t="shared" si="11"/>
        <v>24.243749999999995</v>
      </c>
      <c r="S45" s="19">
        <f t="shared" si="12"/>
        <v>1.875</v>
      </c>
      <c r="T45" s="20">
        <f t="shared" si="13"/>
        <v>22.368749999999995</v>
      </c>
      <c r="U45" s="11"/>
      <c r="V45" s="11"/>
      <c r="W45" s="31"/>
    </row>
    <row r="46" spans="1:29" ht="17.399999999999999">
      <c r="A46" s="9">
        <v>1</v>
      </c>
      <c r="B46" s="8">
        <v>209</v>
      </c>
      <c r="C46" s="8">
        <v>1525950050</v>
      </c>
      <c r="D46" s="42" t="s">
        <v>85</v>
      </c>
      <c r="E46" s="42" t="s">
        <v>83</v>
      </c>
      <c r="F46" s="10">
        <v>3</v>
      </c>
      <c r="G46" s="10">
        <v>0</v>
      </c>
      <c r="H46" s="50">
        <v>0</v>
      </c>
      <c r="I46" s="50">
        <v>0</v>
      </c>
      <c r="J46" s="50">
        <v>0</v>
      </c>
      <c r="K46" s="14" t="s">
        <v>29</v>
      </c>
      <c r="L46" s="11">
        <f t="shared" si="8"/>
        <v>4</v>
      </c>
      <c r="M46" s="10">
        <f t="shared" si="14"/>
        <v>0</v>
      </c>
      <c r="N46" s="10">
        <f t="shared" si="9"/>
        <v>0</v>
      </c>
      <c r="O46" s="10">
        <v>0</v>
      </c>
      <c r="P46" s="10">
        <f t="shared" si="10"/>
        <v>4</v>
      </c>
      <c r="Q46" s="17">
        <v>20.024999999999991</v>
      </c>
      <c r="R46" s="18">
        <f t="shared" si="11"/>
        <v>24.024999999999991</v>
      </c>
      <c r="S46" s="19">
        <f t="shared" si="12"/>
        <v>1.875</v>
      </c>
      <c r="T46" s="20">
        <f t="shared" si="13"/>
        <v>22.149999999999991</v>
      </c>
      <c r="U46" s="4"/>
      <c r="V46" s="4"/>
      <c r="W46" s="4"/>
    </row>
    <row r="47" spans="1:29" ht="20.399999999999999">
      <c r="A47" s="9">
        <v>1</v>
      </c>
      <c r="B47" s="8">
        <v>229</v>
      </c>
      <c r="C47" s="8">
        <v>1598972736</v>
      </c>
      <c r="D47" s="42" t="s">
        <v>110</v>
      </c>
      <c r="E47" s="42"/>
      <c r="F47" s="10">
        <v>0</v>
      </c>
      <c r="G47" s="10">
        <v>0</v>
      </c>
      <c r="H47" s="50">
        <v>0</v>
      </c>
      <c r="I47" s="50">
        <v>0</v>
      </c>
      <c r="J47" s="50">
        <v>0</v>
      </c>
      <c r="K47" s="39" t="s">
        <v>30</v>
      </c>
      <c r="L47" s="11">
        <f t="shared" si="8"/>
        <v>0</v>
      </c>
      <c r="M47" s="10">
        <f t="shared" si="14"/>
        <v>0</v>
      </c>
      <c r="N47" s="10">
        <f t="shared" si="9"/>
        <v>0</v>
      </c>
      <c r="O47" s="10">
        <v>0</v>
      </c>
      <c r="P47" s="10">
        <f t="shared" si="10"/>
        <v>0</v>
      </c>
      <c r="Q47" s="17">
        <v>21.197089552238797</v>
      </c>
      <c r="R47" s="18">
        <f t="shared" si="11"/>
        <v>21.197089552238797</v>
      </c>
      <c r="S47" s="19">
        <f t="shared" si="12"/>
        <v>0</v>
      </c>
      <c r="T47" s="20">
        <f t="shared" si="13"/>
        <v>21.197089552238797</v>
      </c>
      <c r="U47" s="4"/>
      <c r="V47" s="4"/>
      <c r="W47" s="4"/>
    </row>
    <row r="48" spans="1:29" ht="17.399999999999999">
      <c r="A48" s="9">
        <v>1</v>
      </c>
      <c r="B48" s="8">
        <v>198</v>
      </c>
      <c r="C48" s="8">
        <v>723448640</v>
      </c>
      <c r="D48" s="42" t="s">
        <v>75</v>
      </c>
      <c r="E48" s="47"/>
      <c r="F48" s="10">
        <v>0</v>
      </c>
      <c r="G48" s="10">
        <v>0</v>
      </c>
      <c r="H48" s="50">
        <v>0</v>
      </c>
      <c r="I48" s="50">
        <v>0</v>
      </c>
      <c r="J48" s="50">
        <v>0</v>
      </c>
      <c r="K48" s="39" t="s">
        <v>30</v>
      </c>
      <c r="L48" s="11">
        <f t="shared" si="8"/>
        <v>0</v>
      </c>
      <c r="M48" s="10">
        <f t="shared" si="14"/>
        <v>0</v>
      </c>
      <c r="N48" s="10">
        <f t="shared" si="9"/>
        <v>0</v>
      </c>
      <c r="O48" s="10">
        <v>0</v>
      </c>
      <c r="P48" s="10">
        <f t="shared" si="10"/>
        <v>0</v>
      </c>
      <c r="Q48" s="17">
        <v>18.01874999999999</v>
      </c>
      <c r="R48" s="18">
        <f t="shared" si="11"/>
        <v>18.01874999999999</v>
      </c>
      <c r="S48" s="19">
        <f t="shared" si="12"/>
        <v>0</v>
      </c>
      <c r="T48" s="20">
        <f t="shared" si="13"/>
        <v>18.01874999999999</v>
      </c>
    </row>
    <row r="49" spans="1:20" ht="17.399999999999999">
      <c r="A49" s="9">
        <v>1</v>
      </c>
      <c r="B49" s="8">
        <v>193</v>
      </c>
      <c r="C49" s="8">
        <v>2125731287</v>
      </c>
      <c r="D49" s="42" t="s">
        <v>72</v>
      </c>
      <c r="E49" s="47"/>
      <c r="F49" s="10">
        <v>0</v>
      </c>
      <c r="G49" s="10">
        <v>0</v>
      </c>
      <c r="H49" s="50">
        <v>0</v>
      </c>
      <c r="I49" s="50">
        <v>0</v>
      </c>
      <c r="J49" s="50">
        <v>0</v>
      </c>
      <c r="K49" s="39" t="s">
        <v>30</v>
      </c>
      <c r="L49" s="11">
        <f t="shared" si="8"/>
        <v>0</v>
      </c>
      <c r="M49" s="10">
        <f t="shared" si="14"/>
        <v>0</v>
      </c>
      <c r="N49" s="10">
        <f t="shared" si="9"/>
        <v>0</v>
      </c>
      <c r="O49" s="10">
        <v>0</v>
      </c>
      <c r="P49" s="10">
        <f t="shared" si="10"/>
        <v>0</v>
      </c>
      <c r="Q49" s="17">
        <v>17.812499999999996</v>
      </c>
      <c r="R49" s="18">
        <f t="shared" si="11"/>
        <v>17.812499999999996</v>
      </c>
      <c r="S49" s="19">
        <f t="shared" si="12"/>
        <v>0</v>
      </c>
      <c r="T49" s="20">
        <f t="shared" si="13"/>
        <v>17.812499999999996</v>
      </c>
    </row>
    <row r="50" spans="1:20" ht="17.399999999999999">
      <c r="A50" s="9">
        <v>1</v>
      </c>
      <c r="B50" s="8">
        <v>239</v>
      </c>
      <c r="C50" s="8">
        <v>416459640</v>
      </c>
      <c r="D50" s="42" t="s">
        <v>122</v>
      </c>
      <c r="F50" s="10">
        <v>0</v>
      </c>
      <c r="G50" s="10">
        <v>1</v>
      </c>
      <c r="H50" s="50">
        <v>0</v>
      </c>
      <c r="I50" s="50">
        <v>0</v>
      </c>
      <c r="J50" s="50">
        <v>0</v>
      </c>
      <c r="K50" s="39" t="s">
        <v>30</v>
      </c>
      <c r="L50" s="11">
        <f t="shared" si="8"/>
        <v>0</v>
      </c>
      <c r="M50" s="10">
        <f t="shared" si="14"/>
        <v>1.2</v>
      </c>
      <c r="N50" s="10">
        <f t="shared" si="9"/>
        <v>0</v>
      </c>
      <c r="O50" s="10">
        <v>0</v>
      </c>
      <c r="P50" s="10">
        <f t="shared" si="10"/>
        <v>1.2</v>
      </c>
      <c r="Q50" s="17">
        <v>15.393750000000001</v>
      </c>
      <c r="R50" s="18">
        <f t="shared" si="11"/>
        <v>16.59375</v>
      </c>
      <c r="S50" s="19">
        <f t="shared" si="12"/>
        <v>0</v>
      </c>
      <c r="T50" s="20">
        <f t="shared" si="13"/>
        <v>16.59375</v>
      </c>
    </row>
    <row r="51" spans="1:20" ht="17.399999999999999">
      <c r="A51" s="9">
        <v>1</v>
      </c>
      <c r="B51" s="8">
        <v>222</v>
      </c>
      <c r="C51" s="8">
        <v>1945277617</v>
      </c>
      <c r="D51" s="42" t="s">
        <v>97</v>
      </c>
      <c r="E51" s="42"/>
      <c r="F51" s="10">
        <v>0</v>
      </c>
      <c r="G51" s="10">
        <v>0</v>
      </c>
      <c r="H51" s="50">
        <v>0</v>
      </c>
      <c r="I51" s="50">
        <v>0</v>
      </c>
      <c r="J51" s="50">
        <v>0</v>
      </c>
      <c r="K51" s="39" t="s">
        <v>30</v>
      </c>
      <c r="L51" s="11">
        <f t="shared" si="8"/>
        <v>0</v>
      </c>
      <c r="M51" s="10">
        <f t="shared" si="14"/>
        <v>0</v>
      </c>
      <c r="N51" s="10">
        <f t="shared" si="9"/>
        <v>0</v>
      </c>
      <c r="O51" s="10">
        <v>0</v>
      </c>
      <c r="P51" s="10">
        <f t="shared" si="10"/>
        <v>0</v>
      </c>
      <c r="Q51" s="17">
        <v>15.637727649769573</v>
      </c>
      <c r="R51" s="18">
        <f t="shared" si="11"/>
        <v>15.637727649769573</v>
      </c>
      <c r="S51" s="19">
        <f t="shared" si="12"/>
        <v>0</v>
      </c>
      <c r="T51" s="20">
        <f t="shared" si="13"/>
        <v>15.637727649769573</v>
      </c>
    </row>
    <row r="52" spans="1:20" ht="17.399999999999999">
      <c r="A52" s="9">
        <v>1</v>
      </c>
      <c r="B52" s="8">
        <v>155</v>
      </c>
      <c r="C52" s="8">
        <v>1532576874</v>
      </c>
      <c r="D52" s="42" t="s">
        <v>63</v>
      </c>
      <c r="E52" s="42" t="s">
        <v>46</v>
      </c>
      <c r="F52" s="10">
        <v>0</v>
      </c>
      <c r="G52" s="10">
        <v>0</v>
      </c>
      <c r="H52" s="50">
        <v>0</v>
      </c>
      <c r="I52" s="50">
        <v>0</v>
      </c>
      <c r="J52" s="50">
        <v>0</v>
      </c>
      <c r="K52" s="39" t="s">
        <v>30</v>
      </c>
      <c r="L52" s="11">
        <f t="shared" si="8"/>
        <v>0</v>
      </c>
      <c r="M52" s="10">
        <f t="shared" si="14"/>
        <v>0</v>
      </c>
      <c r="N52" s="10">
        <f t="shared" si="9"/>
        <v>0</v>
      </c>
      <c r="O52" s="10">
        <v>0</v>
      </c>
      <c r="P52" s="10">
        <f t="shared" si="10"/>
        <v>0</v>
      </c>
      <c r="Q52" s="17">
        <v>15.212499999999999</v>
      </c>
      <c r="R52" s="18">
        <f t="shared" si="11"/>
        <v>15.212499999999999</v>
      </c>
      <c r="S52" s="19">
        <f t="shared" si="12"/>
        <v>0</v>
      </c>
      <c r="T52" s="20">
        <f t="shared" si="13"/>
        <v>15.212499999999999</v>
      </c>
    </row>
    <row r="53" spans="1:20" ht="17.399999999999999">
      <c r="A53" s="9">
        <v>1</v>
      </c>
      <c r="B53" s="8">
        <v>223</v>
      </c>
      <c r="C53" s="8">
        <v>784792167</v>
      </c>
      <c r="D53" s="42" t="s">
        <v>98</v>
      </c>
      <c r="E53" s="42"/>
      <c r="F53" s="10">
        <v>0</v>
      </c>
      <c r="G53" s="10">
        <v>0</v>
      </c>
      <c r="H53" s="50">
        <v>0</v>
      </c>
      <c r="I53" s="50">
        <v>0</v>
      </c>
      <c r="J53" s="50">
        <v>0</v>
      </c>
      <c r="K53" s="39" t="s">
        <v>30</v>
      </c>
      <c r="L53" s="11">
        <f t="shared" si="8"/>
        <v>0</v>
      </c>
      <c r="M53" s="10">
        <f t="shared" si="14"/>
        <v>0</v>
      </c>
      <c r="N53" s="10">
        <f t="shared" si="9"/>
        <v>0</v>
      </c>
      <c r="O53" s="10">
        <v>0</v>
      </c>
      <c r="P53" s="10">
        <f t="shared" si="10"/>
        <v>0</v>
      </c>
      <c r="Q53" s="17">
        <v>10.624999999999996</v>
      </c>
      <c r="R53" s="18">
        <f t="shared" si="11"/>
        <v>10.624999999999996</v>
      </c>
      <c r="S53" s="19">
        <f t="shared" si="12"/>
        <v>0</v>
      </c>
      <c r="T53" s="20">
        <f t="shared" si="13"/>
        <v>10.624999999999996</v>
      </c>
    </row>
    <row r="54" spans="1:20" ht="17.399999999999999">
      <c r="A54" s="9">
        <v>1</v>
      </c>
      <c r="B54" s="8">
        <v>219</v>
      </c>
      <c r="C54" s="8">
        <v>1128309198</v>
      </c>
      <c r="D54" s="42" t="s">
        <v>93</v>
      </c>
      <c r="E54" s="47"/>
      <c r="F54" s="10">
        <v>0</v>
      </c>
      <c r="G54" s="10">
        <v>0</v>
      </c>
      <c r="H54" s="50">
        <v>0</v>
      </c>
      <c r="I54" s="50">
        <v>0</v>
      </c>
      <c r="J54" s="50">
        <v>0</v>
      </c>
      <c r="K54" s="39" t="s">
        <v>30</v>
      </c>
      <c r="L54" s="11">
        <f t="shared" si="8"/>
        <v>0</v>
      </c>
      <c r="M54" s="10">
        <f t="shared" si="14"/>
        <v>0</v>
      </c>
      <c r="N54" s="10">
        <f t="shared" si="9"/>
        <v>0</v>
      </c>
      <c r="O54" s="10">
        <v>0</v>
      </c>
      <c r="P54" s="10">
        <f t="shared" si="10"/>
        <v>0</v>
      </c>
      <c r="Q54" s="17">
        <v>9.4499999999999957</v>
      </c>
      <c r="R54" s="18">
        <f t="shared" si="11"/>
        <v>9.4499999999999957</v>
      </c>
      <c r="S54" s="19">
        <f t="shared" si="12"/>
        <v>0</v>
      </c>
      <c r="T54" s="20">
        <f t="shared" si="13"/>
        <v>9.4499999999999957</v>
      </c>
    </row>
    <row r="55" spans="1:20" ht="17.399999999999999">
      <c r="A55" s="9">
        <v>1</v>
      </c>
      <c r="B55" s="8">
        <v>243</v>
      </c>
      <c r="D55" s="42" t="s">
        <v>133</v>
      </c>
      <c r="F55" s="10">
        <v>2</v>
      </c>
      <c r="G55" s="10">
        <v>1</v>
      </c>
      <c r="H55" s="50">
        <v>0</v>
      </c>
      <c r="I55" s="50">
        <v>0</v>
      </c>
      <c r="J55" s="50">
        <v>0</v>
      </c>
      <c r="K55" s="14" t="s">
        <v>29</v>
      </c>
      <c r="L55" s="11">
        <f t="shared" si="8"/>
        <v>2</v>
      </c>
      <c r="M55" s="10">
        <f t="shared" si="14"/>
        <v>1.2</v>
      </c>
      <c r="N55" s="10">
        <f t="shared" si="9"/>
        <v>0</v>
      </c>
      <c r="O55" s="10">
        <v>0</v>
      </c>
      <c r="P55" s="10">
        <f t="shared" si="10"/>
        <v>3.2</v>
      </c>
      <c r="Q55" s="17">
        <v>6.1062500000000002</v>
      </c>
      <c r="R55" s="18">
        <f t="shared" si="11"/>
        <v>9.3062500000000004</v>
      </c>
      <c r="S55" s="19">
        <f t="shared" si="12"/>
        <v>1.875</v>
      </c>
      <c r="T55" s="20">
        <f t="shared" si="13"/>
        <v>7.4312500000000004</v>
      </c>
    </row>
    <row r="56" spans="1:20" ht="20.399999999999999">
      <c r="A56" s="9">
        <v>1</v>
      </c>
      <c r="B56" s="8">
        <v>214</v>
      </c>
      <c r="C56" s="8">
        <v>2130976604</v>
      </c>
      <c r="D56" s="42" t="s">
        <v>86</v>
      </c>
      <c r="E56" s="2"/>
      <c r="F56" s="10">
        <v>1</v>
      </c>
      <c r="G56" s="10">
        <v>0</v>
      </c>
      <c r="H56" s="50">
        <v>0</v>
      </c>
      <c r="I56" s="50">
        <v>0</v>
      </c>
      <c r="J56" s="50">
        <v>0</v>
      </c>
      <c r="K56" s="14" t="s">
        <v>29</v>
      </c>
      <c r="L56" s="11">
        <f t="shared" si="8"/>
        <v>1</v>
      </c>
      <c r="M56" s="10">
        <f t="shared" si="14"/>
        <v>0</v>
      </c>
      <c r="N56" s="10">
        <f t="shared" si="9"/>
        <v>0</v>
      </c>
      <c r="O56" s="10">
        <v>0</v>
      </c>
      <c r="P56" s="10">
        <f t="shared" si="10"/>
        <v>1</v>
      </c>
      <c r="Q56" s="17">
        <v>7.0124999999999895</v>
      </c>
      <c r="R56" s="18">
        <f t="shared" si="11"/>
        <v>8.0124999999999886</v>
      </c>
      <c r="S56" s="19">
        <f t="shared" si="12"/>
        <v>1.875</v>
      </c>
      <c r="T56" s="20">
        <f t="shared" si="13"/>
        <v>6.1374999999999886</v>
      </c>
    </row>
    <row r="57" spans="1:20" ht="17.399999999999999">
      <c r="A57" s="9">
        <v>1</v>
      </c>
      <c r="B57" s="8">
        <v>192</v>
      </c>
      <c r="C57" s="8">
        <v>1725281178</v>
      </c>
      <c r="D57" s="42" t="s">
        <v>71</v>
      </c>
      <c r="E57" s="47"/>
      <c r="F57" s="10">
        <v>0</v>
      </c>
      <c r="G57" s="10">
        <v>0</v>
      </c>
      <c r="H57" s="50">
        <v>0</v>
      </c>
      <c r="I57" s="50">
        <v>0</v>
      </c>
      <c r="J57" s="50">
        <v>0</v>
      </c>
      <c r="K57" s="39" t="s">
        <v>30</v>
      </c>
      <c r="L57" s="11">
        <f t="shared" si="8"/>
        <v>0</v>
      </c>
      <c r="M57" s="10">
        <f t="shared" si="14"/>
        <v>0</v>
      </c>
      <c r="N57" s="10">
        <f t="shared" si="9"/>
        <v>0</v>
      </c>
      <c r="O57" s="10">
        <v>0</v>
      </c>
      <c r="P57" s="10">
        <f t="shared" si="10"/>
        <v>0</v>
      </c>
      <c r="Q57" s="17">
        <v>3.1437499999999954</v>
      </c>
      <c r="R57" s="18">
        <f t="shared" si="11"/>
        <v>3.1437499999999954</v>
      </c>
      <c r="S57" s="19">
        <f t="shared" si="12"/>
        <v>0</v>
      </c>
      <c r="T57" s="20">
        <f t="shared" si="13"/>
        <v>3.1437499999999954</v>
      </c>
    </row>
    <row r="58" spans="1:20" ht="20.399999999999999">
      <c r="A58" s="9">
        <v>1</v>
      </c>
      <c r="B58" s="8">
        <v>220</v>
      </c>
      <c r="C58" s="8">
        <v>353335311</v>
      </c>
      <c r="D58" s="42" t="s">
        <v>94</v>
      </c>
      <c r="E58" s="44"/>
      <c r="F58" s="10">
        <v>0</v>
      </c>
      <c r="G58" s="10">
        <v>0</v>
      </c>
      <c r="H58" s="50">
        <v>0</v>
      </c>
      <c r="I58" s="50">
        <v>0</v>
      </c>
      <c r="J58" s="50">
        <v>0</v>
      </c>
      <c r="K58" s="39" t="s">
        <v>30</v>
      </c>
      <c r="L58" s="11">
        <f t="shared" si="8"/>
        <v>0</v>
      </c>
      <c r="M58" s="10">
        <f t="shared" si="14"/>
        <v>0</v>
      </c>
      <c r="N58" s="10">
        <f t="shared" si="9"/>
        <v>0</v>
      </c>
      <c r="O58" s="10">
        <v>0</v>
      </c>
      <c r="P58" s="10">
        <f t="shared" si="10"/>
        <v>0</v>
      </c>
      <c r="Q58" s="17">
        <v>2.0310546874999984</v>
      </c>
      <c r="R58" s="18">
        <f t="shared" si="11"/>
        <v>2.0310546874999984</v>
      </c>
      <c r="S58" s="19">
        <f t="shared" si="12"/>
        <v>0</v>
      </c>
      <c r="T58" s="20">
        <f t="shared" si="13"/>
        <v>2.0310546874999984</v>
      </c>
    </row>
    <row r="59" spans="1:20" ht="17.399999999999999">
      <c r="A59" s="9">
        <v>1</v>
      </c>
      <c r="B59" s="8">
        <v>233</v>
      </c>
      <c r="C59" s="8">
        <v>1963965829</v>
      </c>
      <c r="D59" s="42" t="s">
        <v>114</v>
      </c>
      <c r="F59" s="10">
        <v>0</v>
      </c>
      <c r="G59" s="10">
        <v>0</v>
      </c>
      <c r="H59" s="50">
        <v>0</v>
      </c>
      <c r="I59" s="50">
        <v>0</v>
      </c>
      <c r="J59" s="50">
        <v>0</v>
      </c>
      <c r="K59" s="39" t="s">
        <v>30</v>
      </c>
      <c r="L59" s="11">
        <f t="shared" si="8"/>
        <v>0</v>
      </c>
      <c r="M59" s="10">
        <f t="shared" si="14"/>
        <v>0</v>
      </c>
      <c r="N59" s="10">
        <f t="shared" si="9"/>
        <v>0</v>
      </c>
      <c r="O59" s="10">
        <v>0</v>
      </c>
      <c r="P59" s="10">
        <f t="shared" si="10"/>
        <v>0</v>
      </c>
      <c r="Q59" s="17">
        <v>2.0000000000000018</v>
      </c>
      <c r="R59" s="18">
        <f t="shared" si="11"/>
        <v>2.0000000000000018</v>
      </c>
      <c r="S59" s="19">
        <f t="shared" si="12"/>
        <v>0</v>
      </c>
      <c r="T59" s="20">
        <f t="shared" si="13"/>
        <v>2.0000000000000018</v>
      </c>
    </row>
    <row r="60" spans="1:20" ht="17.399999999999999">
      <c r="A60" s="9">
        <v>1</v>
      </c>
      <c r="B60" s="8">
        <v>207</v>
      </c>
      <c r="C60" s="8">
        <v>721273803</v>
      </c>
      <c r="D60" s="45" t="s">
        <v>81</v>
      </c>
      <c r="E60" s="47"/>
      <c r="F60" s="10">
        <v>0</v>
      </c>
      <c r="G60" s="10">
        <v>0</v>
      </c>
      <c r="H60" s="50">
        <v>0</v>
      </c>
      <c r="I60" s="50">
        <v>0</v>
      </c>
      <c r="J60" s="50">
        <v>0</v>
      </c>
      <c r="K60" s="39" t="s">
        <v>30</v>
      </c>
      <c r="L60" s="11">
        <f t="shared" si="8"/>
        <v>0</v>
      </c>
      <c r="M60" s="10">
        <f t="shared" si="14"/>
        <v>0</v>
      </c>
      <c r="N60" s="10">
        <f t="shared" si="9"/>
        <v>0</v>
      </c>
      <c r="O60" s="10">
        <v>0</v>
      </c>
      <c r="P60" s="10">
        <f t="shared" si="10"/>
        <v>0</v>
      </c>
      <c r="Q60" s="17">
        <v>1.425</v>
      </c>
      <c r="R60" s="18">
        <f t="shared" si="11"/>
        <v>1.425</v>
      </c>
      <c r="S60" s="19">
        <f t="shared" si="12"/>
        <v>0</v>
      </c>
      <c r="T60" s="20">
        <f t="shared" si="13"/>
        <v>1.425</v>
      </c>
    </row>
    <row r="61" spans="1:20" ht="20.399999999999999">
      <c r="A61" s="9">
        <v>1</v>
      </c>
      <c r="B61" s="8">
        <v>213</v>
      </c>
      <c r="C61" s="8">
        <v>311361673</v>
      </c>
      <c r="D61" s="42" t="s">
        <v>55</v>
      </c>
      <c r="E61" s="2"/>
      <c r="F61" s="10">
        <v>0</v>
      </c>
      <c r="G61" s="10">
        <v>0</v>
      </c>
      <c r="H61" s="50">
        <v>0</v>
      </c>
      <c r="I61" s="50">
        <v>0</v>
      </c>
      <c r="J61" s="50">
        <v>0</v>
      </c>
      <c r="K61" s="39" t="s">
        <v>30</v>
      </c>
      <c r="L61" s="11">
        <f t="shared" si="8"/>
        <v>0</v>
      </c>
      <c r="M61" s="10">
        <f t="shared" si="14"/>
        <v>0</v>
      </c>
      <c r="N61" s="10">
        <f t="shared" si="9"/>
        <v>0</v>
      </c>
      <c r="O61" s="10">
        <v>0</v>
      </c>
      <c r="P61" s="10">
        <f t="shared" si="10"/>
        <v>0</v>
      </c>
      <c r="Q61" s="17">
        <v>1.2687499999999945</v>
      </c>
      <c r="R61" s="18">
        <f t="shared" si="11"/>
        <v>1.2687499999999945</v>
      </c>
      <c r="S61" s="19">
        <f t="shared" si="12"/>
        <v>0</v>
      </c>
      <c r="T61" s="20">
        <f t="shared" si="13"/>
        <v>1.2687499999999945</v>
      </c>
    </row>
    <row r="62" spans="1:20" ht="17.399999999999999">
      <c r="A62" s="9">
        <v>1</v>
      </c>
      <c r="B62" s="8">
        <v>242</v>
      </c>
      <c r="C62" s="8">
        <v>250098915</v>
      </c>
      <c r="D62" s="42" t="s">
        <v>131</v>
      </c>
      <c r="F62" s="10">
        <v>0</v>
      </c>
      <c r="G62" s="10">
        <v>0</v>
      </c>
      <c r="H62" s="50">
        <v>0</v>
      </c>
      <c r="I62" s="50">
        <v>0</v>
      </c>
      <c r="J62" s="50">
        <v>0</v>
      </c>
      <c r="K62" s="39" t="s">
        <v>30</v>
      </c>
      <c r="L62" s="11">
        <f t="shared" si="8"/>
        <v>0</v>
      </c>
      <c r="M62" s="10">
        <f t="shared" si="14"/>
        <v>0</v>
      </c>
      <c r="N62" s="10">
        <f t="shared" si="9"/>
        <v>0</v>
      </c>
      <c r="O62" s="10">
        <v>0</v>
      </c>
      <c r="P62" s="10">
        <f t="shared" si="10"/>
        <v>0</v>
      </c>
      <c r="Q62" s="17">
        <v>0.90625</v>
      </c>
      <c r="R62" s="18">
        <f t="shared" si="11"/>
        <v>0.90625</v>
      </c>
      <c r="S62" s="19">
        <f t="shared" si="12"/>
        <v>0</v>
      </c>
      <c r="T62" s="20">
        <f t="shared" si="13"/>
        <v>0.90625</v>
      </c>
    </row>
    <row r="63" spans="1:20" ht="17.399999999999999">
      <c r="A63" s="9">
        <v>1</v>
      </c>
      <c r="B63" s="8">
        <v>235</v>
      </c>
      <c r="C63" s="8">
        <v>988684940</v>
      </c>
      <c r="D63" s="42" t="s">
        <v>116</v>
      </c>
      <c r="F63" s="10">
        <v>0</v>
      </c>
      <c r="G63" s="10">
        <v>0</v>
      </c>
      <c r="H63" s="50">
        <v>0</v>
      </c>
      <c r="I63" s="50">
        <v>0</v>
      </c>
      <c r="J63" s="50">
        <v>0</v>
      </c>
      <c r="K63" s="39" t="s">
        <v>30</v>
      </c>
      <c r="L63" s="11">
        <f t="shared" si="8"/>
        <v>0</v>
      </c>
      <c r="M63" s="10">
        <f t="shared" si="14"/>
        <v>0</v>
      </c>
      <c r="N63" s="10">
        <f t="shared" si="9"/>
        <v>0</v>
      </c>
      <c r="O63" s="10">
        <v>0</v>
      </c>
      <c r="P63" s="10">
        <f t="shared" si="10"/>
        <v>0</v>
      </c>
      <c r="Q63" s="17">
        <v>0.875</v>
      </c>
      <c r="R63" s="18">
        <f t="shared" si="11"/>
        <v>0.875</v>
      </c>
      <c r="S63" s="19">
        <f t="shared" si="12"/>
        <v>0</v>
      </c>
      <c r="T63" s="20">
        <f t="shared" si="13"/>
        <v>0.875</v>
      </c>
    </row>
    <row r="64" spans="1:20" ht="17.399999999999999">
      <c r="A64" s="9">
        <v>1</v>
      </c>
      <c r="B64" s="8">
        <v>242</v>
      </c>
      <c r="C64" s="8">
        <v>1769984287</v>
      </c>
      <c r="D64" s="8" t="s">
        <v>132</v>
      </c>
      <c r="F64" s="10">
        <v>0</v>
      </c>
      <c r="G64" s="10">
        <v>0</v>
      </c>
      <c r="H64" s="50">
        <v>0</v>
      </c>
      <c r="I64" s="50">
        <v>0</v>
      </c>
      <c r="J64" s="50">
        <v>0</v>
      </c>
      <c r="K64" s="39" t="s">
        <v>30</v>
      </c>
      <c r="L64" s="11">
        <f t="shared" si="8"/>
        <v>0</v>
      </c>
      <c r="M64" s="10">
        <f t="shared" si="14"/>
        <v>0</v>
      </c>
      <c r="N64" s="10">
        <f t="shared" si="9"/>
        <v>0</v>
      </c>
      <c r="O64" s="10">
        <v>0</v>
      </c>
      <c r="P64" s="10">
        <f t="shared" si="10"/>
        <v>0</v>
      </c>
      <c r="Q64" s="17">
        <v>0.65000000000000036</v>
      </c>
      <c r="R64" s="18">
        <f t="shared" si="11"/>
        <v>0.65000000000000036</v>
      </c>
      <c r="S64" s="19">
        <f t="shared" si="12"/>
        <v>0</v>
      </c>
      <c r="T64" s="20">
        <f t="shared" si="13"/>
        <v>0.65000000000000036</v>
      </c>
    </row>
    <row r="65" spans="1:23" ht="17.399999999999999">
      <c r="A65" s="9">
        <v>1</v>
      </c>
      <c r="B65" s="8">
        <v>218</v>
      </c>
      <c r="C65" s="8">
        <v>1804880865</v>
      </c>
      <c r="D65" s="42" t="s">
        <v>92</v>
      </c>
      <c r="E65" s="47"/>
      <c r="F65" s="10">
        <v>0</v>
      </c>
      <c r="G65" s="10">
        <v>0</v>
      </c>
      <c r="H65" s="50">
        <v>0</v>
      </c>
      <c r="I65" s="50">
        <v>0</v>
      </c>
      <c r="J65" s="50">
        <v>0</v>
      </c>
      <c r="K65" s="39" t="s">
        <v>30</v>
      </c>
      <c r="L65" s="11">
        <f t="shared" si="8"/>
        <v>0</v>
      </c>
      <c r="M65" s="10">
        <f t="shared" si="14"/>
        <v>0</v>
      </c>
      <c r="N65" s="10">
        <f t="shared" si="9"/>
        <v>0</v>
      </c>
      <c r="O65" s="10">
        <v>0</v>
      </c>
      <c r="P65" s="10">
        <f t="shared" si="10"/>
        <v>0</v>
      </c>
      <c r="Q65" s="17">
        <v>0.11749999999999983</v>
      </c>
      <c r="R65" s="18">
        <f t="shared" si="11"/>
        <v>0.11749999999999983</v>
      </c>
      <c r="S65" s="19">
        <f t="shared" si="12"/>
        <v>0</v>
      </c>
      <c r="T65" s="20">
        <f t="shared" si="13"/>
        <v>0.11749999999999983</v>
      </c>
    </row>
    <row r="66" spans="1:23" ht="17.399999999999999">
      <c r="A66" s="9">
        <v>1</v>
      </c>
      <c r="B66" s="8">
        <v>217</v>
      </c>
      <c r="C66" s="8">
        <v>331155825</v>
      </c>
      <c r="D66" s="46" t="s">
        <v>89</v>
      </c>
      <c r="E66" s="2"/>
      <c r="F66" s="10">
        <v>0</v>
      </c>
      <c r="G66" s="10">
        <v>0</v>
      </c>
      <c r="H66" s="50">
        <v>0</v>
      </c>
      <c r="I66" s="50">
        <v>0</v>
      </c>
      <c r="J66" s="50">
        <v>0</v>
      </c>
      <c r="K66" s="39" t="s">
        <v>30</v>
      </c>
      <c r="L66" s="11">
        <f t="shared" si="8"/>
        <v>0</v>
      </c>
      <c r="M66" s="10">
        <f t="shared" si="14"/>
        <v>0</v>
      </c>
      <c r="N66" s="10">
        <f t="shared" si="9"/>
        <v>0</v>
      </c>
      <c r="O66" s="10">
        <v>0</v>
      </c>
      <c r="P66" s="10">
        <f t="shared" si="10"/>
        <v>0</v>
      </c>
      <c r="Q66" s="17">
        <v>-1.3124999999999984</v>
      </c>
      <c r="R66" s="18">
        <f t="shared" si="11"/>
        <v>-1.3124999999999984</v>
      </c>
      <c r="S66" s="19">
        <f t="shared" si="12"/>
        <v>0</v>
      </c>
      <c r="T66" s="20">
        <f t="shared" si="13"/>
        <v>-1.3124999999999984</v>
      </c>
    </row>
    <row r="67" spans="1:23" ht="17.399999999999999">
      <c r="A67" s="9">
        <v>1</v>
      </c>
      <c r="B67" s="8">
        <v>237</v>
      </c>
      <c r="C67" s="8">
        <v>1331532576</v>
      </c>
      <c r="D67" s="42" t="s">
        <v>119</v>
      </c>
      <c r="F67" s="10">
        <v>0</v>
      </c>
      <c r="G67" s="10">
        <v>0</v>
      </c>
      <c r="H67" s="50">
        <v>0</v>
      </c>
      <c r="I67" s="50">
        <v>0</v>
      </c>
      <c r="J67" s="50">
        <v>0</v>
      </c>
      <c r="K67" s="39" t="s">
        <v>30</v>
      </c>
      <c r="L67" s="11">
        <f t="shared" si="8"/>
        <v>0</v>
      </c>
      <c r="M67" s="10">
        <f t="shared" si="14"/>
        <v>0</v>
      </c>
      <c r="N67" s="10">
        <f t="shared" si="9"/>
        <v>0</v>
      </c>
      <c r="O67" s="10">
        <v>0</v>
      </c>
      <c r="P67" s="10">
        <f t="shared" si="10"/>
        <v>0</v>
      </c>
      <c r="Q67" s="17">
        <v>-2.5499999999999998</v>
      </c>
      <c r="R67" s="18">
        <f t="shared" si="11"/>
        <v>-2.5499999999999998</v>
      </c>
      <c r="S67" s="19">
        <f t="shared" si="12"/>
        <v>0</v>
      </c>
      <c r="T67" s="20">
        <f t="shared" si="13"/>
        <v>-2.5499999999999998</v>
      </c>
    </row>
    <row r="68" spans="1:23" ht="17.399999999999999">
      <c r="A68" s="9">
        <v>1</v>
      </c>
      <c r="B68" s="8">
        <v>228</v>
      </c>
      <c r="C68" s="8">
        <v>1287481910</v>
      </c>
      <c r="D68" s="42" t="s">
        <v>109</v>
      </c>
      <c r="E68" s="42"/>
      <c r="F68" s="10">
        <v>0</v>
      </c>
      <c r="G68" s="10">
        <v>0</v>
      </c>
      <c r="H68" s="50">
        <v>0</v>
      </c>
      <c r="I68" s="50">
        <v>0</v>
      </c>
      <c r="J68" s="50">
        <v>0</v>
      </c>
      <c r="K68" s="39" t="s">
        <v>30</v>
      </c>
      <c r="L68" s="11">
        <f t="shared" si="8"/>
        <v>0</v>
      </c>
      <c r="M68" s="10">
        <f t="shared" si="14"/>
        <v>0</v>
      </c>
      <c r="N68" s="10">
        <f t="shared" si="9"/>
        <v>0</v>
      </c>
      <c r="O68" s="10">
        <v>0</v>
      </c>
      <c r="P68" s="10">
        <f t="shared" si="10"/>
        <v>0</v>
      </c>
      <c r="Q68" s="17">
        <v>-4.1499999999999995</v>
      </c>
      <c r="R68" s="18">
        <f t="shared" si="11"/>
        <v>-4.1499999999999995</v>
      </c>
      <c r="S68" s="19">
        <f t="shared" si="12"/>
        <v>0</v>
      </c>
      <c r="T68" s="20">
        <f t="shared" si="13"/>
        <v>-4.1499999999999995</v>
      </c>
    </row>
    <row r="69" spans="1:23" ht="17.399999999999999">
      <c r="A69" s="9">
        <v>1</v>
      </c>
      <c r="B69" s="8">
        <v>141</v>
      </c>
      <c r="C69" s="8">
        <v>1190305158</v>
      </c>
      <c r="D69" s="42" t="s">
        <v>44</v>
      </c>
      <c r="E69" s="44"/>
      <c r="F69" s="10">
        <v>0</v>
      </c>
      <c r="G69" s="10">
        <v>0</v>
      </c>
      <c r="H69" s="50">
        <v>0</v>
      </c>
      <c r="I69" s="50">
        <v>0</v>
      </c>
      <c r="J69" s="50">
        <v>0</v>
      </c>
      <c r="K69" s="39" t="s">
        <v>30</v>
      </c>
      <c r="L69" s="11">
        <f t="shared" si="8"/>
        <v>0</v>
      </c>
      <c r="M69" s="10">
        <f t="shared" si="14"/>
        <v>0</v>
      </c>
      <c r="N69" s="10">
        <f t="shared" si="9"/>
        <v>0</v>
      </c>
      <c r="O69" s="10">
        <v>0</v>
      </c>
      <c r="P69" s="10">
        <f t="shared" ref="P69:P70" si="15">SUM(M69+L69+O69+N69)</f>
        <v>0</v>
      </c>
      <c r="Q69" s="17">
        <v>-7.8937500000000043</v>
      </c>
      <c r="R69" s="18">
        <f t="shared" ref="R69:R70" si="16">P69+Q69</f>
        <v>-7.8937500000000043</v>
      </c>
      <c r="S69" s="19">
        <f t="shared" si="12"/>
        <v>0</v>
      </c>
      <c r="T69" s="20">
        <f t="shared" ref="T69:T70" si="17">R69-S69</f>
        <v>-7.8937500000000043</v>
      </c>
      <c r="U69" s="40"/>
      <c r="V69" s="40"/>
      <c r="W69" s="41"/>
    </row>
    <row r="70" spans="1:23" ht="17.399999999999999">
      <c r="A70" s="70">
        <v>1</v>
      </c>
      <c r="B70" s="8">
        <v>203</v>
      </c>
      <c r="C70" s="8">
        <v>382695365</v>
      </c>
      <c r="D70" s="42" t="s">
        <v>78</v>
      </c>
      <c r="E70" s="47"/>
      <c r="F70" s="10">
        <v>0</v>
      </c>
      <c r="G70" s="10">
        <v>0</v>
      </c>
      <c r="H70" s="50">
        <v>0</v>
      </c>
      <c r="I70" s="50">
        <v>0</v>
      </c>
      <c r="J70" s="50">
        <v>0</v>
      </c>
      <c r="K70" s="39" t="s">
        <v>30</v>
      </c>
      <c r="L70" s="11">
        <f t="shared" si="8"/>
        <v>0</v>
      </c>
      <c r="M70" s="10">
        <f t="shared" si="14"/>
        <v>0</v>
      </c>
      <c r="N70" s="10">
        <f t="shared" si="9"/>
        <v>0</v>
      </c>
      <c r="O70" s="10">
        <v>0</v>
      </c>
      <c r="P70" s="10">
        <f t="shared" si="15"/>
        <v>0</v>
      </c>
      <c r="Q70" s="17">
        <v>-16.90625</v>
      </c>
      <c r="R70" s="18">
        <f t="shared" si="16"/>
        <v>-16.90625</v>
      </c>
      <c r="S70" s="19">
        <f t="shared" si="12"/>
        <v>0</v>
      </c>
      <c r="T70" s="20">
        <f t="shared" si="17"/>
        <v>-16.90625</v>
      </c>
    </row>
    <row r="71" spans="1:23" ht="17.399999999999999">
      <c r="A71" s="70"/>
    </row>
  </sheetData>
  <autoFilter ref="A4:W70" xr:uid="{28593B8F-03E7-4BE1-B554-FC0AADC431B2}">
    <sortState xmlns:xlrd2="http://schemas.microsoft.com/office/spreadsheetml/2017/richdata2" ref="A5:W70">
      <sortCondition descending="1" ref="R4:R70"/>
    </sortState>
  </autoFilter>
  <mergeCells count="5">
    <mergeCell ref="B1:T1"/>
    <mergeCell ref="B2:T2"/>
    <mergeCell ref="B3:E3"/>
    <mergeCell ref="H3:J3"/>
    <mergeCell ref="K3:T3"/>
  </mergeCells>
  <conditionalFormatting sqref="O5:O70 F5:J70">
    <cfRule type="cellIs" dxfId="24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7FA2-FD2C-4FF0-B77B-3AC7462EE472}">
  <dimension ref="A1:AC71"/>
  <sheetViews>
    <sheetView topLeftCell="A43" zoomScale="70" zoomScaleNormal="70" workbookViewId="0">
      <selection activeCell="T5" sqref="T5:T70"/>
    </sheetView>
  </sheetViews>
  <sheetFormatPr defaultColWidth="9" defaultRowHeight="14.4"/>
  <cols>
    <col min="1" max="1" width="6.44140625" customWidth="1"/>
    <col min="2" max="2" width="6.6640625" style="4" customWidth="1"/>
    <col min="3" max="3" width="19.77734375" style="5" customWidth="1"/>
    <col min="4" max="4" width="21.21875" style="5" customWidth="1"/>
    <col min="5" max="5" width="18.33203125" style="4" customWidth="1"/>
    <col min="6" max="6" width="13.109375" style="4" customWidth="1"/>
    <col min="7" max="7" width="13.77734375" style="4" customWidth="1"/>
    <col min="8" max="8" width="5.77734375" style="4" customWidth="1"/>
    <col min="9" max="9" width="5.88671875" style="4" customWidth="1"/>
    <col min="10" max="10" width="5.77734375" style="4" customWidth="1"/>
    <col min="11" max="11" width="20" style="4" customWidth="1"/>
    <col min="12" max="12" width="9" style="4" customWidth="1"/>
    <col min="13" max="13" width="12.109375" style="4" customWidth="1"/>
    <col min="14" max="14" width="11.33203125" style="4" customWidth="1"/>
    <col min="15" max="15" width="10" style="4" customWidth="1"/>
    <col min="16" max="16" width="9" style="4" customWidth="1"/>
    <col min="17" max="17" width="12.88671875" style="4" customWidth="1"/>
    <col min="18" max="18" width="12" style="4" customWidth="1"/>
    <col min="19" max="19" width="9.21875" style="4" customWidth="1"/>
    <col min="20" max="20" width="12.6640625" style="4" customWidth="1"/>
    <col min="21" max="23" width="11.109375" style="21" customWidth="1"/>
    <col min="24" max="24" width="22.44140625" customWidth="1"/>
  </cols>
  <sheetData>
    <row r="1" spans="1:29" ht="36.6" customHeight="1">
      <c r="B1" s="99" t="str">
        <f>CONCATENATE("157区 活动中心",Y15,"年",Y16,"月",Y17,"日","分包贡献明细"," 统计：一二三")</f>
        <v>157区 活动中心2021年9月11日分包贡献明细 统计：一二三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62"/>
      <c r="V1" s="62"/>
      <c r="W1" s="62"/>
      <c r="X1" s="22" t="s">
        <v>12</v>
      </c>
      <c r="Y1" s="5">
        <v>67</v>
      </c>
      <c r="Z1" s="3"/>
      <c r="AA1" s="3"/>
      <c r="AB1" s="3"/>
      <c r="AC1" s="3"/>
    </row>
    <row r="2" spans="1:29" ht="117.6" customHeight="1">
      <c r="B2" s="101" t="s">
        <v>126</v>
      </c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63"/>
      <c r="V2" s="63"/>
      <c r="W2" s="63"/>
      <c r="X2" s="23" t="s">
        <v>0</v>
      </c>
      <c r="Y2" s="24" t="s">
        <v>13</v>
      </c>
      <c r="Z2" s="25" t="s">
        <v>14</v>
      </c>
      <c r="AA2" s="25" t="s">
        <v>15</v>
      </c>
      <c r="AB2" s="25" t="s">
        <v>56</v>
      </c>
      <c r="AC2" s="26" t="s">
        <v>16</v>
      </c>
    </row>
    <row r="3" spans="1:29" ht="20.399999999999999">
      <c r="B3" s="104" t="s">
        <v>20</v>
      </c>
      <c r="C3" s="104"/>
      <c r="D3" s="104"/>
      <c r="E3" s="104"/>
      <c r="F3" s="64" t="s">
        <v>17</v>
      </c>
      <c r="G3" s="65" t="s">
        <v>39</v>
      </c>
      <c r="H3" s="105" t="s">
        <v>99</v>
      </c>
      <c r="I3" s="105"/>
      <c r="J3" s="105"/>
      <c r="K3" s="106" t="s">
        <v>21</v>
      </c>
      <c r="L3" s="107"/>
      <c r="M3" s="107"/>
      <c r="N3" s="107"/>
      <c r="O3" s="107"/>
      <c r="P3" s="107"/>
      <c r="Q3" s="107"/>
      <c r="R3" s="107"/>
      <c r="S3" s="107"/>
      <c r="T3" s="108"/>
      <c r="U3" s="61"/>
      <c r="V3" s="61"/>
      <c r="W3" s="61"/>
      <c r="X3" s="27" t="s">
        <v>22</v>
      </c>
      <c r="Y3" s="28">
        <f>AC3/$Y$13</f>
        <v>11.875</v>
      </c>
      <c r="Z3" s="23">
        <v>5</v>
      </c>
      <c r="AA3" s="23">
        <v>7</v>
      </c>
      <c r="AB3" s="23">
        <v>20</v>
      </c>
      <c r="AC3" s="23">
        <v>1900</v>
      </c>
    </row>
    <row r="4" spans="1:29" ht="40.799999999999997">
      <c r="A4" s="71" t="s">
        <v>117</v>
      </c>
      <c r="B4" s="71" t="s">
        <v>2</v>
      </c>
      <c r="C4" s="60" t="s">
        <v>23</v>
      </c>
      <c r="D4" s="71" t="s">
        <v>3</v>
      </c>
      <c r="E4" s="71" t="s">
        <v>4</v>
      </c>
      <c r="F4" s="6" t="s">
        <v>40</v>
      </c>
      <c r="G4" s="7" t="s">
        <v>91</v>
      </c>
      <c r="H4" s="7" t="s">
        <v>100</v>
      </c>
      <c r="I4" s="7" t="s">
        <v>101</v>
      </c>
      <c r="J4" s="7" t="s">
        <v>102</v>
      </c>
      <c r="K4" s="6" t="s">
        <v>5</v>
      </c>
      <c r="L4" s="6" t="s">
        <v>24</v>
      </c>
      <c r="M4" s="7" t="s">
        <v>41</v>
      </c>
      <c r="N4" s="7" t="s">
        <v>104</v>
      </c>
      <c r="O4" s="7" t="s">
        <v>45</v>
      </c>
      <c r="P4" s="15" t="s">
        <v>25</v>
      </c>
      <c r="Q4" s="60" t="s">
        <v>26</v>
      </c>
      <c r="R4" s="16" t="s">
        <v>7</v>
      </c>
      <c r="S4" s="60" t="s">
        <v>6</v>
      </c>
      <c r="T4" s="60" t="s">
        <v>27</v>
      </c>
      <c r="U4" s="60" t="s">
        <v>18</v>
      </c>
      <c r="V4" s="60" t="s">
        <v>19</v>
      </c>
      <c r="W4" s="60" t="s">
        <v>1</v>
      </c>
      <c r="X4" s="29" t="s">
        <v>28</v>
      </c>
      <c r="Y4" s="28">
        <f>AC4/$Y$13</f>
        <v>9.6875</v>
      </c>
      <c r="Z4" s="23">
        <v>4</v>
      </c>
      <c r="AA4" s="23">
        <v>6</v>
      </c>
      <c r="AB4" s="23">
        <v>15</v>
      </c>
      <c r="AC4" s="23">
        <v>1550</v>
      </c>
    </row>
    <row r="5" spans="1:29" s="1" customFormat="1" ht="17.399999999999999">
      <c r="A5" s="9">
        <v>1</v>
      </c>
      <c r="B5" s="8">
        <v>240</v>
      </c>
      <c r="C5" s="8">
        <v>289805855</v>
      </c>
      <c r="D5" s="42" t="s">
        <v>123</v>
      </c>
      <c r="E5" s="4"/>
      <c r="F5" s="10">
        <v>3</v>
      </c>
      <c r="G5" s="10">
        <v>1</v>
      </c>
      <c r="H5" s="50">
        <v>0</v>
      </c>
      <c r="I5" s="50">
        <v>0</v>
      </c>
      <c r="J5" s="50">
        <v>0</v>
      </c>
      <c r="K5" s="12" t="s">
        <v>53</v>
      </c>
      <c r="L5" s="11">
        <f t="shared" ref="L5:L36" si="0">F5+IF(F5&gt;2,(F5-2)*1,0)</f>
        <v>4</v>
      </c>
      <c r="M5" s="10">
        <f t="shared" ref="M5:M28" si="1">G5*$Y$14</f>
        <v>1.2</v>
      </c>
      <c r="N5" s="10">
        <f t="shared" ref="N5:N36" si="2">SUM(H5:J5)*$Y$18</f>
        <v>0</v>
      </c>
      <c r="O5" s="10">
        <v>0</v>
      </c>
      <c r="P5" s="10">
        <f t="shared" ref="P5:P36" si="3">SUM(M5+L5+O5+N5)</f>
        <v>5.2</v>
      </c>
      <c r="Q5" s="17">
        <v>46.10625000000001</v>
      </c>
      <c r="R5" s="18">
        <f t="shared" ref="R5:R36" si="4">P5+Q5</f>
        <v>51.306250000000013</v>
      </c>
      <c r="S5" s="19">
        <f t="shared" ref="S5:S36" si="5">VLOOKUP(K5,$X$3:$Y$10,2,FALSE)</f>
        <v>8.125</v>
      </c>
      <c r="T5" s="20">
        <f t="shared" ref="T5:T36" si="6">R5-S5</f>
        <v>43.181250000000013</v>
      </c>
      <c r="U5" s="4"/>
      <c r="V5" s="4"/>
      <c r="W5" s="4"/>
      <c r="X5" s="14" t="s">
        <v>29</v>
      </c>
      <c r="Y5" s="28">
        <f>AC5/$Y$13/4</f>
        <v>1.875</v>
      </c>
      <c r="Z5" s="30">
        <v>3</v>
      </c>
      <c r="AA5" s="30">
        <v>5</v>
      </c>
      <c r="AB5" s="30">
        <v>10</v>
      </c>
      <c r="AC5" s="30">
        <v>1200</v>
      </c>
    </row>
    <row r="6" spans="1:29" s="1" customFormat="1" ht="17.399999999999999">
      <c r="A6" s="9">
        <v>1</v>
      </c>
      <c r="B6" s="9">
        <v>231</v>
      </c>
      <c r="C6" s="8">
        <v>1725915293</v>
      </c>
      <c r="D6" s="42" t="s">
        <v>112</v>
      </c>
      <c r="E6" s="4"/>
      <c r="F6" s="10">
        <v>4</v>
      </c>
      <c r="G6" s="10">
        <v>1</v>
      </c>
      <c r="H6" s="50">
        <v>0</v>
      </c>
      <c r="I6" s="50">
        <v>0</v>
      </c>
      <c r="J6" s="50">
        <v>0</v>
      </c>
      <c r="K6" s="12" t="s">
        <v>53</v>
      </c>
      <c r="L6" s="11">
        <f t="shared" si="0"/>
        <v>6</v>
      </c>
      <c r="M6" s="10">
        <f t="shared" si="1"/>
        <v>1.2</v>
      </c>
      <c r="N6" s="10">
        <f t="shared" si="2"/>
        <v>0</v>
      </c>
      <c r="O6" s="10">
        <v>0</v>
      </c>
      <c r="P6" s="10">
        <f t="shared" si="3"/>
        <v>7.2</v>
      </c>
      <c r="Q6" s="17">
        <v>27.968749999999993</v>
      </c>
      <c r="R6" s="18">
        <f t="shared" si="4"/>
        <v>35.168749999999996</v>
      </c>
      <c r="S6" s="19">
        <f t="shared" si="5"/>
        <v>8.125</v>
      </c>
      <c r="T6" s="20">
        <f t="shared" si="6"/>
        <v>27.043749999999996</v>
      </c>
      <c r="U6" s="4"/>
      <c r="V6" s="4"/>
      <c r="W6" s="4"/>
      <c r="X6" s="14"/>
      <c r="Y6" s="28"/>
      <c r="Z6" s="30"/>
      <c r="AA6" s="30"/>
      <c r="AB6" s="30"/>
      <c r="AC6" s="30"/>
    </row>
    <row r="7" spans="1:29" s="1" customFormat="1" ht="20.399999999999999">
      <c r="A7" s="9">
        <v>1</v>
      </c>
      <c r="B7" s="8">
        <v>221</v>
      </c>
      <c r="C7" s="8">
        <v>790956883</v>
      </c>
      <c r="D7" s="42" t="s">
        <v>96</v>
      </c>
      <c r="E7" s="42" t="s">
        <v>95</v>
      </c>
      <c r="F7" s="10">
        <v>4</v>
      </c>
      <c r="G7" s="10">
        <v>1</v>
      </c>
      <c r="H7" s="50">
        <v>0</v>
      </c>
      <c r="I7" s="50">
        <v>0</v>
      </c>
      <c r="J7" s="50">
        <v>0</v>
      </c>
      <c r="K7" s="12" t="s">
        <v>53</v>
      </c>
      <c r="L7" s="11">
        <f t="shared" si="0"/>
        <v>6</v>
      </c>
      <c r="M7" s="10">
        <f t="shared" si="1"/>
        <v>1.2</v>
      </c>
      <c r="N7" s="10">
        <f t="shared" si="2"/>
        <v>0</v>
      </c>
      <c r="O7" s="10">
        <v>0</v>
      </c>
      <c r="P7" s="10">
        <f t="shared" si="3"/>
        <v>7.2</v>
      </c>
      <c r="Q7" s="17">
        <v>27.706249999999994</v>
      </c>
      <c r="R7" s="18">
        <f t="shared" si="4"/>
        <v>34.906249999999993</v>
      </c>
      <c r="S7" s="19">
        <f t="shared" si="5"/>
        <v>8.125</v>
      </c>
      <c r="T7" s="20">
        <f t="shared" si="6"/>
        <v>26.781249999999993</v>
      </c>
      <c r="U7" s="4"/>
      <c r="V7" s="4"/>
      <c r="W7" s="4"/>
      <c r="X7" s="12" t="s">
        <v>53</v>
      </c>
      <c r="Y7" s="28">
        <f>AC7/$Y$13</f>
        <v>8.125</v>
      </c>
      <c r="Z7" s="30">
        <v>4</v>
      </c>
      <c r="AA7" s="30">
        <v>5</v>
      </c>
      <c r="AB7" s="30"/>
      <c r="AC7" s="30">
        <v>1300</v>
      </c>
    </row>
    <row r="8" spans="1:29" s="1" customFormat="1" ht="17.399999999999999">
      <c r="A8" s="9">
        <v>1</v>
      </c>
      <c r="B8" s="8">
        <v>225</v>
      </c>
      <c r="C8" s="8">
        <v>1963965829</v>
      </c>
      <c r="D8" s="42" t="s">
        <v>107</v>
      </c>
      <c r="E8" s="42"/>
      <c r="F8" s="10">
        <v>4</v>
      </c>
      <c r="G8" s="10">
        <v>1</v>
      </c>
      <c r="H8" s="50">
        <v>0</v>
      </c>
      <c r="I8" s="50">
        <v>0</v>
      </c>
      <c r="J8" s="50">
        <v>0</v>
      </c>
      <c r="K8" s="12" t="s">
        <v>53</v>
      </c>
      <c r="L8" s="11">
        <f t="shared" si="0"/>
        <v>6</v>
      </c>
      <c r="M8" s="10">
        <f t="shared" si="1"/>
        <v>1.2</v>
      </c>
      <c r="N8" s="10">
        <f t="shared" si="2"/>
        <v>0</v>
      </c>
      <c r="O8" s="10">
        <v>0</v>
      </c>
      <c r="P8" s="10">
        <f t="shared" si="3"/>
        <v>7.2</v>
      </c>
      <c r="Q8" s="17">
        <v>27.660736940298495</v>
      </c>
      <c r="R8" s="18">
        <f t="shared" si="4"/>
        <v>34.860736940298494</v>
      </c>
      <c r="S8" s="19">
        <f t="shared" si="5"/>
        <v>8.125</v>
      </c>
      <c r="T8" s="20">
        <f t="shared" si="6"/>
        <v>26.735736940298494</v>
      </c>
      <c r="U8" s="4"/>
      <c r="V8" s="4"/>
      <c r="W8" s="4"/>
      <c r="X8" s="13" t="s">
        <v>52</v>
      </c>
      <c r="Y8" s="28">
        <f>AC8/$Y$13</f>
        <v>6.25</v>
      </c>
      <c r="Z8" s="30">
        <v>3</v>
      </c>
      <c r="AA8" s="30">
        <v>4</v>
      </c>
      <c r="AB8" s="30"/>
      <c r="AC8" s="30">
        <v>1000</v>
      </c>
    </row>
    <row r="9" spans="1:29" s="1" customFormat="1" ht="17.399999999999999">
      <c r="A9" s="9">
        <v>1</v>
      </c>
      <c r="B9" s="8">
        <v>242</v>
      </c>
      <c r="C9" s="8">
        <v>1381736232</v>
      </c>
      <c r="D9" s="42" t="s">
        <v>125</v>
      </c>
      <c r="E9" s="4"/>
      <c r="F9" s="10">
        <v>4</v>
      </c>
      <c r="G9" s="10">
        <v>1</v>
      </c>
      <c r="H9" s="50">
        <v>0</v>
      </c>
      <c r="I9" s="50">
        <v>0</v>
      </c>
      <c r="J9" s="50">
        <v>0</v>
      </c>
      <c r="K9" s="12" t="s">
        <v>53</v>
      </c>
      <c r="L9" s="11">
        <f t="shared" si="0"/>
        <v>6</v>
      </c>
      <c r="M9" s="10">
        <f t="shared" si="1"/>
        <v>1.2</v>
      </c>
      <c r="N9" s="10">
        <f t="shared" si="2"/>
        <v>0</v>
      </c>
      <c r="O9" s="10">
        <v>0</v>
      </c>
      <c r="P9" s="10">
        <f t="shared" si="3"/>
        <v>7.2</v>
      </c>
      <c r="Q9" s="17">
        <v>27.631249999999991</v>
      </c>
      <c r="R9" s="18">
        <f t="shared" si="4"/>
        <v>34.83124999999999</v>
      </c>
      <c r="S9" s="19">
        <f t="shared" si="5"/>
        <v>8.125</v>
      </c>
      <c r="T9" s="20">
        <f t="shared" si="6"/>
        <v>26.70624999999999</v>
      </c>
      <c r="U9" s="4"/>
      <c r="V9" s="4"/>
      <c r="W9" s="4"/>
      <c r="X9" s="14" t="s">
        <v>53</v>
      </c>
      <c r="Y9" s="28">
        <f>AC9/$Y$13/4</f>
        <v>1.09375</v>
      </c>
      <c r="Z9" s="30">
        <v>2</v>
      </c>
      <c r="AA9" s="30">
        <v>3</v>
      </c>
      <c r="AB9" s="30"/>
      <c r="AC9" s="30">
        <v>700</v>
      </c>
    </row>
    <row r="10" spans="1:29" s="1" customFormat="1" ht="17.399999999999999">
      <c r="A10" s="9">
        <v>1</v>
      </c>
      <c r="B10" s="8">
        <v>226</v>
      </c>
      <c r="C10" s="8">
        <v>1238792963</v>
      </c>
      <c r="D10" s="42" t="s">
        <v>108</v>
      </c>
      <c r="E10" s="42"/>
      <c r="F10" s="10">
        <v>4</v>
      </c>
      <c r="G10" s="10">
        <v>1</v>
      </c>
      <c r="H10" s="50">
        <v>0</v>
      </c>
      <c r="I10" s="50">
        <v>0</v>
      </c>
      <c r="J10" s="50">
        <v>0</v>
      </c>
      <c r="K10" s="12" t="s">
        <v>53</v>
      </c>
      <c r="L10" s="11">
        <f t="shared" si="0"/>
        <v>6</v>
      </c>
      <c r="M10" s="10">
        <f t="shared" si="1"/>
        <v>1.2</v>
      </c>
      <c r="N10" s="10">
        <f t="shared" si="2"/>
        <v>0</v>
      </c>
      <c r="O10" s="10">
        <v>0</v>
      </c>
      <c r="P10" s="10">
        <f t="shared" si="3"/>
        <v>7.2</v>
      </c>
      <c r="Q10" s="17">
        <v>27.506249999999994</v>
      </c>
      <c r="R10" s="18">
        <f t="shared" si="4"/>
        <v>34.706249999999997</v>
      </c>
      <c r="S10" s="19">
        <f t="shared" si="5"/>
        <v>8.125</v>
      </c>
      <c r="T10" s="20">
        <f t="shared" si="6"/>
        <v>26.581249999999997</v>
      </c>
      <c r="U10" s="4"/>
      <c r="V10" s="4"/>
      <c r="W10" s="4"/>
      <c r="X10" s="33" t="s">
        <v>30</v>
      </c>
      <c r="Y10" s="2">
        <v>0</v>
      </c>
      <c r="Z10" s="2"/>
      <c r="AA10" s="2"/>
      <c r="AB10" s="2"/>
      <c r="AC10" s="2"/>
    </row>
    <row r="11" spans="1:29" s="1" customFormat="1" ht="17.399999999999999">
      <c r="A11" s="9">
        <v>1</v>
      </c>
      <c r="B11" s="8">
        <v>183</v>
      </c>
      <c r="C11" s="8">
        <v>1250030371</v>
      </c>
      <c r="D11" s="42" t="s">
        <v>130</v>
      </c>
      <c r="E11" s="42" t="s">
        <v>121</v>
      </c>
      <c r="F11" s="10">
        <v>4</v>
      </c>
      <c r="G11" s="10">
        <v>1</v>
      </c>
      <c r="H11" s="50">
        <v>0</v>
      </c>
      <c r="I11" s="50">
        <v>0</v>
      </c>
      <c r="J11" s="50">
        <v>0</v>
      </c>
      <c r="K11" s="13" t="s">
        <v>52</v>
      </c>
      <c r="L11" s="11">
        <f t="shared" si="0"/>
        <v>6</v>
      </c>
      <c r="M11" s="10">
        <f t="shared" si="1"/>
        <v>1.2</v>
      </c>
      <c r="N11" s="10">
        <f t="shared" si="2"/>
        <v>0</v>
      </c>
      <c r="O11" s="10">
        <v>0</v>
      </c>
      <c r="P11" s="10">
        <f t="shared" si="3"/>
        <v>7.2</v>
      </c>
      <c r="Q11" s="17">
        <v>27.343749999999996</v>
      </c>
      <c r="R11" s="18">
        <f t="shared" si="4"/>
        <v>34.543749999999996</v>
      </c>
      <c r="S11" s="19">
        <f t="shared" si="5"/>
        <v>6.25</v>
      </c>
      <c r="T11" s="20">
        <f t="shared" si="6"/>
        <v>28.293749999999996</v>
      </c>
      <c r="U11" s="4"/>
      <c r="V11" s="4"/>
      <c r="W11" s="4"/>
      <c r="X11" s="34"/>
    </row>
    <row r="12" spans="1:29" s="1" customFormat="1" ht="17.399999999999999">
      <c r="A12" s="9">
        <v>1</v>
      </c>
      <c r="B12" s="8">
        <v>189</v>
      </c>
      <c r="C12" s="8">
        <v>522812489</v>
      </c>
      <c r="D12" s="42" t="s">
        <v>70</v>
      </c>
      <c r="E12" s="47"/>
      <c r="F12" s="10">
        <v>4</v>
      </c>
      <c r="G12" s="10">
        <v>1</v>
      </c>
      <c r="H12" s="50">
        <v>0</v>
      </c>
      <c r="I12" s="50">
        <v>0</v>
      </c>
      <c r="J12" s="50">
        <v>0</v>
      </c>
      <c r="K12" s="13" t="s">
        <v>52</v>
      </c>
      <c r="L12" s="11">
        <f t="shared" si="0"/>
        <v>6</v>
      </c>
      <c r="M12" s="10">
        <f t="shared" si="1"/>
        <v>1.2</v>
      </c>
      <c r="N12" s="10">
        <f t="shared" si="2"/>
        <v>0</v>
      </c>
      <c r="O12" s="10">
        <v>0</v>
      </c>
      <c r="P12" s="10">
        <f t="shared" si="3"/>
        <v>7.2</v>
      </c>
      <c r="Q12" s="17">
        <v>27.274999999999999</v>
      </c>
      <c r="R12" s="18">
        <f t="shared" si="4"/>
        <v>34.475000000000001</v>
      </c>
      <c r="S12" s="19">
        <f t="shared" si="5"/>
        <v>6.25</v>
      </c>
      <c r="T12" s="20">
        <f t="shared" si="6"/>
        <v>28.225000000000001</v>
      </c>
      <c r="U12" s="4"/>
      <c r="V12" s="4"/>
      <c r="W12" s="4"/>
      <c r="X12" s="35" t="s">
        <v>32</v>
      </c>
      <c r="Y12" s="1">
        <v>15000</v>
      </c>
    </row>
    <row r="13" spans="1:29" s="2" customFormat="1" ht="17.399999999999999">
      <c r="A13" s="9">
        <v>1</v>
      </c>
      <c r="B13" s="8">
        <v>232</v>
      </c>
      <c r="C13" s="8">
        <v>1088909927</v>
      </c>
      <c r="D13" s="42" t="s">
        <v>113</v>
      </c>
      <c r="E13" s="4"/>
      <c r="F13" s="10">
        <v>4</v>
      </c>
      <c r="G13" s="10">
        <v>1</v>
      </c>
      <c r="H13" s="50">
        <v>0</v>
      </c>
      <c r="I13" s="50">
        <v>0</v>
      </c>
      <c r="J13" s="50">
        <v>0</v>
      </c>
      <c r="K13" s="13" t="s">
        <v>52</v>
      </c>
      <c r="L13" s="11">
        <f t="shared" si="0"/>
        <v>6</v>
      </c>
      <c r="M13" s="10">
        <f t="shared" si="1"/>
        <v>1.2</v>
      </c>
      <c r="N13" s="10">
        <f t="shared" si="2"/>
        <v>0</v>
      </c>
      <c r="O13" s="10">
        <v>0</v>
      </c>
      <c r="P13" s="10">
        <f t="shared" si="3"/>
        <v>7.2</v>
      </c>
      <c r="Q13" s="17">
        <v>27.256249999999998</v>
      </c>
      <c r="R13" s="18">
        <f t="shared" si="4"/>
        <v>34.456249999999997</v>
      </c>
      <c r="S13" s="19">
        <f t="shared" si="5"/>
        <v>6.25</v>
      </c>
      <c r="T13" s="20">
        <f t="shared" si="6"/>
        <v>28.206249999999997</v>
      </c>
      <c r="U13" s="4"/>
      <c r="V13" s="4"/>
      <c r="W13" s="4"/>
      <c r="X13" s="36" t="s">
        <v>33</v>
      </c>
      <c r="Y13" s="37">
        <v>160</v>
      </c>
      <c r="Z13" s="1"/>
      <c r="AA13" s="1"/>
      <c r="AB13" s="1"/>
      <c r="AC13" s="1"/>
    </row>
    <row r="14" spans="1:29" s="2" customFormat="1" ht="17.399999999999999">
      <c r="A14" s="9">
        <v>1</v>
      </c>
      <c r="B14" s="8">
        <v>224</v>
      </c>
      <c r="C14" s="8">
        <v>862562360</v>
      </c>
      <c r="D14" s="42" t="s">
        <v>129</v>
      </c>
      <c r="E14" s="42" t="s">
        <v>106</v>
      </c>
      <c r="F14" s="10">
        <v>4</v>
      </c>
      <c r="G14" s="10">
        <v>1</v>
      </c>
      <c r="H14" s="50">
        <v>0</v>
      </c>
      <c r="I14" s="50">
        <v>0</v>
      </c>
      <c r="J14" s="50">
        <v>0</v>
      </c>
      <c r="K14" s="13" t="s">
        <v>52</v>
      </c>
      <c r="L14" s="11">
        <f t="shared" si="0"/>
        <v>6</v>
      </c>
      <c r="M14" s="10">
        <f t="shared" si="1"/>
        <v>1.2</v>
      </c>
      <c r="N14" s="10">
        <f t="shared" si="2"/>
        <v>0</v>
      </c>
      <c r="O14" s="10">
        <v>0</v>
      </c>
      <c r="P14" s="10">
        <f t="shared" si="3"/>
        <v>7.2</v>
      </c>
      <c r="Q14" s="17">
        <v>26.835354477611936</v>
      </c>
      <c r="R14" s="18">
        <f t="shared" si="4"/>
        <v>34.035354477611939</v>
      </c>
      <c r="S14" s="19">
        <f t="shared" si="5"/>
        <v>6.25</v>
      </c>
      <c r="T14" s="20">
        <f t="shared" si="6"/>
        <v>27.785354477611939</v>
      </c>
      <c r="U14" s="4"/>
      <c r="V14" s="4"/>
      <c r="W14" s="4"/>
      <c r="X14" s="38" t="s">
        <v>42</v>
      </c>
      <c r="Y14" s="37">
        <v>1.2</v>
      </c>
      <c r="Z14" s="1"/>
      <c r="AA14" s="1"/>
      <c r="AB14" s="1"/>
      <c r="AC14" s="1"/>
    </row>
    <row r="15" spans="1:29" s="2" customFormat="1" ht="17.399999999999999">
      <c r="A15" s="9">
        <v>1</v>
      </c>
      <c r="B15" s="8">
        <v>208</v>
      </c>
      <c r="C15" s="8">
        <v>92129464</v>
      </c>
      <c r="D15" s="42" t="s">
        <v>82</v>
      </c>
      <c r="E15" s="47"/>
      <c r="F15" s="10">
        <v>4</v>
      </c>
      <c r="G15" s="10">
        <v>1</v>
      </c>
      <c r="H15" s="50">
        <v>0</v>
      </c>
      <c r="I15" s="50">
        <v>0</v>
      </c>
      <c r="J15" s="50">
        <v>0</v>
      </c>
      <c r="K15" s="13" t="s">
        <v>52</v>
      </c>
      <c r="L15" s="11">
        <f t="shared" si="0"/>
        <v>6</v>
      </c>
      <c r="M15" s="10">
        <f t="shared" si="1"/>
        <v>1.2</v>
      </c>
      <c r="N15" s="10">
        <f t="shared" si="2"/>
        <v>0</v>
      </c>
      <c r="O15" s="10">
        <v>0</v>
      </c>
      <c r="P15" s="10">
        <f t="shared" si="3"/>
        <v>7.2</v>
      </c>
      <c r="Q15" s="17">
        <v>25.874999999999993</v>
      </c>
      <c r="R15" s="18">
        <f t="shared" si="4"/>
        <v>33.074999999999996</v>
      </c>
      <c r="S15" s="19">
        <f t="shared" si="5"/>
        <v>6.25</v>
      </c>
      <c r="T15" s="20">
        <f t="shared" si="6"/>
        <v>26.824999999999996</v>
      </c>
      <c r="U15" s="4"/>
      <c r="V15" s="4"/>
      <c r="W15" s="4"/>
      <c r="X15" s="1" t="s">
        <v>34</v>
      </c>
      <c r="Y15" s="37">
        <v>2021</v>
      </c>
      <c r="Z15" s="1"/>
      <c r="AA15" s="1"/>
      <c r="AB15" s="1"/>
      <c r="AC15" s="1"/>
    </row>
    <row r="16" spans="1:29" s="2" customFormat="1" ht="17.399999999999999">
      <c r="A16" s="9">
        <v>1</v>
      </c>
      <c r="B16" s="8">
        <v>200</v>
      </c>
      <c r="C16" s="8">
        <v>967589156</v>
      </c>
      <c r="D16" s="42" t="s">
        <v>76</v>
      </c>
      <c r="E16" s="47"/>
      <c r="F16" s="10">
        <v>4</v>
      </c>
      <c r="G16" s="10">
        <v>1</v>
      </c>
      <c r="H16" s="50">
        <v>0</v>
      </c>
      <c r="I16" s="50">
        <v>1</v>
      </c>
      <c r="J16" s="50">
        <v>0</v>
      </c>
      <c r="K16" s="13" t="s">
        <v>52</v>
      </c>
      <c r="L16" s="11">
        <f t="shared" si="0"/>
        <v>6</v>
      </c>
      <c r="M16" s="10">
        <f t="shared" si="1"/>
        <v>1.2</v>
      </c>
      <c r="N16" s="10">
        <f t="shared" si="2"/>
        <v>0.4</v>
      </c>
      <c r="O16" s="10">
        <v>0</v>
      </c>
      <c r="P16" s="10">
        <f t="shared" si="3"/>
        <v>7.6000000000000005</v>
      </c>
      <c r="Q16" s="17">
        <v>25.406250000000014</v>
      </c>
      <c r="R16" s="18">
        <f t="shared" si="4"/>
        <v>33.006250000000016</v>
      </c>
      <c r="S16" s="19">
        <f t="shared" si="5"/>
        <v>6.25</v>
      </c>
      <c r="T16" s="20">
        <f t="shared" si="6"/>
        <v>26.756250000000016</v>
      </c>
      <c r="U16" s="4"/>
      <c r="V16" s="4"/>
      <c r="W16" s="4"/>
      <c r="X16" s="1" t="s">
        <v>35</v>
      </c>
      <c r="Y16" s="37">
        <v>9</v>
      </c>
      <c r="Z16" s="1"/>
      <c r="AA16" s="1"/>
      <c r="AB16" s="1"/>
      <c r="AC16" s="1"/>
    </row>
    <row r="17" spans="1:29" s="2" customFormat="1" ht="17.399999999999999">
      <c r="A17" s="9">
        <v>1</v>
      </c>
      <c r="B17" s="8">
        <v>215</v>
      </c>
      <c r="C17" s="8">
        <v>289805855</v>
      </c>
      <c r="D17" s="42" t="s">
        <v>87</v>
      </c>
      <c r="F17" s="10">
        <v>3</v>
      </c>
      <c r="G17" s="10">
        <v>0</v>
      </c>
      <c r="H17" s="50">
        <v>0</v>
      </c>
      <c r="I17" s="50">
        <v>1</v>
      </c>
      <c r="J17" s="50">
        <v>1</v>
      </c>
      <c r="K17" s="14" t="s">
        <v>53</v>
      </c>
      <c r="L17" s="11">
        <f t="shared" si="0"/>
        <v>4</v>
      </c>
      <c r="M17" s="10">
        <f t="shared" si="1"/>
        <v>0</v>
      </c>
      <c r="N17" s="10">
        <f t="shared" si="2"/>
        <v>0.8</v>
      </c>
      <c r="O17" s="10">
        <v>0</v>
      </c>
      <c r="P17" s="10">
        <f t="shared" si="3"/>
        <v>4.8</v>
      </c>
      <c r="Q17" s="17">
        <v>27.750499999999995</v>
      </c>
      <c r="R17" s="18">
        <f t="shared" si="4"/>
        <v>32.550499999999992</v>
      </c>
      <c r="S17" s="19">
        <f t="shared" si="5"/>
        <v>8.125</v>
      </c>
      <c r="T17" s="20">
        <f t="shared" si="6"/>
        <v>24.425499999999992</v>
      </c>
      <c r="U17" s="4"/>
      <c r="V17" s="4"/>
      <c r="W17" s="4"/>
      <c r="X17" s="1" t="s">
        <v>36</v>
      </c>
      <c r="Y17" s="37">
        <v>11</v>
      </c>
      <c r="Z17" s="1"/>
      <c r="AA17" s="1"/>
      <c r="AB17" s="1"/>
      <c r="AC17" s="1"/>
    </row>
    <row r="18" spans="1:29" s="2" customFormat="1" ht="17.399999999999999">
      <c r="A18" s="9">
        <v>1</v>
      </c>
      <c r="B18" s="8">
        <v>128</v>
      </c>
      <c r="C18" s="8">
        <v>1214614935</v>
      </c>
      <c r="D18" s="42" t="s">
        <v>62</v>
      </c>
      <c r="E18" s="49" t="s">
        <v>43</v>
      </c>
      <c r="F18" s="10">
        <v>4</v>
      </c>
      <c r="G18" s="10">
        <v>1</v>
      </c>
      <c r="H18" s="50">
        <v>0</v>
      </c>
      <c r="I18" s="50">
        <v>1</v>
      </c>
      <c r="J18" s="50">
        <v>1</v>
      </c>
      <c r="K18" s="14" t="s">
        <v>53</v>
      </c>
      <c r="L18" s="11">
        <f t="shared" si="0"/>
        <v>6</v>
      </c>
      <c r="M18" s="10">
        <f t="shared" si="1"/>
        <v>1.2</v>
      </c>
      <c r="N18" s="10">
        <f t="shared" si="2"/>
        <v>0.8</v>
      </c>
      <c r="O18" s="10">
        <v>0</v>
      </c>
      <c r="P18" s="10">
        <f t="shared" si="3"/>
        <v>8</v>
      </c>
      <c r="Q18" s="17">
        <v>24.361999999999995</v>
      </c>
      <c r="R18" s="18">
        <f t="shared" si="4"/>
        <v>32.361999999999995</v>
      </c>
      <c r="S18" s="19">
        <f t="shared" si="5"/>
        <v>8.125</v>
      </c>
      <c r="T18" s="20">
        <f t="shared" si="6"/>
        <v>24.236999999999995</v>
      </c>
      <c r="U18" s="11"/>
      <c r="V18" s="11"/>
      <c r="W18" s="31"/>
      <c r="X18" s="51" t="s">
        <v>103</v>
      </c>
      <c r="Y18" s="37">
        <v>0.4</v>
      </c>
      <c r="Z18" s="1"/>
      <c r="AA18" s="1"/>
      <c r="AB18" s="1"/>
      <c r="AC18" s="1"/>
    </row>
    <row r="19" spans="1:29" s="2" customFormat="1" ht="17.399999999999999">
      <c r="A19" s="9">
        <v>1</v>
      </c>
      <c r="B19" s="9">
        <v>26</v>
      </c>
      <c r="C19" s="8">
        <v>1754932067</v>
      </c>
      <c r="D19" s="42" t="s">
        <v>58</v>
      </c>
      <c r="E19" s="42" t="s">
        <v>9</v>
      </c>
      <c r="F19" s="10">
        <v>2</v>
      </c>
      <c r="G19" s="10">
        <v>1</v>
      </c>
      <c r="H19" s="50">
        <v>0</v>
      </c>
      <c r="I19" s="50">
        <v>1</v>
      </c>
      <c r="J19" s="50">
        <v>1</v>
      </c>
      <c r="K19" s="14" t="s">
        <v>53</v>
      </c>
      <c r="L19" s="11">
        <f t="shared" si="0"/>
        <v>2</v>
      </c>
      <c r="M19" s="10">
        <f t="shared" si="1"/>
        <v>1.2</v>
      </c>
      <c r="N19" s="10">
        <f t="shared" si="2"/>
        <v>0.8</v>
      </c>
      <c r="O19" s="10">
        <v>0</v>
      </c>
      <c r="P19" s="10">
        <f t="shared" si="3"/>
        <v>4</v>
      </c>
      <c r="Q19" s="17">
        <v>28.200000000000003</v>
      </c>
      <c r="R19" s="18">
        <f t="shared" si="4"/>
        <v>32.200000000000003</v>
      </c>
      <c r="S19" s="19">
        <f t="shared" si="5"/>
        <v>8.125</v>
      </c>
      <c r="T19" s="20">
        <f t="shared" si="6"/>
        <v>24.075000000000003</v>
      </c>
      <c r="U19" s="11"/>
      <c r="V19" s="11"/>
      <c r="W19" s="11"/>
      <c r="X19" s="1"/>
      <c r="Y19" s="1"/>
      <c r="Z19" s="1"/>
      <c r="AA19" s="1"/>
      <c r="AB19" s="1"/>
      <c r="AC19" s="1"/>
    </row>
    <row r="20" spans="1:29" s="2" customFormat="1" ht="17.399999999999999">
      <c r="A20" s="9">
        <v>1</v>
      </c>
      <c r="B20" s="8">
        <v>202</v>
      </c>
      <c r="C20" s="8">
        <v>471245585</v>
      </c>
      <c r="D20" s="42" t="s">
        <v>77</v>
      </c>
      <c r="E20" s="47"/>
      <c r="F20" s="10">
        <v>3</v>
      </c>
      <c r="G20" s="10">
        <v>1</v>
      </c>
      <c r="H20" s="50">
        <v>0</v>
      </c>
      <c r="I20" s="50">
        <v>0</v>
      </c>
      <c r="J20" s="50">
        <v>0</v>
      </c>
      <c r="K20" s="14" t="s">
        <v>53</v>
      </c>
      <c r="L20" s="11">
        <f t="shared" si="0"/>
        <v>4</v>
      </c>
      <c r="M20" s="10">
        <f t="shared" si="1"/>
        <v>1.2</v>
      </c>
      <c r="N20" s="10">
        <f t="shared" si="2"/>
        <v>0</v>
      </c>
      <c r="O20" s="10">
        <v>0</v>
      </c>
      <c r="P20" s="10">
        <f t="shared" si="3"/>
        <v>5.2</v>
      </c>
      <c r="Q20" s="17">
        <v>26.437499999999993</v>
      </c>
      <c r="R20" s="18">
        <f t="shared" si="4"/>
        <v>31.637499999999992</v>
      </c>
      <c r="S20" s="19">
        <f t="shared" si="5"/>
        <v>8.125</v>
      </c>
      <c r="T20" s="20">
        <f t="shared" si="6"/>
        <v>23.512499999999992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7.399999999999999">
      <c r="A21" s="9">
        <v>1</v>
      </c>
      <c r="B21" s="8">
        <v>182</v>
      </c>
      <c r="C21" s="8">
        <v>828260319</v>
      </c>
      <c r="D21" s="42" t="s">
        <v>134</v>
      </c>
      <c r="E21" s="42" t="s">
        <v>127</v>
      </c>
      <c r="F21" s="10">
        <v>2</v>
      </c>
      <c r="G21" s="10">
        <v>1</v>
      </c>
      <c r="H21" s="50">
        <v>0</v>
      </c>
      <c r="I21" s="50">
        <v>0</v>
      </c>
      <c r="J21" s="50">
        <v>1</v>
      </c>
      <c r="K21" s="14" t="s">
        <v>53</v>
      </c>
      <c r="L21" s="11">
        <f t="shared" si="0"/>
        <v>2</v>
      </c>
      <c r="M21" s="10">
        <f t="shared" si="1"/>
        <v>1.2</v>
      </c>
      <c r="N21" s="10">
        <f t="shared" si="2"/>
        <v>0.4</v>
      </c>
      <c r="O21" s="10">
        <v>0</v>
      </c>
      <c r="P21" s="10">
        <f t="shared" si="3"/>
        <v>3.6</v>
      </c>
      <c r="Q21" s="17">
        <v>27.819250000000018</v>
      </c>
      <c r="R21" s="18">
        <f t="shared" si="4"/>
        <v>31.419250000000019</v>
      </c>
      <c r="S21" s="19">
        <f t="shared" si="5"/>
        <v>8.125</v>
      </c>
      <c r="T21" s="20">
        <f t="shared" si="6"/>
        <v>23.294250000000019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7.399999999999999">
      <c r="A22" s="9">
        <v>1</v>
      </c>
      <c r="B22" s="8">
        <v>195</v>
      </c>
      <c r="C22" s="8">
        <v>1634663314</v>
      </c>
      <c r="D22" s="42" t="s">
        <v>73</v>
      </c>
      <c r="E22" s="47"/>
      <c r="F22" s="10">
        <v>2</v>
      </c>
      <c r="G22" s="10">
        <v>1</v>
      </c>
      <c r="H22" s="50">
        <v>0</v>
      </c>
      <c r="I22" s="50">
        <v>0</v>
      </c>
      <c r="J22" s="50">
        <v>0</v>
      </c>
      <c r="K22" s="14" t="s">
        <v>53</v>
      </c>
      <c r="L22" s="11">
        <f t="shared" si="0"/>
        <v>2</v>
      </c>
      <c r="M22" s="10">
        <f t="shared" si="1"/>
        <v>1.2</v>
      </c>
      <c r="N22" s="10">
        <f t="shared" si="2"/>
        <v>0</v>
      </c>
      <c r="O22" s="10">
        <v>0</v>
      </c>
      <c r="P22" s="10">
        <f t="shared" si="3"/>
        <v>3.2</v>
      </c>
      <c r="Q22" s="17">
        <v>27.905749999999991</v>
      </c>
      <c r="R22" s="18">
        <f t="shared" si="4"/>
        <v>31.10574999999999</v>
      </c>
      <c r="S22" s="19">
        <f t="shared" si="5"/>
        <v>8.125</v>
      </c>
      <c r="T22" s="20">
        <f t="shared" si="6"/>
        <v>22.98074999999999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7.399999999999999">
      <c r="A23" s="9">
        <v>1</v>
      </c>
      <c r="B23" s="8">
        <v>184</v>
      </c>
      <c r="C23" s="8">
        <v>1814130074</v>
      </c>
      <c r="D23" s="42" t="s">
        <v>67</v>
      </c>
      <c r="E23" s="47"/>
      <c r="F23" s="10">
        <v>2</v>
      </c>
      <c r="G23" s="10">
        <v>1</v>
      </c>
      <c r="H23" s="50">
        <v>0</v>
      </c>
      <c r="I23" s="50">
        <v>1</v>
      </c>
      <c r="J23" s="50">
        <v>0</v>
      </c>
      <c r="K23" s="14" t="s">
        <v>53</v>
      </c>
      <c r="L23" s="11">
        <f t="shared" si="0"/>
        <v>2</v>
      </c>
      <c r="M23" s="10">
        <f t="shared" si="1"/>
        <v>1.2</v>
      </c>
      <c r="N23" s="10">
        <f t="shared" si="2"/>
        <v>0.4</v>
      </c>
      <c r="O23" s="10">
        <v>0</v>
      </c>
      <c r="P23" s="10">
        <f t="shared" si="3"/>
        <v>3.6</v>
      </c>
      <c r="Q23" s="17">
        <v>26.881250000000019</v>
      </c>
      <c r="R23" s="18">
        <f t="shared" si="4"/>
        <v>30.481250000000021</v>
      </c>
      <c r="S23" s="19">
        <f t="shared" si="5"/>
        <v>8.125</v>
      </c>
      <c r="T23" s="20">
        <f t="shared" si="6"/>
        <v>22.356250000000021</v>
      </c>
      <c r="U23" s="4"/>
      <c r="V23" s="4"/>
      <c r="W23" s="4"/>
    </row>
    <row r="24" spans="1:29" s="1" customFormat="1" ht="17.399999999999999">
      <c r="A24" s="9">
        <v>1</v>
      </c>
      <c r="B24" s="9">
        <v>10</v>
      </c>
      <c r="C24" s="8">
        <v>2108977014</v>
      </c>
      <c r="D24" s="42" t="s">
        <v>57</v>
      </c>
      <c r="E24" s="42" t="s">
        <v>8</v>
      </c>
      <c r="F24" s="10">
        <v>2</v>
      </c>
      <c r="G24" s="10">
        <v>1</v>
      </c>
      <c r="H24" s="50">
        <v>0</v>
      </c>
      <c r="I24" s="50">
        <v>0</v>
      </c>
      <c r="J24" s="50">
        <v>1</v>
      </c>
      <c r="K24" s="14" t="s">
        <v>53</v>
      </c>
      <c r="L24" s="11">
        <f t="shared" si="0"/>
        <v>2</v>
      </c>
      <c r="M24" s="10">
        <f t="shared" si="1"/>
        <v>1.2</v>
      </c>
      <c r="N24" s="10">
        <f t="shared" si="2"/>
        <v>0.4</v>
      </c>
      <c r="O24" s="10">
        <v>0</v>
      </c>
      <c r="P24" s="10">
        <f t="shared" si="3"/>
        <v>3.6</v>
      </c>
      <c r="Q24" s="17">
        <v>26.300000000000011</v>
      </c>
      <c r="R24" s="18">
        <f t="shared" si="4"/>
        <v>29.900000000000013</v>
      </c>
      <c r="S24" s="19">
        <f t="shared" si="5"/>
        <v>8.125</v>
      </c>
      <c r="T24" s="20">
        <f t="shared" si="6"/>
        <v>21.775000000000013</v>
      </c>
      <c r="U24" s="11"/>
      <c r="V24" s="11"/>
      <c r="W24" s="11"/>
    </row>
    <row r="25" spans="1:29" s="1" customFormat="1" ht="17.399999999999999">
      <c r="A25" s="9">
        <v>1</v>
      </c>
      <c r="B25" s="8">
        <v>238</v>
      </c>
      <c r="C25" s="8">
        <v>108179057</v>
      </c>
      <c r="D25" s="42" t="s">
        <v>120</v>
      </c>
      <c r="E25" s="4"/>
      <c r="F25" s="10">
        <v>4</v>
      </c>
      <c r="G25" s="10">
        <v>1</v>
      </c>
      <c r="H25" s="50">
        <v>0</v>
      </c>
      <c r="I25" s="50">
        <v>0</v>
      </c>
      <c r="J25" s="50">
        <v>0</v>
      </c>
      <c r="K25" s="14" t="s">
        <v>53</v>
      </c>
      <c r="L25" s="11">
        <f t="shared" si="0"/>
        <v>6</v>
      </c>
      <c r="M25" s="10">
        <f t="shared" si="1"/>
        <v>1.2</v>
      </c>
      <c r="N25" s="10">
        <f t="shared" si="2"/>
        <v>0</v>
      </c>
      <c r="O25" s="10">
        <v>0</v>
      </c>
      <c r="P25" s="10">
        <f t="shared" si="3"/>
        <v>7.2</v>
      </c>
      <c r="Q25" s="17">
        <v>22.48749999999999</v>
      </c>
      <c r="R25" s="18">
        <f t="shared" si="4"/>
        <v>29.687499999999989</v>
      </c>
      <c r="S25" s="19">
        <f t="shared" si="5"/>
        <v>8.125</v>
      </c>
      <c r="T25" s="20">
        <f t="shared" si="6"/>
        <v>21.562499999999989</v>
      </c>
      <c r="U25" s="4"/>
      <c r="V25" s="4"/>
      <c r="W25" s="4"/>
    </row>
    <row r="26" spans="1:29" s="1" customFormat="1" ht="18.75" customHeight="1">
      <c r="A26" s="9">
        <v>1</v>
      </c>
      <c r="B26" s="9">
        <v>92</v>
      </c>
      <c r="C26" s="8">
        <v>1367873925</v>
      </c>
      <c r="D26" s="42" t="s">
        <v>80</v>
      </c>
      <c r="E26" s="42" t="s">
        <v>31</v>
      </c>
      <c r="F26" s="10">
        <v>4</v>
      </c>
      <c r="G26" s="10">
        <v>1</v>
      </c>
      <c r="H26" s="50">
        <v>0</v>
      </c>
      <c r="I26" s="50">
        <v>0</v>
      </c>
      <c r="J26" s="50">
        <v>0</v>
      </c>
      <c r="K26" s="14" t="s">
        <v>53</v>
      </c>
      <c r="L26" s="11">
        <f t="shared" si="0"/>
        <v>6</v>
      </c>
      <c r="M26" s="10">
        <f t="shared" si="1"/>
        <v>1.2</v>
      </c>
      <c r="N26" s="10">
        <f t="shared" si="2"/>
        <v>0</v>
      </c>
      <c r="O26" s="10">
        <v>0</v>
      </c>
      <c r="P26" s="10">
        <f t="shared" si="3"/>
        <v>7.2</v>
      </c>
      <c r="Q26" s="17">
        <v>22.368749999999995</v>
      </c>
      <c r="R26" s="18">
        <f t="shared" si="4"/>
        <v>29.568749999999994</v>
      </c>
      <c r="S26" s="19">
        <f t="shared" si="5"/>
        <v>8.125</v>
      </c>
      <c r="T26" s="20">
        <f t="shared" si="6"/>
        <v>21.443749999999994</v>
      </c>
      <c r="U26" s="11"/>
      <c r="V26" s="11"/>
      <c r="W26" s="31"/>
    </row>
    <row r="27" spans="1:29" s="1" customFormat="1" ht="17.399999999999999">
      <c r="A27" s="9">
        <v>1</v>
      </c>
      <c r="B27" s="8">
        <v>216</v>
      </c>
      <c r="C27" s="8">
        <v>395700385</v>
      </c>
      <c r="D27" s="42" t="s">
        <v>88</v>
      </c>
      <c r="E27" s="2"/>
      <c r="F27" s="10">
        <v>4</v>
      </c>
      <c r="G27" s="10">
        <v>1</v>
      </c>
      <c r="H27" s="50">
        <v>0</v>
      </c>
      <c r="I27" s="50">
        <v>0</v>
      </c>
      <c r="J27" s="50">
        <v>0</v>
      </c>
      <c r="K27" s="14" t="s">
        <v>53</v>
      </c>
      <c r="L27" s="11">
        <f t="shared" si="0"/>
        <v>6</v>
      </c>
      <c r="M27" s="10">
        <f t="shared" si="1"/>
        <v>1.2</v>
      </c>
      <c r="N27" s="10">
        <f t="shared" si="2"/>
        <v>0</v>
      </c>
      <c r="O27" s="10">
        <v>0</v>
      </c>
      <c r="P27" s="10">
        <f t="shared" si="3"/>
        <v>7.2</v>
      </c>
      <c r="Q27" s="17">
        <v>22.025201612903217</v>
      </c>
      <c r="R27" s="18">
        <f t="shared" si="4"/>
        <v>29.225201612903216</v>
      </c>
      <c r="S27" s="19">
        <f t="shared" si="5"/>
        <v>8.125</v>
      </c>
      <c r="T27" s="20">
        <f t="shared" si="6"/>
        <v>21.100201612903216</v>
      </c>
      <c r="U27" s="4"/>
      <c r="V27" s="4"/>
      <c r="W27" s="4"/>
    </row>
    <row r="28" spans="1:29" s="1" customFormat="1" ht="17.399999999999999">
      <c r="A28" s="9">
        <v>1</v>
      </c>
      <c r="B28" s="8">
        <v>172</v>
      </c>
      <c r="C28" s="8">
        <v>724061220</v>
      </c>
      <c r="D28" s="42" t="s">
        <v>65</v>
      </c>
      <c r="E28" s="42" t="s">
        <v>50</v>
      </c>
      <c r="F28" s="10">
        <v>4</v>
      </c>
      <c r="G28" s="10">
        <v>1</v>
      </c>
      <c r="H28" s="50">
        <v>0</v>
      </c>
      <c r="I28" s="50">
        <v>0</v>
      </c>
      <c r="J28" s="50">
        <v>0</v>
      </c>
      <c r="K28" s="14" t="s">
        <v>53</v>
      </c>
      <c r="L28" s="11">
        <f t="shared" si="0"/>
        <v>6</v>
      </c>
      <c r="M28" s="10">
        <f t="shared" si="1"/>
        <v>1.2</v>
      </c>
      <c r="N28" s="10">
        <f t="shared" si="2"/>
        <v>0</v>
      </c>
      <c r="O28" s="10">
        <v>0</v>
      </c>
      <c r="P28" s="10">
        <f t="shared" si="3"/>
        <v>7.2</v>
      </c>
      <c r="Q28" s="17">
        <v>21.78125</v>
      </c>
      <c r="R28" s="18">
        <f t="shared" si="4"/>
        <v>28.981249999999999</v>
      </c>
      <c r="S28" s="19">
        <f t="shared" si="5"/>
        <v>8.125</v>
      </c>
      <c r="T28" s="20">
        <f t="shared" si="6"/>
        <v>20.856249999999999</v>
      </c>
      <c r="U28" s="4"/>
      <c r="V28" s="4"/>
      <c r="W28" s="4"/>
    </row>
    <row r="29" spans="1:29" s="2" customFormat="1" ht="20.399999999999999">
      <c r="A29" s="9">
        <v>1</v>
      </c>
      <c r="B29" s="9">
        <v>49</v>
      </c>
      <c r="C29" s="8">
        <v>311361673</v>
      </c>
      <c r="D29" s="43" t="s">
        <v>105</v>
      </c>
      <c r="E29" s="49" t="s">
        <v>11</v>
      </c>
      <c r="F29" s="10">
        <v>4</v>
      </c>
      <c r="G29" s="10">
        <v>1</v>
      </c>
      <c r="H29" s="50">
        <v>0</v>
      </c>
      <c r="I29" s="50">
        <v>1</v>
      </c>
      <c r="J29" s="50">
        <v>1</v>
      </c>
      <c r="K29" s="14" t="s">
        <v>53</v>
      </c>
      <c r="L29" s="11">
        <f t="shared" si="0"/>
        <v>6</v>
      </c>
      <c r="M29" s="10">
        <f>IF(G29&gt;0,1,0)*$Y$14</f>
        <v>1.2</v>
      </c>
      <c r="N29" s="10">
        <f t="shared" si="2"/>
        <v>0.8</v>
      </c>
      <c r="O29" s="10">
        <v>0</v>
      </c>
      <c r="P29" s="10">
        <f t="shared" si="3"/>
        <v>8</v>
      </c>
      <c r="Q29" s="17">
        <v>20.893749999999997</v>
      </c>
      <c r="R29" s="18">
        <f t="shared" si="4"/>
        <v>28.893749999999997</v>
      </c>
      <c r="S29" s="19">
        <f t="shared" si="5"/>
        <v>8.125</v>
      </c>
      <c r="T29" s="20">
        <f t="shared" si="6"/>
        <v>20.768749999999997</v>
      </c>
      <c r="U29" s="11"/>
      <c r="V29" s="11"/>
      <c r="W29" s="11"/>
      <c r="X29" s="1"/>
      <c r="Y29" s="1"/>
      <c r="Z29" s="1"/>
      <c r="AA29" s="1"/>
      <c r="AB29" s="1"/>
      <c r="AC29" s="1"/>
    </row>
    <row r="30" spans="1:29" s="2" customFormat="1" ht="17.399999999999999">
      <c r="A30" s="9">
        <v>1</v>
      </c>
      <c r="B30" s="8">
        <v>185</v>
      </c>
      <c r="C30" s="8">
        <v>30705222</v>
      </c>
      <c r="D30" s="42" t="s">
        <v>68</v>
      </c>
      <c r="E30" s="47"/>
      <c r="F30" s="10">
        <v>4</v>
      </c>
      <c r="G30" s="10">
        <v>1</v>
      </c>
      <c r="H30" s="50">
        <v>0</v>
      </c>
      <c r="I30" s="50">
        <v>1</v>
      </c>
      <c r="J30" s="50">
        <v>1</v>
      </c>
      <c r="K30" s="14" t="s">
        <v>53</v>
      </c>
      <c r="L30" s="11">
        <f t="shared" si="0"/>
        <v>6</v>
      </c>
      <c r="M30" s="10">
        <f t="shared" ref="M30:M70" si="7">G30*$Y$14</f>
        <v>1.2</v>
      </c>
      <c r="N30" s="10">
        <f t="shared" si="2"/>
        <v>0.8</v>
      </c>
      <c r="O30" s="10">
        <v>0</v>
      </c>
      <c r="P30" s="10">
        <f t="shared" si="3"/>
        <v>8</v>
      </c>
      <c r="Q30" s="17">
        <v>20.706250000000001</v>
      </c>
      <c r="R30" s="18">
        <f t="shared" si="4"/>
        <v>28.706250000000001</v>
      </c>
      <c r="S30" s="19">
        <f t="shared" si="5"/>
        <v>8.125</v>
      </c>
      <c r="T30" s="20">
        <f t="shared" si="6"/>
        <v>20.581250000000001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7.399999999999999">
      <c r="A31" s="9">
        <v>1</v>
      </c>
      <c r="B31" s="8">
        <v>116</v>
      </c>
      <c r="C31" s="8">
        <v>2122596917</v>
      </c>
      <c r="D31" s="42" t="s">
        <v>61</v>
      </c>
      <c r="E31" s="42" t="s">
        <v>37</v>
      </c>
      <c r="F31" s="10">
        <v>4</v>
      </c>
      <c r="G31" s="10">
        <v>1</v>
      </c>
      <c r="H31" s="50">
        <v>0</v>
      </c>
      <c r="I31" s="50">
        <v>1</v>
      </c>
      <c r="J31" s="50">
        <v>1</v>
      </c>
      <c r="K31" s="14" t="s">
        <v>53</v>
      </c>
      <c r="L31" s="11">
        <f t="shared" si="0"/>
        <v>6</v>
      </c>
      <c r="M31" s="10">
        <f t="shared" si="7"/>
        <v>1.2</v>
      </c>
      <c r="N31" s="10">
        <f t="shared" si="2"/>
        <v>0.8</v>
      </c>
      <c r="O31" s="10">
        <v>0</v>
      </c>
      <c r="P31" s="10">
        <f t="shared" si="3"/>
        <v>8</v>
      </c>
      <c r="Q31" s="17">
        <v>20.625</v>
      </c>
      <c r="R31" s="18">
        <f t="shared" si="4"/>
        <v>28.625</v>
      </c>
      <c r="S31" s="19">
        <f t="shared" si="5"/>
        <v>8.125</v>
      </c>
      <c r="T31" s="20">
        <f t="shared" si="6"/>
        <v>20.5</v>
      </c>
      <c r="U31" s="11"/>
      <c r="V31" s="11"/>
      <c r="W31" s="32"/>
      <c r="X31" s="1"/>
      <c r="Y31" s="1"/>
      <c r="Z31" s="1"/>
      <c r="AA31" s="1"/>
      <c r="AB31" s="1"/>
      <c r="AC31" s="1"/>
    </row>
    <row r="32" spans="1:29" s="2" customFormat="1" ht="17.399999999999999">
      <c r="A32" s="9">
        <v>1</v>
      </c>
      <c r="B32" s="8">
        <v>174</v>
      </c>
      <c r="C32" s="8">
        <v>775720958</v>
      </c>
      <c r="D32" s="42" t="s">
        <v>79</v>
      </c>
      <c r="E32" s="42" t="s">
        <v>49</v>
      </c>
      <c r="F32" s="10">
        <v>4</v>
      </c>
      <c r="G32" s="10">
        <v>1</v>
      </c>
      <c r="H32" s="50">
        <v>0</v>
      </c>
      <c r="I32" s="50">
        <v>0</v>
      </c>
      <c r="J32" s="50">
        <v>0</v>
      </c>
      <c r="K32" s="14" t="s">
        <v>53</v>
      </c>
      <c r="L32" s="11">
        <f t="shared" si="0"/>
        <v>6</v>
      </c>
      <c r="M32" s="10">
        <f t="shared" si="7"/>
        <v>1.2</v>
      </c>
      <c r="N32" s="10">
        <f t="shared" si="2"/>
        <v>0</v>
      </c>
      <c r="O32" s="10">
        <v>0</v>
      </c>
      <c r="P32" s="10">
        <f t="shared" si="3"/>
        <v>7.2</v>
      </c>
      <c r="Q32" s="17">
        <v>20.699999999999985</v>
      </c>
      <c r="R32" s="18">
        <f t="shared" si="4"/>
        <v>27.899999999999984</v>
      </c>
      <c r="S32" s="19">
        <f t="shared" si="5"/>
        <v>8.125</v>
      </c>
      <c r="T32" s="20">
        <f t="shared" si="6"/>
        <v>19.774999999999984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7.399999999999999">
      <c r="A33" s="9">
        <v>1</v>
      </c>
      <c r="B33" s="8">
        <v>212</v>
      </c>
      <c r="C33" s="8">
        <v>2133045883</v>
      </c>
      <c r="D33" s="42" t="s">
        <v>84</v>
      </c>
      <c r="E33" s="47"/>
      <c r="F33" s="10">
        <v>3</v>
      </c>
      <c r="G33" s="10">
        <v>1</v>
      </c>
      <c r="H33" s="50">
        <v>0</v>
      </c>
      <c r="I33" s="50">
        <v>0</v>
      </c>
      <c r="J33" s="50">
        <v>0</v>
      </c>
      <c r="K33" s="14" t="s">
        <v>53</v>
      </c>
      <c r="L33" s="11">
        <f t="shared" si="0"/>
        <v>4</v>
      </c>
      <c r="M33" s="10">
        <f t="shared" si="7"/>
        <v>1.2</v>
      </c>
      <c r="N33" s="10">
        <f t="shared" si="2"/>
        <v>0</v>
      </c>
      <c r="O33" s="10">
        <v>0</v>
      </c>
      <c r="P33" s="10">
        <f t="shared" si="3"/>
        <v>5.2</v>
      </c>
      <c r="Q33" s="17">
        <v>22.256249999999987</v>
      </c>
      <c r="R33" s="18">
        <f t="shared" si="4"/>
        <v>27.456249999999986</v>
      </c>
      <c r="S33" s="19">
        <f t="shared" si="5"/>
        <v>8.125</v>
      </c>
      <c r="T33" s="20">
        <f t="shared" si="6"/>
        <v>19.331249999999986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7.399999999999999">
      <c r="A34" s="9">
        <v>1</v>
      </c>
      <c r="B34" s="8">
        <v>236</v>
      </c>
      <c r="C34" s="8">
        <v>1968448898</v>
      </c>
      <c r="D34" s="42" t="s">
        <v>118</v>
      </c>
      <c r="E34" s="4"/>
      <c r="F34" s="10">
        <v>3</v>
      </c>
      <c r="G34" s="10">
        <v>1</v>
      </c>
      <c r="H34" s="50">
        <v>0</v>
      </c>
      <c r="I34" s="50">
        <v>0</v>
      </c>
      <c r="J34" s="50">
        <v>0</v>
      </c>
      <c r="K34" s="14" t="s">
        <v>53</v>
      </c>
      <c r="L34" s="11">
        <f t="shared" si="0"/>
        <v>4</v>
      </c>
      <c r="M34" s="10">
        <f t="shared" si="7"/>
        <v>1.2</v>
      </c>
      <c r="N34" s="10">
        <f t="shared" si="2"/>
        <v>0</v>
      </c>
      <c r="O34" s="10">
        <v>0</v>
      </c>
      <c r="P34" s="10">
        <f t="shared" si="3"/>
        <v>5.2</v>
      </c>
      <c r="Q34" s="17">
        <v>21.906249999999993</v>
      </c>
      <c r="R34" s="18">
        <f t="shared" si="4"/>
        <v>27.106249999999992</v>
      </c>
      <c r="S34" s="19">
        <f t="shared" si="5"/>
        <v>8.125</v>
      </c>
      <c r="T34" s="20">
        <f t="shared" si="6"/>
        <v>18.981249999999992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7.399999999999999">
      <c r="A35" s="9">
        <v>1</v>
      </c>
      <c r="B35" s="8">
        <v>118</v>
      </c>
      <c r="C35" s="8">
        <v>2018112397</v>
      </c>
      <c r="D35" s="42" t="s">
        <v>54</v>
      </c>
      <c r="E35" s="42" t="s">
        <v>47</v>
      </c>
      <c r="F35" s="10">
        <v>2</v>
      </c>
      <c r="G35" s="10">
        <v>1</v>
      </c>
      <c r="H35" s="50">
        <v>0</v>
      </c>
      <c r="I35" s="50">
        <v>0</v>
      </c>
      <c r="J35" s="50">
        <v>0</v>
      </c>
      <c r="K35" s="14" t="s">
        <v>53</v>
      </c>
      <c r="L35" s="11">
        <f t="shared" si="0"/>
        <v>2</v>
      </c>
      <c r="M35" s="10">
        <f t="shared" si="7"/>
        <v>1.2</v>
      </c>
      <c r="N35" s="10">
        <f t="shared" si="2"/>
        <v>0</v>
      </c>
      <c r="O35" s="10">
        <v>0</v>
      </c>
      <c r="P35" s="10">
        <f t="shared" si="3"/>
        <v>3.2</v>
      </c>
      <c r="Q35" s="17">
        <v>23.593749999999989</v>
      </c>
      <c r="R35" s="18">
        <f t="shared" si="4"/>
        <v>26.793749999999989</v>
      </c>
      <c r="S35" s="19">
        <f t="shared" si="5"/>
        <v>8.125</v>
      </c>
      <c r="T35" s="20">
        <f t="shared" si="6"/>
        <v>18.668749999999989</v>
      </c>
      <c r="U35" s="11"/>
      <c r="V35" s="11"/>
      <c r="W35" s="32"/>
      <c r="X35" s="1"/>
      <c r="Y35" s="1"/>
      <c r="Z35" s="1"/>
      <c r="AA35" s="1"/>
      <c r="AB35" s="1"/>
      <c r="AC35" s="1"/>
    </row>
    <row r="36" spans="1:29" s="2" customFormat="1" ht="17.399999999999999">
      <c r="A36" s="9">
        <v>1</v>
      </c>
      <c r="B36" s="8">
        <v>241</v>
      </c>
      <c r="C36" s="8">
        <v>1136259669</v>
      </c>
      <c r="D36" s="42" t="s">
        <v>124</v>
      </c>
      <c r="E36" s="4"/>
      <c r="F36" s="10">
        <v>1</v>
      </c>
      <c r="G36" s="10">
        <v>1</v>
      </c>
      <c r="H36" s="50">
        <v>0</v>
      </c>
      <c r="I36" s="50">
        <v>0</v>
      </c>
      <c r="J36" s="50">
        <v>0</v>
      </c>
      <c r="K36" s="14" t="s">
        <v>53</v>
      </c>
      <c r="L36" s="11">
        <f t="shared" si="0"/>
        <v>1</v>
      </c>
      <c r="M36" s="10">
        <f t="shared" si="7"/>
        <v>1.2</v>
      </c>
      <c r="N36" s="10">
        <f t="shared" si="2"/>
        <v>0</v>
      </c>
      <c r="O36" s="10">
        <v>0</v>
      </c>
      <c r="P36" s="10">
        <f t="shared" si="3"/>
        <v>2.2000000000000002</v>
      </c>
      <c r="Q36" s="17">
        <v>24.443749999999991</v>
      </c>
      <c r="R36" s="18">
        <f t="shared" si="4"/>
        <v>26.64374999999999</v>
      </c>
      <c r="S36" s="19">
        <f t="shared" si="5"/>
        <v>8.125</v>
      </c>
      <c r="T36" s="20">
        <f t="shared" si="6"/>
        <v>18.51874999999999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7.399999999999999">
      <c r="A37" s="9">
        <v>1</v>
      </c>
      <c r="B37" s="8">
        <v>156</v>
      </c>
      <c r="C37" s="8">
        <v>1744610165</v>
      </c>
      <c r="D37" s="42" t="s">
        <v>135</v>
      </c>
      <c r="E37" s="42" t="s">
        <v>64</v>
      </c>
      <c r="F37" s="10">
        <v>3</v>
      </c>
      <c r="G37" s="10">
        <v>1</v>
      </c>
      <c r="H37" s="50">
        <v>0</v>
      </c>
      <c r="I37" s="50">
        <v>0</v>
      </c>
      <c r="J37" s="50">
        <v>0</v>
      </c>
      <c r="K37" s="14" t="s">
        <v>53</v>
      </c>
      <c r="L37" s="11">
        <f t="shared" ref="L37:L70" si="8">F37+IF(F37&gt;2,(F37-2)*1,0)</f>
        <v>4</v>
      </c>
      <c r="M37" s="10">
        <f t="shared" si="7"/>
        <v>1.2</v>
      </c>
      <c r="N37" s="10">
        <f t="shared" ref="N37:N70" si="9">SUM(H37:J37)*$Y$18</f>
        <v>0</v>
      </c>
      <c r="O37" s="10">
        <v>0</v>
      </c>
      <c r="P37" s="10">
        <f t="shared" ref="P37:P68" si="10">SUM(M37+L37+O37+N37)</f>
        <v>5.2</v>
      </c>
      <c r="Q37" s="17">
        <v>21.023766129032246</v>
      </c>
      <c r="R37" s="18">
        <f t="shared" ref="R37:R68" si="11">P37+Q37</f>
        <v>26.223766129032246</v>
      </c>
      <c r="S37" s="19">
        <f t="shared" ref="S37:S70" si="12">VLOOKUP(K37,$X$3:$Y$10,2,FALSE)</f>
        <v>8.125</v>
      </c>
      <c r="T37" s="20">
        <f t="shared" ref="T37:T68" si="13">R37-S37</f>
        <v>18.098766129032246</v>
      </c>
      <c r="U37" s="4"/>
      <c r="V37" s="4"/>
      <c r="W37" s="4"/>
    </row>
    <row r="38" spans="1:29" s="2" customFormat="1" ht="17.399999999999999">
      <c r="A38" s="9">
        <v>1</v>
      </c>
      <c r="B38" s="8">
        <v>209</v>
      </c>
      <c r="C38" s="8">
        <v>1525950050</v>
      </c>
      <c r="D38" s="42" t="s">
        <v>85</v>
      </c>
      <c r="E38" s="42" t="s">
        <v>83</v>
      </c>
      <c r="F38" s="10">
        <v>3</v>
      </c>
      <c r="G38" s="10">
        <v>0</v>
      </c>
      <c r="H38" s="50">
        <v>0</v>
      </c>
      <c r="I38" s="50">
        <v>0</v>
      </c>
      <c r="J38" s="50">
        <v>0</v>
      </c>
      <c r="K38" s="14" t="s">
        <v>53</v>
      </c>
      <c r="L38" s="11">
        <f t="shared" si="8"/>
        <v>4</v>
      </c>
      <c r="M38" s="10">
        <f t="shared" si="7"/>
        <v>0</v>
      </c>
      <c r="N38" s="10">
        <f t="shared" si="9"/>
        <v>0</v>
      </c>
      <c r="O38" s="10">
        <v>0</v>
      </c>
      <c r="P38" s="10">
        <f t="shared" si="10"/>
        <v>4</v>
      </c>
      <c r="Q38" s="17">
        <v>22.149999999999991</v>
      </c>
      <c r="R38" s="18">
        <f t="shared" si="11"/>
        <v>26.149999999999991</v>
      </c>
      <c r="S38" s="19">
        <f t="shared" si="12"/>
        <v>8.125</v>
      </c>
      <c r="T38" s="20">
        <f t="shared" si="13"/>
        <v>18.024999999999991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7.399999999999999">
      <c r="A39" s="9">
        <v>1</v>
      </c>
      <c r="B39" s="9">
        <v>46</v>
      </c>
      <c r="C39" s="8">
        <v>2109182835</v>
      </c>
      <c r="D39" s="42" t="s">
        <v>59</v>
      </c>
      <c r="E39" s="42" t="s">
        <v>10</v>
      </c>
      <c r="F39" s="10">
        <v>3</v>
      </c>
      <c r="G39" s="10">
        <v>1</v>
      </c>
      <c r="H39" s="50">
        <v>0</v>
      </c>
      <c r="I39" s="50">
        <v>1</v>
      </c>
      <c r="J39" s="50">
        <v>0</v>
      </c>
      <c r="K39" s="14" t="s">
        <v>53</v>
      </c>
      <c r="L39" s="11">
        <f t="shared" si="8"/>
        <v>4</v>
      </c>
      <c r="M39" s="10">
        <f t="shared" si="7"/>
        <v>1.2</v>
      </c>
      <c r="N39" s="10">
        <f t="shared" si="9"/>
        <v>0.4</v>
      </c>
      <c r="O39" s="10">
        <v>0</v>
      </c>
      <c r="P39" s="10">
        <f t="shared" si="10"/>
        <v>5.6000000000000005</v>
      </c>
      <c r="Q39" s="17">
        <v>20.442500000000013</v>
      </c>
      <c r="R39" s="18">
        <f t="shared" si="11"/>
        <v>26.042500000000015</v>
      </c>
      <c r="S39" s="19">
        <f t="shared" si="12"/>
        <v>8.125</v>
      </c>
      <c r="T39" s="20">
        <f t="shared" si="13"/>
        <v>17.917500000000015</v>
      </c>
      <c r="U39" s="11"/>
      <c r="V39" s="11"/>
      <c r="W39" s="11"/>
    </row>
    <row r="40" spans="1:29" ht="17.399999999999999">
      <c r="A40" s="9">
        <v>1</v>
      </c>
      <c r="B40" s="8">
        <v>178</v>
      </c>
      <c r="C40" s="8">
        <v>1059185275</v>
      </c>
      <c r="D40" s="42" t="s">
        <v>66</v>
      </c>
      <c r="E40" s="47"/>
      <c r="F40" s="10">
        <v>2</v>
      </c>
      <c r="G40" s="10">
        <v>1</v>
      </c>
      <c r="H40" s="50">
        <v>0</v>
      </c>
      <c r="I40" s="50">
        <v>1</v>
      </c>
      <c r="J40" s="50">
        <v>1</v>
      </c>
      <c r="K40" s="14" t="s">
        <v>53</v>
      </c>
      <c r="L40" s="11">
        <f t="shared" si="8"/>
        <v>2</v>
      </c>
      <c r="M40" s="10">
        <f t="shared" si="7"/>
        <v>1.2</v>
      </c>
      <c r="N40" s="10">
        <f t="shared" si="9"/>
        <v>0.8</v>
      </c>
      <c r="O40" s="10">
        <v>0</v>
      </c>
      <c r="P40" s="10">
        <f t="shared" si="10"/>
        <v>4</v>
      </c>
      <c r="Q40" s="17">
        <v>22.012499999999996</v>
      </c>
      <c r="R40" s="18">
        <f t="shared" si="11"/>
        <v>26.012499999999996</v>
      </c>
      <c r="S40" s="19">
        <f t="shared" si="12"/>
        <v>8.125</v>
      </c>
      <c r="T40" s="20">
        <f t="shared" si="13"/>
        <v>17.887499999999996</v>
      </c>
      <c r="U40" s="4"/>
      <c r="V40" s="4"/>
      <c r="W40" s="4"/>
    </row>
    <row r="41" spans="1:29" ht="17.399999999999999">
      <c r="A41" s="9">
        <v>1</v>
      </c>
      <c r="B41" s="8">
        <v>167</v>
      </c>
      <c r="C41" s="8">
        <v>1173807161</v>
      </c>
      <c r="D41" s="42" t="s">
        <v>48</v>
      </c>
      <c r="E41" s="48"/>
      <c r="F41" s="10">
        <v>0</v>
      </c>
      <c r="G41" s="10">
        <v>0</v>
      </c>
      <c r="H41" s="50">
        <v>0</v>
      </c>
      <c r="I41" s="50">
        <v>0</v>
      </c>
      <c r="J41" s="50">
        <v>0</v>
      </c>
      <c r="K41" s="39" t="s">
        <v>30</v>
      </c>
      <c r="L41" s="11">
        <f t="shared" si="8"/>
        <v>0</v>
      </c>
      <c r="M41" s="10">
        <f t="shared" si="7"/>
        <v>0</v>
      </c>
      <c r="N41" s="10">
        <f t="shared" si="9"/>
        <v>0</v>
      </c>
      <c r="O41" s="10">
        <v>0</v>
      </c>
      <c r="P41" s="10">
        <f t="shared" si="10"/>
        <v>0</v>
      </c>
      <c r="Q41" s="17">
        <v>25.824999999999978</v>
      </c>
      <c r="R41" s="18">
        <f t="shared" si="11"/>
        <v>25.824999999999978</v>
      </c>
      <c r="S41" s="19">
        <f t="shared" si="12"/>
        <v>0</v>
      </c>
      <c r="T41" s="20">
        <f t="shared" si="13"/>
        <v>25.824999999999978</v>
      </c>
      <c r="U41" s="4"/>
      <c r="V41" s="4"/>
      <c r="W41" s="4"/>
    </row>
    <row r="42" spans="1:29" ht="17.399999999999999">
      <c r="A42" s="9">
        <v>1</v>
      </c>
      <c r="B42" s="9">
        <v>230</v>
      </c>
      <c r="C42" s="8">
        <v>1076026693</v>
      </c>
      <c r="D42" s="42" t="s">
        <v>111</v>
      </c>
      <c r="F42" s="10">
        <v>3</v>
      </c>
      <c r="G42" s="10">
        <v>1</v>
      </c>
      <c r="H42" s="50">
        <v>0</v>
      </c>
      <c r="I42" s="50">
        <v>0</v>
      </c>
      <c r="J42" s="50">
        <v>0</v>
      </c>
      <c r="K42" s="14" t="s">
        <v>53</v>
      </c>
      <c r="L42" s="11">
        <f t="shared" si="8"/>
        <v>4</v>
      </c>
      <c r="M42" s="10">
        <f t="shared" si="7"/>
        <v>1.2</v>
      </c>
      <c r="N42" s="10">
        <f t="shared" si="9"/>
        <v>0</v>
      </c>
      <c r="O42" s="10">
        <v>0</v>
      </c>
      <c r="P42" s="10">
        <f t="shared" si="10"/>
        <v>5.2</v>
      </c>
      <c r="Q42" s="17">
        <v>20.399999999999999</v>
      </c>
      <c r="R42" s="18">
        <f t="shared" si="11"/>
        <v>25.599999999999998</v>
      </c>
      <c r="S42" s="19">
        <f t="shared" si="12"/>
        <v>8.125</v>
      </c>
      <c r="T42" s="20">
        <f t="shared" si="13"/>
        <v>17.474999999999998</v>
      </c>
      <c r="U42" s="4"/>
      <c r="V42" s="4"/>
      <c r="W42" s="4"/>
    </row>
    <row r="43" spans="1:29" ht="17.399999999999999">
      <c r="A43" s="9">
        <v>1</v>
      </c>
      <c r="B43" s="8">
        <v>110</v>
      </c>
      <c r="C43" s="8">
        <v>1968703358</v>
      </c>
      <c r="D43" s="42" t="s">
        <v>60</v>
      </c>
      <c r="E43" s="42" t="s">
        <v>38</v>
      </c>
      <c r="F43" s="10">
        <v>2</v>
      </c>
      <c r="G43" s="10">
        <v>0</v>
      </c>
      <c r="H43" s="50">
        <v>0</v>
      </c>
      <c r="I43" s="50">
        <v>0</v>
      </c>
      <c r="J43" s="50">
        <v>1</v>
      </c>
      <c r="K43" s="14" t="s">
        <v>53</v>
      </c>
      <c r="L43" s="11">
        <f t="shared" si="8"/>
        <v>2</v>
      </c>
      <c r="M43" s="10">
        <f t="shared" si="7"/>
        <v>0</v>
      </c>
      <c r="N43" s="10">
        <f t="shared" si="9"/>
        <v>0.4</v>
      </c>
      <c r="O43" s="10">
        <v>0</v>
      </c>
      <c r="P43" s="10">
        <f t="shared" si="10"/>
        <v>2.4</v>
      </c>
      <c r="Q43" s="17">
        <v>22.537500000000016</v>
      </c>
      <c r="R43" s="18">
        <f t="shared" si="11"/>
        <v>24.937500000000014</v>
      </c>
      <c r="S43" s="19">
        <f t="shared" si="12"/>
        <v>8.125</v>
      </c>
      <c r="T43" s="20">
        <f t="shared" si="13"/>
        <v>16.812500000000014</v>
      </c>
      <c r="U43" s="11"/>
      <c r="V43" s="11"/>
      <c r="W43" s="17"/>
    </row>
    <row r="44" spans="1:29" ht="17.399999999999999">
      <c r="A44" s="9">
        <v>1</v>
      </c>
      <c r="B44" s="8">
        <v>234</v>
      </c>
      <c r="C44" s="8">
        <v>1333428907</v>
      </c>
      <c r="D44" s="42" t="s">
        <v>128</v>
      </c>
      <c r="E44" s="42" t="s">
        <v>115</v>
      </c>
      <c r="F44" s="10">
        <v>2</v>
      </c>
      <c r="G44" s="10">
        <v>0</v>
      </c>
      <c r="H44" s="50">
        <v>0</v>
      </c>
      <c r="I44" s="50">
        <v>0</v>
      </c>
      <c r="J44" s="50">
        <v>0</v>
      </c>
      <c r="K44" s="14" t="s">
        <v>53</v>
      </c>
      <c r="L44" s="11">
        <f t="shared" si="8"/>
        <v>2</v>
      </c>
      <c r="M44" s="10">
        <f t="shared" si="7"/>
        <v>0</v>
      </c>
      <c r="N44" s="10">
        <f t="shared" si="9"/>
        <v>0</v>
      </c>
      <c r="O44" s="10">
        <v>0</v>
      </c>
      <c r="P44" s="10">
        <f t="shared" si="10"/>
        <v>2</v>
      </c>
      <c r="Q44" s="17">
        <v>22.75</v>
      </c>
      <c r="R44" s="18">
        <f t="shared" si="11"/>
        <v>24.75</v>
      </c>
      <c r="S44" s="19">
        <f t="shared" si="12"/>
        <v>8.125</v>
      </c>
      <c r="T44" s="20">
        <f t="shared" si="13"/>
        <v>16.625</v>
      </c>
      <c r="U44" s="4"/>
      <c r="V44" s="4"/>
      <c r="W44" s="4"/>
    </row>
    <row r="45" spans="1:29" ht="17.399999999999999">
      <c r="A45" s="9">
        <v>1</v>
      </c>
      <c r="B45" s="8">
        <v>187</v>
      </c>
      <c r="C45" s="8">
        <v>1241038267</v>
      </c>
      <c r="D45" s="42" t="s">
        <v>69</v>
      </c>
      <c r="E45" s="47"/>
      <c r="F45" s="10">
        <v>1</v>
      </c>
      <c r="G45" s="10">
        <v>0</v>
      </c>
      <c r="H45" s="50">
        <v>0</v>
      </c>
      <c r="I45" s="50">
        <v>0</v>
      </c>
      <c r="J45" s="50">
        <v>0</v>
      </c>
      <c r="K45" s="14" t="s">
        <v>53</v>
      </c>
      <c r="L45" s="11">
        <f t="shared" si="8"/>
        <v>1</v>
      </c>
      <c r="M45" s="10">
        <f t="shared" si="7"/>
        <v>0</v>
      </c>
      <c r="N45" s="10">
        <f t="shared" si="9"/>
        <v>0</v>
      </c>
      <c r="O45" s="10">
        <v>0</v>
      </c>
      <c r="P45" s="10">
        <f t="shared" si="10"/>
        <v>1</v>
      </c>
      <c r="Q45" s="17">
        <v>23.443749999999987</v>
      </c>
      <c r="R45" s="18">
        <f t="shared" si="11"/>
        <v>24.443749999999987</v>
      </c>
      <c r="S45" s="19">
        <f t="shared" si="12"/>
        <v>8.125</v>
      </c>
      <c r="T45" s="20">
        <f t="shared" si="13"/>
        <v>16.318749999999987</v>
      </c>
      <c r="U45" s="4"/>
      <c r="V45" s="4"/>
      <c r="W45" s="4"/>
    </row>
    <row r="46" spans="1:29" ht="17.399999999999999">
      <c r="A46" s="9">
        <v>1</v>
      </c>
      <c r="B46" s="8">
        <v>239</v>
      </c>
      <c r="C46" s="8">
        <v>416459640</v>
      </c>
      <c r="D46" s="42" t="s">
        <v>122</v>
      </c>
      <c r="F46" s="10">
        <v>3</v>
      </c>
      <c r="G46" s="10">
        <v>1</v>
      </c>
      <c r="H46" s="50">
        <v>0</v>
      </c>
      <c r="I46" s="50">
        <v>0</v>
      </c>
      <c r="J46" s="50">
        <v>0</v>
      </c>
      <c r="K46" s="14" t="s">
        <v>53</v>
      </c>
      <c r="L46" s="11">
        <f t="shared" si="8"/>
        <v>4</v>
      </c>
      <c r="M46" s="10">
        <f t="shared" si="7"/>
        <v>1.2</v>
      </c>
      <c r="N46" s="10">
        <f t="shared" si="9"/>
        <v>0</v>
      </c>
      <c r="O46" s="10">
        <v>0</v>
      </c>
      <c r="P46" s="10">
        <f t="shared" si="10"/>
        <v>5.2</v>
      </c>
      <c r="Q46" s="17">
        <v>16.59375</v>
      </c>
      <c r="R46" s="18">
        <f t="shared" si="11"/>
        <v>21.793749999999999</v>
      </c>
      <c r="S46" s="19">
        <f t="shared" si="12"/>
        <v>8.125</v>
      </c>
      <c r="T46" s="20">
        <f t="shared" si="13"/>
        <v>13.668749999999999</v>
      </c>
      <c r="U46" s="4"/>
      <c r="V46" s="4"/>
      <c r="W46" s="4"/>
    </row>
    <row r="47" spans="1:29" ht="20.399999999999999">
      <c r="A47" s="9">
        <v>1</v>
      </c>
      <c r="B47" s="8">
        <v>229</v>
      </c>
      <c r="C47" s="8">
        <v>1598972736</v>
      </c>
      <c r="D47" s="42" t="s">
        <v>110</v>
      </c>
      <c r="E47" s="42"/>
      <c r="F47" s="10">
        <v>0</v>
      </c>
      <c r="G47" s="10">
        <v>0</v>
      </c>
      <c r="H47" s="50">
        <v>0</v>
      </c>
      <c r="I47" s="50">
        <v>0</v>
      </c>
      <c r="J47" s="50">
        <v>0</v>
      </c>
      <c r="K47" s="39" t="s">
        <v>30</v>
      </c>
      <c r="L47" s="11">
        <f t="shared" si="8"/>
        <v>0</v>
      </c>
      <c r="M47" s="10">
        <f t="shared" si="7"/>
        <v>0</v>
      </c>
      <c r="N47" s="10">
        <f t="shared" si="9"/>
        <v>0</v>
      </c>
      <c r="O47" s="10">
        <v>0</v>
      </c>
      <c r="P47" s="10">
        <f t="shared" si="10"/>
        <v>0</v>
      </c>
      <c r="Q47" s="17">
        <v>21.197089552238797</v>
      </c>
      <c r="R47" s="18">
        <f t="shared" si="11"/>
        <v>21.197089552238797</v>
      </c>
      <c r="S47" s="19">
        <f t="shared" si="12"/>
        <v>0</v>
      </c>
      <c r="T47" s="20">
        <f t="shared" si="13"/>
        <v>21.197089552238797</v>
      </c>
      <c r="U47" s="4"/>
      <c r="V47" s="4"/>
      <c r="W47" s="4"/>
    </row>
    <row r="48" spans="1:29" ht="17.399999999999999">
      <c r="A48" s="9">
        <v>1</v>
      </c>
      <c r="B48" s="8">
        <v>196</v>
      </c>
      <c r="C48" s="8">
        <v>1065641844</v>
      </c>
      <c r="D48" s="42" t="s">
        <v>74</v>
      </c>
      <c r="E48" s="47"/>
      <c r="F48" s="10">
        <v>0</v>
      </c>
      <c r="G48" s="10">
        <v>0</v>
      </c>
      <c r="H48" s="50">
        <v>0</v>
      </c>
      <c r="I48" s="50">
        <v>0</v>
      </c>
      <c r="J48" s="50">
        <v>0</v>
      </c>
      <c r="K48" s="39" t="s">
        <v>30</v>
      </c>
      <c r="L48" s="11">
        <f t="shared" si="8"/>
        <v>0</v>
      </c>
      <c r="M48" s="10">
        <f t="shared" si="7"/>
        <v>0</v>
      </c>
      <c r="N48" s="10">
        <f t="shared" si="9"/>
        <v>0</v>
      </c>
      <c r="O48" s="10">
        <v>0</v>
      </c>
      <c r="P48" s="10">
        <f t="shared" si="10"/>
        <v>0</v>
      </c>
      <c r="Q48" s="17">
        <v>21.062499999999993</v>
      </c>
      <c r="R48" s="18">
        <f t="shared" si="11"/>
        <v>21.062499999999993</v>
      </c>
      <c r="S48" s="19">
        <f t="shared" si="12"/>
        <v>0</v>
      </c>
      <c r="T48" s="20">
        <f t="shared" si="13"/>
        <v>21.062499999999993</v>
      </c>
    </row>
    <row r="49" spans="1:20" ht="17.399999999999999">
      <c r="A49" s="9">
        <v>1</v>
      </c>
      <c r="B49" s="8">
        <v>198</v>
      </c>
      <c r="C49" s="8">
        <v>723448640</v>
      </c>
      <c r="D49" s="42" t="s">
        <v>75</v>
      </c>
      <c r="E49" s="47"/>
      <c r="F49" s="10">
        <v>0</v>
      </c>
      <c r="G49" s="10">
        <v>0</v>
      </c>
      <c r="H49" s="50">
        <v>0</v>
      </c>
      <c r="I49" s="50">
        <v>0</v>
      </c>
      <c r="J49" s="50">
        <v>0</v>
      </c>
      <c r="K49" s="39" t="s">
        <v>30</v>
      </c>
      <c r="L49" s="11">
        <f t="shared" si="8"/>
        <v>0</v>
      </c>
      <c r="M49" s="10">
        <f t="shared" si="7"/>
        <v>0</v>
      </c>
      <c r="N49" s="10">
        <f t="shared" si="9"/>
        <v>0</v>
      </c>
      <c r="O49" s="10">
        <v>0</v>
      </c>
      <c r="P49" s="10">
        <f t="shared" si="10"/>
        <v>0</v>
      </c>
      <c r="Q49" s="17">
        <v>18.01874999999999</v>
      </c>
      <c r="R49" s="18">
        <f t="shared" si="11"/>
        <v>18.01874999999999</v>
      </c>
      <c r="S49" s="19">
        <f t="shared" si="12"/>
        <v>0</v>
      </c>
      <c r="T49" s="20">
        <f t="shared" si="13"/>
        <v>18.01874999999999</v>
      </c>
    </row>
    <row r="50" spans="1:20" ht="17.399999999999999">
      <c r="A50" s="9">
        <v>1</v>
      </c>
      <c r="B50" s="8">
        <v>193</v>
      </c>
      <c r="C50" s="8">
        <v>2125731287</v>
      </c>
      <c r="D50" s="42" t="s">
        <v>72</v>
      </c>
      <c r="E50" s="47"/>
      <c r="F50" s="10">
        <v>0</v>
      </c>
      <c r="G50" s="10">
        <v>0</v>
      </c>
      <c r="H50" s="50">
        <v>0</v>
      </c>
      <c r="I50" s="50">
        <v>0</v>
      </c>
      <c r="J50" s="50">
        <v>0</v>
      </c>
      <c r="K50" s="39" t="s">
        <v>30</v>
      </c>
      <c r="L50" s="11">
        <f t="shared" si="8"/>
        <v>0</v>
      </c>
      <c r="M50" s="10">
        <f t="shared" si="7"/>
        <v>0</v>
      </c>
      <c r="N50" s="10">
        <f t="shared" si="9"/>
        <v>0</v>
      </c>
      <c r="O50" s="10">
        <v>0</v>
      </c>
      <c r="P50" s="10">
        <f t="shared" si="10"/>
        <v>0</v>
      </c>
      <c r="Q50" s="17">
        <v>17.812499999999996</v>
      </c>
      <c r="R50" s="18">
        <f t="shared" si="11"/>
        <v>17.812499999999996</v>
      </c>
      <c r="S50" s="19">
        <f t="shared" si="12"/>
        <v>0</v>
      </c>
      <c r="T50" s="20">
        <f t="shared" si="13"/>
        <v>17.812499999999996</v>
      </c>
    </row>
    <row r="51" spans="1:20" ht="17.399999999999999">
      <c r="A51" s="9">
        <v>1</v>
      </c>
      <c r="B51" s="8">
        <v>222</v>
      </c>
      <c r="C51" s="8">
        <v>1945277617</v>
      </c>
      <c r="D51" s="42" t="s">
        <v>97</v>
      </c>
      <c r="E51" s="42"/>
      <c r="F51" s="10">
        <v>0</v>
      </c>
      <c r="G51" s="10">
        <v>0</v>
      </c>
      <c r="H51" s="50">
        <v>0</v>
      </c>
      <c r="I51" s="50">
        <v>0</v>
      </c>
      <c r="J51" s="50">
        <v>0</v>
      </c>
      <c r="K51" s="39" t="s">
        <v>30</v>
      </c>
      <c r="L51" s="11">
        <f t="shared" si="8"/>
        <v>0</v>
      </c>
      <c r="M51" s="10">
        <f t="shared" si="7"/>
        <v>0</v>
      </c>
      <c r="N51" s="10">
        <f t="shared" si="9"/>
        <v>0</v>
      </c>
      <c r="O51" s="10">
        <v>0</v>
      </c>
      <c r="P51" s="10">
        <f t="shared" si="10"/>
        <v>0</v>
      </c>
      <c r="Q51" s="17">
        <v>15.637727649769573</v>
      </c>
      <c r="R51" s="18">
        <f t="shared" si="11"/>
        <v>15.637727649769573</v>
      </c>
      <c r="S51" s="19">
        <f t="shared" si="12"/>
        <v>0</v>
      </c>
      <c r="T51" s="20">
        <f t="shared" si="13"/>
        <v>15.637727649769573</v>
      </c>
    </row>
    <row r="52" spans="1:20" ht="17.399999999999999">
      <c r="A52" s="9">
        <v>1</v>
      </c>
      <c r="B52" s="8">
        <v>155</v>
      </c>
      <c r="C52" s="8">
        <v>1532576874</v>
      </c>
      <c r="D52" s="42" t="s">
        <v>63</v>
      </c>
      <c r="E52" s="42" t="s">
        <v>46</v>
      </c>
      <c r="F52" s="10">
        <v>0</v>
      </c>
      <c r="G52" s="10">
        <v>0</v>
      </c>
      <c r="H52" s="50">
        <v>0</v>
      </c>
      <c r="I52" s="50">
        <v>0</v>
      </c>
      <c r="J52" s="50">
        <v>0</v>
      </c>
      <c r="K52" s="39" t="s">
        <v>30</v>
      </c>
      <c r="L52" s="11">
        <f t="shared" si="8"/>
        <v>0</v>
      </c>
      <c r="M52" s="10">
        <f t="shared" si="7"/>
        <v>0</v>
      </c>
      <c r="N52" s="10">
        <f t="shared" si="9"/>
        <v>0</v>
      </c>
      <c r="O52" s="10">
        <v>0</v>
      </c>
      <c r="P52" s="10">
        <f t="shared" si="10"/>
        <v>0</v>
      </c>
      <c r="Q52" s="17">
        <v>15.212499999999999</v>
      </c>
      <c r="R52" s="18">
        <f t="shared" si="11"/>
        <v>15.212499999999999</v>
      </c>
      <c r="S52" s="19">
        <f t="shared" si="12"/>
        <v>0</v>
      </c>
      <c r="T52" s="20">
        <f t="shared" si="13"/>
        <v>15.212499999999999</v>
      </c>
    </row>
    <row r="53" spans="1:20" ht="20.399999999999999">
      <c r="A53" s="9">
        <v>1</v>
      </c>
      <c r="B53" s="8">
        <v>214</v>
      </c>
      <c r="C53" s="8">
        <v>2130976604</v>
      </c>
      <c r="D53" s="42" t="s">
        <v>86</v>
      </c>
      <c r="E53" s="2"/>
      <c r="F53" s="10">
        <v>4</v>
      </c>
      <c r="G53" s="10">
        <v>1</v>
      </c>
      <c r="H53" s="50">
        <v>0</v>
      </c>
      <c r="I53" s="50">
        <v>0</v>
      </c>
      <c r="J53" s="50">
        <v>0</v>
      </c>
      <c r="K53" s="14" t="s">
        <v>53</v>
      </c>
      <c r="L53" s="11">
        <f t="shared" si="8"/>
        <v>6</v>
      </c>
      <c r="M53" s="10">
        <f t="shared" si="7"/>
        <v>1.2</v>
      </c>
      <c r="N53" s="10">
        <f t="shared" si="9"/>
        <v>0</v>
      </c>
      <c r="O53" s="10">
        <v>0</v>
      </c>
      <c r="P53" s="10">
        <f t="shared" si="10"/>
        <v>7.2</v>
      </c>
      <c r="Q53" s="17">
        <v>6.1374999999999886</v>
      </c>
      <c r="R53" s="18">
        <f t="shared" si="11"/>
        <v>13.337499999999988</v>
      </c>
      <c r="S53" s="19">
        <f t="shared" si="12"/>
        <v>8.125</v>
      </c>
      <c r="T53" s="20">
        <f t="shared" si="13"/>
        <v>5.2124999999999879</v>
      </c>
    </row>
    <row r="54" spans="1:20" ht="17.399999999999999">
      <c r="A54" s="9">
        <v>1</v>
      </c>
      <c r="B54" s="8">
        <v>243</v>
      </c>
      <c r="D54" s="42" t="s">
        <v>133</v>
      </c>
      <c r="F54" s="10">
        <v>2</v>
      </c>
      <c r="G54" s="10">
        <v>1</v>
      </c>
      <c r="H54" s="50">
        <v>0</v>
      </c>
      <c r="I54" s="50">
        <v>0</v>
      </c>
      <c r="J54" s="50">
        <v>0</v>
      </c>
      <c r="K54" s="14" t="s">
        <v>53</v>
      </c>
      <c r="L54" s="11">
        <f t="shared" si="8"/>
        <v>2</v>
      </c>
      <c r="M54" s="10">
        <f t="shared" si="7"/>
        <v>1.2</v>
      </c>
      <c r="N54" s="10">
        <f t="shared" si="9"/>
        <v>0</v>
      </c>
      <c r="O54" s="10">
        <v>0</v>
      </c>
      <c r="P54" s="10">
        <f t="shared" si="10"/>
        <v>3.2</v>
      </c>
      <c r="Q54" s="17">
        <v>7.4312500000000004</v>
      </c>
      <c r="R54" s="18">
        <f t="shared" si="11"/>
        <v>10.631250000000001</v>
      </c>
      <c r="S54" s="19">
        <f t="shared" si="12"/>
        <v>8.125</v>
      </c>
      <c r="T54" s="20">
        <f t="shared" si="13"/>
        <v>2.5062500000000014</v>
      </c>
    </row>
    <row r="55" spans="1:20" ht="17.399999999999999">
      <c r="A55" s="9">
        <v>1</v>
      </c>
      <c r="B55" s="8">
        <v>223</v>
      </c>
      <c r="C55" s="8">
        <v>784792167</v>
      </c>
      <c r="D55" s="42" t="s">
        <v>98</v>
      </c>
      <c r="E55" s="42"/>
      <c r="F55" s="10">
        <v>0</v>
      </c>
      <c r="G55" s="10">
        <v>0</v>
      </c>
      <c r="H55" s="50">
        <v>0</v>
      </c>
      <c r="I55" s="50">
        <v>0</v>
      </c>
      <c r="J55" s="50">
        <v>0</v>
      </c>
      <c r="K55" s="39" t="s">
        <v>30</v>
      </c>
      <c r="L55" s="11">
        <f t="shared" si="8"/>
        <v>0</v>
      </c>
      <c r="M55" s="10">
        <f t="shared" si="7"/>
        <v>0</v>
      </c>
      <c r="N55" s="10">
        <f t="shared" si="9"/>
        <v>0</v>
      </c>
      <c r="O55" s="10">
        <v>0</v>
      </c>
      <c r="P55" s="10">
        <f t="shared" si="10"/>
        <v>0</v>
      </c>
      <c r="Q55" s="17">
        <v>10.624999999999996</v>
      </c>
      <c r="R55" s="18">
        <f t="shared" si="11"/>
        <v>10.624999999999996</v>
      </c>
      <c r="S55" s="19">
        <f t="shared" si="12"/>
        <v>0</v>
      </c>
      <c r="T55" s="20">
        <f t="shared" si="13"/>
        <v>10.624999999999996</v>
      </c>
    </row>
    <row r="56" spans="1:20" ht="17.399999999999999">
      <c r="A56" s="9">
        <v>1</v>
      </c>
      <c r="B56" s="8">
        <v>219</v>
      </c>
      <c r="C56" s="8">
        <v>1128309198</v>
      </c>
      <c r="D56" s="42" t="s">
        <v>93</v>
      </c>
      <c r="E56" s="47"/>
      <c r="F56" s="10">
        <v>0</v>
      </c>
      <c r="G56" s="10">
        <v>0</v>
      </c>
      <c r="H56" s="50">
        <v>0</v>
      </c>
      <c r="I56" s="50">
        <v>0</v>
      </c>
      <c r="J56" s="50">
        <v>0</v>
      </c>
      <c r="K56" s="39" t="s">
        <v>30</v>
      </c>
      <c r="L56" s="11">
        <f t="shared" si="8"/>
        <v>0</v>
      </c>
      <c r="M56" s="10">
        <f t="shared" si="7"/>
        <v>0</v>
      </c>
      <c r="N56" s="10">
        <f t="shared" si="9"/>
        <v>0</v>
      </c>
      <c r="O56" s="10">
        <v>0</v>
      </c>
      <c r="P56" s="10">
        <f t="shared" si="10"/>
        <v>0</v>
      </c>
      <c r="Q56" s="17">
        <v>9.4499999999999957</v>
      </c>
      <c r="R56" s="18">
        <f t="shared" si="11"/>
        <v>9.4499999999999957</v>
      </c>
      <c r="S56" s="19">
        <f t="shared" si="12"/>
        <v>0</v>
      </c>
      <c r="T56" s="20">
        <f t="shared" si="13"/>
        <v>9.4499999999999957</v>
      </c>
    </row>
    <row r="57" spans="1:20" ht="17.399999999999999">
      <c r="A57" s="9">
        <v>1</v>
      </c>
      <c r="B57" s="8">
        <v>192</v>
      </c>
      <c r="C57" s="8">
        <v>1725281178</v>
      </c>
      <c r="D57" s="42" t="s">
        <v>71</v>
      </c>
      <c r="E57" s="47"/>
      <c r="F57" s="10">
        <v>0</v>
      </c>
      <c r="G57" s="10">
        <v>0</v>
      </c>
      <c r="H57" s="50">
        <v>0</v>
      </c>
      <c r="I57" s="50">
        <v>0</v>
      </c>
      <c r="J57" s="50">
        <v>0</v>
      </c>
      <c r="K57" s="39" t="s">
        <v>30</v>
      </c>
      <c r="L57" s="11">
        <f t="shared" si="8"/>
        <v>0</v>
      </c>
      <c r="M57" s="10">
        <f t="shared" si="7"/>
        <v>0</v>
      </c>
      <c r="N57" s="10">
        <f t="shared" si="9"/>
        <v>0</v>
      </c>
      <c r="O57" s="10">
        <v>0</v>
      </c>
      <c r="P57" s="10">
        <f t="shared" si="10"/>
        <v>0</v>
      </c>
      <c r="Q57" s="17">
        <v>3.1437499999999954</v>
      </c>
      <c r="R57" s="18">
        <f t="shared" si="11"/>
        <v>3.1437499999999954</v>
      </c>
      <c r="S57" s="19">
        <f t="shared" si="12"/>
        <v>0</v>
      </c>
      <c r="T57" s="20">
        <f t="shared" si="13"/>
        <v>3.1437499999999954</v>
      </c>
    </row>
    <row r="58" spans="1:20" ht="20.399999999999999">
      <c r="A58" s="9">
        <v>1</v>
      </c>
      <c r="B58" s="8">
        <v>220</v>
      </c>
      <c r="C58" s="8">
        <v>353335311</v>
      </c>
      <c r="D58" s="42" t="s">
        <v>94</v>
      </c>
      <c r="E58" s="44"/>
      <c r="F58" s="10">
        <v>0</v>
      </c>
      <c r="G58" s="10">
        <v>0</v>
      </c>
      <c r="H58" s="50">
        <v>0</v>
      </c>
      <c r="I58" s="50">
        <v>0</v>
      </c>
      <c r="J58" s="50">
        <v>0</v>
      </c>
      <c r="K58" s="39" t="s">
        <v>30</v>
      </c>
      <c r="L58" s="11">
        <f t="shared" si="8"/>
        <v>0</v>
      </c>
      <c r="M58" s="10">
        <f t="shared" si="7"/>
        <v>0</v>
      </c>
      <c r="N58" s="10">
        <f t="shared" si="9"/>
        <v>0</v>
      </c>
      <c r="O58" s="10">
        <v>0</v>
      </c>
      <c r="P58" s="10">
        <f t="shared" si="10"/>
        <v>0</v>
      </c>
      <c r="Q58" s="17">
        <v>2.0310546874999984</v>
      </c>
      <c r="R58" s="18">
        <f t="shared" si="11"/>
        <v>2.0310546874999984</v>
      </c>
      <c r="S58" s="19">
        <f t="shared" si="12"/>
        <v>0</v>
      </c>
      <c r="T58" s="20">
        <f t="shared" si="13"/>
        <v>2.0310546874999984</v>
      </c>
    </row>
    <row r="59" spans="1:20" ht="17.399999999999999">
      <c r="A59" s="9">
        <v>1</v>
      </c>
      <c r="B59" s="8">
        <v>233</v>
      </c>
      <c r="C59" s="8">
        <v>1963965829</v>
      </c>
      <c r="D59" s="42" t="s">
        <v>114</v>
      </c>
      <c r="F59" s="10">
        <v>0</v>
      </c>
      <c r="G59" s="10">
        <v>0</v>
      </c>
      <c r="H59" s="50">
        <v>0</v>
      </c>
      <c r="I59" s="50">
        <v>0</v>
      </c>
      <c r="J59" s="50">
        <v>0</v>
      </c>
      <c r="K59" s="39" t="s">
        <v>30</v>
      </c>
      <c r="L59" s="11">
        <f t="shared" si="8"/>
        <v>0</v>
      </c>
      <c r="M59" s="10">
        <f t="shared" si="7"/>
        <v>0</v>
      </c>
      <c r="N59" s="10">
        <f t="shared" si="9"/>
        <v>0</v>
      </c>
      <c r="O59" s="10">
        <v>0</v>
      </c>
      <c r="P59" s="10">
        <f t="shared" si="10"/>
        <v>0</v>
      </c>
      <c r="Q59" s="17">
        <v>2.0000000000000018</v>
      </c>
      <c r="R59" s="18">
        <f t="shared" si="11"/>
        <v>2.0000000000000018</v>
      </c>
      <c r="S59" s="19">
        <f t="shared" si="12"/>
        <v>0</v>
      </c>
      <c r="T59" s="20">
        <f t="shared" si="13"/>
        <v>2.0000000000000018</v>
      </c>
    </row>
    <row r="60" spans="1:20" ht="17.399999999999999">
      <c r="A60" s="9">
        <v>1</v>
      </c>
      <c r="B60" s="8">
        <v>235</v>
      </c>
      <c r="C60" s="8">
        <v>988684940</v>
      </c>
      <c r="D60" s="42" t="s">
        <v>116</v>
      </c>
      <c r="F60" s="10">
        <v>1</v>
      </c>
      <c r="G60" s="10">
        <v>0</v>
      </c>
      <c r="H60" s="50">
        <v>0</v>
      </c>
      <c r="I60" s="50">
        <v>0</v>
      </c>
      <c r="J60" s="50">
        <v>0</v>
      </c>
      <c r="K60" s="14" t="s">
        <v>53</v>
      </c>
      <c r="L60" s="11">
        <f t="shared" si="8"/>
        <v>1</v>
      </c>
      <c r="M60" s="10">
        <f t="shared" si="7"/>
        <v>0</v>
      </c>
      <c r="N60" s="10">
        <f t="shared" si="9"/>
        <v>0</v>
      </c>
      <c r="O60" s="10">
        <v>0</v>
      </c>
      <c r="P60" s="10">
        <f t="shared" si="10"/>
        <v>1</v>
      </c>
      <c r="Q60" s="17">
        <v>0.875</v>
      </c>
      <c r="R60" s="18">
        <f t="shared" si="11"/>
        <v>1.875</v>
      </c>
      <c r="S60" s="19">
        <f t="shared" si="12"/>
        <v>8.125</v>
      </c>
      <c r="T60" s="20">
        <f t="shared" si="13"/>
        <v>-6.25</v>
      </c>
    </row>
    <row r="61" spans="1:20" ht="17.399999999999999">
      <c r="A61" s="9">
        <v>1</v>
      </c>
      <c r="B61" s="8">
        <v>207</v>
      </c>
      <c r="C61" s="8">
        <v>721273803</v>
      </c>
      <c r="D61" s="45" t="s">
        <v>81</v>
      </c>
      <c r="E61" s="47"/>
      <c r="F61" s="10">
        <v>0</v>
      </c>
      <c r="G61" s="10">
        <v>0</v>
      </c>
      <c r="H61" s="50">
        <v>0</v>
      </c>
      <c r="I61" s="50">
        <v>0</v>
      </c>
      <c r="J61" s="50">
        <v>0</v>
      </c>
      <c r="K61" s="39" t="s">
        <v>30</v>
      </c>
      <c r="L61" s="11">
        <f t="shared" si="8"/>
        <v>0</v>
      </c>
      <c r="M61" s="10">
        <f t="shared" si="7"/>
        <v>0</v>
      </c>
      <c r="N61" s="10">
        <f t="shared" si="9"/>
        <v>0</v>
      </c>
      <c r="O61" s="10">
        <v>0</v>
      </c>
      <c r="P61" s="10">
        <f t="shared" si="10"/>
        <v>0</v>
      </c>
      <c r="Q61" s="17">
        <v>1.425</v>
      </c>
      <c r="R61" s="18">
        <f t="shared" si="11"/>
        <v>1.425</v>
      </c>
      <c r="S61" s="19">
        <f t="shared" si="12"/>
        <v>0</v>
      </c>
      <c r="T61" s="20">
        <f t="shared" si="13"/>
        <v>1.425</v>
      </c>
    </row>
    <row r="62" spans="1:20" ht="20.399999999999999">
      <c r="A62" s="9">
        <v>1</v>
      </c>
      <c r="B62" s="8">
        <v>213</v>
      </c>
      <c r="C62" s="8">
        <v>311361673</v>
      </c>
      <c r="D62" s="42" t="s">
        <v>55</v>
      </c>
      <c r="E62" s="2"/>
      <c r="F62" s="10">
        <v>0</v>
      </c>
      <c r="G62" s="10">
        <v>0</v>
      </c>
      <c r="H62" s="50">
        <v>0</v>
      </c>
      <c r="I62" s="50">
        <v>0</v>
      </c>
      <c r="J62" s="50">
        <v>0</v>
      </c>
      <c r="K62" s="39" t="s">
        <v>30</v>
      </c>
      <c r="L62" s="11">
        <f t="shared" si="8"/>
        <v>0</v>
      </c>
      <c r="M62" s="10">
        <f t="shared" si="7"/>
        <v>0</v>
      </c>
      <c r="N62" s="10">
        <f t="shared" si="9"/>
        <v>0</v>
      </c>
      <c r="O62" s="10">
        <v>0</v>
      </c>
      <c r="P62" s="10">
        <f t="shared" si="10"/>
        <v>0</v>
      </c>
      <c r="Q62" s="17">
        <v>1.2687499999999945</v>
      </c>
      <c r="R62" s="18">
        <f t="shared" si="11"/>
        <v>1.2687499999999945</v>
      </c>
      <c r="S62" s="19">
        <f t="shared" si="12"/>
        <v>0</v>
      </c>
      <c r="T62" s="20">
        <f t="shared" si="13"/>
        <v>1.2687499999999945</v>
      </c>
    </row>
    <row r="63" spans="1:20" ht="17.399999999999999">
      <c r="A63" s="9">
        <v>1</v>
      </c>
      <c r="B63" s="8">
        <v>242</v>
      </c>
      <c r="C63" s="8">
        <v>250098915</v>
      </c>
      <c r="D63" s="42" t="s">
        <v>131</v>
      </c>
      <c r="F63" s="10">
        <v>0</v>
      </c>
      <c r="G63" s="10">
        <v>0</v>
      </c>
      <c r="H63" s="50">
        <v>0</v>
      </c>
      <c r="I63" s="50">
        <v>0</v>
      </c>
      <c r="J63" s="50">
        <v>0</v>
      </c>
      <c r="K63" s="39" t="s">
        <v>30</v>
      </c>
      <c r="L63" s="11">
        <f t="shared" si="8"/>
        <v>0</v>
      </c>
      <c r="M63" s="10">
        <f t="shared" si="7"/>
        <v>0</v>
      </c>
      <c r="N63" s="10">
        <f t="shared" si="9"/>
        <v>0</v>
      </c>
      <c r="O63" s="10">
        <v>0</v>
      </c>
      <c r="P63" s="10">
        <f t="shared" si="10"/>
        <v>0</v>
      </c>
      <c r="Q63" s="17">
        <v>0.90625</v>
      </c>
      <c r="R63" s="18">
        <f t="shared" si="11"/>
        <v>0.90625</v>
      </c>
      <c r="S63" s="19">
        <f t="shared" si="12"/>
        <v>0</v>
      </c>
      <c r="T63" s="20">
        <f t="shared" si="13"/>
        <v>0.90625</v>
      </c>
    </row>
    <row r="64" spans="1:20" ht="17.399999999999999">
      <c r="A64" s="9">
        <v>1</v>
      </c>
      <c r="B64" s="8">
        <v>242</v>
      </c>
      <c r="C64" s="8">
        <v>1769984287</v>
      </c>
      <c r="D64" s="8" t="s">
        <v>132</v>
      </c>
      <c r="F64" s="10">
        <v>0</v>
      </c>
      <c r="G64" s="10">
        <v>0</v>
      </c>
      <c r="H64" s="50">
        <v>0</v>
      </c>
      <c r="I64" s="50">
        <v>0</v>
      </c>
      <c r="J64" s="50">
        <v>0</v>
      </c>
      <c r="K64" s="39" t="s">
        <v>30</v>
      </c>
      <c r="L64" s="11">
        <f t="shared" si="8"/>
        <v>0</v>
      </c>
      <c r="M64" s="10">
        <f t="shared" si="7"/>
        <v>0</v>
      </c>
      <c r="N64" s="10">
        <f t="shared" si="9"/>
        <v>0</v>
      </c>
      <c r="O64" s="10">
        <v>0</v>
      </c>
      <c r="P64" s="10">
        <f t="shared" si="10"/>
        <v>0</v>
      </c>
      <c r="Q64" s="17">
        <v>0.65000000000000036</v>
      </c>
      <c r="R64" s="18">
        <f t="shared" si="11"/>
        <v>0.65000000000000036</v>
      </c>
      <c r="S64" s="19">
        <f t="shared" si="12"/>
        <v>0</v>
      </c>
      <c r="T64" s="20">
        <f t="shared" si="13"/>
        <v>0.65000000000000036</v>
      </c>
    </row>
    <row r="65" spans="1:23" ht="17.399999999999999">
      <c r="A65" s="9">
        <v>1</v>
      </c>
      <c r="B65" s="8">
        <v>218</v>
      </c>
      <c r="C65" s="8">
        <v>1804880865</v>
      </c>
      <c r="D65" s="42" t="s">
        <v>92</v>
      </c>
      <c r="E65" s="47"/>
      <c r="F65" s="10">
        <v>0</v>
      </c>
      <c r="G65" s="10">
        <v>0</v>
      </c>
      <c r="H65" s="50">
        <v>0</v>
      </c>
      <c r="I65" s="50">
        <v>0</v>
      </c>
      <c r="J65" s="50">
        <v>0</v>
      </c>
      <c r="K65" s="39" t="s">
        <v>30</v>
      </c>
      <c r="L65" s="11">
        <f t="shared" si="8"/>
        <v>0</v>
      </c>
      <c r="M65" s="10">
        <f t="shared" si="7"/>
        <v>0</v>
      </c>
      <c r="N65" s="10">
        <f t="shared" si="9"/>
        <v>0</v>
      </c>
      <c r="O65" s="10">
        <v>0</v>
      </c>
      <c r="P65" s="10">
        <f t="shared" si="10"/>
        <v>0</v>
      </c>
      <c r="Q65" s="17">
        <v>0.11749999999999983</v>
      </c>
      <c r="R65" s="18">
        <f t="shared" si="11"/>
        <v>0.11749999999999983</v>
      </c>
      <c r="S65" s="19">
        <f t="shared" si="12"/>
        <v>0</v>
      </c>
      <c r="T65" s="20">
        <f t="shared" si="13"/>
        <v>0.11749999999999983</v>
      </c>
    </row>
    <row r="66" spans="1:23" ht="17.399999999999999">
      <c r="A66" s="9">
        <v>1</v>
      </c>
      <c r="B66" s="8">
        <v>217</v>
      </c>
      <c r="C66" s="8">
        <v>331155825</v>
      </c>
      <c r="D66" s="46" t="s">
        <v>89</v>
      </c>
      <c r="E66" s="2"/>
      <c r="F66" s="10">
        <v>0</v>
      </c>
      <c r="G66" s="10">
        <v>0</v>
      </c>
      <c r="H66" s="50">
        <v>0</v>
      </c>
      <c r="I66" s="50">
        <v>0</v>
      </c>
      <c r="J66" s="50">
        <v>0</v>
      </c>
      <c r="K66" s="39" t="s">
        <v>30</v>
      </c>
      <c r="L66" s="11">
        <f t="shared" si="8"/>
        <v>0</v>
      </c>
      <c r="M66" s="10">
        <f t="shared" si="7"/>
        <v>0</v>
      </c>
      <c r="N66" s="10">
        <f t="shared" si="9"/>
        <v>0</v>
      </c>
      <c r="O66" s="10">
        <v>0</v>
      </c>
      <c r="P66" s="10">
        <f t="shared" si="10"/>
        <v>0</v>
      </c>
      <c r="Q66" s="17">
        <v>-1.3124999999999984</v>
      </c>
      <c r="R66" s="18">
        <f t="shared" si="11"/>
        <v>-1.3124999999999984</v>
      </c>
      <c r="S66" s="19">
        <f t="shared" si="12"/>
        <v>0</v>
      </c>
      <c r="T66" s="20">
        <f t="shared" si="13"/>
        <v>-1.3124999999999984</v>
      </c>
    </row>
    <row r="67" spans="1:23" ht="17.399999999999999">
      <c r="A67" s="9">
        <v>1</v>
      </c>
      <c r="B67" s="8">
        <v>237</v>
      </c>
      <c r="C67" s="8">
        <v>1331532576</v>
      </c>
      <c r="D67" s="42" t="s">
        <v>119</v>
      </c>
      <c r="F67" s="10">
        <v>0</v>
      </c>
      <c r="G67" s="10">
        <v>0</v>
      </c>
      <c r="H67" s="50">
        <v>0</v>
      </c>
      <c r="I67" s="50">
        <v>0</v>
      </c>
      <c r="J67" s="50">
        <v>0</v>
      </c>
      <c r="K67" s="39" t="s">
        <v>30</v>
      </c>
      <c r="L67" s="11">
        <f t="shared" si="8"/>
        <v>0</v>
      </c>
      <c r="M67" s="10">
        <f t="shared" si="7"/>
        <v>0</v>
      </c>
      <c r="N67" s="10">
        <f t="shared" si="9"/>
        <v>0</v>
      </c>
      <c r="O67" s="10">
        <v>0</v>
      </c>
      <c r="P67" s="10">
        <f t="shared" si="10"/>
        <v>0</v>
      </c>
      <c r="Q67" s="17">
        <v>-2.5499999999999998</v>
      </c>
      <c r="R67" s="18">
        <f t="shared" si="11"/>
        <v>-2.5499999999999998</v>
      </c>
      <c r="S67" s="19">
        <f t="shared" si="12"/>
        <v>0</v>
      </c>
      <c r="T67" s="20">
        <f t="shared" si="13"/>
        <v>-2.5499999999999998</v>
      </c>
    </row>
    <row r="68" spans="1:23" ht="17.399999999999999">
      <c r="A68" s="9">
        <v>1</v>
      </c>
      <c r="B68" s="8">
        <v>228</v>
      </c>
      <c r="C68" s="8">
        <v>1287481910</v>
      </c>
      <c r="D68" s="42" t="s">
        <v>109</v>
      </c>
      <c r="E68" s="42"/>
      <c r="F68" s="10">
        <v>0</v>
      </c>
      <c r="G68" s="10">
        <v>0</v>
      </c>
      <c r="H68" s="50">
        <v>0</v>
      </c>
      <c r="I68" s="50">
        <v>0</v>
      </c>
      <c r="J68" s="50">
        <v>0</v>
      </c>
      <c r="K68" s="39" t="s">
        <v>30</v>
      </c>
      <c r="L68" s="11">
        <f t="shared" si="8"/>
        <v>0</v>
      </c>
      <c r="M68" s="10">
        <f t="shared" si="7"/>
        <v>0</v>
      </c>
      <c r="N68" s="10">
        <f t="shared" si="9"/>
        <v>0</v>
      </c>
      <c r="O68" s="10">
        <v>0</v>
      </c>
      <c r="P68" s="10">
        <f t="shared" si="10"/>
        <v>0</v>
      </c>
      <c r="Q68" s="17">
        <v>-4.1499999999999995</v>
      </c>
      <c r="R68" s="18">
        <f t="shared" si="11"/>
        <v>-4.1499999999999995</v>
      </c>
      <c r="S68" s="19">
        <f t="shared" si="12"/>
        <v>0</v>
      </c>
      <c r="T68" s="20">
        <f t="shared" si="13"/>
        <v>-4.1499999999999995</v>
      </c>
    </row>
    <row r="69" spans="1:23" ht="17.399999999999999">
      <c r="A69" s="9">
        <v>1</v>
      </c>
      <c r="B69" s="8">
        <v>141</v>
      </c>
      <c r="C69" s="8">
        <v>1190305158</v>
      </c>
      <c r="D69" s="42" t="s">
        <v>44</v>
      </c>
      <c r="E69" s="44"/>
      <c r="F69" s="10">
        <v>0</v>
      </c>
      <c r="G69" s="10">
        <v>0</v>
      </c>
      <c r="H69" s="50">
        <v>0</v>
      </c>
      <c r="I69" s="50">
        <v>0</v>
      </c>
      <c r="J69" s="50">
        <v>0</v>
      </c>
      <c r="K69" s="39" t="s">
        <v>30</v>
      </c>
      <c r="L69" s="11">
        <f t="shared" si="8"/>
        <v>0</v>
      </c>
      <c r="M69" s="10">
        <f t="shared" si="7"/>
        <v>0</v>
      </c>
      <c r="N69" s="10">
        <f t="shared" si="9"/>
        <v>0</v>
      </c>
      <c r="O69" s="10">
        <v>0</v>
      </c>
      <c r="P69" s="10">
        <f t="shared" ref="P69:P70" si="14">SUM(M69+L69+O69+N69)</f>
        <v>0</v>
      </c>
      <c r="Q69" s="17">
        <v>-7.8937500000000043</v>
      </c>
      <c r="R69" s="18">
        <f t="shared" ref="R69:R70" si="15">P69+Q69</f>
        <v>-7.8937500000000043</v>
      </c>
      <c r="S69" s="19">
        <f t="shared" si="12"/>
        <v>0</v>
      </c>
      <c r="T69" s="20">
        <f t="shared" ref="T69:T70" si="16">R69-S69</f>
        <v>-7.8937500000000043</v>
      </c>
      <c r="U69" s="40"/>
      <c r="V69" s="40"/>
      <c r="W69" s="41"/>
    </row>
    <row r="70" spans="1:23" ht="17.399999999999999">
      <c r="A70" s="70">
        <v>1</v>
      </c>
      <c r="B70" s="8">
        <v>203</v>
      </c>
      <c r="C70" s="8">
        <v>382695365</v>
      </c>
      <c r="D70" s="42" t="s">
        <v>78</v>
      </c>
      <c r="E70" s="47"/>
      <c r="F70" s="10">
        <v>0</v>
      </c>
      <c r="G70" s="10">
        <v>0</v>
      </c>
      <c r="H70" s="50">
        <v>0</v>
      </c>
      <c r="I70" s="50">
        <v>0</v>
      </c>
      <c r="J70" s="50">
        <v>0</v>
      </c>
      <c r="K70" s="39" t="s">
        <v>30</v>
      </c>
      <c r="L70" s="11">
        <f t="shared" si="8"/>
        <v>0</v>
      </c>
      <c r="M70" s="10">
        <f t="shared" si="7"/>
        <v>0</v>
      </c>
      <c r="N70" s="10">
        <f t="shared" si="9"/>
        <v>0</v>
      </c>
      <c r="O70" s="10">
        <v>0</v>
      </c>
      <c r="P70" s="10">
        <f t="shared" si="14"/>
        <v>0</v>
      </c>
      <c r="Q70" s="17">
        <v>-16.90625</v>
      </c>
      <c r="R70" s="18">
        <f t="shared" si="15"/>
        <v>-16.90625</v>
      </c>
      <c r="S70" s="19">
        <f t="shared" si="12"/>
        <v>0</v>
      </c>
      <c r="T70" s="20">
        <f t="shared" si="16"/>
        <v>-16.90625</v>
      </c>
    </row>
    <row r="71" spans="1:23" ht="17.399999999999999">
      <c r="A71" s="70"/>
    </row>
  </sheetData>
  <autoFilter ref="A4:W70" xr:uid="{28593B8F-03E7-4BE1-B554-FC0AADC431B2}">
    <sortState xmlns:xlrd2="http://schemas.microsoft.com/office/spreadsheetml/2017/richdata2" ref="A5:W70">
      <sortCondition descending="1" ref="R4:R70"/>
    </sortState>
  </autoFilter>
  <mergeCells count="5">
    <mergeCell ref="B1:T1"/>
    <mergeCell ref="B2:T2"/>
    <mergeCell ref="B3:E3"/>
    <mergeCell ref="H3:J3"/>
    <mergeCell ref="K3:T3"/>
  </mergeCells>
  <conditionalFormatting sqref="F5:J70 O5:O70">
    <cfRule type="cellIs" dxfId="23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AA4CC-6868-404B-96E0-D44C489C5542}">
  <dimension ref="A1:AC71"/>
  <sheetViews>
    <sheetView zoomScale="85" zoomScaleNormal="85" workbookViewId="0">
      <selection activeCell="A3" sqref="A3"/>
    </sheetView>
  </sheetViews>
  <sheetFormatPr defaultColWidth="9" defaultRowHeight="14.4"/>
  <cols>
    <col min="1" max="1" width="6.44140625" customWidth="1"/>
    <col min="2" max="2" width="6.6640625" style="4" customWidth="1"/>
    <col min="3" max="3" width="19.77734375" style="5" customWidth="1"/>
    <col min="4" max="4" width="21.21875" style="5" customWidth="1"/>
    <col min="5" max="5" width="18.33203125" style="4" customWidth="1"/>
    <col min="6" max="6" width="13.109375" style="4" customWidth="1"/>
    <col min="7" max="7" width="13.77734375" style="4" customWidth="1"/>
    <col min="8" max="8" width="5.77734375" style="4" customWidth="1"/>
    <col min="9" max="9" width="5.88671875" style="4" customWidth="1"/>
    <col min="10" max="10" width="5.77734375" style="4" customWidth="1"/>
    <col min="11" max="11" width="20" style="4" customWidth="1"/>
    <col min="12" max="12" width="9" style="4" customWidth="1"/>
    <col min="13" max="13" width="12.109375" style="4" customWidth="1"/>
    <col min="14" max="14" width="11.33203125" style="4" customWidth="1"/>
    <col min="15" max="15" width="10" style="4" customWidth="1"/>
    <col min="16" max="16" width="9" style="4" customWidth="1"/>
    <col min="17" max="17" width="12.88671875" style="4" customWidth="1"/>
    <col min="18" max="18" width="12" style="4" customWidth="1"/>
    <col min="19" max="19" width="9.21875" style="4" customWidth="1"/>
    <col min="20" max="20" width="12.6640625" style="4" customWidth="1"/>
    <col min="21" max="23" width="11.109375" style="21" customWidth="1"/>
    <col min="24" max="24" width="22.44140625" customWidth="1"/>
  </cols>
  <sheetData>
    <row r="1" spans="1:29" ht="36.6" customHeight="1">
      <c r="B1" s="99" t="str">
        <f>CONCATENATE("157区 活动中心",Y15,"年",Y16,"月",Y17,"日","分包贡献明细"," 统计：一二三")</f>
        <v>157区 活动中心2021年9月25日分包贡献明细 统计：一二三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62"/>
      <c r="V1" s="62"/>
      <c r="W1" s="62"/>
      <c r="X1" s="22" t="s">
        <v>12</v>
      </c>
      <c r="Y1" s="5">
        <v>67</v>
      </c>
      <c r="Z1" s="3"/>
      <c r="AA1" s="3"/>
      <c r="AB1" s="3"/>
      <c r="AC1" s="3"/>
    </row>
    <row r="2" spans="1:29" ht="117.6" customHeight="1">
      <c r="B2" s="101" t="s">
        <v>126</v>
      </c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63"/>
      <c r="V2" s="63"/>
      <c r="W2" s="63"/>
      <c r="X2" s="23" t="s">
        <v>0</v>
      </c>
      <c r="Y2" s="24" t="s">
        <v>13</v>
      </c>
      <c r="Z2" s="25" t="s">
        <v>14</v>
      </c>
      <c r="AA2" s="25" t="s">
        <v>15</v>
      </c>
      <c r="AB2" s="25" t="s">
        <v>56</v>
      </c>
      <c r="AC2" s="26" t="s">
        <v>16</v>
      </c>
    </row>
    <row r="3" spans="1:29" ht="20.399999999999999">
      <c r="A3">
        <f>COUNTIF(K:K,"a跨服传说礼包")</f>
        <v>10</v>
      </c>
      <c r="B3" s="104" t="s">
        <v>20</v>
      </c>
      <c r="C3" s="104"/>
      <c r="D3" s="104"/>
      <c r="E3" s="104"/>
      <c r="F3" s="64" t="s">
        <v>17</v>
      </c>
      <c r="G3" s="65" t="s">
        <v>39</v>
      </c>
      <c r="H3" s="105" t="s">
        <v>99</v>
      </c>
      <c r="I3" s="105"/>
      <c r="J3" s="105"/>
      <c r="K3" s="106" t="s">
        <v>21</v>
      </c>
      <c r="L3" s="107"/>
      <c r="M3" s="107"/>
      <c r="N3" s="107"/>
      <c r="O3" s="107"/>
      <c r="P3" s="107"/>
      <c r="Q3" s="107"/>
      <c r="R3" s="107"/>
      <c r="S3" s="107"/>
      <c r="T3" s="108"/>
      <c r="U3" s="61"/>
      <c r="V3" s="61"/>
      <c r="W3" s="61"/>
      <c r="X3" s="27" t="s">
        <v>22</v>
      </c>
      <c r="Y3" s="28">
        <f>AC3/$Y$13</f>
        <v>11.875</v>
      </c>
      <c r="Z3" s="23">
        <v>5</v>
      </c>
      <c r="AA3" s="23">
        <v>7</v>
      </c>
      <c r="AB3" s="23">
        <v>20</v>
      </c>
      <c r="AC3" s="23">
        <v>1900</v>
      </c>
    </row>
    <row r="4" spans="1:29" ht="40.799999999999997">
      <c r="A4" s="72" t="s">
        <v>117</v>
      </c>
      <c r="B4" s="72" t="s">
        <v>2</v>
      </c>
      <c r="C4" s="60" t="s">
        <v>23</v>
      </c>
      <c r="D4" s="72" t="s">
        <v>3</v>
      </c>
      <c r="E4" s="72" t="s">
        <v>4</v>
      </c>
      <c r="F4" s="6" t="s">
        <v>40</v>
      </c>
      <c r="G4" s="7" t="s">
        <v>91</v>
      </c>
      <c r="H4" s="7" t="s">
        <v>100</v>
      </c>
      <c r="I4" s="7" t="s">
        <v>101</v>
      </c>
      <c r="J4" s="7" t="s">
        <v>102</v>
      </c>
      <c r="K4" s="6" t="s">
        <v>5</v>
      </c>
      <c r="L4" s="6" t="s">
        <v>24</v>
      </c>
      <c r="M4" s="7" t="s">
        <v>41</v>
      </c>
      <c r="N4" s="7" t="s">
        <v>104</v>
      </c>
      <c r="O4" s="7" t="s">
        <v>45</v>
      </c>
      <c r="P4" s="15" t="s">
        <v>25</v>
      </c>
      <c r="Q4" s="60" t="s">
        <v>26</v>
      </c>
      <c r="R4" s="16" t="s">
        <v>7</v>
      </c>
      <c r="S4" s="60" t="s">
        <v>6</v>
      </c>
      <c r="T4" s="60" t="s">
        <v>27</v>
      </c>
      <c r="U4" s="60" t="s">
        <v>18</v>
      </c>
      <c r="V4" s="60" t="s">
        <v>19</v>
      </c>
      <c r="W4" s="60" t="s">
        <v>1</v>
      </c>
      <c r="X4" s="29" t="s">
        <v>28</v>
      </c>
      <c r="Y4" s="28">
        <f>AC4/$Y$13</f>
        <v>9.6875</v>
      </c>
      <c r="Z4" s="23">
        <v>4</v>
      </c>
      <c r="AA4" s="23">
        <v>6</v>
      </c>
      <c r="AB4" s="23">
        <v>15</v>
      </c>
      <c r="AC4" s="23">
        <v>1550</v>
      </c>
    </row>
    <row r="5" spans="1:29" s="1" customFormat="1" ht="17.399999999999999">
      <c r="A5" s="9">
        <v>1</v>
      </c>
      <c r="B5" s="8">
        <v>240</v>
      </c>
      <c r="C5" s="8">
        <v>289805855</v>
      </c>
      <c r="D5" s="42" t="s">
        <v>123</v>
      </c>
      <c r="E5" s="4"/>
      <c r="F5" s="10">
        <v>4</v>
      </c>
      <c r="G5" s="10">
        <v>1</v>
      </c>
      <c r="H5" s="50">
        <v>0</v>
      </c>
      <c r="I5" s="50">
        <v>0</v>
      </c>
      <c r="J5" s="50">
        <v>0</v>
      </c>
      <c r="K5" s="14" t="s">
        <v>29</v>
      </c>
      <c r="L5" s="11">
        <f t="shared" ref="L5:L36" si="0">F5+IF(F5&gt;2,(F5-2)*1,0)</f>
        <v>6</v>
      </c>
      <c r="M5" s="10">
        <f t="shared" ref="M5:M22" si="1">G5*$Y$14</f>
        <v>1.2</v>
      </c>
      <c r="N5" s="10">
        <f t="shared" ref="N5:N36" si="2">SUM(H5:J5)*$Y$18</f>
        <v>0</v>
      </c>
      <c r="O5" s="10">
        <v>0</v>
      </c>
      <c r="P5" s="10">
        <f t="shared" ref="P5:P36" si="3">SUM(M5+L5+O5+N5)</f>
        <v>7.2</v>
      </c>
      <c r="Q5" s="17">
        <v>43.181250000000013</v>
      </c>
      <c r="R5" s="18">
        <f t="shared" ref="R5:R36" si="4">P5+Q5</f>
        <v>50.381250000000016</v>
      </c>
      <c r="S5" s="19">
        <f t="shared" ref="S5:S36" si="5">VLOOKUP(K5,$X$3:$Y$10,2,FALSE)</f>
        <v>1.875</v>
      </c>
      <c r="T5" s="20">
        <f t="shared" ref="T5:T36" si="6">R5-S5</f>
        <v>48.506250000000016</v>
      </c>
      <c r="U5" s="4"/>
      <c r="V5" s="4"/>
      <c r="W5" s="4"/>
      <c r="X5" s="14" t="s">
        <v>29</v>
      </c>
      <c r="Y5" s="28">
        <f>AC5/$Y$13/4</f>
        <v>1.875</v>
      </c>
      <c r="Z5" s="30">
        <v>3</v>
      </c>
      <c r="AA5" s="30">
        <v>5</v>
      </c>
      <c r="AB5" s="30">
        <v>10</v>
      </c>
      <c r="AC5" s="30">
        <v>1200</v>
      </c>
    </row>
    <row r="6" spans="1:29" s="1" customFormat="1" ht="17.399999999999999">
      <c r="A6" s="9">
        <v>1</v>
      </c>
      <c r="B6" s="8">
        <v>183</v>
      </c>
      <c r="C6" s="8">
        <v>1250030371</v>
      </c>
      <c r="D6" s="42" t="s">
        <v>130</v>
      </c>
      <c r="E6" s="42" t="s">
        <v>121</v>
      </c>
      <c r="F6" s="10">
        <v>4</v>
      </c>
      <c r="G6" s="10">
        <v>1</v>
      </c>
      <c r="H6" s="50">
        <v>0</v>
      </c>
      <c r="I6" s="50">
        <v>0</v>
      </c>
      <c r="J6" s="50">
        <v>0</v>
      </c>
      <c r="K6" s="27" t="s">
        <v>22</v>
      </c>
      <c r="L6" s="11">
        <f t="shared" si="0"/>
        <v>6</v>
      </c>
      <c r="M6" s="10">
        <f t="shared" si="1"/>
        <v>1.2</v>
      </c>
      <c r="N6" s="10">
        <f t="shared" si="2"/>
        <v>0</v>
      </c>
      <c r="O6" s="10">
        <v>0</v>
      </c>
      <c r="P6" s="10">
        <f t="shared" si="3"/>
        <v>7.2</v>
      </c>
      <c r="Q6" s="17">
        <v>28.293749999999996</v>
      </c>
      <c r="R6" s="18">
        <f t="shared" si="4"/>
        <v>35.493749999999999</v>
      </c>
      <c r="S6" s="19">
        <f t="shared" si="5"/>
        <v>11.875</v>
      </c>
      <c r="T6" s="20">
        <f t="shared" si="6"/>
        <v>23.618749999999999</v>
      </c>
      <c r="U6" s="4"/>
      <c r="V6" s="4"/>
      <c r="W6" s="4"/>
      <c r="X6" s="14"/>
      <c r="Y6" s="28"/>
      <c r="Z6" s="30"/>
      <c r="AA6" s="30"/>
      <c r="AB6" s="30"/>
      <c r="AC6" s="30"/>
    </row>
    <row r="7" spans="1:29" s="1" customFormat="1" ht="17.399999999999999">
      <c r="A7" s="9">
        <v>1</v>
      </c>
      <c r="B7" s="8">
        <v>189</v>
      </c>
      <c r="C7" s="8">
        <v>522812489</v>
      </c>
      <c r="D7" s="42" t="s">
        <v>70</v>
      </c>
      <c r="E7" s="47"/>
      <c r="F7" s="10">
        <v>4</v>
      </c>
      <c r="G7" s="10">
        <v>1</v>
      </c>
      <c r="H7" s="50">
        <v>0</v>
      </c>
      <c r="I7" s="50">
        <v>0</v>
      </c>
      <c r="J7" s="50">
        <v>0</v>
      </c>
      <c r="K7" s="27" t="s">
        <v>22</v>
      </c>
      <c r="L7" s="11">
        <f t="shared" si="0"/>
        <v>6</v>
      </c>
      <c r="M7" s="10">
        <f t="shared" si="1"/>
        <v>1.2</v>
      </c>
      <c r="N7" s="10">
        <f t="shared" si="2"/>
        <v>0</v>
      </c>
      <c r="O7" s="10">
        <v>0</v>
      </c>
      <c r="P7" s="10">
        <f t="shared" si="3"/>
        <v>7.2</v>
      </c>
      <c r="Q7" s="17">
        <v>28.225000000000001</v>
      </c>
      <c r="R7" s="18">
        <f t="shared" si="4"/>
        <v>35.425000000000004</v>
      </c>
      <c r="S7" s="19">
        <f t="shared" si="5"/>
        <v>11.875</v>
      </c>
      <c r="T7" s="20">
        <f t="shared" si="6"/>
        <v>23.550000000000004</v>
      </c>
      <c r="U7" s="4"/>
      <c r="V7" s="4"/>
      <c r="W7" s="4"/>
      <c r="X7" s="12" t="s">
        <v>53</v>
      </c>
      <c r="Y7" s="28">
        <f>AC7/$Y$13</f>
        <v>8.125</v>
      </c>
      <c r="Z7" s="30">
        <v>4</v>
      </c>
      <c r="AA7" s="30">
        <v>5</v>
      </c>
      <c r="AB7" s="30"/>
      <c r="AC7" s="30">
        <v>1300</v>
      </c>
    </row>
    <row r="8" spans="1:29" s="1" customFormat="1" ht="17.399999999999999">
      <c r="A8" s="9">
        <v>1</v>
      </c>
      <c r="B8" s="8">
        <v>232</v>
      </c>
      <c r="C8" s="8">
        <v>1088909927</v>
      </c>
      <c r="D8" s="42" t="s">
        <v>113</v>
      </c>
      <c r="E8" s="4"/>
      <c r="F8" s="10">
        <v>4</v>
      </c>
      <c r="G8" s="10">
        <v>1</v>
      </c>
      <c r="H8" s="50">
        <v>0</v>
      </c>
      <c r="I8" s="50">
        <v>0</v>
      </c>
      <c r="J8" s="50">
        <v>0</v>
      </c>
      <c r="K8" s="27" t="s">
        <v>22</v>
      </c>
      <c r="L8" s="11">
        <f t="shared" si="0"/>
        <v>6</v>
      </c>
      <c r="M8" s="10">
        <f t="shared" si="1"/>
        <v>1.2</v>
      </c>
      <c r="N8" s="10">
        <f t="shared" si="2"/>
        <v>0</v>
      </c>
      <c r="O8" s="10">
        <v>0</v>
      </c>
      <c r="P8" s="10">
        <f t="shared" si="3"/>
        <v>7.2</v>
      </c>
      <c r="Q8" s="17">
        <v>28.206249999999997</v>
      </c>
      <c r="R8" s="18">
        <f t="shared" si="4"/>
        <v>35.40625</v>
      </c>
      <c r="S8" s="19">
        <f t="shared" si="5"/>
        <v>11.875</v>
      </c>
      <c r="T8" s="20">
        <f t="shared" si="6"/>
        <v>23.53125</v>
      </c>
      <c r="U8" s="4"/>
      <c r="V8" s="4"/>
      <c r="W8" s="4"/>
      <c r="X8" s="13" t="s">
        <v>52</v>
      </c>
      <c r="Y8" s="28">
        <f>AC8/$Y$13</f>
        <v>6.25</v>
      </c>
      <c r="Z8" s="30">
        <v>3</v>
      </c>
      <c r="AA8" s="30">
        <v>4</v>
      </c>
      <c r="AB8" s="30"/>
      <c r="AC8" s="30">
        <v>1000</v>
      </c>
    </row>
    <row r="9" spans="1:29" s="1" customFormat="1" ht="17.399999999999999">
      <c r="A9" s="9">
        <v>1</v>
      </c>
      <c r="B9" s="8">
        <v>224</v>
      </c>
      <c r="C9" s="8">
        <v>862562360</v>
      </c>
      <c r="D9" s="42" t="s">
        <v>129</v>
      </c>
      <c r="E9" s="42" t="s">
        <v>106</v>
      </c>
      <c r="F9" s="10">
        <v>4</v>
      </c>
      <c r="G9" s="10">
        <v>1</v>
      </c>
      <c r="H9" s="50">
        <v>0</v>
      </c>
      <c r="I9" s="50">
        <v>0</v>
      </c>
      <c r="J9" s="50">
        <v>0</v>
      </c>
      <c r="K9" s="27" t="s">
        <v>22</v>
      </c>
      <c r="L9" s="11">
        <f t="shared" si="0"/>
        <v>6</v>
      </c>
      <c r="M9" s="10">
        <f t="shared" si="1"/>
        <v>1.2</v>
      </c>
      <c r="N9" s="10">
        <f t="shared" si="2"/>
        <v>0</v>
      </c>
      <c r="O9" s="10">
        <v>0</v>
      </c>
      <c r="P9" s="10">
        <f t="shared" si="3"/>
        <v>7.2</v>
      </c>
      <c r="Q9" s="17">
        <v>27.785354477611939</v>
      </c>
      <c r="R9" s="18">
        <f t="shared" si="4"/>
        <v>34.985354477611942</v>
      </c>
      <c r="S9" s="19">
        <f t="shared" si="5"/>
        <v>11.875</v>
      </c>
      <c r="T9" s="20">
        <f t="shared" si="6"/>
        <v>23.110354477611942</v>
      </c>
      <c r="U9" s="4"/>
      <c r="V9" s="4"/>
      <c r="W9" s="4"/>
      <c r="X9" s="14" t="s">
        <v>53</v>
      </c>
      <c r="Y9" s="28">
        <f>AC9/$Y$13/4</f>
        <v>1.09375</v>
      </c>
      <c r="Z9" s="30">
        <v>2</v>
      </c>
      <c r="AA9" s="30">
        <v>3</v>
      </c>
      <c r="AB9" s="30"/>
      <c r="AC9" s="30">
        <v>700</v>
      </c>
    </row>
    <row r="10" spans="1:29" s="1" customFormat="1" ht="17.399999999999999">
      <c r="A10" s="9">
        <v>1</v>
      </c>
      <c r="B10" s="8">
        <v>200</v>
      </c>
      <c r="C10" s="8">
        <v>967589156</v>
      </c>
      <c r="D10" s="42" t="s">
        <v>76</v>
      </c>
      <c r="E10" s="47"/>
      <c r="F10" s="10">
        <v>4</v>
      </c>
      <c r="G10" s="10">
        <v>1</v>
      </c>
      <c r="H10" s="50">
        <v>0</v>
      </c>
      <c r="I10" s="50">
        <v>1</v>
      </c>
      <c r="J10" s="50">
        <v>0</v>
      </c>
      <c r="K10" s="27" t="s">
        <v>22</v>
      </c>
      <c r="L10" s="11">
        <f t="shared" si="0"/>
        <v>6</v>
      </c>
      <c r="M10" s="10">
        <f t="shared" si="1"/>
        <v>1.2</v>
      </c>
      <c r="N10" s="10">
        <f t="shared" si="2"/>
        <v>0.4</v>
      </c>
      <c r="O10" s="10">
        <v>0</v>
      </c>
      <c r="P10" s="10">
        <f t="shared" si="3"/>
        <v>7.6000000000000005</v>
      </c>
      <c r="Q10" s="17">
        <v>26.756250000000016</v>
      </c>
      <c r="R10" s="18">
        <f t="shared" si="4"/>
        <v>34.356250000000017</v>
      </c>
      <c r="S10" s="19">
        <f t="shared" si="5"/>
        <v>11.875</v>
      </c>
      <c r="T10" s="20">
        <f t="shared" si="6"/>
        <v>22.481250000000017</v>
      </c>
      <c r="U10" s="4"/>
      <c r="V10" s="4"/>
      <c r="W10" s="4"/>
      <c r="X10" s="33" t="s">
        <v>30</v>
      </c>
      <c r="Y10" s="2">
        <v>0</v>
      </c>
      <c r="Z10" s="2"/>
      <c r="AA10" s="2"/>
      <c r="AB10" s="2"/>
      <c r="AC10" s="2"/>
    </row>
    <row r="11" spans="1:29" s="1" customFormat="1" ht="17.399999999999999">
      <c r="A11" s="9">
        <v>1</v>
      </c>
      <c r="B11" s="9">
        <v>231</v>
      </c>
      <c r="C11" s="8">
        <v>1725915293</v>
      </c>
      <c r="D11" s="42" t="s">
        <v>112</v>
      </c>
      <c r="E11" s="4"/>
      <c r="F11" s="10">
        <v>4</v>
      </c>
      <c r="G11" s="10">
        <v>1</v>
      </c>
      <c r="H11" s="50">
        <v>0</v>
      </c>
      <c r="I11" s="50">
        <v>0</v>
      </c>
      <c r="J11" s="50">
        <v>0</v>
      </c>
      <c r="K11" s="27" t="s">
        <v>22</v>
      </c>
      <c r="L11" s="11">
        <f t="shared" si="0"/>
        <v>6</v>
      </c>
      <c r="M11" s="10">
        <f t="shared" si="1"/>
        <v>1.2</v>
      </c>
      <c r="N11" s="10">
        <f t="shared" si="2"/>
        <v>0</v>
      </c>
      <c r="O11" s="10">
        <v>0</v>
      </c>
      <c r="P11" s="10">
        <f t="shared" si="3"/>
        <v>7.2</v>
      </c>
      <c r="Q11" s="17">
        <v>27.043749999999996</v>
      </c>
      <c r="R11" s="18">
        <f t="shared" si="4"/>
        <v>34.243749999999999</v>
      </c>
      <c r="S11" s="19">
        <f t="shared" si="5"/>
        <v>11.875</v>
      </c>
      <c r="T11" s="20">
        <f t="shared" si="6"/>
        <v>22.368749999999999</v>
      </c>
      <c r="U11" s="4"/>
      <c r="V11" s="4"/>
      <c r="W11" s="4"/>
      <c r="X11" s="34"/>
    </row>
    <row r="12" spans="1:29" s="1" customFormat="1" ht="17.399999999999999">
      <c r="A12" s="9">
        <v>1</v>
      </c>
      <c r="B12" s="8">
        <v>208</v>
      </c>
      <c r="C12" s="8">
        <v>92129464</v>
      </c>
      <c r="D12" s="42" t="s">
        <v>82</v>
      </c>
      <c r="E12" s="47"/>
      <c r="F12" s="10">
        <v>4</v>
      </c>
      <c r="G12" s="10">
        <v>1</v>
      </c>
      <c r="H12" s="50">
        <v>0</v>
      </c>
      <c r="I12" s="50">
        <v>0</v>
      </c>
      <c r="J12" s="50">
        <v>0</v>
      </c>
      <c r="K12" s="27" t="s">
        <v>22</v>
      </c>
      <c r="L12" s="11">
        <f t="shared" si="0"/>
        <v>6</v>
      </c>
      <c r="M12" s="10">
        <f t="shared" si="1"/>
        <v>1.2</v>
      </c>
      <c r="N12" s="10">
        <f t="shared" si="2"/>
        <v>0</v>
      </c>
      <c r="O12" s="10">
        <v>0</v>
      </c>
      <c r="P12" s="10">
        <f t="shared" si="3"/>
        <v>7.2</v>
      </c>
      <c r="Q12" s="17">
        <v>26.824999999999996</v>
      </c>
      <c r="R12" s="18">
        <f t="shared" si="4"/>
        <v>34.024999999999999</v>
      </c>
      <c r="S12" s="19">
        <f t="shared" si="5"/>
        <v>11.875</v>
      </c>
      <c r="T12" s="20">
        <f t="shared" si="6"/>
        <v>22.15</v>
      </c>
      <c r="U12" s="4"/>
      <c r="V12" s="4"/>
      <c r="W12" s="4"/>
      <c r="X12" s="35" t="s">
        <v>32</v>
      </c>
      <c r="Y12" s="1">
        <v>15000</v>
      </c>
    </row>
    <row r="13" spans="1:29" s="2" customFormat="1" ht="20.399999999999999">
      <c r="A13" s="9">
        <v>1</v>
      </c>
      <c r="B13" s="8">
        <v>221</v>
      </c>
      <c r="C13" s="8">
        <v>790956883</v>
      </c>
      <c r="D13" s="42" t="s">
        <v>96</v>
      </c>
      <c r="E13" s="42" t="s">
        <v>95</v>
      </c>
      <c r="F13" s="10">
        <v>4</v>
      </c>
      <c r="G13" s="10">
        <v>1</v>
      </c>
      <c r="H13" s="50">
        <v>0</v>
      </c>
      <c r="I13" s="50">
        <v>0</v>
      </c>
      <c r="J13" s="50">
        <v>0</v>
      </c>
      <c r="K13" s="27" t="s">
        <v>22</v>
      </c>
      <c r="L13" s="11">
        <f t="shared" si="0"/>
        <v>6</v>
      </c>
      <c r="M13" s="10">
        <f t="shared" si="1"/>
        <v>1.2</v>
      </c>
      <c r="N13" s="10">
        <f t="shared" si="2"/>
        <v>0</v>
      </c>
      <c r="O13" s="10">
        <v>0</v>
      </c>
      <c r="P13" s="10">
        <f t="shared" si="3"/>
        <v>7.2</v>
      </c>
      <c r="Q13" s="17">
        <v>26.781249999999993</v>
      </c>
      <c r="R13" s="18">
        <f t="shared" si="4"/>
        <v>33.981249999999996</v>
      </c>
      <c r="S13" s="19">
        <f t="shared" si="5"/>
        <v>11.875</v>
      </c>
      <c r="T13" s="20">
        <f t="shared" si="6"/>
        <v>22.106249999999996</v>
      </c>
      <c r="U13" s="4"/>
      <c r="V13" s="4"/>
      <c r="W13" s="4"/>
      <c r="X13" s="36" t="s">
        <v>33</v>
      </c>
      <c r="Y13" s="37">
        <v>160</v>
      </c>
      <c r="Z13" s="1"/>
      <c r="AA13" s="1"/>
      <c r="AB13" s="1"/>
      <c r="AC13" s="1"/>
    </row>
    <row r="14" spans="1:29" s="2" customFormat="1" ht="17.399999999999999">
      <c r="A14" s="9">
        <v>1</v>
      </c>
      <c r="B14" s="8">
        <v>225</v>
      </c>
      <c r="C14" s="8">
        <v>1963965829</v>
      </c>
      <c r="D14" s="42" t="s">
        <v>107</v>
      </c>
      <c r="E14" s="42"/>
      <c r="F14" s="10">
        <v>4</v>
      </c>
      <c r="G14" s="10">
        <v>1</v>
      </c>
      <c r="H14" s="50">
        <v>0</v>
      </c>
      <c r="I14" s="50">
        <v>0</v>
      </c>
      <c r="J14" s="50">
        <v>0</v>
      </c>
      <c r="K14" s="27" t="s">
        <v>22</v>
      </c>
      <c r="L14" s="11">
        <f t="shared" si="0"/>
        <v>6</v>
      </c>
      <c r="M14" s="10">
        <f t="shared" si="1"/>
        <v>1.2</v>
      </c>
      <c r="N14" s="10">
        <f t="shared" si="2"/>
        <v>0</v>
      </c>
      <c r="O14" s="10">
        <v>0</v>
      </c>
      <c r="P14" s="10">
        <f t="shared" si="3"/>
        <v>7.2</v>
      </c>
      <c r="Q14" s="17">
        <v>26.735736940298494</v>
      </c>
      <c r="R14" s="18">
        <f t="shared" si="4"/>
        <v>33.935736940298497</v>
      </c>
      <c r="S14" s="19">
        <f t="shared" si="5"/>
        <v>11.875</v>
      </c>
      <c r="T14" s="20">
        <f t="shared" si="6"/>
        <v>22.060736940298497</v>
      </c>
      <c r="U14" s="4"/>
      <c r="V14" s="4"/>
      <c r="W14" s="4"/>
      <c r="X14" s="38" t="s">
        <v>42</v>
      </c>
      <c r="Y14" s="37">
        <v>1.2</v>
      </c>
      <c r="Z14" s="1"/>
      <c r="AA14" s="1"/>
      <c r="AB14" s="1"/>
      <c r="AC14" s="1"/>
    </row>
    <row r="15" spans="1:29" s="2" customFormat="1" ht="17.399999999999999">
      <c r="A15" s="9">
        <v>1</v>
      </c>
      <c r="B15" s="8">
        <v>242</v>
      </c>
      <c r="C15" s="8">
        <v>1381736232</v>
      </c>
      <c r="D15" s="42" t="s">
        <v>125</v>
      </c>
      <c r="E15" s="4"/>
      <c r="F15" s="10">
        <v>4</v>
      </c>
      <c r="G15" s="10">
        <v>1</v>
      </c>
      <c r="H15" s="50">
        <v>0</v>
      </c>
      <c r="I15" s="50">
        <v>0</v>
      </c>
      <c r="J15" s="50">
        <v>0</v>
      </c>
      <c r="K15" s="27" t="s">
        <v>22</v>
      </c>
      <c r="L15" s="11">
        <f t="shared" si="0"/>
        <v>6</v>
      </c>
      <c r="M15" s="10">
        <f t="shared" si="1"/>
        <v>1.2</v>
      </c>
      <c r="N15" s="10">
        <f t="shared" si="2"/>
        <v>0</v>
      </c>
      <c r="O15" s="10">
        <v>0</v>
      </c>
      <c r="P15" s="10">
        <f t="shared" si="3"/>
        <v>7.2</v>
      </c>
      <c r="Q15" s="17">
        <v>26.70624999999999</v>
      </c>
      <c r="R15" s="18">
        <f t="shared" si="4"/>
        <v>33.906249999999993</v>
      </c>
      <c r="S15" s="19">
        <f t="shared" si="5"/>
        <v>11.875</v>
      </c>
      <c r="T15" s="20">
        <f t="shared" si="6"/>
        <v>22.031249999999993</v>
      </c>
      <c r="U15" s="4"/>
      <c r="V15" s="4"/>
      <c r="W15" s="4"/>
      <c r="X15" s="1" t="s">
        <v>34</v>
      </c>
      <c r="Y15" s="37">
        <v>2021</v>
      </c>
      <c r="Z15" s="1"/>
      <c r="AA15" s="1"/>
      <c r="AB15" s="1"/>
      <c r="AC15" s="1"/>
    </row>
    <row r="16" spans="1:29" s="2" customFormat="1" ht="17.399999999999999">
      <c r="A16" s="9">
        <v>1</v>
      </c>
      <c r="B16" s="8">
        <v>226</v>
      </c>
      <c r="C16" s="8">
        <v>1238792963</v>
      </c>
      <c r="D16" s="42" t="s">
        <v>108</v>
      </c>
      <c r="E16" s="42"/>
      <c r="F16" s="10">
        <v>4</v>
      </c>
      <c r="G16" s="10">
        <v>1</v>
      </c>
      <c r="H16" s="50">
        <v>0</v>
      </c>
      <c r="I16" s="50">
        <v>0</v>
      </c>
      <c r="J16" s="50">
        <v>0</v>
      </c>
      <c r="K16" s="29" t="s">
        <v>28</v>
      </c>
      <c r="L16" s="11">
        <f t="shared" si="0"/>
        <v>6</v>
      </c>
      <c r="M16" s="10">
        <f t="shared" si="1"/>
        <v>1.2</v>
      </c>
      <c r="N16" s="10">
        <f t="shared" si="2"/>
        <v>0</v>
      </c>
      <c r="O16" s="10">
        <v>0</v>
      </c>
      <c r="P16" s="10">
        <f t="shared" si="3"/>
        <v>7.2</v>
      </c>
      <c r="Q16" s="17">
        <v>26.581249999999997</v>
      </c>
      <c r="R16" s="18">
        <f t="shared" si="4"/>
        <v>33.78125</v>
      </c>
      <c r="S16" s="19">
        <f t="shared" si="5"/>
        <v>9.6875</v>
      </c>
      <c r="T16" s="20">
        <f t="shared" si="6"/>
        <v>24.09375</v>
      </c>
      <c r="U16" s="4"/>
      <c r="V16" s="4"/>
      <c r="W16" s="4"/>
      <c r="X16" s="1" t="s">
        <v>35</v>
      </c>
      <c r="Y16" s="37">
        <v>9</v>
      </c>
      <c r="Z16" s="1"/>
      <c r="AA16" s="1"/>
      <c r="AB16" s="1"/>
      <c r="AC16" s="1"/>
    </row>
    <row r="17" spans="1:29" s="2" customFormat="1" ht="17.399999999999999">
      <c r="A17" s="9">
        <v>1</v>
      </c>
      <c r="B17" s="8">
        <v>215</v>
      </c>
      <c r="C17" s="8">
        <v>289805855</v>
      </c>
      <c r="D17" s="42" t="s">
        <v>87</v>
      </c>
      <c r="F17" s="10">
        <v>4</v>
      </c>
      <c r="G17" s="10">
        <v>1</v>
      </c>
      <c r="H17" s="50">
        <v>0</v>
      </c>
      <c r="I17" s="50">
        <v>1</v>
      </c>
      <c r="J17" s="50">
        <v>1</v>
      </c>
      <c r="K17" s="29" t="s">
        <v>28</v>
      </c>
      <c r="L17" s="11">
        <f t="shared" si="0"/>
        <v>6</v>
      </c>
      <c r="M17" s="10">
        <f t="shared" si="1"/>
        <v>1.2</v>
      </c>
      <c r="N17" s="10">
        <f t="shared" si="2"/>
        <v>0.8</v>
      </c>
      <c r="O17" s="10">
        <v>0</v>
      </c>
      <c r="P17" s="10">
        <f t="shared" si="3"/>
        <v>8</v>
      </c>
      <c r="Q17" s="17">
        <v>24.425499999999992</v>
      </c>
      <c r="R17" s="18">
        <f t="shared" si="4"/>
        <v>32.425499999999992</v>
      </c>
      <c r="S17" s="19">
        <f t="shared" si="5"/>
        <v>9.6875</v>
      </c>
      <c r="T17" s="20">
        <f t="shared" si="6"/>
        <v>22.737999999999992</v>
      </c>
      <c r="U17" s="4"/>
      <c r="V17" s="4"/>
      <c r="W17" s="4"/>
      <c r="X17" s="1" t="s">
        <v>36</v>
      </c>
      <c r="Y17" s="37">
        <v>25</v>
      </c>
      <c r="Z17" s="1"/>
      <c r="AA17" s="1"/>
      <c r="AB17" s="1"/>
      <c r="AC17" s="1"/>
    </row>
    <row r="18" spans="1:29" s="2" customFormat="1" ht="17.399999999999999">
      <c r="A18" s="9">
        <v>1</v>
      </c>
      <c r="B18" s="8">
        <v>128</v>
      </c>
      <c r="C18" s="8">
        <v>1214614935</v>
      </c>
      <c r="D18" s="42" t="s">
        <v>62</v>
      </c>
      <c r="E18" s="49" t="s">
        <v>43</v>
      </c>
      <c r="F18" s="10">
        <v>4</v>
      </c>
      <c r="G18" s="10">
        <v>1</v>
      </c>
      <c r="H18" s="50">
        <v>0</v>
      </c>
      <c r="I18" s="50">
        <v>1</v>
      </c>
      <c r="J18" s="50">
        <v>1</v>
      </c>
      <c r="K18" s="29" t="s">
        <v>28</v>
      </c>
      <c r="L18" s="11">
        <f t="shared" si="0"/>
        <v>6</v>
      </c>
      <c r="M18" s="10">
        <f t="shared" si="1"/>
        <v>1.2</v>
      </c>
      <c r="N18" s="10">
        <f t="shared" si="2"/>
        <v>0.8</v>
      </c>
      <c r="O18" s="10">
        <v>0</v>
      </c>
      <c r="P18" s="10">
        <f t="shared" si="3"/>
        <v>8</v>
      </c>
      <c r="Q18" s="17">
        <v>24.236999999999995</v>
      </c>
      <c r="R18" s="18">
        <f t="shared" si="4"/>
        <v>32.236999999999995</v>
      </c>
      <c r="S18" s="19">
        <f t="shared" si="5"/>
        <v>9.6875</v>
      </c>
      <c r="T18" s="20">
        <f t="shared" si="6"/>
        <v>22.549499999999995</v>
      </c>
      <c r="U18" s="11"/>
      <c r="V18" s="11"/>
      <c r="W18" s="31"/>
      <c r="X18" s="51" t="s">
        <v>103</v>
      </c>
      <c r="Y18" s="37">
        <v>0.4</v>
      </c>
      <c r="Z18" s="1"/>
      <c r="AA18" s="1"/>
      <c r="AB18" s="1"/>
      <c r="AC18" s="1"/>
    </row>
    <row r="19" spans="1:29" s="2" customFormat="1" ht="17.399999999999999">
      <c r="A19" s="9">
        <v>1</v>
      </c>
      <c r="B19" s="9">
        <v>26</v>
      </c>
      <c r="C19" s="8">
        <v>1754932067</v>
      </c>
      <c r="D19" s="42" t="s">
        <v>58</v>
      </c>
      <c r="E19" s="42" t="s">
        <v>9</v>
      </c>
      <c r="F19" s="10">
        <v>4</v>
      </c>
      <c r="G19" s="10">
        <v>1</v>
      </c>
      <c r="H19" s="50">
        <v>0</v>
      </c>
      <c r="I19" s="50">
        <v>1</v>
      </c>
      <c r="J19" s="50">
        <v>1</v>
      </c>
      <c r="K19" s="29" t="s">
        <v>28</v>
      </c>
      <c r="L19" s="11">
        <f t="shared" si="0"/>
        <v>6</v>
      </c>
      <c r="M19" s="10">
        <f t="shared" si="1"/>
        <v>1.2</v>
      </c>
      <c r="N19" s="10">
        <f t="shared" si="2"/>
        <v>0.8</v>
      </c>
      <c r="O19" s="10">
        <v>0</v>
      </c>
      <c r="P19" s="10">
        <f t="shared" si="3"/>
        <v>8</v>
      </c>
      <c r="Q19" s="17">
        <v>24.075000000000003</v>
      </c>
      <c r="R19" s="18">
        <f t="shared" si="4"/>
        <v>32.075000000000003</v>
      </c>
      <c r="S19" s="19">
        <f t="shared" si="5"/>
        <v>9.6875</v>
      </c>
      <c r="T19" s="20">
        <f t="shared" si="6"/>
        <v>22.387500000000003</v>
      </c>
      <c r="U19" s="11"/>
      <c r="V19" s="11"/>
      <c r="W19" s="11"/>
      <c r="X19" s="1"/>
      <c r="Y19" s="1"/>
      <c r="Z19" s="1"/>
      <c r="AA19" s="1"/>
      <c r="AB19" s="1"/>
      <c r="AC19" s="1"/>
    </row>
    <row r="20" spans="1:29" s="2" customFormat="1" ht="17.399999999999999">
      <c r="A20" s="9">
        <v>1</v>
      </c>
      <c r="B20" s="8">
        <v>182</v>
      </c>
      <c r="C20" s="8">
        <v>828260319</v>
      </c>
      <c r="D20" s="42" t="s">
        <v>134</v>
      </c>
      <c r="E20" s="42" t="s">
        <v>127</v>
      </c>
      <c r="F20" s="10">
        <v>4</v>
      </c>
      <c r="G20" s="10">
        <v>1</v>
      </c>
      <c r="H20" s="50">
        <v>0</v>
      </c>
      <c r="I20" s="50">
        <v>0</v>
      </c>
      <c r="J20" s="50">
        <v>1</v>
      </c>
      <c r="K20" s="29" t="s">
        <v>28</v>
      </c>
      <c r="L20" s="11">
        <f t="shared" si="0"/>
        <v>6</v>
      </c>
      <c r="M20" s="10">
        <f t="shared" si="1"/>
        <v>1.2</v>
      </c>
      <c r="N20" s="10">
        <f t="shared" si="2"/>
        <v>0.4</v>
      </c>
      <c r="O20" s="10">
        <v>0</v>
      </c>
      <c r="P20" s="10">
        <f t="shared" si="3"/>
        <v>7.6000000000000005</v>
      </c>
      <c r="Q20" s="17">
        <v>23.294250000000019</v>
      </c>
      <c r="R20" s="18">
        <f t="shared" si="4"/>
        <v>30.894250000000021</v>
      </c>
      <c r="S20" s="19">
        <f t="shared" si="5"/>
        <v>9.6875</v>
      </c>
      <c r="T20" s="20">
        <f t="shared" si="6"/>
        <v>21.206750000000021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7.399999999999999">
      <c r="A21" s="9">
        <v>1</v>
      </c>
      <c r="B21" s="8">
        <v>202</v>
      </c>
      <c r="C21" s="8">
        <v>471245585</v>
      </c>
      <c r="D21" s="42" t="s">
        <v>77</v>
      </c>
      <c r="E21" s="47"/>
      <c r="F21" s="10">
        <v>4</v>
      </c>
      <c r="G21" s="10">
        <v>1</v>
      </c>
      <c r="H21" s="50">
        <v>0</v>
      </c>
      <c r="I21" s="50">
        <v>0</v>
      </c>
      <c r="J21" s="50">
        <v>0</v>
      </c>
      <c r="K21" s="29" t="s">
        <v>28</v>
      </c>
      <c r="L21" s="11">
        <f t="shared" si="0"/>
        <v>6</v>
      </c>
      <c r="M21" s="10">
        <f t="shared" si="1"/>
        <v>1.2</v>
      </c>
      <c r="N21" s="10">
        <f t="shared" si="2"/>
        <v>0</v>
      </c>
      <c r="O21" s="10">
        <v>0</v>
      </c>
      <c r="P21" s="10">
        <f t="shared" si="3"/>
        <v>7.2</v>
      </c>
      <c r="Q21" s="17">
        <v>23.512499999999992</v>
      </c>
      <c r="R21" s="18">
        <f t="shared" si="4"/>
        <v>30.712499999999991</v>
      </c>
      <c r="S21" s="19">
        <f t="shared" si="5"/>
        <v>9.6875</v>
      </c>
      <c r="T21" s="20">
        <f t="shared" si="6"/>
        <v>21.024999999999991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7.399999999999999">
      <c r="A22" s="9">
        <v>1</v>
      </c>
      <c r="B22" s="8">
        <v>184</v>
      </c>
      <c r="C22" s="8">
        <v>1814130074</v>
      </c>
      <c r="D22" s="42" t="s">
        <v>67</v>
      </c>
      <c r="E22" s="47"/>
      <c r="F22" s="10">
        <v>4</v>
      </c>
      <c r="G22" s="10">
        <v>1</v>
      </c>
      <c r="H22" s="50">
        <v>0</v>
      </c>
      <c r="I22" s="50">
        <v>1</v>
      </c>
      <c r="J22" s="50">
        <v>0</v>
      </c>
      <c r="K22" s="29" t="s">
        <v>28</v>
      </c>
      <c r="L22" s="11">
        <f t="shared" si="0"/>
        <v>6</v>
      </c>
      <c r="M22" s="10">
        <f t="shared" si="1"/>
        <v>1.2</v>
      </c>
      <c r="N22" s="10">
        <f t="shared" si="2"/>
        <v>0.4</v>
      </c>
      <c r="O22" s="10">
        <v>0</v>
      </c>
      <c r="P22" s="10">
        <f t="shared" si="3"/>
        <v>7.6000000000000005</v>
      </c>
      <c r="Q22" s="17">
        <v>22.356250000000021</v>
      </c>
      <c r="R22" s="18">
        <f t="shared" si="4"/>
        <v>29.956250000000022</v>
      </c>
      <c r="S22" s="19">
        <f t="shared" si="5"/>
        <v>9.6875</v>
      </c>
      <c r="T22" s="20">
        <f t="shared" si="6"/>
        <v>20.268750000000022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20.399999999999999">
      <c r="A23" s="9">
        <v>1</v>
      </c>
      <c r="B23" s="9">
        <v>49</v>
      </c>
      <c r="C23" s="8">
        <v>311361673</v>
      </c>
      <c r="D23" s="43" t="s">
        <v>105</v>
      </c>
      <c r="E23" s="49" t="s">
        <v>11</v>
      </c>
      <c r="F23" s="10">
        <v>4</v>
      </c>
      <c r="G23" s="10">
        <v>1</v>
      </c>
      <c r="H23" s="50">
        <v>0</v>
      </c>
      <c r="I23" s="50">
        <v>1</v>
      </c>
      <c r="J23" s="50">
        <v>1</v>
      </c>
      <c r="K23" s="29" t="s">
        <v>28</v>
      </c>
      <c r="L23" s="11">
        <f t="shared" si="0"/>
        <v>6</v>
      </c>
      <c r="M23" s="10">
        <f>IF(G23&gt;0,1,0)*$Y$14</f>
        <v>1.2</v>
      </c>
      <c r="N23" s="10">
        <f t="shared" si="2"/>
        <v>0.8</v>
      </c>
      <c r="O23" s="10">
        <v>0</v>
      </c>
      <c r="P23" s="10">
        <f t="shared" si="3"/>
        <v>8</v>
      </c>
      <c r="Q23" s="17">
        <v>20.768749999999997</v>
      </c>
      <c r="R23" s="18">
        <f t="shared" si="4"/>
        <v>28.768749999999997</v>
      </c>
      <c r="S23" s="19">
        <f t="shared" si="5"/>
        <v>9.6875</v>
      </c>
      <c r="T23" s="20">
        <f t="shared" si="6"/>
        <v>19.081249999999997</v>
      </c>
      <c r="U23" s="11"/>
      <c r="V23" s="11"/>
      <c r="W23" s="11"/>
    </row>
    <row r="24" spans="1:29" s="1" customFormat="1" ht="17.399999999999999">
      <c r="A24" s="9">
        <v>1</v>
      </c>
      <c r="B24" s="8">
        <v>238</v>
      </c>
      <c r="C24" s="8">
        <v>108179057</v>
      </c>
      <c r="D24" s="42" t="s">
        <v>120</v>
      </c>
      <c r="E24" s="4"/>
      <c r="F24" s="10">
        <v>4</v>
      </c>
      <c r="G24" s="10">
        <v>1</v>
      </c>
      <c r="H24" s="50">
        <v>0</v>
      </c>
      <c r="I24" s="50">
        <v>0</v>
      </c>
      <c r="J24" s="50">
        <v>0</v>
      </c>
      <c r="K24" s="29" t="s">
        <v>28</v>
      </c>
      <c r="L24" s="11">
        <f t="shared" si="0"/>
        <v>6</v>
      </c>
      <c r="M24" s="10">
        <f t="shared" ref="M24:M70" si="7">G24*$Y$14</f>
        <v>1.2</v>
      </c>
      <c r="N24" s="10">
        <f t="shared" si="2"/>
        <v>0</v>
      </c>
      <c r="O24" s="10">
        <v>0</v>
      </c>
      <c r="P24" s="10">
        <f t="shared" si="3"/>
        <v>7.2</v>
      </c>
      <c r="Q24" s="17">
        <v>21.562499999999989</v>
      </c>
      <c r="R24" s="18">
        <f t="shared" si="4"/>
        <v>28.762499999999989</v>
      </c>
      <c r="S24" s="19">
        <f t="shared" si="5"/>
        <v>9.6875</v>
      </c>
      <c r="T24" s="20">
        <f t="shared" si="6"/>
        <v>19.074999999999989</v>
      </c>
      <c r="U24" s="4"/>
      <c r="V24" s="4"/>
      <c r="W24" s="4"/>
    </row>
    <row r="25" spans="1:29" s="1" customFormat="1" ht="17.399999999999999">
      <c r="A25" s="9">
        <v>1</v>
      </c>
      <c r="B25" s="9">
        <v>92</v>
      </c>
      <c r="C25" s="8">
        <v>1367873925</v>
      </c>
      <c r="D25" s="42" t="s">
        <v>80</v>
      </c>
      <c r="E25" s="42" t="s">
        <v>31</v>
      </c>
      <c r="F25" s="10">
        <v>4</v>
      </c>
      <c r="G25" s="10">
        <v>1</v>
      </c>
      <c r="H25" s="50">
        <v>0</v>
      </c>
      <c r="I25" s="50">
        <v>0</v>
      </c>
      <c r="J25" s="50">
        <v>0</v>
      </c>
      <c r="K25" s="29" t="s">
        <v>28</v>
      </c>
      <c r="L25" s="11">
        <f t="shared" si="0"/>
        <v>6</v>
      </c>
      <c r="M25" s="10">
        <f t="shared" si="7"/>
        <v>1.2</v>
      </c>
      <c r="N25" s="10">
        <f t="shared" si="2"/>
        <v>0</v>
      </c>
      <c r="O25" s="10">
        <v>0</v>
      </c>
      <c r="P25" s="10">
        <f t="shared" si="3"/>
        <v>7.2</v>
      </c>
      <c r="Q25" s="17">
        <v>21.443749999999994</v>
      </c>
      <c r="R25" s="18">
        <f t="shared" si="4"/>
        <v>28.643749999999994</v>
      </c>
      <c r="S25" s="19">
        <f t="shared" si="5"/>
        <v>9.6875</v>
      </c>
      <c r="T25" s="20">
        <f t="shared" si="6"/>
        <v>18.956249999999994</v>
      </c>
      <c r="U25" s="11"/>
      <c r="V25" s="11"/>
      <c r="W25" s="31"/>
    </row>
    <row r="26" spans="1:29" s="1" customFormat="1" ht="18.75" customHeight="1">
      <c r="A26" s="9">
        <v>1</v>
      </c>
      <c r="B26" s="8">
        <v>185</v>
      </c>
      <c r="C26" s="8">
        <v>30705222</v>
      </c>
      <c r="D26" s="42" t="s">
        <v>68</v>
      </c>
      <c r="E26" s="47"/>
      <c r="F26" s="10">
        <v>4</v>
      </c>
      <c r="G26" s="10">
        <v>1</v>
      </c>
      <c r="H26" s="50">
        <v>0</v>
      </c>
      <c r="I26" s="50">
        <v>1</v>
      </c>
      <c r="J26" s="50">
        <v>1</v>
      </c>
      <c r="K26" s="14" t="s">
        <v>29</v>
      </c>
      <c r="L26" s="11">
        <f t="shared" si="0"/>
        <v>6</v>
      </c>
      <c r="M26" s="10">
        <f t="shared" si="7"/>
        <v>1.2</v>
      </c>
      <c r="N26" s="10">
        <f t="shared" si="2"/>
        <v>0.8</v>
      </c>
      <c r="O26" s="10">
        <v>0</v>
      </c>
      <c r="P26" s="10">
        <f t="shared" si="3"/>
        <v>8</v>
      </c>
      <c r="Q26" s="17">
        <v>20.581250000000001</v>
      </c>
      <c r="R26" s="18">
        <f t="shared" si="4"/>
        <v>28.581250000000001</v>
      </c>
      <c r="S26" s="19">
        <f t="shared" si="5"/>
        <v>1.875</v>
      </c>
      <c r="T26" s="20">
        <f t="shared" si="6"/>
        <v>26.706250000000001</v>
      </c>
      <c r="U26" s="4"/>
      <c r="V26" s="4"/>
      <c r="W26" s="4"/>
    </row>
    <row r="27" spans="1:29" s="1" customFormat="1" ht="17.399999999999999">
      <c r="A27" s="9">
        <v>1</v>
      </c>
      <c r="B27" s="8">
        <v>216</v>
      </c>
      <c r="C27" s="8">
        <v>395700385</v>
      </c>
      <c r="D27" s="42" t="s">
        <v>88</v>
      </c>
      <c r="E27" s="2"/>
      <c r="F27" s="10">
        <v>4</v>
      </c>
      <c r="G27" s="10">
        <v>1</v>
      </c>
      <c r="H27" s="50">
        <v>0</v>
      </c>
      <c r="I27" s="50">
        <v>0</v>
      </c>
      <c r="J27" s="50">
        <v>0</v>
      </c>
      <c r="K27" s="14" t="s">
        <v>29</v>
      </c>
      <c r="L27" s="11">
        <f t="shared" si="0"/>
        <v>6</v>
      </c>
      <c r="M27" s="10">
        <f t="shared" si="7"/>
        <v>1.2</v>
      </c>
      <c r="N27" s="10">
        <f t="shared" si="2"/>
        <v>0</v>
      </c>
      <c r="O27" s="10">
        <v>0</v>
      </c>
      <c r="P27" s="10">
        <f t="shared" si="3"/>
        <v>7.2</v>
      </c>
      <c r="Q27" s="17">
        <v>21.100201612903216</v>
      </c>
      <c r="R27" s="18">
        <f t="shared" si="4"/>
        <v>28.300201612903216</v>
      </c>
      <c r="S27" s="19">
        <f t="shared" si="5"/>
        <v>1.875</v>
      </c>
      <c r="T27" s="20">
        <f t="shared" si="6"/>
        <v>26.425201612903216</v>
      </c>
      <c r="U27" s="4"/>
      <c r="V27" s="4"/>
      <c r="W27" s="4"/>
    </row>
    <row r="28" spans="1:29" s="1" customFormat="1" ht="17.399999999999999">
      <c r="A28" s="9">
        <v>1</v>
      </c>
      <c r="B28" s="9">
        <v>10</v>
      </c>
      <c r="C28" s="8">
        <v>2108977014</v>
      </c>
      <c r="D28" s="42" t="s">
        <v>57</v>
      </c>
      <c r="E28" s="42" t="s">
        <v>8</v>
      </c>
      <c r="F28" s="10">
        <v>3</v>
      </c>
      <c r="G28" s="10">
        <v>1</v>
      </c>
      <c r="H28" s="50">
        <v>0</v>
      </c>
      <c r="I28" s="50">
        <v>0</v>
      </c>
      <c r="J28" s="50">
        <v>1</v>
      </c>
      <c r="K28" s="14" t="s">
        <v>29</v>
      </c>
      <c r="L28" s="11">
        <f t="shared" si="0"/>
        <v>4</v>
      </c>
      <c r="M28" s="10">
        <f t="shared" si="7"/>
        <v>1.2</v>
      </c>
      <c r="N28" s="10">
        <f t="shared" si="2"/>
        <v>0.4</v>
      </c>
      <c r="O28" s="10">
        <v>0</v>
      </c>
      <c r="P28" s="10">
        <f t="shared" si="3"/>
        <v>5.6000000000000005</v>
      </c>
      <c r="Q28" s="17">
        <v>21.775000000000013</v>
      </c>
      <c r="R28" s="18">
        <f t="shared" si="4"/>
        <v>27.375000000000014</v>
      </c>
      <c r="S28" s="19">
        <f t="shared" si="5"/>
        <v>1.875</v>
      </c>
      <c r="T28" s="20">
        <f t="shared" si="6"/>
        <v>25.500000000000014</v>
      </c>
      <c r="U28" s="11"/>
      <c r="V28" s="11"/>
      <c r="W28" s="11"/>
    </row>
    <row r="29" spans="1:29" s="2" customFormat="1" ht="17.399999999999999">
      <c r="A29" s="9">
        <v>1</v>
      </c>
      <c r="B29" s="8">
        <v>174</v>
      </c>
      <c r="C29" s="8">
        <v>775720958</v>
      </c>
      <c r="D29" s="42" t="s">
        <v>79</v>
      </c>
      <c r="E29" s="42" t="s">
        <v>49</v>
      </c>
      <c r="F29" s="10">
        <v>4</v>
      </c>
      <c r="G29" s="10">
        <v>1</v>
      </c>
      <c r="H29" s="50">
        <v>0</v>
      </c>
      <c r="I29" s="50">
        <v>0</v>
      </c>
      <c r="J29" s="50">
        <v>0</v>
      </c>
      <c r="K29" s="14" t="s">
        <v>29</v>
      </c>
      <c r="L29" s="11">
        <f t="shared" si="0"/>
        <v>6</v>
      </c>
      <c r="M29" s="10">
        <f t="shared" si="7"/>
        <v>1.2</v>
      </c>
      <c r="N29" s="10">
        <f t="shared" si="2"/>
        <v>0</v>
      </c>
      <c r="O29" s="10">
        <v>0</v>
      </c>
      <c r="P29" s="10">
        <f t="shared" si="3"/>
        <v>7.2</v>
      </c>
      <c r="Q29" s="17">
        <v>19.774999999999984</v>
      </c>
      <c r="R29" s="18">
        <f t="shared" si="4"/>
        <v>26.974999999999984</v>
      </c>
      <c r="S29" s="19">
        <f t="shared" si="5"/>
        <v>1.875</v>
      </c>
      <c r="T29" s="20">
        <f t="shared" si="6"/>
        <v>25.099999999999984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7.399999999999999">
      <c r="A30" s="9">
        <v>1</v>
      </c>
      <c r="B30" s="8">
        <v>172</v>
      </c>
      <c r="C30" s="8">
        <v>724061220</v>
      </c>
      <c r="D30" s="42" t="s">
        <v>65</v>
      </c>
      <c r="E30" s="42" t="s">
        <v>50</v>
      </c>
      <c r="F30" s="10">
        <v>4</v>
      </c>
      <c r="G30" s="10">
        <v>0</v>
      </c>
      <c r="H30" s="50">
        <v>0</v>
      </c>
      <c r="I30" s="50">
        <v>0</v>
      </c>
      <c r="J30" s="50">
        <v>0</v>
      </c>
      <c r="K30" s="14" t="s">
        <v>29</v>
      </c>
      <c r="L30" s="11">
        <f t="shared" si="0"/>
        <v>6</v>
      </c>
      <c r="M30" s="10">
        <f t="shared" si="7"/>
        <v>0</v>
      </c>
      <c r="N30" s="10">
        <f t="shared" si="2"/>
        <v>0</v>
      </c>
      <c r="O30" s="10">
        <v>0</v>
      </c>
      <c r="P30" s="10">
        <f t="shared" si="3"/>
        <v>6</v>
      </c>
      <c r="Q30" s="17">
        <v>20.856249999999999</v>
      </c>
      <c r="R30" s="18">
        <f t="shared" si="4"/>
        <v>26.856249999999999</v>
      </c>
      <c r="S30" s="19">
        <f t="shared" si="5"/>
        <v>1.875</v>
      </c>
      <c r="T30" s="20">
        <f t="shared" si="6"/>
        <v>24.981249999999999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7.399999999999999">
      <c r="A31" s="9">
        <v>1</v>
      </c>
      <c r="B31" s="8">
        <v>212</v>
      </c>
      <c r="C31" s="8">
        <v>2133045883</v>
      </c>
      <c r="D31" s="42" t="s">
        <v>84</v>
      </c>
      <c r="E31" s="47"/>
      <c r="F31" s="10">
        <v>4</v>
      </c>
      <c r="G31" s="10">
        <v>1</v>
      </c>
      <c r="H31" s="50">
        <v>0</v>
      </c>
      <c r="I31" s="50">
        <v>0</v>
      </c>
      <c r="J31" s="50">
        <v>0</v>
      </c>
      <c r="K31" s="14" t="s">
        <v>29</v>
      </c>
      <c r="L31" s="11">
        <f t="shared" si="0"/>
        <v>6</v>
      </c>
      <c r="M31" s="10">
        <f t="shared" si="7"/>
        <v>1.2</v>
      </c>
      <c r="N31" s="10">
        <f t="shared" si="2"/>
        <v>0</v>
      </c>
      <c r="O31" s="10">
        <v>0</v>
      </c>
      <c r="P31" s="10">
        <f t="shared" si="3"/>
        <v>7.2</v>
      </c>
      <c r="Q31" s="17">
        <v>19.331249999999986</v>
      </c>
      <c r="R31" s="18">
        <f t="shared" si="4"/>
        <v>26.531249999999986</v>
      </c>
      <c r="S31" s="19">
        <f t="shared" si="5"/>
        <v>1.875</v>
      </c>
      <c r="T31" s="20">
        <f t="shared" si="6"/>
        <v>24.656249999999986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7.399999999999999">
      <c r="A32" s="9">
        <v>1</v>
      </c>
      <c r="B32" s="8">
        <v>178</v>
      </c>
      <c r="C32" s="8">
        <v>1059185275</v>
      </c>
      <c r="D32" s="42" t="s">
        <v>66</v>
      </c>
      <c r="E32" s="47"/>
      <c r="F32" s="10">
        <v>4</v>
      </c>
      <c r="G32" s="10">
        <v>1</v>
      </c>
      <c r="H32" s="50">
        <v>0</v>
      </c>
      <c r="I32" s="50">
        <v>1</v>
      </c>
      <c r="J32" s="50">
        <v>1</v>
      </c>
      <c r="K32" s="14" t="s">
        <v>29</v>
      </c>
      <c r="L32" s="11">
        <f t="shared" si="0"/>
        <v>6</v>
      </c>
      <c r="M32" s="10">
        <f t="shared" si="7"/>
        <v>1.2</v>
      </c>
      <c r="N32" s="10">
        <f t="shared" si="2"/>
        <v>0.8</v>
      </c>
      <c r="O32" s="10">
        <v>0</v>
      </c>
      <c r="P32" s="10">
        <f t="shared" si="3"/>
        <v>8</v>
      </c>
      <c r="Q32" s="17">
        <v>17.887499999999996</v>
      </c>
      <c r="R32" s="18">
        <f t="shared" si="4"/>
        <v>25.887499999999996</v>
      </c>
      <c r="S32" s="19">
        <f t="shared" si="5"/>
        <v>1.875</v>
      </c>
      <c r="T32" s="20">
        <f t="shared" si="6"/>
        <v>24.012499999999996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7.399999999999999">
      <c r="A33" s="9">
        <v>1</v>
      </c>
      <c r="B33" s="8">
        <v>118</v>
      </c>
      <c r="C33" s="8">
        <v>2018112397</v>
      </c>
      <c r="D33" s="42" t="s">
        <v>54</v>
      </c>
      <c r="E33" s="42" t="s">
        <v>47</v>
      </c>
      <c r="F33" s="10">
        <v>4</v>
      </c>
      <c r="G33" s="10">
        <v>1</v>
      </c>
      <c r="H33" s="50">
        <v>0</v>
      </c>
      <c r="I33" s="50">
        <v>0</v>
      </c>
      <c r="J33" s="50">
        <v>0</v>
      </c>
      <c r="K33" s="14" t="s">
        <v>29</v>
      </c>
      <c r="L33" s="11">
        <f t="shared" si="0"/>
        <v>6</v>
      </c>
      <c r="M33" s="10">
        <f t="shared" si="7"/>
        <v>1.2</v>
      </c>
      <c r="N33" s="10">
        <f t="shared" si="2"/>
        <v>0</v>
      </c>
      <c r="O33" s="10">
        <v>0</v>
      </c>
      <c r="P33" s="10">
        <f t="shared" si="3"/>
        <v>7.2</v>
      </c>
      <c r="Q33" s="17">
        <v>18.668749999999989</v>
      </c>
      <c r="R33" s="18">
        <f t="shared" si="4"/>
        <v>25.868749999999988</v>
      </c>
      <c r="S33" s="19">
        <f t="shared" si="5"/>
        <v>1.875</v>
      </c>
      <c r="T33" s="20">
        <f t="shared" si="6"/>
        <v>23.993749999999988</v>
      </c>
      <c r="U33" s="11"/>
      <c r="V33" s="11"/>
      <c r="W33" s="32"/>
      <c r="X33" s="1"/>
      <c r="Y33" s="1"/>
      <c r="Z33" s="1"/>
      <c r="AA33" s="1"/>
      <c r="AB33" s="1"/>
      <c r="AC33" s="1"/>
    </row>
    <row r="34" spans="1:29" s="2" customFormat="1" ht="17.399999999999999">
      <c r="A34" s="9">
        <v>1</v>
      </c>
      <c r="B34" s="8">
        <v>167</v>
      </c>
      <c r="C34" s="8">
        <v>1173807161</v>
      </c>
      <c r="D34" s="42" t="s">
        <v>48</v>
      </c>
      <c r="E34" s="48"/>
      <c r="F34" s="10">
        <v>0</v>
      </c>
      <c r="G34" s="10">
        <v>0</v>
      </c>
      <c r="H34" s="50">
        <v>0</v>
      </c>
      <c r="I34" s="50">
        <v>0</v>
      </c>
      <c r="J34" s="50">
        <v>0</v>
      </c>
      <c r="K34" s="39" t="s">
        <v>30</v>
      </c>
      <c r="L34" s="11">
        <f t="shared" si="0"/>
        <v>0</v>
      </c>
      <c r="M34" s="10">
        <f t="shared" si="7"/>
        <v>0</v>
      </c>
      <c r="N34" s="10">
        <f t="shared" si="2"/>
        <v>0</v>
      </c>
      <c r="O34" s="10">
        <v>0</v>
      </c>
      <c r="P34" s="10">
        <f t="shared" si="3"/>
        <v>0</v>
      </c>
      <c r="Q34" s="17">
        <v>25.824999999999978</v>
      </c>
      <c r="R34" s="18">
        <f t="shared" si="4"/>
        <v>25.824999999999978</v>
      </c>
      <c r="S34" s="19">
        <f t="shared" si="5"/>
        <v>0</v>
      </c>
      <c r="T34" s="20">
        <f t="shared" si="6"/>
        <v>25.824999999999978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7.399999999999999">
      <c r="A35" s="9">
        <v>1</v>
      </c>
      <c r="B35" s="9">
        <v>46</v>
      </c>
      <c r="C35" s="8">
        <v>2109182835</v>
      </c>
      <c r="D35" s="42" t="s">
        <v>59</v>
      </c>
      <c r="E35" s="42" t="s">
        <v>10</v>
      </c>
      <c r="F35" s="10">
        <v>4</v>
      </c>
      <c r="G35" s="10">
        <v>1</v>
      </c>
      <c r="H35" s="50">
        <v>0</v>
      </c>
      <c r="I35" s="50">
        <v>1</v>
      </c>
      <c r="J35" s="50">
        <v>0</v>
      </c>
      <c r="K35" s="14" t="s">
        <v>29</v>
      </c>
      <c r="L35" s="11">
        <f t="shared" si="0"/>
        <v>6</v>
      </c>
      <c r="M35" s="10">
        <f t="shared" si="7"/>
        <v>1.2</v>
      </c>
      <c r="N35" s="10">
        <f t="shared" si="2"/>
        <v>0.4</v>
      </c>
      <c r="O35" s="10">
        <v>0</v>
      </c>
      <c r="P35" s="10">
        <f t="shared" si="3"/>
        <v>7.6000000000000005</v>
      </c>
      <c r="Q35" s="17">
        <v>17.917500000000015</v>
      </c>
      <c r="R35" s="18">
        <f t="shared" si="4"/>
        <v>25.517500000000016</v>
      </c>
      <c r="S35" s="19">
        <f t="shared" si="5"/>
        <v>1.875</v>
      </c>
      <c r="T35" s="20">
        <f t="shared" si="6"/>
        <v>23.642500000000016</v>
      </c>
      <c r="U35" s="11"/>
      <c r="V35" s="11"/>
      <c r="W35" s="11"/>
      <c r="X35" s="1"/>
      <c r="Y35" s="1"/>
      <c r="Z35" s="1"/>
      <c r="AA35" s="1"/>
      <c r="AB35" s="1"/>
      <c r="AC35" s="1"/>
    </row>
    <row r="36" spans="1:29" s="2" customFormat="1" ht="17.399999999999999">
      <c r="A36" s="9">
        <v>1</v>
      </c>
      <c r="B36" s="8">
        <v>156</v>
      </c>
      <c r="C36" s="8">
        <v>1744610165</v>
      </c>
      <c r="D36" s="42" t="s">
        <v>135</v>
      </c>
      <c r="E36" s="42" t="s">
        <v>64</v>
      </c>
      <c r="F36" s="10">
        <v>4</v>
      </c>
      <c r="G36" s="10">
        <v>1</v>
      </c>
      <c r="H36" s="50">
        <v>0</v>
      </c>
      <c r="I36" s="50">
        <v>0</v>
      </c>
      <c r="J36" s="50">
        <v>0</v>
      </c>
      <c r="K36" s="14" t="s">
        <v>29</v>
      </c>
      <c r="L36" s="11">
        <f t="shared" si="0"/>
        <v>6</v>
      </c>
      <c r="M36" s="10">
        <f t="shared" si="7"/>
        <v>1.2</v>
      </c>
      <c r="N36" s="10">
        <f t="shared" si="2"/>
        <v>0</v>
      </c>
      <c r="O36" s="10">
        <v>0</v>
      </c>
      <c r="P36" s="10">
        <f t="shared" si="3"/>
        <v>7.2</v>
      </c>
      <c r="Q36" s="17">
        <v>18.098766129032246</v>
      </c>
      <c r="R36" s="18">
        <f t="shared" si="4"/>
        <v>25.298766129032245</v>
      </c>
      <c r="S36" s="19">
        <f t="shared" si="5"/>
        <v>1.875</v>
      </c>
      <c r="T36" s="20">
        <f t="shared" si="6"/>
        <v>23.423766129032245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7.399999999999999">
      <c r="A37" s="9">
        <v>1</v>
      </c>
      <c r="B37" s="8">
        <v>195</v>
      </c>
      <c r="C37" s="8">
        <v>1634663314</v>
      </c>
      <c r="D37" s="42" t="s">
        <v>73</v>
      </c>
      <c r="E37" s="47"/>
      <c r="F37" s="10">
        <v>1</v>
      </c>
      <c r="G37" s="10">
        <v>1</v>
      </c>
      <c r="H37" s="50">
        <v>0</v>
      </c>
      <c r="I37" s="50">
        <v>0</v>
      </c>
      <c r="J37" s="50">
        <v>0</v>
      </c>
      <c r="K37" s="14" t="s">
        <v>29</v>
      </c>
      <c r="L37" s="11">
        <f t="shared" ref="L37:L70" si="8">F37+IF(F37&gt;2,(F37-2)*1,0)</f>
        <v>1</v>
      </c>
      <c r="M37" s="10">
        <f t="shared" si="7"/>
        <v>1.2</v>
      </c>
      <c r="N37" s="10">
        <f t="shared" ref="N37:N70" si="9">SUM(H37:J37)*$Y$18</f>
        <v>0</v>
      </c>
      <c r="O37" s="10">
        <v>0</v>
      </c>
      <c r="P37" s="10">
        <f t="shared" ref="P37:P68" si="10">SUM(M37+L37+O37+N37)</f>
        <v>2.2000000000000002</v>
      </c>
      <c r="Q37" s="17">
        <v>22.98074999999999</v>
      </c>
      <c r="R37" s="18">
        <f t="shared" ref="R37:R68" si="11">P37+Q37</f>
        <v>25.180749999999989</v>
      </c>
      <c r="S37" s="19">
        <f t="shared" ref="S37:S70" si="12">VLOOKUP(K37,$X$3:$Y$10,2,FALSE)</f>
        <v>1.875</v>
      </c>
      <c r="T37" s="20">
        <f t="shared" ref="T37:T68" si="13">R37-S37</f>
        <v>23.305749999999989</v>
      </c>
      <c r="U37" s="4"/>
      <c r="V37" s="4"/>
      <c r="W37" s="4"/>
    </row>
    <row r="38" spans="1:29" s="2" customFormat="1" ht="17.399999999999999">
      <c r="A38" s="9">
        <v>1</v>
      </c>
      <c r="B38" s="9">
        <v>230</v>
      </c>
      <c r="C38" s="8">
        <v>1076026693</v>
      </c>
      <c r="D38" s="42" t="s">
        <v>111</v>
      </c>
      <c r="E38" s="4"/>
      <c r="F38" s="10">
        <v>4</v>
      </c>
      <c r="G38" s="10">
        <v>1</v>
      </c>
      <c r="H38" s="50">
        <v>0</v>
      </c>
      <c r="I38" s="50">
        <v>0</v>
      </c>
      <c r="J38" s="50">
        <v>0</v>
      </c>
      <c r="K38" s="14" t="s">
        <v>29</v>
      </c>
      <c r="L38" s="11">
        <f t="shared" si="8"/>
        <v>6</v>
      </c>
      <c r="M38" s="10">
        <f t="shared" si="7"/>
        <v>1.2</v>
      </c>
      <c r="N38" s="10">
        <f t="shared" si="9"/>
        <v>0</v>
      </c>
      <c r="O38" s="10">
        <v>0</v>
      </c>
      <c r="P38" s="10">
        <f t="shared" si="10"/>
        <v>7.2</v>
      </c>
      <c r="Q38" s="17">
        <v>17.474999999999998</v>
      </c>
      <c r="R38" s="18">
        <f t="shared" si="11"/>
        <v>24.674999999999997</v>
      </c>
      <c r="S38" s="19">
        <f t="shared" si="12"/>
        <v>1.875</v>
      </c>
      <c r="T38" s="20">
        <f t="shared" si="13"/>
        <v>22.799999999999997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7.399999999999999">
      <c r="A39" s="9">
        <v>1</v>
      </c>
      <c r="B39" s="8">
        <v>116</v>
      </c>
      <c r="C39" s="8">
        <v>2122596917</v>
      </c>
      <c r="D39" s="42" t="s">
        <v>61</v>
      </c>
      <c r="E39" s="42" t="s">
        <v>37</v>
      </c>
      <c r="F39" s="10">
        <v>2</v>
      </c>
      <c r="G39" s="10">
        <v>1</v>
      </c>
      <c r="H39" s="50">
        <v>0</v>
      </c>
      <c r="I39" s="50">
        <v>1</v>
      </c>
      <c r="J39" s="50">
        <v>1</v>
      </c>
      <c r="K39" s="14" t="s">
        <v>29</v>
      </c>
      <c r="L39" s="11">
        <f t="shared" si="8"/>
        <v>2</v>
      </c>
      <c r="M39" s="10">
        <f t="shared" si="7"/>
        <v>1.2</v>
      </c>
      <c r="N39" s="10">
        <f t="shared" si="9"/>
        <v>0.8</v>
      </c>
      <c r="O39" s="10">
        <v>0</v>
      </c>
      <c r="P39" s="10">
        <f t="shared" si="10"/>
        <v>4</v>
      </c>
      <c r="Q39" s="17">
        <v>20.5</v>
      </c>
      <c r="R39" s="18">
        <f t="shared" si="11"/>
        <v>24.5</v>
      </c>
      <c r="S39" s="19">
        <f t="shared" si="12"/>
        <v>1.875</v>
      </c>
      <c r="T39" s="20">
        <f t="shared" si="13"/>
        <v>22.625</v>
      </c>
      <c r="U39" s="11"/>
      <c r="V39" s="11"/>
      <c r="W39" s="32"/>
    </row>
    <row r="40" spans="1:29" ht="17.399999999999999">
      <c r="A40" s="9">
        <v>1</v>
      </c>
      <c r="B40" s="8">
        <v>110</v>
      </c>
      <c r="C40" s="8">
        <v>1968703358</v>
      </c>
      <c r="D40" s="42" t="s">
        <v>60</v>
      </c>
      <c r="E40" s="42" t="s">
        <v>38</v>
      </c>
      <c r="F40" s="10">
        <v>4</v>
      </c>
      <c r="G40" s="10">
        <v>1</v>
      </c>
      <c r="H40" s="50">
        <v>0</v>
      </c>
      <c r="I40" s="50">
        <v>0</v>
      </c>
      <c r="J40" s="50">
        <v>1</v>
      </c>
      <c r="K40" s="14" t="s">
        <v>29</v>
      </c>
      <c r="L40" s="11">
        <f t="shared" si="8"/>
        <v>6</v>
      </c>
      <c r="M40" s="10">
        <f t="shared" si="7"/>
        <v>1.2</v>
      </c>
      <c r="N40" s="10">
        <f t="shared" si="9"/>
        <v>0.4</v>
      </c>
      <c r="O40" s="10">
        <v>0</v>
      </c>
      <c r="P40" s="10">
        <f t="shared" si="10"/>
        <v>7.6000000000000005</v>
      </c>
      <c r="Q40" s="17">
        <v>16.812500000000014</v>
      </c>
      <c r="R40" s="18">
        <f t="shared" si="11"/>
        <v>24.412500000000016</v>
      </c>
      <c r="S40" s="19">
        <f t="shared" si="12"/>
        <v>1.875</v>
      </c>
      <c r="T40" s="20">
        <f t="shared" si="13"/>
        <v>22.537500000000016</v>
      </c>
      <c r="U40" s="11"/>
      <c r="V40" s="11"/>
      <c r="W40" s="17"/>
    </row>
    <row r="41" spans="1:29" ht="17.399999999999999">
      <c r="A41" s="9">
        <v>1</v>
      </c>
      <c r="B41" s="8">
        <v>236</v>
      </c>
      <c r="C41" s="8">
        <v>1968448898</v>
      </c>
      <c r="D41" s="42" t="s">
        <v>118</v>
      </c>
      <c r="F41" s="10">
        <v>3</v>
      </c>
      <c r="G41" s="10">
        <v>1</v>
      </c>
      <c r="H41" s="50">
        <v>0</v>
      </c>
      <c r="I41" s="50">
        <v>0</v>
      </c>
      <c r="J41" s="50">
        <v>0</v>
      </c>
      <c r="K41" s="14" t="s">
        <v>29</v>
      </c>
      <c r="L41" s="11">
        <f t="shared" si="8"/>
        <v>4</v>
      </c>
      <c r="M41" s="10">
        <f t="shared" si="7"/>
        <v>1.2</v>
      </c>
      <c r="N41" s="10">
        <f t="shared" si="9"/>
        <v>0</v>
      </c>
      <c r="O41" s="10">
        <v>0</v>
      </c>
      <c r="P41" s="10">
        <f t="shared" si="10"/>
        <v>5.2</v>
      </c>
      <c r="Q41" s="17">
        <v>18.981249999999992</v>
      </c>
      <c r="R41" s="18">
        <f t="shared" si="11"/>
        <v>24.181249999999991</v>
      </c>
      <c r="S41" s="19">
        <f t="shared" si="12"/>
        <v>1.875</v>
      </c>
      <c r="T41" s="20">
        <f t="shared" si="13"/>
        <v>22.306249999999991</v>
      </c>
      <c r="U41" s="4"/>
      <c r="V41" s="4"/>
      <c r="W41" s="4"/>
    </row>
    <row r="42" spans="1:29" ht="17.399999999999999">
      <c r="A42" s="9">
        <v>1</v>
      </c>
      <c r="B42" s="8">
        <v>209</v>
      </c>
      <c r="C42" s="8">
        <v>1525950050</v>
      </c>
      <c r="D42" s="42" t="s">
        <v>85</v>
      </c>
      <c r="E42" s="42" t="s">
        <v>83</v>
      </c>
      <c r="F42" s="10">
        <v>4</v>
      </c>
      <c r="G42" s="10">
        <v>0</v>
      </c>
      <c r="H42" s="50">
        <v>0</v>
      </c>
      <c r="I42" s="50">
        <v>0</v>
      </c>
      <c r="J42" s="50">
        <v>0</v>
      </c>
      <c r="K42" s="14" t="s">
        <v>29</v>
      </c>
      <c r="L42" s="11">
        <f t="shared" si="8"/>
        <v>6</v>
      </c>
      <c r="M42" s="10">
        <f t="shared" si="7"/>
        <v>0</v>
      </c>
      <c r="N42" s="10">
        <f t="shared" si="9"/>
        <v>0</v>
      </c>
      <c r="O42" s="10">
        <v>0</v>
      </c>
      <c r="P42" s="10">
        <f t="shared" si="10"/>
        <v>6</v>
      </c>
      <c r="Q42" s="17">
        <v>18.024999999999991</v>
      </c>
      <c r="R42" s="18">
        <f t="shared" si="11"/>
        <v>24.024999999999991</v>
      </c>
      <c r="S42" s="19">
        <f t="shared" si="12"/>
        <v>1.875</v>
      </c>
      <c r="T42" s="20">
        <f t="shared" si="13"/>
        <v>22.149999999999991</v>
      </c>
      <c r="U42" s="4"/>
      <c r="V42" s="4"/>
      <c r="W42" s="4"/>
    </row>
    <row r="43" spans="1:29" ht="17.399999999999999">
      <c r="A43" s="9">
        <v>1</v>
      </c>
      <c r="B43" s="8">
        <v>234</v>
      </c>
      <c r="C43" s="8">
        <v>1333428907</v>
      </c>
      <c r="D43" s="42" t="s">
        <v>128</v>
      </c>
      <c r="E43" s="42" t="s">
        <v>115</v>
      </c>
      <c r="F43" s="10">
        <v>4</v>
      </c>
      <c r="G43" s="10">
        <v>0</v>
      </c>
      <c r="H43" s="50">
        <v>0</v>
      </c>
      <c r="I43" s="50">
        <v>0</v>
      </c>
      <c r="J43" s="50">
        <v>0</v>
      </c>
      <c r="K43" s="14" t="s">
        <v>29</v>
      </c>
      <c r="L43" s="11">
        <f t="shared" si="8"/>
        <v>6</v>
      </c>
      <c r="M43" s="10">
        <f t="shared" si="7"/>
        <v>0</v>
      </c>
      <c r="N43" s="10">
        <f t="shared" si="9"/>
        <v>0</v>
      </c>
      <c r="O43" s="10">
        <v>0</v>
      </c>
      <c r="P43" s="10">
        <f t="shared" si="10"/>
        <v>6</v>
      </c>
      <c r="Q43" s="17">
        <v>16.625</v>
      </c>
      <c r="R43" s="18">
        <f t="shared" si="11"/>
        <v>22.625</v>
      </c>
      <c r="S43" s="19">
        <f t="shared" si="12"/>
        <v>1.875</v>
      </c>
      <c r="T43" s="20">
        <f t="shared" si="13"/>
        <v>20.75</v>
      </c>
      <c r="U43" s="4"/>
      <c r="V43" s="4"/>
      <c r="W43" s="4"/>
    </row>
    <row r="44" spans="1:29" ht="20.399999999999999">
      <c r="A44" s="9">
        <v>1</v>
      </c>
      <c r="B44" s="8">
        <v>229</v>
      </c>
      <c r="C44" s="8">
        <v>1598972736</v>
      </c>
      <c r="D44" s="42" t="s">
        <v>110</v>
      </c>
      <c r="E44" s="42"/>
      <c r="F44" s="10">
        <v>0</v>
      </c>
      <c r="G44" s="10">
        <v>0</v>
      </c>
      <c r="H44" s="50">
        <v>0</v>
      </c>
      <c r="I44" s="50">
        <v>0</v>
      </c>
      <c r="J44" s="50">
        <v>0</v>
      </c>
      <c r="K44" s="39" t="s">
        <v>30</v>
      </c>
      <c r="L44" s="11">
        <f t="shared" si="8"/>
        <v>0</v>
      </c>
      <c r="M44" s="10">
        <f t="shared" si="7"/>
        <v>0</v>
      </c>
      <c r="N44" s="10">
        <f t="shared" si="9"/>
        <v>0</v>
      </c>
      <c r="O44" s="10">
        <v>0</v>
      </c>
      <c r="P44" s="10">
        <f t="shared" si="10"/>
        <v>0</v>
      </c>
      <c r="Q44" s="17">
        <v>21.197089552238797</v>
      </c>
      <c r="R44" s="18">
        <f t="shared" si="11"/>
        <v>21.197089552238797</v>
      </c>
      <c r="S44" s="19">
        <f t="shared" si="12"/>
        <v>0</v>
      </c>
      <c r="T44" s="20">
        <f t="shared" si="13"/>
        <v>21.197089552238797</v>
      </c>
      <c r="U44" s="4"/>
      <c r="V44" s="4"/>
      <c r="W44" s="4"/>
    </row>
    <row r="45" spans="1:29" ht="17.399999999999999">
      <c r="A45" s="9">
        <v>1</v>
      </c>
      <c r="B45" s="8">
        <v>196</v>
      </c>
      <c r="C45" s="8">
        <v>1065641844</v>
      </c>
      <c r="D45" s="42" t="s">
        <v>74</v>
      </c>
      <c r="E45" s="47"/>
      <c r="F45" s="10">
        <v>0</v>
      </c>
      <c r="G45" s="10">
        <v>0</v>
      </c>
      <c r="H45" s="50">
        <v>0</v>
      </c>
      <c r="I45" s="50">
        <v>0</v>
      </c>
      <c r="J45" s="50">
        <v>0</v>
      </c>
      <c r="K45" s="39" t="s">
        <v>30</v>
      </c>
      <c r="L45" s="11">
        <f t="shared" si="8"/>
        <v>0</v>
      </c>
      <c r="M45" s="10">
        <f t="shared" si="7"/>
        <v>0</v>
      </c>
      <c r="N45" s="10">
        <f t="shared" si="9"/>
        <v>0</v>
      </c>
      <c r="O45" s="10">
        <v>0</v>
      </c>
      <c r="P45" s="10">
        <f t="shared" si="10"/>
        <v>0</v>
      </c>
      <c r="Q45" s="17">
        <v>21.062499999999993</v>
      </c>
      <c r="R45" s="18">
        <f t="shared" si="11"/>
        <v>21.062499999999993</v>
      </c>
      <c r="S45" s="19">
        <f t="shared" si="12"/>
        <v>0</v>
      </c>
      <c r="T45" s="20">
        <f t="shared" si="13"/>
        <v>21.062499999999993</v>
      </c>
      <c r="U45" s="4"/>
      <c r="V45" s="4"/>
      <c r="W45" s="4"/>
    </row>
    <row r="46" spans="1:29" ht="17.399999999999999">
      <c r="A46" s="9">
        <v>1</v>
      </c>
      <c r="B46" s="8">
        <v>241</v>
      </c>
      <c r="C46" s="8">
        <v>1136259669</v>
      </c>
      <c r="D46" s="42" t="s">
        <v>124</v>
      </c>
      <c r="F46" s="10">
        <v>0</v>
      </c>
      <c r="G46" s="10">
        <v>1</v>
      </c>
      <c r="H46" s="50">
        <v>0</v>
      </c>
      <c r="I46" s="50">
        <v>0</v>
      </c>
      <c r="J46" s="50">
        <v>0</v>
      </c>
      <c r="K46" s="39" t="s">
        <v>30</v>
      </c>
      <c r="L46" s="11">
        <f t="shared" si="8"/>
        <v>0</v>
      </c>
      <c r="M46" s="10">
        <f t="shared" si="7"/>
        <v>1.2</v>
      </c>
      <c r="N46" s="10">
        <f t="shared" si="9"/>
        <v>0</v>
      </c>
      <c r="O46" s="10">
        <v>0</v>
      </c>
      <c r="P46" s="10">
        <f t="shared" si="10"/>
        <v>1.2</v>
      </c>
      <c r="Q46" s="17">
        <v>18.51874999999999</v>
      </c>
      <c r="R46" s="18">
        <f t="shared" si="11"/>
        <v>19.718749999999989</v>
      </c>
      <c r="S46" s="19">
        <f t="shared" si="12"/>
        <v>0</v>
      </c>
      <c r="T46" s="20">
        <f t="shared" si="13"/>
        <v>19.718749999999989</v>
      </c>
      <c r="U46" s="4"/>
      <c r="V46" s="4"/>
      <c r="W46" s="4"/>
    </row>
    <row r="47" spans="1:29" ht="17.399999999999999">
      <c r="A47" s="9">
        <v>1</v>
      </c>
      <c r="B47" s="8">
        <v>198</v>
      </c>
      <c r="C47" s="8">
        <v>723448640</v>
      </c>
      <c r="D47" s="42" t="s">
        <v>75</v>
      </c>
      <c r="E47" s="47"/>
      <c r="F47" s="10">
        <v>0</v>
      </c>
      <c r="G47" s="10">
        <v>0</v>
      </c>
      <c r="H47" s="50">
        <v>0</v>
      </c>
      <c r="I47" s="50">
        <v>0</v>
      </c>
      <c r="J47" s="50">
        <v>0</v>
      </c>
      <c r="K47" s="39" t="s">
        <v>30</v>
      </c>
      <c r="L47" s="11">
        <f t="shared" si="8"/>
        <v>0</v>
      </c>
      <c r="M47" s="10">
        <f t="shared" si="7"/>
        <v>0</v>
      </c>
      <c r="N47" s="10">
        <f t="shared" si="9"/>
        <v>0</v>
      </c>
      <c r="O47" s="10">
        <v>0</v>
      </c>
      <c r="P47" s="10">
        <f t="shared" si="10"/>
        <v>0</v>
      </c>
      <c r="Q47" s="17">
        <v>18.01874999999999</v>
      </c>
      <c r="R47" s="18">
        <f t="shared" si="11"/>
        <v>18.01874999999999</v>
      </c>
      <c r="S47" s="19">
        <f t="shared" si="12"/>
        <v>0</v>
      </c>
      <c r="T47" s="20">
        <f t="shared" si="13"/>
        <v>18.01874999999999</v>
      </c>
      <c r="U47" s="4"/>
      <c r="V47" s="4"/>
      <c r="W47" s="4"/>
    </row>
    <row r="48" spans="1:29" ht="17.399999999999999">
      <c r="A48" s="9">
        <v>1</v>
      </c>
      <c r="B48" s="8">
        <v>193</v>
      </c>
      <c r="C48" s="8">
        <v>2125731287</v>
      </c>
      <c r="D48" s="42" t="s">
        <v>72</v>
      </c>
      <c r="E48" s="47"/>
      <c r="F48" s="10">
        <v>0</v>
      </c>
      <c r="G48" s="10">
        <v>0</v>
      </c>
      <c r="H48" s="50">
        <v>0</v>
      </c>
      <c r="I48" s="50">
        <v>0</v>
      </c>
      <c r="J48" s="50">
        <v>0</v>
      </c>
      <c r="K48" s="39" t="s">
        <v>30</v>
      </c>
      <c r="L48" s="11">
        <f t="shared" si="8"/>
        <v>0</v>
      </c>
      <c r="M48" s="10">
        <f t="shared" si="7"/>
        <v>0</v>
      </c>
      <c r="N48" s="10">
        <f t="shared" si="9"/>
        <v>0</v>
      </c>
      <c r="O48" s="10">
        <v>0</v>
      </c>
      <c r="P48" s="10">
        <f t="shared" si="10"/>
        <v>0</v>
      </c>
      <c r="Q48" s="17">
        <v>17.812499999999996</v>
      </c>
      <c r="R48" s="18">
        <f t="shared" si="11"/>
        <v>17.812499999999996</v>
      </c>
      <c r="S48" s="19">
        <f t="shared" si="12"/>
        <v>0</v>
      </c>
      <c r="T48" s="20">
        <f t="shared" si="13"/>
        <v>17.812499999999996</v>
      </c>
    </row>
    <row r="49" spans="1:20" ht="17.399999999999999">
      <c r="A49" s="9">
        <v>1</v>
      </c>
      <c r="B49" s="8">
        <v>187</v>
      </c>
      <c r="C49" s="8">
        <v>1241038267</v>
      </c>
      <c r="D49" s="42" t="s">
        <v>69</v>
      </c>
      <c r="E49" s="47"/>
      <c r="F49" s="10">
        <v>0</v>
      </c>
      <c r="G49" s="10">
        <v>0</v>
      </c>
      <c r="H49" s="50">
        <v>0</v>
      </c>
      <c r="I49" s="50">
        <v>0</v>
      </c>
      <c r="J49" s="50">
        <v>0</v>
      </c>
      <c r="K49" s="39" t="s">
        <v>30</v>
      </c>
      <c r="L49" s="11">
        <f t="shared" si="8"/>
        <v>0</v>
      </c>
      <c r="M49" s="10">
        <f t="shared" si="7"/>
        <v>0</v>
      </c>
      <c r="N49" s="10">
        <f t="shared" si="9"/>
        <v>0</v>
      </c>
      <c r="O49" s="10">
        <v>0</v>
      </c>
      <c r="P49" s="10">
        <f t="shared" si="10"/>
        <v>0</v>
      </c>
      <c r="Q49" s="17">
        <v>16.318749999999987</v>
      </c>
      <c r="R49" s="18">
        <f t="shared" si="11"/>
        <v>16.318749999999987</v>
      </c>
      <c r="S49" s="19">
        <f t="shared" si="12"/>
        <v>0</v>
      </c>
      <c r="T49" s="20">
        <f t="shared" si="13"/>
        <v>16.318749999999987</v>
      </c>
    </row>
    <row r="50" spans="1:20" ht="17.399999999999999">
      <c r="A50" s="9">
        <v>1</v>
      </c>
      <c r="B50" s="8">
        <v>222</v>
      </c>
      <c r="C50" s="8">
        <v>1945277617</v>
      </c>
      <c r="D50" s="42" t="s">
        <v>97</v>
      </c>
      <c r="E50" s="42"/>
      <c r="F50" s="10">
        <v>0</v>
      </c>
      <c r="G50" s="10">
        <v>0</v>
      </c>
      <c r="H50" s="50">
        <v>0</v>
      </c>
      <c r="I50" s="50">
        <v>0</v>
      </c>
      <c r="J50" s="50">
        <v>0</v>
      </c>
      <c r="K50" s="39" t="s">
        <v>30</v>
      </c>
      <c r="L50" s="11">
        <f t="shared" si="8"/>
        <v>0</v>
      </c>
      <c r="M50" s="10">
        <f t="shared" si="7"/>
        <v>0</v>
      </c>
      <c r="N50" s="10">
        <f t="shared" si="9"/>
        <v>0</v>
      </c>
      <c r="O50" s="10">
        <v>0</v>
      </c>
      <c r="P50" s="10">
        <f t="shared" si="10"/>
        <v>0</v>
      </c>
      <c r="Q50" s="17">
        <v>15.637727649769573</v>
      </c>
      <c r="R50" s="18">
        <f t="shared" si="11"/>
        <v>15.637727649769573</v>
      </c>
      <c r="S50" s="19">
        <f t="shared" si="12"/>
        <v>0</v>
      </c>
      <c r="T50" s="20">
        <f t="shared" si="13"/>
        <v>15.637727649769573</v>
      </c>
    </row>
    <row r="51" spans="1:20" ht="17.399999999999999">
      <c r="A51" s="9">
        <v>1</v>
      </c>
      <c r="B51" s="8">
        <v>155</v>
      </c>
      <c r="C51" s="8">
        <v>1532576874</v>
      </c>
      <c r="D51" s="42" t="s">
        <v>63</v>
      </c>
      <c r="E51" s="42" t="s">
        <v>46</v>
      </c>
      <c r="F51" s="10">
        <v>0</v>
      </c>
      <c r="G51" s="10">
        <v>0</v>
      </c>
      <c r="H51" s="50">
        <v>0</v>
      </c>
      <c r="I51" s="50">
        <v>0</v>
      </c>
      <c r="J51" s="50">
        <v>0</v>
      </c>
      <c r="K51" s="39" t="s">
        <v>30</v>
      </c>
      <c r="L51" s="11">
        <f t="shared" si="8"/>
        <v>0</v>
      </c>
      <c r="M51" s="10">
        <f t="shared" si="7"/>
        <v>0</v>
      </c>
      <c r="N51" s="10">
        <f t="shared" si="9"/>
        <v>0</v>
      </c>
      <c r="O51" s="10">
        <v>0</v>
      </c>
      <c r="P51" s="10">
        <f t="shared" si="10"/>
        <v>0</v>
      </c>
      <c r="Q51" s="17">
        <v>15.212499999999999</v>
      </c>
      <c r="R51" s="18">
        <f t="shared" si="11"/>
        <v>15.212499999999999</v>
      </c>
      <c r="S51" s="19">
        <f t="shared" si="12"/>
        <v>0</v>
      </c>
      <c r="T51" s="20">
        <f t="shared" si="13"/>
        <v>15.212499999999999</v>
      </c>
    </row>
    <row r="52" spans="1:20" ht="17.399999999999999">
      <c r="A52" s="9">
        <v>1</v>
      </c>
      <c r="B52" s="8">
        <v>239</v>
      </c>
      <c r="C52" s="8">
        <v>416459640</v>
      </c>
      <c r="D52" s="42" t="s">
        <v>122</v>
      </c>
      <c r="F52" s="10">
        <v>0</v>
      </c>
      <c r="G52" s="10">
        <v>0</v>
      </c>
      <c r="H52" s="50">
        <v>0</v>
      </c>
      <c r="I52" s="50">
        <v>0</v>
      </c>
      <c r="J52" s="50">
        <v>0</v>
      </c>
      <c r="K52" s="39" t="s">
        <v>30</v>
      </c>
      <c r="L52" s="11">
        <f t="shared" si="8"/>
        <v>0</v>
      </c>
      <c r="M52" s="10">
        <f t="shared" si="7"/>
        <v>0</v>
      </c>
      <c r="N52" s="10">
        <f t="shared" si="9"/>
        <v>0</v>
      </c>
      <c r="O52" s="10">
        <v>0</v>
      </c>
      <c r="P52" s="10">
        <f t="shared" si="10"/>
        <v>0</v>
      </c>
      <c r="Q52" s="17">
        <v>13.668749999999999</v>
      </c>
      <c r="R52" s="18">
        <f t="shared" si="11"/>
        <v>13.668749999999999</v>
      </c>
      <c r="S52" s="19">
        <f t="shared" si="12"/>
        <v>0</v>
      </c>
      <c r="T52" s="20">
        <f t="shared" si="13"/>
        <v>13.668749999999999</v>
      </c>
    </row>
    <row r="53" spans="1:20" ht="20.399999999999999">
      <c r="A53" s="9">
        <v>1</v>
      </c>
      <c r="B53" s="8">
        <v>214</v>
      </c>
      <c r="C53" s="8">
        <v>2130976604</v>
      </c>
      <c r="D53" s="42" t="s">
        <v>86</v>
      </c>
      <c r="E53" s="2"/>
      <c r="F53" s="10">
        <v>4</v>
      </c>
      <c r="G53" s="10">
        <v>1</v>
      </c>
      <c r="H53" s="50">
        <v>0</v>
      </c>
      <c r="I53" s="50">
        <v>0</v>
      </c>
      <c r="J53" s="50">
        <v>0</v>
      </c>
      <c r="K53" s="14" t="s">
        <v>29</v>
      </c>
      <c r="L53" s="11">
        <f t="shared" si="8"/>
        <v>6</v>
      </c>
      <c r="M53" s="10">
        <f t="shared" si="7"/>
        <v>1.2</v>
      </c>
      <c r="N53" s="10">
        <f t="shared" si="9"/>
        <v>0</v>
      </c>
      <c r="O53" s="10">
        <v>0</v>
      </c>
      <c r="P53" s="10">
        <f t="shared" si="10"/>
        <v>7.2</v>
      </c>
      <c r="Q53" s="17">
        <v>5.2124999999999879</v>
      </c>
      <c r="R53" s="18">
        <f t="shared" si="11"/>
        <v>12.412499999999987</v>
      </c>
      <c r="S53" s="19">
        <f t="shared" si="12"/>
        <v>1.875</v>
      </c>
      <c r="T53" s="20">
        <f t="shared" si="13"/>
        <v>10.537499999999987</v>
      </c>
    </row>
    <row r="54" spans="1:20" ht="17.399999999999999">
      <c r="A54" s="9">
        <v>1</v>
      </c>
      <c r="B54" s="8">
        <v>223</v>
      </c>
      <c r="C54" s="8">
        <v>784792167</v>
      </c>
      <c r="D54" s="42" t="s">
        <v>98</v>
      </c>
      <c r="E54" s="42"/>
      <c r="F54" s="10">
        <v>0</v>
      </c>
      <c r="G54" s="10">
        <v>0</v>
      </c>
      <c r="H54" s="50">
        <v>0</v>
      </c>
      <c r="I54" s="50">
        <v>0</v>
      </c>
      <c r="J54" s="50">
        <v>0</v>
      </c>
      <c r="K54" s="39" t="s">
        <v>30</v>
      </c>
      <c r="L54" s="11">
        <f t="shared" si="8"/>
        <v>0</v>
      </c>
      <c r="M54" s="10">
        <f t="shared" si="7"/>
        <v>0</v>
      </c>
      <c r="N54" s="10">
        <f t="shared" si="9"/>
        <v>0</v>
      </c>
      <c r="O54" s="10">
        <v>0</v>
      </c>
      <c r="P54" s="10">
        <f t="shared" si="10"/>
        <v>0</v>
      </c>
      <c r="Q54" s="17">
        <v>10.624999999999996</v>
      </c>
      <c r="R54" s="18">
        <f t="shared" si="11"/>
        <v>10.624999999999996</v>
      </c>
      <c r="S54" s="19">
        <f t="shared" si="12"/>
        <v>0</v>
      </c>
      <c r="T54" s="20">
        <f t="shared" si="13"/>
        <v>10.624999999999996</v>
      </c>
    </row>
    <row r="55" spans="1:20" ht="17.399999999999999">
      <c r="A55" s="9">
        <v>1</v>
      </c>
      <c r="B55" s="8">
        <v>219</v>
      </c>
      <c r="C55" s="8">
        <v>1128309198</v>
      </c>
      <c r="D55" s="42" t="s">
        <v>93</v>
      </c>
      <c r="E55" s="47"/>
      <c r="F55" s="10">
        <v>0</v>
      </c>
      <c r="G55" s="10">
        <v>0</v>
      </c>
      <c r="H55" s="50">
        <v>0</v>
      </c>
      <c r="I55" s="50">
        <v>0</v>
      </c>
      <c r="J55" s="50">
        <v>0</v>
      </c>
      <c r="K55" s="39" t="s">
        <v>30</v>
      </c>
      <c r="L55" s="11">
        <f t="shared" si="8"/>
        <v>0</v>
      </c>
      <c r="M55" s="10">
        <f t="shared" si="7"/>
        <v>0</v>
      </c>
      <c r="N55" s="10">
        <f t="shared" si="9"/>
        <v>0</v>
      </c>
      <c r="O55" s="10">
        <v>0</v>
      </c>
      <c r="P55" s="10">
        <f t="shared" si="10"/>
        <v>0</v>
      </c>
      <c r="Q55" s="17">
        <v>9.4499999999999957</v>
      </c>
      <c r="R55" s="18">
        <f t="shared" si="11"/>
        <v>9.4499999999999957</v>
      </c>
      <c r="S55" s="19">
        <f t="shared" si="12"/>
        <v>0</v>
      </c>
      <c r="T55" s="20">
        <f t="shared" si="13"/>
        <v>9.4499999999999957</v>
      </c>
    </row>
    <row r="56" spans="1:20" ht="17.399999999999999">
      <c r="A56" s="9">
        <v>1</v>
      </c>
      <c r="B56" s="8">
        <v>243</v>
      </c>
      <c r="D56" s="42" t="s">
        <v>133</v>
      </c>
      <c r="F56" s="10">
        <v>3</v>
      </c>
      <c r="G56" s="10">
        <v>1</v>
      </c>
      <c r="H56" s="50">
        <v>0</v>
      </c>
      <c r="I56" s="50">
        <v>0</v>
      </c>
      <c r="J56" s="50">
        <v>0</v>
      </c>
      <c r="K56" s="14" t="s">
        <v>29</v>
      </c>
      <c r="L56" s="11">
        <f t="shared" si="8"/>
        <v>4</v>
      </c>
      <c r="M56" s="10">
        <f t="shared" si="7"/>
        <v>1.2</v>
      </c>
      <c r="N56" s="10">
        <f t="shared" si="9"/>
        <v>0</v>
      </c>
      <c r="O56" s="10">
        <v>0</v>
      </c>
      <c r="P56" s="10">
        <f t="shared" si="10"/>
        <v>5.2</v>
      </c>
      <c r="Q56" s="17">
        <v>2.5062500000000014</v>
      </c>
      <c r="R56" s="18">
        <f t="shared" si="11"/>
        <v>7.7062500000000016</v>
      </c>
      <c r="S56" s="19">
        <f t="shared" si="12"/>
        <v>1.875</v>
      </c>
      <c r="T56" s="20">
        <f t="shared" si="13"/>
        <v>5.8312500000000016</v>
      </c>
    </row>
    <row r="57" spans="1:20" ht="17.399999999999999">
      <c r="A57" s="9">
        <v>1</v>
      </c>
      <c r="B57" s="8">
        <v>192</v>
      </c>
      <c r="C57" s="8">
        <v>1725281178</v>
      </c>
      <c r="D57" s="42" t="s">
        <v>71</v>
      </c>
      <c r="E57" s="47"/>
      <c r="F57" s="10">
        <v>0</v>
      </c>
      <c r="G57" s="10">
        <v>0</v>
      </c>
      <c r="H57" s="50">
        <v>0</v>
      </c>
      <c r="I57" s="50">
        <v>0</v>
      </c>
      <c r="J57" s="50">
        <v>0</v>
      </c>
      <c r="K57" s="39" t="s">
        <v>30</v>
      </c>
      <c r="L57" s="11">
        <f t="shared" si="8"/>
        <v>0</v>
      </c>
      <c r="M57" s="10">
        <f t="shared" si="7"/>
        <v>0</v>
      </c>
      <c r="N57" s="10">
        <f t="shared" si="9"/>
        <v>0</v>
      </c>
      <c r="O57" s="10">
        <v>0</v>
      </c>
      <c r="P57" s="10">
        <f t="shared" si="10"/>
        <v>0</v>
      </c>
      <c r="Q57" s="17">
        <v>3.1437499999999954</v>
      </c>
      <c r="R57" s="18">
        <f t="shared" si="11"/>
        <v>3.1437499999999954</v>
      </c>
      <c r="S57" s="19">
        <f t="shared" si="12"/>
        <v>0</v>
      </c>
      <c r="T57" s="20">
        <f t="shared" si="13"/>
        <v>3.1437499999999954</v>
      </c>
    </row>
    <row r="58" spans="1:20" ht="20.399999999999999">
      <c r="A58" s="9">
        <v>1</v>
      </c>
      <c r="B58" s="8">
        <v>220</v>
      </c>
      <c r="C58" s="8">
        <v>353335311</v>
      </c>
      <c r="D58" s="42" t="s">
        <v>94</v>
      </c>
      <c r="E58" s="44"/>
      <c r="F58" s="10">
        <v>0</v>
      </c>
      <c r="G58" s="10">
        <v>0</v>
      </c>
      <c r="H58" s="50">
        <v>0</v>
      </c>
      <c r="I58" s="50">
        <v>0</v>
      </c>
      <c r="J58" s="50">
        <v>0</v>
      </c>
      <c r="K58" s="39" t="s">
        <v>30</v>
      </c>
      <c r="L58" s="11">
        <f t="shared" si="8"/>
        <v>0</v>
      </c>
      <c r="M58" s="10">
        <f t="shared" si="7"/>
        <v>0</v>
      </c>
      <c r="N58" s="10">
        <f t="shared" si="9"/>
        <v>0</v>
      </c>
      <c r="O58" s="10">
        <v>0</v>
      </c>
      <c r="P58" s="10">
        <f t="shared" si="10"/>
        <v>0</v>
      </c>
      <c r="Q58" s="17">
        <v>2.0310546874999984</v>
      </c>
      <c r="R58" s="18">
        <f t="shared" si="11"/>
        <v>2.0310546874999984</v>
      </c>
      <c r="S58" s="19">
        <f t="shared" si="12"/>
        <v>0</v>
      </c>
      <c r="T58" s="20">
        <f t="shared" si="13"/>
        <v>2.0310546874999984</v>
      </c>
    </row>
    <row r="59" spans="1:20" ht="17.399999999999999">
      <c r="A59" s="9">
        <v>1</v>
      </c>
      <c r="B59" s="8">
        <v>233</v>
      </c>
      <c r="C59" s="8">
        <v>1963965829</v>
      </c>
      <c r="D59" s="42" t="s">
        <v>114</v>
      </c>
      <c r="F59" s="10">
        <v>0</v>
      </c>
      <c r="G59" s="10">
        <v>0</v>
      </c>
      <c r="H59" s="50">
        <v>0</v>
      </c>
      <c r="I59" s="50">
        <v>0</v>
      </c>
      <c r="J59" s="50">
        <v>0</v>
      </c>
      <c r="K59" s="39" t="s">
        <v>30</v>
      </c>
      <c r="L59" s="11">
        <f t="shared" si="8"/>
        <v>0</v>
      </c>
      <c r="M59" s="10">
        <f t="shared" si="7"/>
        <v>0</v>
      </c>
      <c r="N59" s="10">
        <f t="shared" si="9"/>
        <v>0</v>
      </c>
      <c r="O59" s="10">
        <v>0</v>
      </c>
      <c r="P59" s="10">
        <f t="shared" si="10"/>
        <v>0</v>
      </c>
      <c r="Q59" s="17">
        <v>2.0000000000000018</v>
      </c>
      <c r="R59" s="18">
        <f t="shared" si="11"/>
        <v>2.0000000000000018</v>
      </c>
      <c r="S59" s="19">
        <f t="shared" si="12"/>
        <v>0</v>
      </c>
      <c r="T59" s="20">
        <f t="shared" si="13"/>
        <v>2.0000000000000018</v>
      </c>
    </row>
    <row r="60" spans="1:20" ht="17.399999999999999">
      <c r="A60" s="9">
        <v>1</v>
      </c>
      <c r="B60" s="8">
        <v>207</v>
      </c>
      <c r="C60" s="8">
        <v>721273803</v>
      </c>
      <c r="D60" s="45" t="s">
        <v>81</v>
      </c>
      <c r="E60" s="47"/>
      <c r="F60" s="10">
        <v>0</v>
      </c>
      <c r="G60" s="10">
        <v>0</v>
      </c>
      <c r="H60" s="50">
        <v>0</v>
      </c>
      <c r="I60" s="50">
        <v>0</v>
      </c>
      <c r="J60" s="50">
        <v>0</v>
      </c>
      <c r="K60" s="39" t="s">
        <v>30</v>
      </c>
      <c r="L60" s="11">
        <f t="shared" si="8"/>
        <v>0</v>
      </c>
      <c r="M60" s="10">
        <f t="shared" si="7"/>
        <v>0</v>
      </c>
      <c r="N60" s="10">
        <f t="shared" si="9"/>
        <v>0</v>
      </c>
      <c r="O60" s="10">
        <v>0</v>
      </c>
      <c r="P60" s="10">
        <f t="shared" si="10"/>
        <v>0</v>
      </c>
      <c r="Q60" s="17">
        <v>1.425</v>
      </c>
      <c r="R60" s="18">
        <f t="shared" si="11"/>
        <v>1.425</v>
      </c>
      <c r="S60" s="19">
        <f t="shared" si="12"/>
        <v>0</v>
      </c>
      <c r="T60" s="20">
        <f t="shared" si="13"/>
        <v>1.425</v>
      </c>
    </row>
    <row r="61" spans="1:20" ht="20.399999999999999">
      <c r="A61" s="9">
        <v>1</v>
      </c>
      <c r="B61" s="8">
        <v>213</v>
      </c>
      <c r="C61" s="8">
        <v>311361673</v>
      </c>
      <c r="D61" s="42" t="s">
        <v>55</v>
      </c>
      <c r="E61" s="2"/>
      <c r="F61" s="10">
        <v>0</v>
      </c>
      <c r="G61" s="10">
        <v>0</v>
      </c>
      <c r="H61" s="50">
        <v>0</v>
      </c>
      <c r="I61" s="50">
        <v>0</v>
      </c>
      <c r="J61" s="50">
        <v>0</v>
      </c>
      <c r="K61" s="39" t="s">
        <v>30</v>
      </c>
      <c r="L61" s="11">
        <f t="shared" si="8"/>
        <v>0</v>
      </c>
      <c r="M61" s="10">
        <f t="shared" si="7"/>
        <v>0</v>
      </c>
      <c r="N61" s="10">
        <f t="shared" si="9"/>
        <v>0</v>
      </c>
      <c r="O61" s="10">
        <v>0</v>
      </c>
      <c r="P61" s="10">
        <f t="shared" si="10"/>
        <v>0</v>
      </c>
      <c r="Q61" s="17">
        <v>1.2687499999999945</v>
      </c>
      <c r="R61" s="18">
        <f t="shared" si="11"/>
        <v>1.2687499999999945</v>
      </c>
      <c r="S61" s="19">
        <f t="shared" si="12"/>
        <v>0</v>
      </c>
      <c r="T61" s="20">
        <f t="shared" si="13"/>
        <v>1.2687499999999945</v>
      </c>
    </row>
    <row r="62" spans="1:20" ht="17.399999999999999">
      <c r="A62" s="9">
        <v>1</v>
      </c>
      <c r="B62" s="8">
        <v>242</v>
      </c>
      <c r="C62" s="8">
        <v>250098915</v>
      </c>
      <c r="D62" s="42" t="s">
        <v>131</v>
      </c>
      <c r="F62" s="10">
        <v>0</v>
      </c>
      <c r="G62" s="10">
        <v>0</v>
      </c>
      <c r="H62" s="50">
        <v>0</v>
      </c>
      <c r="I62" s="50">
        <v>0</v>
      </c>
      <c r="J62" s="50">
        <v>0</v>
      </c>
      <c r="K62" s="39" t="s">
        <v>30</v>
      </c>
      <c r="L62" s="11">
        <f t="shared" si="8"/>
        <v>0</v>
      </c>
      <c r="M62" s="10">
        <f t="shared" si="7"/>
        <v>0</v>
      </c>
      <c r="N62" s="10">
        <f t="shared" si="9"/>
        <v>0</v>
      </c>
      <c r="O62" s="10">
        <v>0</v>
      </c>
      <c r="P62" s="10">
        <f t="shared" si="10"/>
        <v>0</v>
      </c>
      <c r="Q62" s="17">
        <v>0.90625</v>
      </c>
      <c r="R62" s="18">
        <f t="shared" si="11"/>
        <v>0.90625</v>
      </c>
      <c r="S62" s="19">
        <f t="shared" si="12"/>
        <v>0</v>
      </c>
      <c r="T62" s="20">
        <f t="shared" si="13"/>
        <v>0.90625</v>
      </c>
    </row>
    <row r="63" spans="1:20" ht="17.399999999999999">
      <c r="A63" s="9">
        <v>1</v>
      </c>
      <c r="B63" s="8">
        <v>242</v>
      </c>
      <c r="C63" s="8">
        <v>1769984287</v>
      </c>
      <c r="D63" s="8" t="s">
        <v>132</v>
      </c>
      <c r="F63" s="10">
        <v>0</v>
      </c>
      <c r="G63" s="10">
        <v>0</v>
      </c>
      <c r="H63" s="50">
        <v>0</v>
      </c>
      <c r="I63" s="50">
        <v>0</v>
      </c>
      <c r="J63" s="50">
        <v>0</v>
      </c>
      <c r="K63" s="39" t="s">
        <v>30</v>
      </c>
      <c r="L63" s="11">
        <f t="shared" si="8"/>
        <v>0</v>
      </c>
      <c r="M63" s="10">
        <f t="shared" si="7"/>
        <v>0</v>
      </c>
      <c r="N63" s="10">
        <f t="shared" si="9"/>
        <v>0</v>
      </c>
      <c r="O63" s="10">
        <v>0</v>
      </c>
      <c r="P63" s="10">
        <f t="shared" si="10"/>
        <v>0</v>
      </c>
      <c r="Q63" s="17">
        <v>0.65000000000000036</v>
      </c>
      <c r="R63" s="18">
        <f t="shared" si="11"/>
        <v>0.65000000000000036</v>
      </c>
      <c r="S63" s="19">
        <f t="shared" si="12"/>
        <v>0</v>
      </c>
      <c r="T63" s="20">
        <f t="shared" si="13"/>
        <v>0.65000000000000036</v>
      </c>
    </row>
    <row r="64" spans="1:20" ht="17.399999999999999">
      <c r="A64" s="9">
        <v>1</v>
      </c>
      <c r="B64" s="8">
        <v>218</v>
      </c>
      <c r="C64" s="8">
        <v>1804880865</v>
      </c>
      <c r="D64" s="42" t="s">
        <v>92</v>
      </c>
      <c r="E64" s="47"/>
      <c r="F64" s="10">
        <v>0</v>
      </c>
      <c r="G64" s="10">
        <v>0</v>
      </c>
      <c r="H64" s="50">
        <v>0</v>
      </c>
      <c r="I64" s="50">
        <v>0</v>
      </c>
      <c r="J64" s="50">
        <v>0</v>
      </c>
      <c r="K64" s="39" t="s">
        <v>30</v>
      </c>
      <c r="L64" s="11">
        <f t="shared" si="8"/>
        <v>0</v>
      </c>
      <c r="M64" s="10">
        <f t="shared" si="7"/>
        <v>0</v>
      </c>
      <c r="N64" s="10">
        <f t="shared" si="9"/>
        <v>0</v>
      </c>
      <c r="O64" s="10">
        <v>0</v>
      </c>
      <c r="P64" s="10">
        <f t="shared" si="10"/>
        <v>0</v>
      </c>
      <c r="Q64" s="17">
        <v>0.11749999999999983</v>
      </c>
      <c r="R64" s="18">
        <f t="shared" si="11"/>
        <v>0.11749999999999983</v>
      </c>
      <c r="S64" s="19">
        <f t="shared" si="12"/>
        <v>0</v>
      </c>
      <c r="T64" s="20">
        <f t="shared" si="13"/>
        <v>0.11749999999999983</v>
      </c>
    </row>
    <row r="65" spans="1:23" ht="17.399999999999999">
      <c r="A65" s="9">
        <v>1</v>
      </c>
      <c r="B65" s="8">
        <v>217</v>
      </c>
      <c r="C65" s="8">
        <v>331155825</v>
      </c>
      <c r="D65" s="46" t="s">
        <v>89</v>
      </c>
      <c r="E65" s="2"/>
      <c r="F65" s="10">
        <v>0</v>
      </c>
      <c r="G65" s="10">
        <v>0</v>
      </c>
      <c r="H65" s="50">
        <v>0</v>
      </c>
      <c r="I65" s="50">
        <v>0</v>
      </c>
      <c r="J65" s="50">
        <v>0</v>
      </c>
      <c r="K65" s="39" t="s">
        <v>30</v>
      </c>
      <c r="L65" s="11">
        <f t="shared" si="8"/>
        <v>0</v>
      </c>
      <c r="M65" s="10">
        <f t="shared" si="7"/>
        <v>0</v>
      </c>
      <c r="N65" s="10">
        <f t="shared" si="9"/>
        <v>0</v>
      </c>
      <c r="O65" s="10">
        <v>0</v>
      </c>
      <c r="P65" s="10">
        <f t="shared" si="10"/>
        <v>0</v>
      </c>
      <c r="Q65" s="17">
        <v>-1.3124999999999984</v>
      </c>
      <c r="R65" s="18">
        <f t="shared" si="11"/>
        <v>-1.3124999999999984</v>
      </c>
      <c r="S65" s="19">
        <f t="shared" si="12"/>
        <v>0</v>
      </c>
      <c r="T65" s="20">
        <f t="shared" si="13"/>
        <v>-1.3124999999999984</v>
      </c>
    </row>
    <row r="66" spans="1:23" ht="17.399999999999999">
      <c r="A66" s="9">
        <v>1</v>
      </c>
      <c r="B66" s="8">
        <v>237</v>
      </c>
      <c r="C66" s="8">
        <v>1331532576</v>
      </c>
      <c r="D66" s="42" t="s">
        <v>119</v>
      </c>
      <c r="F66" s="10">
        <v>0</v>
      </c>
      <c r="G66" s="10">
        <v>0</v>
      </c>
      <c r="H66" s="50">
        <v>0</v>
      </c>
      <c r="I66" s="50">
        <v>0</v>
      </c>
      <c r="J66" s="50">
        <v>0</v>
      </c>
      <c r="K66" s="39" t="s">
        <v>30</v>
      </c>
      <c r="L66" s="11">
        <f t="shared" si="8"/>
        <v>0</v>
      </c>
      <c r="M66" s="10">
        <f t="shared" si="7"/>
        <v>0</v>
      </c>
      <c r="N66" s="10">
        <f t="shared" si="9"/>
        <v>0</v>
      </c>
      <c r="O66" s="10">
        <v>0</v>
      </c>
      <c r="P66" s="10">
        <f t="shared" si="10"/>
        <v>0</v>
      </c>
      <c r="Q66" s="17">
        <v>-2.5499999999999998</v>
      </c>
      <c r="R66" s="18">
        <f t="shared" si="11"/>
        <v>-2.5499999999999998</v>
      </c>
      <c r="S66" s="19">
        <f t="shared" si="12"/>
        <v>0</v>
      </c>
      <c r="T66" s="20">
        <f t="shared" si="13"/>
        <v>-2.5499999999999998</v>
      </c>
    </row>
    <row r="67" spans="1:23" ht="17.399999999999999">
      <c r="A67" s="9">
        <v>1</v>
      </c>
      <c r="B67" s="8">
        <v>228</v>
      </c>
      <c r="C67" s="8">
        <v>1287481910</v>
      </c>
      <c r="D67" s="42" t="s">
        <v>109</v>
      </c>
      <c r="E67" s="42"/>
      <c r="F67" s="10">
        <v>0</v>
      </c>
      <c r="G67" s="10">
        <v>0</v>
      </c>
      <c r="H67" s="50">
        <v>0</v>
      </c>
      <c r="I67" s="50">
        <v>0</v>
      </c>
      <c r="J67" s="50">
        <v>0</v>
      </c>
      <c r="K67" s="39" t="s">
        <v>30</v>
      </c>
      <c r="L67" s="11">
        <f t="shared" si="8"/>
        <v>0</v>
      </c>
      <c r="M67" s="10">
        <f t="shared" si="7"/>
        <v>0</v>
      </c>
      <c r="N67" s="10">
        <f t="shared" si="9"/>
        <v>0</v>
      </c>
      <c r="O67" s="10">
        <v>0</v>
      </c>
      <c r="P67" s="10">
        <f t="shared" si="10"/>
        <v>0</v>
      </c>
      <c r="Q67" s="17">
        <v>-4.1499999999999995</v>
      </c>
      <c r="R67" s="18">
        <f t="shared" si="11"/>
        <v>-4.1499999999999995</v>
      </c>
      <c r="S67" s="19">
        <f t="shared" si="12"/>
        <v>0</v>
      </c>
      <c r="T67" s="20">
        <f t="shared" si="13"/>
        <v>-4.1499999999999995</v>
      </c>
    </row>
    <row r="68" spans="1:23" ht="17.399999999999999">
      <c r="A68" s="9">
        <v>1</v>
      </c>
      <c r="B68" s="8">
        <v>235</v>
      </c>
      <c r="C68" s="8">
        <v>988684940</v>
      </c>
      <c r="D68" s="42" t="s">
        <v>116</v>
      </c>
      <c r="F68" s="10">
        <v>1</v>
      </c>
      <c r="G68" s="10">
        <v>0</v>
      </c>
      <c r="H68" s="50">
        <v>0</v>
      </c>
      <c r="I68" s="50">
        <v>0</v>
      </c>
      <c r="J68" s="50">
        <v>0</v>
      </c>
      <c r="K68" s="14" t="s">
        <v>29</v>
      </c>
      <c r="L68" s="11">
        <f t="shared" si="8"/>
        <v>1</v>
      </c>
      <c r="M68" s="10">
        <f t="shared" si="7"/>
        <v>0</v>
      </c>
      <c r="N68" s="10">
        <f t="shared" si="9"/>
        <v>0</v>
      </c>
      <c r="O68" s="10">
        <v>0</v>
      </c>
      <c r="P68" s="10">
        <f t="shared" si="10"/>
        <v>1</v>
      </c>
      <c r="Q68" s="17">
        <v>-6.25</v>
      </c>
      <c r="R68" s="18">
        <f t="shared" si="11"/>
        <v>-5.25</v>
      </c>
      <c r="S68" s="19">
        <f t="shared" si="12"/>
        <v>1.875</v>
      </c>
      <c r="T68" s="20">
        <f t="shared" si="13"/>
        <v>-7.125</v>
      </c>
    </row>
    <row r="69" spans="1:23" ht="17.399999999999999">
      <c r="A69" s="9">
        <v>1</v>
      </c>
      <c r="B69" s="8">
        <v>141</v>
      </c>
      <c r="C69" s="8">
        <v>1190305158</v>
      </c>
      <c r="D69" s="42" t="s">
        <v>44</v>
      </c>
      <c r="E69" s="44"/>
      <c r="F69" s="10">
        <v>0</v>
      </c>
      <c r="G69" s="10">
        <v>0</v>
      </c>
      <c r="H69" s="50">
        <v>0</v>
      </c>
      <c r="I69" s="50">
        <v>0</v>
      </c>
      <c r="J69" s="50">
        <v>0</v>
      </c>
      <c r="K69" s="39" t="s">
        <v>30</v>
      </c>
      <c r="L69" s="11">
        <f t="shared" si="8"/>
        <v>0</v>
      </c>
      <c r="M69" s="10">
        <f t="shared" si="7"/>
        <v>0</v>
      </c>
      <c r="N69" s="10">
        <f t="shared" si="9"/>
        <v>0</v>
      </c>
      <c r="O69" s="10">
        <v>0</v>
      </c>
      <c r="P69" s="10">
        <f t="shared" ref="P69:P70" si="14">SUM(M69+L69+O69+N69)</f>
        <v>0</v>
      </c>
      <c r="Q69" s="17">
        <v>-7.8937500000000043</v>
      </c>
      <c r="R69" s="18">
        <f t="shared" ref="R69:R70" si="15">P69+Q69</f>
        <v>-7.8937500000000043</v>
      </c>
      <c r="S69" s="19">
        <f t="shared" si="12"/>
        <v>0</v>
      </c>
      <c r="T69" s="20">
        <f t="shared" ref="T69:T70" si="16">R69-S69</f>
        <v>-7.8937500000000043</v>
      </c>
      <c r="U69" s="40"/>
      <c r="V69" s="40"/>
      <c r="W69" s="41"/>
    </row>
    <row r="70" spans="1:23" ht="17.399999999999999">
      <c r="A70" s="70">
        <v>1</v>
      </c>
      <c r="B70" s="8">
        <v>203</v>
      </c>
      <c r="C70" s="8">
        <v>382695365</v>
      </c>
      <c r="D70" s="42" t="s">
        <v>78</v>
      </c>
      <c r="E70" s="47"/>
      <c r="F70" s="10">
        <v>0</v>
      </c>
      <c r="G70" s="10">
        <v>0</v>
      </c>
      <c r="H70" s="50">
        <v>0</v>
      </c>
      <c r="I70" s="50">
        <v>0</v>
      </c>
      <c r="J70" s="50">
        <v>0</v>
      </c>
      <c r="K70" s="39" t="s">
        <v>30</v>
      </c>
      <c r="L70" s="11">
        <f t="shared" si="8"/>
        <v>0</v>
      </c>
      <c r="M70" s="10">
        <f t="shared" si="7"/>
        <v>0</v>
      </c>
      <c r="N70" s="10">
        <f t="shared" si="9"/>
        <v>0</v>
      </c>
      <c r="O70" s="10">
        <v>0</v>
      </c>
      <c r="P70" s="10">
        <f t="shared" si="14"/>
        <v>0</v>
      </c>
      <c r="Q70" s="17">
        <v>-16.90625</v>
      </c>
      <c r="R70" s="18">
        <f t="shared" si="15"/>
        <v>-16.90625</v>
      </c>
      <c r="S70" s="19">
        <f t="shared" si="12"/>
        <v>0</v>
      </c>
      <c r="T70" s="20">
        <f t="shared" si="16"/>
        <v>-16.90625</v>
      </c>
    </row>
    <row r="71" spans="1:23" ht="17.399999999999999">
      <c r="A71" s="70"/>
    </row>
  </sheetData>
  <autoFilter ref="A4:W70" xr:uid="{28593B8F-03E7-4BE1-B554-FC0AADC431B2}">
    <sortState xmlns:xlrd2="http://schemas.microsoft.com/office/spreadsheetml/2017/richdata2" ref="A5:W70">
      <sortCondition descending="1" ref="R4:R70"/>
    </sortState>
  </autoFilter>
  <mergeCells count="5">
    <mergeCell ref="B1:T1"/>
    <mergeCell ref="B2:T2"/>
    <mergeCell ref="B3:E3"/>
    <mergeCell ref="H3:J3"/>
    <mergeCell ref="K3:T3"/>
  </mergeCells>
  <conditionalFormatting sqref="O5:O70 F5:J70">
    <cfRule type="cellIs" dxfId="22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CB61-19F5-49F6-8D34-1791E8FC41D3}">
  <dimension ref="A1:AC71"/>
  <sheetViews>
    <sheetView topLeftCell="A23" zoomScale="85" zoomScaleNormal="85" workbookViewId="0">
      <selection activeCell="J46" sqref="J46"/>
    </sheetView>
  </sheetViews>
  <sheetFormatPr defaultColWidth="9" defaultRowHeight="14.4"/>
  <cols>
    <col min="1" max="1" width="6.44140625" customWidth="1"/>
    <col min="2" max="2" width="6.6640625" style="4" customWidth="1"/>
    <col min="3" max="3" width="19.77734375" style="5" customWidth="1"/>
    <col min="4" max="4" width="21.21875" style="5" customWidth="1"/>
    <col min="5" max="5" width="18.33203125" style="4" customWidth="1"/>
    <col min="6" max="6" width="13.109375" style="4" customWidth="1"/>
    <col min="7" max="7" width="13.77734375" style="4" customWidth="1"/>
    <col min="8" max="8" width="5.77734375" style="4" customWidth="1"/>
    <col min="9" max="9" width="5.88671875" style="4" customWidth="1"/>
    <col min="10" max="10" width="5.77734375" style="4" customWidth="1"/>
    <col min="11" max="11" width="20" style="4" customWidth="1"/>
    <col min="12" max="12" width="9" style="4" customWidth="1"/>
    <col min="13" max="13" width="12.109375" style="4" customWidth="1"/>
    <col min="14" max="14" width="11.33203125" style="4" customWidth="1"/>
    <col min="15" max="15" width="10" style="4" customWidth="1"/>
    <col min="16" max="16" width="9" style="4" customWidth="1"/>
    <col min="17" max="17" width="12.88671875" style="4" customWidth="1"/>
    <col min="18" max="18" width="12" style="4" customWidth="1"/>
    <col min="19" max="19" width="9.21875" style="4" customWidth="1"/>
    <col min="20" max="20" width="12.6640625" style="4" customWidth="1"/>
    <col min="21" max="23" width="11.109375" style="21" customWidth="1"/>
    <col min="24" max="24" width="22.44140625" customWidth="1"/>
  </cols>
  <sheetData>
    <row r="1" spans="1:29" ht="36.6" customHeight="1">
      <c r="B1" s="99" t="str">
        <f>CONCATENATE("157区 活动中心",Y15,"年",Y16,"月",Y17,"日","分包贡献明细"," 统计：一二三")</f>
        <v>157区 活动中心2021年10月2日分包贡献明细 统计：一二三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62"/>
      <c r="V1" s="62"/>
      <c r="W1" s="62"/>
      <c r="X1" s="22" t="s">
        <v>12</v>
      </c>
      <c r="Y1" s="5">
        <v>67</v>
      </c>
      <c r="Z1" s="3"/>
      <c r="AA1" s="3"/>
      <c r="AB1" s="3"/>
      <c r="AC1" s="3"/>
    </row>
    <row r="2" spans="1:29" ht="137.4" customHeight="1">
      <c r="B2" s="101" t="s">
        <v>126</v>
      </c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63"/>
      <c r="V2" s="63"/>
      <c r="W2" s="63"/>
      <c r="X2" s="23" t="s">
        <v>0</v>
      </c>
      <c r="Y2" s="24" t="s">
        <v>13</v>
      </c>
      <c r="Z2" s="25" t="s">
        <v>14</v>
      </c>
      <c r="AA2" s="25" t="s">
        <v>15</v>
      </c>
      <c r="AB2" s="25" t="s">
        <v>56</v>
      </c>
      <c r="AC2" s="26" t="s">
        <v>16</v>
      </c>
    </row>
    <row r="3" spans="1:29" ht="20.399999999999999">
      <c r="B3" s="104" t="s">
        <v>20</v>
      </c>
      <c r="C3" s="104"/>
      <c r="D3" s="104"/>
      <c r="E3" s="104"/>
      <c r="F3" s="64" t="s">
        <v>17</v>
      </c>
      <c r="G3" s="65" t="s">
        <v>39</v>
      </c>
      <c r="H3" s="105" t="s">
        <v>99</v>
      </c>
      <c r="I3" s="105"/>
      <c r="J3" s="105"/>
      <c r="K3" s="106" t="s">
        <v>21</v>
      </c>
      <c r="L3" s="107"/>
      <c r="M3" s="107"/>
      <c r="N3" s="107"/>
      <c r="O3" s="107"/>
      <c r="P3" s="107"/>
      <c r="Q3" s="107"/>
      <c r="R3" s="107"/>
      <c r="S3" s="107"/>
      <c r="T3" s="108"/>
      <c r="U3" s="61"/>
      <c r="V3" s="61"/>
      <c r="W3" s="61"/>
      <c r="X3" s="27" t="s">
        <v>22</v>
      </c>
      <c r="Y3" s="28">
        <f>AC3/$Y$13</f>
        <v>11.875</v>
      </c>
      <c r="Z3" s="23">
        <v>5</v>
      </c>
      <c r="AA3" s="23">
        <v>7</v>
      </c>
      <c r="AB3" s="23">
        <v>20</v>
      </c>
      <c r="AC3" s="23">
        <v>1900</v>
      </c>
    </row>
    <row r="4" spans="1:29" ht="40.799999999999997">
      <c r="A4" s="73" t="s">
        <v>117</v>
      </c>
      <c r="B4" s="73" t="s">
        <v>2</v>
      </c>
      <c r="C4" s="60" t="s">
        <v>23</v>
      </c>
      <c r="D4" s="73" t="s">
        <v>3</v>
      </c>
      <c r="E4" s="73" t="s">
        <v>4</v>
      </c>
      <c r="F4" s="6" t="s">
        <v>40</v>
      </c>
      <c r="G4" s="7" t="s">
        <v>91</v>
      </c>
      <c r="H4" s="7" t="s">
        <v>100</v>
      </c>
      <c r="I4" s="7" t="s">
        <v>101</v>
      </c>
      <c r="J4" s="7" t="s">
        <v>102</v>
      </c>
      <c r="K4" s="6" t="s">
        <v>5</v>
      </c>
      <c r="L4" s="6" t="s">
        <v>24</v>
      </c>
      <c r="M4" s="7" t="s">
        <v>41</v>
      </c>
      <c r="N4" s="7" t="s">
        <v>104</v>
      </c>
      <c r="O4" s="7" t="s">
        <v>45</v>
      </c>
      <c r="P4" s="15" t="s">
        <v>25</v>
      </c>
      <c r="Q4" s="60" t="s">
        <v>26</v>
      </c>
      <c r="R4" s="16" t="s">
        <v>7</v>
      </c>
      <c r="S4" s="60" t="s">
        <v>6</v>
      </c>
      <c r="T4" s="60" t="s">
        <v>27</v>
      </c>
      <c r="U4" s="60" t="s">
        <v>18</v>
      </c>
      <c r="V4" s="60" t="s">
        <v>19</v>
      </c>
      <c r="W4" s="60" t="s">
        <v>1</v>
      </c>
      <c r="X4" s="29" t="s">
        <v>28</v>
      </c>
      <c r="Y4" s="28">
        <f>AC4/$Y$13</f>
        <v>9.6875</v>
      </c>
      <c r="Z4" s="23">
        <v>4</v>
      </c>
      <c r="AA4" s="23">
        <v>6</v>
      </c>
      <c r="AB4" s="23">
        <v>15</v>
      </c>
      <c r="AC4" s="23">
        <v>1550</v>
      </c>
    </row>
    <row r="5" spans="1:29" s="1" customFormat="1" ht="17.399999999999999">
      <c r="A5" s="9">
        <v>1</v>
      </c>
      <c r="B5" s="8">
        <v>185</v>
      </c>
      <c r="C5" s="8">
        <v>30705222</v>
      </c>
      <c r="D5" s="42" t="s">
        <v>68</v>
      </c>
      <c r="E5" s="47"/>
      <c r="F5" s="10">
        <v>3</v>
      </c>
      <c r="G5" s="10">
        <v>1</v>
      </c>
      <c r="H5" s="50">
        <v>0</v>
      </c>
      <c r="I5" s="50">
        <v>0</v>
      </c>
      <c r="J5" s="50">
        <v>0</v>
      </c>
      <c r="K5" s="12" t="s">
        <v>53</v>
      </c>
      <c r="L5" s="11">
        <f t="shared" ref="L5:L36" si="0">F5+IF(F5&gt;2,(F5-2)*1,0)</f>
        <v>4</v>
      </c>
      <c r="M5" s="10">
        <f t="shared" ref="M5:M33" si="1">G5*$Y$14</f>
        <v>1.2</v>
      </c>
      <c r="N5" s="10">
        <f t="shared" ref="N5:N36" si="2">SUM(H5:J5)*$Y$18</f>
        <v>0</v>
      </c>
      <c r="O5" s="10">
        <v>0</v>
      </c>
      <c r="P5" s="10">
        <f t="shared" ref="P5:P36" si="3">SUM(M5+L5+O5+N5)</f>
        <v>5.2</v>
      </c>
      <c r="Q5" s="17">
        <v>26.706250000000001</v>
      </c>
      <c r="R5" s="18">
        <f t="shared" ref="R5:R36" si="4">P5+Q5</f>
        <v>31.90625</v>
      </c>
      <c r="S5" s="19">
        <f t="shared" ref="S5:S36" si="5">VLOOKUP(K5,$X$3:$Y$10,2,FALSE)</f>
        <v>8.125</v>
      </c>
      <c r="T5" s="20">
        <f t="shared" ref="T5:T36" si="6">R5-S5</f>
        <v>23.78125</v>
      </c>
      <c r="U5" s="4"/>
      <c r="V5" s="4"/>
      <c r="W5" s="4"/>
      <c r="X5" s="14" t="s">
        <v>29</v>
      </c>
      <c r="Y5" s="28">
        <f>AC5/$Y$13/4</f>
        <v>1.875</v>
      </c>
      <c r="Z5" s="30">
        <v>3</v>
      </c>
      <c r="AA5" s="30">
        <v>5</v>
      </c>
      <c r="AB5" s="30">
        <v>10</v>
      </c>
      <c r="AC5" s="30">
        <v>1200</v>
      </c>
    </row>
    <row r="6" spans="1:29" s="1" customFormat="1" ht="17.399999999999999">
      <c r="A6" s="9">
        <v>1</v>
      </c>
      <c r="B6" s="8">
        <v>212</v>
      </c>
      <c r="C6" s="8">
        <v>2133045883</v>
      </c>
      <c r="D6" s="42" t="s">
        <v>84</v>
      </c>
      <c r="E6" s="47"/>
      <c r="F6" s="10">
        <v>4</v>
      </c>
      <c r="G6" s="10">
        <v>1</v>
      </c>
      <c r="H6" s="50">
        <v>0</v>
      </c>
      <c r="I6" s="50">
        <v>0</v>
      </c>
      <c r="J6" s="50">
        <v>0</v>
      </c>
      <c r="K6" s="12" t="s">
        <v>53</v>
      </c>
      <c r="L6" s="11">
        <f t="shared" si="0"/>
        <v>6</v>
      </c>
      <c r="M6" s="10">
        <f t="shared" si="1"/>
        <v>1.2</v>
      </c>
      <c r="N6" s="10">
        <f t="shared" si="2"/>
        <v>0</v>
      </c>
      <c r="O6" s="10">
        <v>0</v>
      </c>
      <c r="P6" s="10">
        <f t="shared" si="3"/>
        <v>7.2</v>
      </c>
      <c r="Q6" s="17">
        <v>24.656249999999986</v>
      </c>
      <c r="R6" s="18">
        <f t="shared" si="4"/>
        <v>31.856249999999985</v>
      </c>
      <c r="S6" s="19">
        <f t="shared" si="5"/>
        <v>8.125</v>
      </c>
      <c r="T6" s="20">
        <f t="shared" si="6"/>
        <v>23.731249999999985</v>
      </c>
      <c r="U6" s="4"/>
      <c r="V6" s="4"/>
      <c r="W6" s="4"/>
      <c r="X6" s="14"/>
      <c r="Y6" s="28"/>
      <c r="Z6" s="30"/>
      <c r="AA6" s="30"/>
      <c r="AB6" s="30"/>
      <c r="AC6" s="30"/>
    </row>
    <row r="7" spans="1:29" s="1" customFormat="1" ht="17.399999999999999">
      <c r="A7" s="9">
        <v>1</v>
      </c>
      <c r="B7" s="8">
        <v>118</v>
      </c>
      <c r="C7" s="8">
        <v>2018112397</v>
      </c>
      <c r="D7" s="42" t="s">
        <v>54</v>
      </c>
      <c r="E7" s="42" t="s">
        <v>47</v>
      </c>
      <c r="F7" s="10">
        <v>4</v>
      </c>
      <c r="G7" s="10">
        <v>1</v>
      </c>
      <c r="H7" s="50">
        <v>0</v>
      </c>
      <c r="I7" s="50">
        <v>0</v>
      </c>
      <c r="J7" s="50">
        <v>0</v>
      </c>
      <c r="K7" s="12" t="s">
        <v>53</v>
      </c>
      <c r="L7" s="11">
        <f t="shared" si="0"/>
        <v>6</v>
      </c>
      <c r="M7" s="10">
        <f t="shared" si="1"/>
        <v>1.2</v>
      </c>
      <c r="N7" s="10">
        <f t="shared" si="2"/>
        <v>0</v>
      </c>
      <c r="O7" s="10">
        <v>0</v>
      </c>
      <c r="P7" s="10">
        <f t="shared" si="3"/>
        <v>7.2</v>
      </c>
      <c r="Q7" s="17">
        <v>23.993749999999988</v>
      </c>
      <c r="R7" s="18">
        <f t="shared" si="4"/>
        <v>31.193749999999987</v>
      </c>
      <c r="S7" s="19">
        <f t="shared" si="5"/>
        <v>8.125</v>
      </c>
      <c r="T7" s="20">
        <f t="shared" si="6"/>
        <v>23.068749999999987</v>
      </c>
      <c r="U7" s="11"/>
      <c r="V7" s="11"/>
      <c r="W7" s="32"/>
      <c r="X7" s="12" t="s">
        <v>53</v>
      </c>
      <c r="Y7" s="28">
        <f>AC7/$Y$13</f>
        <v>8.125</v>
      </c>
      <c r="Z7" s="30">
        <v>4</v>
      </c>
      <c r="AA7" s="30">
        <v>5</v>
      </c>
      <c r="AB7" s="30"/>
      <c r="AC7" s="30">
        <v>1300</v>
      </c>
    </row>
    <row r="8" spans="1:29" s="1" customFormat="1" ht="17.399999999999999">
      <c r="A8" s="9">
        <v>1</v>
      </c>
      <c r="B8" s="8">
        <v>172</v>
      </c>
      <c r="C8" s="8">
        <v>724061220</v>
      </c>
      <c r="D8" s="42" t="s">
        <v>65</v>
      </c>
      <c r="E8" s="42" t="s">
        <v>50</v>
      </c>
      <c r="F8" s="10">
        <v>4</v>
      </c>
      <c r="G8" s="10">
        <v>0</v>
      </c>
      <c r="H8" s="50">
        <v>0</v>
      </c>
      <c r="I8" s="50">
        <v>0</v>
      </c>
      <c r="J8" s="50">
        <v>0</v>
      </c>
      <c r="K8" s="12" t="s">
        <v>53</v>
      </c>
      <c r="L8" s="11">
        <f t="shared" si="0"/>
        <v>6</v>
      </c>
      <c r="M8" s="10">
        <f t="shared" si="1"/>
        <v>0</v>
      </c>
      <c r="N8" s="10">
        <f t="shared" si="2"/>
        <v>0</v>
      </c>
      <c r="O8" s="10">
        <v>0</v>
      </c>
      <c r="P8" s="10">
        <f t="shared" si="3"/>
        <v>6</v>
      </c>
      <c r="Q8" s="17">
        <v>24.981249999999999</v>
      </c>
      <c r="R8" s="18">
        <f t="shared" si="4"/>
        <v>30.981249999999999</v>
      </c>
      <c r="S8" s="19">
        <f t="shared" si="5"/>
        <v>8.125</v>
      </c>
      <c r="T8" s="20">
        <f t="shared" si="6"/>
        <v>22.856249999999999</v>
      </c>
      <c r="U8" s="4"/>
      <c r="V8" s="4"/>
      <c r="W8" s="4"/>
      <c r="X8" s="13" t="s">
        <v>52</v>
      </c>
      <c r="Y8" s="28">
        <f>AC8/$Y$13</f>
        <v>6.25</v>
      </c>
      <c r="Z8" s="30">
        <v>3</v>
      </c>
      <c r="AA8" s="30">
        <v>4</v>
      </c>
      <c r="AB8" s="30"/>
      <c r="AC8" s="30">
        <v>1000</v>
      </c>
    </row>
    <row r="9" spans="1:29" s="1" customFormat="1" ht="17.399999999999999">
      <c r="A9" s="9">
        <v>1</v>
      </c>
      <c r="B9" s="9">
        <v>46</v>
      </c>
      <c r="C9" s="8">
        <v>2109182835</v>
      </c>
      <c r="D9" s="42" t="s">
        <v>59</v>
      </c>
      <c r="E9" s="42" t="s">
        <v>10</v>
      </c>
      <c r="F9" s="10">
        <v>4</v>
      </c>
      <c r="G9" s="10">
        <v>1</v>
      </c>
      <c r="H9" s="50">
        <v>0</v>
      </c>
      <c r="I9" s="50">
        <v>0</v>
      </c>
      <c r="J9" s="50">
        <v>0</v>
      </c>
      <c r="K9" s="12" t="s">
        <v>53</v>
      </c>
      <c r="L9" s="11">
        <f t="shared" si="0"/>
        <v>6</v>
      </c>
      <c r="M9" s="10">
        <f t="shared" si="1"/>
        <v>1.2</v>
      </c>
      <c r="N9" s="10">
        <f t="shared" si="2"/>
        <v>0</v>
      </c>
      <c r="O9" s="10">
        <v>0</v>
      </c>
      <c r="P9" s="10">
        <f t="shared" si="3"/>
        <v>7.2</v>
      </c>
      <c r="Q9" s="17">
        <v>23.642500000000016</v>
      </c>
      <c r="R9" s="18">
        <f t="shared" si="4"/>
        <v>30.842500000000015</v>
      </c>
      <c r="S9" s="19">
        <f t="shared" si="5"/>
        <v>8.125</v>
      </c>
      <c r="T9" s="20">
        <f t="shared" si="6"/>
        <v>22.717500000000015</v>
      </c>
      <c r="U9" s="11"/>
      <c r="V9" s="11"/>
      <c r="W9" s="11"/>
      <c r="X9" s="14" t="s">
        <v>53</v>
      </c>
      <c r="Y9" s="28">
        <f>AC9/$Y$13/4</f>
        <v>1.09375</v>
      </c>
      <c r="Z9" s="30">
        <v>2</v>
      </c>
      <c r="AA9" s="30">
        <v>3</v>
      </c>
      <c r="AB9" s="30"/>
      <c r="AC9" s="30">
        <v>700</v>
      </c>
    </row>
    <row r="10" spans="1:29" s="1" customFormat="1" ht="17.399999999999999">
      <c r="A10" s="9">
        <v>1</v>
      </c>
      <c r="B10" s="8">
        <v>183</v>
      </c>
      <c r="C10" s="8">
        <v>1250030371</v>
      </c>
      <c r="D10" s="42" t="s">
        <v>130</v>
      </c>
      <c r="E10" s="42" t="s">
        <v>121</v>
      </c>
      <c r="F10" s="10">
        <v>4</v>
      </c>
      <c r="G10" s="10">
        <v>1</v>
      </c>
      <c r="H10" s="50">
        <v>0</v>
      </c>
      <c r="I10" s="50">
        <v>0</v>
      </c>
      <c r="J10" s="50">
        <v>0</v>
      </c>
      <c r="K10" s="12" t="s">
        <v>53</v>
      </c>
      <c r="L10" s="11">
        <f t="shared" si="0"/>
        <v>6</v>
      </c>
      <c r="M10" s="10">
        <f t="shared" si="1"/>
        <v>1.2</v>
      </c>
      <c r="N10" s="10">
        <f t="shared" si="2"/>
        <v>0</v>
      </c>
      <c r="O10" s="10">
        <v>0</v>
      </c>
      <c r="P10" s="10">
        <f t="shared" si="3"/>
        <v>7.2</v>
      </c>
      <c r="Q10" s="17">
        <v>23.618749999999999</v>
      </c>
      <c r="R10" s="18">
        <f t="shared" si="4"/>
        <v>30.818749999999998</v>
      </c>
      <c r="S10" s="19">
        <f t="shared" si="5"/>
        <v>8.125</v>
      </c>
      <c r="T10" s="20">
        <f t="shared" si="6"/>
        <v>22.693749999999998</v>
      </c>
      <c r="U10" s="4"/>
      <c r="V10" s="4"/>
      <c r="W10" s="4"/>
      <c r="X10" s="33" t="s">
        <v>30</v>
      </c>
      <c r="Y10" s="2">
        <v>0</v>
      </c>
      <c r="Z10" s="2"/>
      <c r="AA10" s="2"/>
      <c r="AB10" s="2"/>
      <c r="AC10" s="2"/>
    </row>
    <row r="11" spans="1:29" s="1" customFormat="1" ht="17.399999999999999">
      <c r="A11" s="9">
        <v>1</v>
      </c>
      <c r="B11" s="8">
        <v>189</v>
      </c>
      <c r="C11" s="8">
        <v>522812489</v>
      </c>
      <c r="D11" s="42" t="s">
        <v>70</v>
      </c>
      <c r="E11" s="47"/>
      <c r="F11" s="10">
        <v>4</v>
      </c>
      <c r="G11" s="10">
        <v>1</v>
      </c>
      <c r="H11" s="50">
        <v>0</v>
      </c>
      <c r="I11" s="50">
        <v>0</v>
      </c>
      <c r="J11" s="50">
        <v>0</v>
      </c>
      <c r="K11" s="13" t="s">
        <v>52</v>
      </c>
      <c r="L11" s="11">
        <f t="shared" si="0"/>
        <v>6</v>
      </c>
      <c r="M11" s="10">
        <f t="shared" si="1"/>
        <v>1.2</v>
      </c>
      <c r="N11" s="10">
        <f t="shared" si="2"/>
        <v>0</v>
      </c>
      <c r="O11" s="10">
        <v>0</v>
      </c>
      <c r="P11" s="10">
        <f t="shared" si="3"/>
        <v>7.2</v>
      </c>
      <c r="Q11" s="17">
        <v>23.550000000000004</v>
      </c>
      <c r="R11" s="18">
        <f t="shared" si="4"/>
        <v>30.750000000000004</v>
      </c>
      <c r="S11" s="19">
        <f t="shared" si="5"/>
        <v>6.25</v>
      </c>
      <c r="T11" s="20">
        <f t="shared" si="6"/>
        <v>24.500000000000004</v>
      </c>
      <c r="U11" s="4"/>
      <c r="V11" s="4"/>
      <c r="W11" s="4"/>
      <c r="X11" s="34"/>
    </row>
    <row r="12" spans="1:29" s="1" customFormat="1" ht="17.399999999999999">
      <c r="A12" s="9">
        <v>1</v>
      </c>
      <c r="B12" s="8">
        <v>156</v>
      </c>
      <c r="C12" s="8">
        <v>1744610165</v>
      </c>
      <c r="D12" s="42" t="s">
        <v>135</v>
      </c>
      <c r="E12" s="42" t="s">
        <v>64</v>
      </c>
      <c r="F12" s="10">
        <v>4</v>
      </c>
      <c r="G12" s="10">
        <v>1</v>
      </c>
      <c r="H12" s="50">
        <v>0</v>
      </c>
      <c r="I12" s="50">
        <v>0</v>
      </c>
      <c r="J12" s="50">
        <v>0</v>
      </c>
      <c r="K12" s="13" t="s">
        <v>52</v>
      </c>
      <c r="L12" s="11">
        <f t="shared" si="0"/>
        <v>6</v>
      </c>
      <c r="M12" s="10">
        <f t="shared" si="1"/>
        <v>1.2</v>
      </c>
      <c r="N12" s="10">
        <f t="shared" si="2"/>
        <v>0</v>
      </c>
      <c r="O12" s="10">
        <v>0</v>
      </c>
      <c r="P12" s="10">
        <f t="shared" si="3"/>
        <v>7.2</v>
      </c>
      <c r="Q12" s="17">
        <v>23.423766129032245</v>
      </c>
      <c r="R12" s="18">
        <f t="shared" si="4"/>
        <v>30.623766129032244</v>
      </c>
      <c r="S12" s="19">
        <f t="shared" si="5"/>
        <v>6.25</v>
      </c>
      <c r="T12" s="20">
        <f t="shared" si="6"/>
        <v>24.373766129032244</v>
      </c>
      <c r="U12" s="4"/>
      <c r="V12" s="4"/>
      <c r="W12" s="4"/>
      <c r="X12" s="35" t="s">
        <v>32</v>
      </c>
      <c r="Y12" s="1">
        <v>15000</v>
      </c>
    </row>
    <row r="13" spans="1:29" s="2" customFormat="1" ht="17.399999999999999">
      <c r="A13" s="9">
        <v>1</v>
      </c>
      <c r="B13" s="8">
        <v>224</v>
      </c>
      <c r="C13" s="8">
        <v>862562360</v>
      </c>
      <c r="D13" s="42" t="s">
        <v>129</v>
      </c>
      <c r="E13" s="42" t="s">
        <v>106</v>
      </c>
      <c r="F13" s="10">
        <v>4</v>
      </c>
      <c r="G13" s="10">
        <v>1</v>
      </c>
      <c r="H13" s="50">
        <v>0</v>
      </c>
      <c r="I13" s="50">
        <v>0</v>
      </c>
      <c r="J13" s="50">
        <v>0</v>
      </c>
      <c r="K13" s="13" t="s">
        <v>52</v>
      </c>
      <c r="L13" s="11">
        <f t="shared" si="0"/>
        <v>6</v>
      </c>
      <c r="M13" s="10">
        <f t="shared" si="1"/>
        <v>1.2</v>
      </c>
      <c r="N13" s="10">
        <f t="shared" si="2"/>
        <v>0</v>
      </c>
      <c r="O13" s="10">
        <v>0</v>
      </c>
      <c r="P13" s="10">
        <f t="shared" si="3"/>
        <v>7.2</v>
      </c>
      <c r="Q13" s="17">
        <v>23.110354477611942</v>
      </c>
      <c r="R13" s="18">
        <f t="shared" si="4"/>
        <v>30.310354477611941</v>
      </c>
      <c r="S13" s="19">
        <f t="shared" si="5"/>
        <v>6.25</v>
      </c>
      <c r="T13" s="20">
        <f t="shared" si="6"/>
        <v>24.060354477611941</v>
      </c>
      <c r="U13" s="4"/>
      <c r="V13" s="4"/>
      <c r="W13" s="4"/>
      <c r="X13" s="36" t="s">
        <v>33</v>
      </c>
      <c r="Y13" s="37">
        <v>160</v>
      </c>
      <c r="Z13" s="1"/>
      <c r="AA13" s="1"/>
      <c r="AB13" s="1"/>
      <c r="AC13" s="1"/>
    </row>
    <row r="14" spans="1:29" s="2" customFormat="1" ht="17.399999999999999">
      <c r="A14" s="9">
        <v>1</v>
      </c>
      <c r="B14" s="8">
        <v>174</v>
      </c>
      <c r="C14" s="8">
        <v>775720958</v>
      </c>
      <c r="D14" s="42" t="s">
        <v>79</v>
      </c>
      <c r="E14" s="42" t="s">
        <v>49</v>
      </c>
      <c r="F14" s="10">
        <v>3</v>
      </c>
      <c r="G14" s="10">
        <v>1</v>
      </c>
      <c r="H14" s="50">
        <v>0</v>
      </c>
      <c r="I14" s="50">
        <v>0</v>
      </c>
      <c r="J14" s="50">
        <v>0</v>
      </c>
      <c r="K14" s="13" t="s">
        <v>52</v>
      </c>
      <c r="L14" s="11">
        <f t="shared" si="0"/>
        <v>4</v>
      </c>
      <c r="M14" s="10">
        <f t="shared" si="1"/>
        <v>1.2</v>
      </c>
      <c r="N14" s="10">
        <f t="shared" si="2"/>
        <v>0</v>
      </c>
      <c r="O14" s="10">
        <v>0</v>
      </c>
      <c r="P14" s="10">
        <f t="shared" si="3"/>
        <v>5.2</v>
      </c>
      <c r="Q14" s="17">
        <v>25.099999999999984</v>
      </c>
      <c r="R14" s="18">
        <f t="shared" si="4"/>
        <v>30.299999999999983</v>
      </c>
      <c r="S14" s="19">
        <f t="shared" si="5"/>
        <v>6.25</v>
      </c>
      <c r="T14" s="20">
        <f t="shared" si="6"/>
        <v>24.049999999999983</v>
      </c>
      <c r="U14" s="4"/>
      <c r="V14" s="4"/>
      <c r="W14" s="4"/>
      <c r="X14" s="38" t="s">
        <v>42</v>
      </c>
      <c r="Y14" s="37">
        <v>1.2</v>
      </c>
      <c r="Z14" s="1"/>
      <c r="AA14" s="1"/>
      <c r="AB14" s="1"/>
      <c r="AC14" s="1"/>
    </row>
    <row r="15" spans="1:29" s="2" customFormat="1" ht="17.399999999999999">
      <c r="A15" s="9">
        <v>1</v>
      </c>
      <c r="B15" s="8">
        <v>215</v>
      </c>
      <c r="C15" s="8">
        <v>289805855</v>
      </c>
      <c r="D15" s="42" t="s">
        <v>87</v>
      </c>
      <c r="F15" s="10">
        <v>4</v>
      </c>
      <c r="G15" s="10">
        <v>1</v>
      </c>
      <c r="H15" s="50">
        <v>0</v>
      </c>
      <c r="I15" s="50">
        <v>0</v>
      </c>
      <c r="J15" s="50">
        <v>0</v>
      </c>
      <c r="K15" s="13" t="s">
        <v>52</v>
      </c>
      <c r="L15" s="11">
        <f t="shared" si="0"/>
        <v>6</v>
      </c>
      <c r="M15" s="10">
        <f t="shared" si="1"/>
        <v>1.2</v>
      </c>
      <c r="N15" s="10">
        <f t="shared" si="2"/>
        <v>0</v>
      </c>
      <c r="O15" s="10">
        <v>0</v>
      </c>
      <c r="P15" s="10">
        <f t="shared" si="3"/>
        <v>7.2</v>
      </c>
      <c r="Q15" s="17">
        <v>22.737999999999992</v>
      </c>
      <c r="R15" s="18">
        <f t="shared" si="4"/>
        <v>29.937999999999992</v>
      </c>
      <c r="S15" s="19">
        <f t="shared" si="5"/>
        <v>6.25</v>
      </c>
      <c r="T15" s="20">
        <f t="shared" si="6"/>
        <v>23.687999999999992</v>
      </c>
      <c r="U15" s="4"/>
      <c r="V15" s="4"/>
      <c r="W15" s="4"/>
      <c r="X15" s="1" t="s">
        <v>34</v>
      </c>
      <c r="Y15" s="37">
        <v>2021</v>
      </c>
      <c r="Z15" s="1"/>
      <c r="AA15" s="1"/>
      <c r="AB15" s="1"/>
      <c r="AC15" s="1"/>
    </row>
    <row r="16" spans="1:29" s="2" customFormat="1" ht="17.399999999999999">
      <c r="A16" s="9">
        <v>1</v>
      </c>
      <c r="B16" s="8">
        <v>116</v>
      </c>
      <c r="C16" s="8">
        <v>2122596917</v>
      </c>
      <c r="D16" s="42" t="s">
        <v>61</v>
      </c>
      <c r="E16" s="42" t="s">
        <v>37</v>
      </c>
      <c r="F16" s="10">
        <v>4</v>
      </c>
      <c r="G16" s="10">
        <v>1</v>
      </c>
      <c r="H16" s="50">
        <v>0</v>
      </c>
      <c r="I16" s="50">
        <v>0</v>
      </c>
      <c r="J16" s="50">
        <v>0</v>
      </c>
      <c r="K16" s="13" t="s">
        <v>52</v>
      </c>
      <c r="L16" s="11">
        <f t="shared" si="0"/>
        <v>6</v>
      </c>
      <c r="M16" s="10">
        <f t="shared" si="1"/>
        <v>1.2</v>
      </c>
      <c r="N16" s="10">
        <f t="shared" si="2"/>
        <v>0</v>
      </c>
      <c r="O16" s="10">
        <v>0</v>
      </c>
      <c r="P16" s="10">
        <f t="shared" si="3"/>
        <v>7.2</v>
      </c>
      <c r="Q16" s="17">
        <v>22.625</v>
      </c>
      <c r="R16" s="18">
        <f t="shared" si="4"/>
        <v>29.824999999999999</v>
      </c>
      <c r="S16" s="19">
        <f t="shared" si="5"/>
        <v>6.25</v>
      </c>
      <c r="T16" s="20">
        <f t="shared" si="6"/>
        <v>23.574999999999999</v>
      </c>
      <c r="U16" s="11"/>
      <c r="V16" s="11"/>
      <c r="W16" s="32"/>
      <c r="X16" s="1" t="s">
        <v>35</v>
      </c>
      <c r="Y16" s="37">
        <v>10</v>
      </c>
      <c r="Z16" s="1"/>
      <c r="AA16" s="1"/>
      <c r="AB16" s="1"/>
      <c r="AC16" s="1"/>
    </row>
    <row r="17" spans="1:29" s="2" customFormat="1" ht="17.399999999999999">
      <c r="A17" s="9">
        <v>1</v>
      </c>
      <c r="B17" s="8">
        <v>128</v>
      </c>
      <c r="C17" s="8">
        <v>1214614935</v>
      </c>
      <c r="D17" s="42" t="s">
        <v>62</v>
      </c>
      <c r="E17" s="49" t="s">
        <v>43</v>
      </c>
      <c r="F17" s="10">
        <v>4</v>
      </c>
      <c r="G17" s="10">
        <v>1</v>
      </c>
      <c r="H17" s="50">
        <v>0</v>
      </c>
      <c r="I17" s="50">
        <v>0</v>
      </c>
      <c r="J17" s="50">
        <v>0</v>
      </c>
      <c r="K17" s="14" t="s">
        <v>53</v>
      </c>
      <c r="L17" s="11">
        <f t="shared" si="0"/>
        <v>6</v>
      </c>
      <c r="M17" s="10">
        <f t="shared" si="1"/>
        <v>1.2</v>
      </c>
      <c r="N17" s="10">
        <f t="shared" si="2"/>
        <v>0</v>
      </c>
      <c r="O17" s="10">
        <v>0</v>
      </c>
      <c r="P17" s="10">
        <f t="shared" si="3"/>
        <v>7.2</v>
      </c>
      <c r="Q17" s="17">
        <v>22.549499999999995</v>
      </c>
      <c r="R17" s="18">
        <f t="shared" si="4"/>
        <v>29.749499999999994</v>
      </c>
      <c r="S17" s="19">
        <f t="shared" si="5"/>
        <v>8.125</v>
      </c>
      <c r="T17" s="20">
        <f t="shared" si="6"/>
        <v>21.624499999999994</v>
      </c>
      <c r="U17" s="11"/>
      <c r="V17" s="11"/>
      <c r="W17" s="31"/>
      <c r="X17" s="1" t="s">
        <v>36</v>
      </c>
      <c r="Y17" s="37">
        <v>2</v>
      </c>
      <c r="Z17" s="1"/>
      <c r="AA17" s="1"/>
      <c r="AB17" s="1"/>
      <c r="AC17" s="1"/>
    </row>
    <row r="18" spans="1:29" s="2" customFormat="1" ht="17.399999999999999">
      <c r="A18" s="9">
        <v>1</v>
      </c>
      <c r="B18" s="8">
        <v>200</v>
      </c>
      <c r="C18" s="8">
        <v>967589156</v>
      </c>
      <c r="D18" s="42" t="s">
        <v>76</v>
      </c>
      <c r="E18" s="47"/>
      <c r="F18" s="10">
        <v>4</v>
      </c>
      <c r="G18" s="10">
        <v>1</v>
      </c>
      <c r="H18" s="50">
        <v>0</v>
      </c>
      <c r="I18" s="50">
        <v>0</v>
      </c>
      <c r="J18" s="50">
        <v>0</v>
      </c>
      <c r="K18" s="14" t="s">
        <v>53</v>
      </c>
      <c r="L18" s="11">
        <f t="shared" si="0"/>
        <v>6</v>
      </c>
      <c r="M18" s="10">
        <f t="shared" si="1"/>
        <v>1.2</v>
      </c>
      <c r="N18" s="10">
        <f t="shared" si="2"/>
        <v>0</v>
      </c>
      <c r="O18" s="10">
        <v>0</v>
      </c>
      <c r="P18" s="10">
        <f t="shared" si="3"/>
        <v>7.2</v>
      </c>
      <c r="Q18" s="17">
        <v>22.481250000000017</v>
      </c>
      <c r="R18" s="18">
        <f t="shared" si="4"/>
        <v>29.681250000000016</v>
      </c>
      <c r="S18" s="19">
        <f t="shared" si="5"/>
        <v>8.125</v>
      </c>
      <c r="T18" s="20">
        <f t="shared" si="6"/>
        <v>21.556250000000016</v>
      </c>
      <c r="U18" s="4"/>
      <c r="V18" s="4"/>
      <c r="W18" s="4"/>
      <c r="X18" s="51" t="s">
        <v>103</v>
      </c>
      <c r="Y18" s="37">
        <v>0.4</v>
      </c>
      <c r="Z18" s="1"/>
      <c r="AA18" s="1"/>
      <c r="AB18" s="1"/>
      <c r="AC18" s="1"/>
    </row>
    <row r="19" spans="1:29" s="2" customFormat="1" ht="17.399999999999999">
      <c r="A19" s="9">
        <v>1</v>
      </c>
      <c r="B19" s="8">
        <v>216</v>
      </c>
      <c r="C19" s="8">
        <v>395700385</v>
      </c>
      <c r="D19" s="42" t="s">
        <v>88</v>
      </c>
      <c r="F19" s="10">
        <v>2</v>
      </c>
      <c r="G19" s="10">
        <v>1</v>
      </c>
      <c r="H19" s="50">
        <v>0</v>
      </c>
      <c r="I19" s="50">
        <v>0</v>
      </c>
      <c r="J19" s="50">
        <v>0</v>
      </c>
      <c r="K19" s="14" t="s">
        <v>53</v>
      </c>
      <c r="L19" s="11">
        <f t="shared" si="0"/>
        <v>2</v>
      </c>
      <c r="M19" s="10">
        <f t="shared" si="1"/>
        <v>1.2</v>
      </c>
      <c r="N19" s="10">
        <f t="shared" si="2"/>
        <v>0</v>
      </c>
      <c r="O19" s="10">
        <v>0</v>
      </c>
      <c r="P19" s="10">
        <f t="shared" si="3"/>
        <v>3.2</v>
      </c>
      <c r="Q19" s="17">
        <v>26.425201612903216</v>
      </c>
      <c r="R19" s="18">
        <f t="shared" si="4"/>
        <v>29.625201612903215</v>
      </c>
      <c r="S19" s="19">
        <f t="shared" si="5"/>
        <v>8.125</v>
      </c>
      <c r="T19" s="20">
        <f t="shared" si="6"/>
        <v>21.500201612903215</v>
      </c>
      <c r="U19" s="4"/>
      <c r="V19" s="4"/>
      <c r="W19" s="4"/>
      <c r="X19" s="1"/>
      <c r="Y19" s="1"/>
      <c r="Z19" s="1"/>
      <c r="AA19" s="1"/>
      <c r="AB19" s="1"/>
      <c r="AC19" s="1"/>
    </row>
    <row r="20" spans="1:29" s="2" customFormat="1" ht="17.399999999999999">
      <c r="A20" s="9">
        <v>1</v>
      </c>
      <c r="B20" s="9">
        <v>26</v>
      </c>
      <c r="C20" s="8">
        <v>1754932067</v>
      </c>
      <c r="D20" s="42" t="s">
        <v>58</v>
      </c>
      <c r="E20" s="42" t="s">
        <v>9</v>
      </c>
      <c r="F20" s="10">
        <v>4</v>
      </c>
      <c r="G20" s="10">
        <v>1</v>
      </c>
      <c r="H20" s="50">
        <v>0</v>
      </c>
      <c r="I20" s="50">
        <v>0</v>
      </c>
      <c r="J20" s="50">
        <v>0</v>
      </c>
      <c r="K20" s="14" t="s">
        <v>53</v>
      </c>
      <c r="L20" s="11">
        <f t="shared" si="0"/>
        <v>6</v>
      </c>
      <c r="M20" s="10">
        <f t="shared" si="1"/>
        <v>1.2</v>
      </c>
      <c r="N20" s="10">
        <f t="shared" si="2"/>
        <v>0</v>
      </c>
      <c r="O20" s="10">
        <v>0</v>
      </c>
      <c r="P20" s="10">
        <f t="shared" si="3"/>
        <v>7.2</v>
      </c>
      <c r="Q20" s="17">
        <v>22.387500000000003</v>
      </c>
      <c r="R20" s="18">
        <f t="shared" si="4"/>
        <v>29.587500000000002</v>
      </c>
      <c r="S20" s="19">
        <f t="shared" si="5"/>
        <v>8.125</v>
      </c>
      <c r="T20" s="20">
        <f t="shared" si="6"/>
        <v>21.462500000000002</v>
      </c>
      <c r="U20" s="11"/>
      <c r="V20" s="11"/>
      <c r="W20" s="11"/>
      <c r="X20" s="1"/>
      <c r="Y20" s="1"/>
      <c r="Z20" s="1"/>
      <c r="AA20" s="1"/>
      <c r="AB20" s="1"/>
      <c r="AC20" s="1"/>
    </row>
    <row r="21" spans="1:29" s="2" customFormat="1" ht="17.399999999999999">
      <c r="A21" s="9">
        <v>1</v>
      </c>
      <c r="B21" s="9">
        <v>231</v>
      </c>
      <c r="C21" s="8">
        <v>1725915293</v>
      </c>
      <c r="D21" s="42" t="s">
        <v>112</v>
      </c>
      <c r="E21" s="4"/>
      <c r="F21" s="10">
        <v>4</v>
      </c>
      <c r="G21" s="10">
        <v>1</v>
      </c>
      <c r="H21" s="50">
        <v>0</v>
      </c>
      <c r="I21" s="50">
        <v>0</v>
      </c>
      <c r="J21" s="50">
        <v>0</v>
      </c>
      <c r="K21" s="14" t="s">
        <v>53</v>
      </c>
      <c r="L21" s="11">
        <f t="shared" si="0"/>
        <v>6</v>
      </c>
      <c r="M21" s="10">
        <f t="shared" si="1"/>
        <v>1.2</v>
      </c>
      <c r="N21" s="10">
        <f t="shared" si="2"/>
        <v>0</v>
      </c>
      <c r="O21" s="10">
        <v>0</v>
      </c>
      <c r="P21" s="10">
        <f t="shared" si="3"/>
        <v>7.2</v>
      </c>
      <c r="Q21" s="17">
        <v>22.368749999999999</v>
      </c>
      <c r="R21" s="18">
        <f t="shared" si="4"/>
        <v>29.568749999999998</v>
      </c>
      <c r="S21" s="19">
        <f t="shared" si="5"/>
        <v>8.125</v>
      </c>
      <c r="T21" s="20">
        <f t="shared" si="6"/>
        <v>21.443749999999998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7.399999999999999">
      <c r="A22" s="9">
        <v>1</v>
      </c>
      <c r="B22" s="8">
        <v>208</v>
      </c>
      <c r="C22" s="8">
        <v>92129464</v>
      </c>
      <c r="D22" s="42" t="s">
        <v>82</v>
      </c>
      <c r="E22" s="47"/>
      <c r="F22" s="10">
        <v>4</v>
      </c>
      <c r="G22" s="10">
        <v>1</v>
      </c>
      <c r="H22" s="50">
        <v>0</v>
      </c>
      <c r="I22" s="50">
        <v>0</v>
      </c>
      <c r="J22" s="50">
        <v>0</v>
      </c>
      <c r="K22" s="14" t="s">
        <v>53</v>
      </c>
      <c r="L22" s="11">
        <f t="shared" si="0"/>
        <v>6</v>
      </c>
      <c r="M22" s="10">
        <f t="shared" si="1"/>
        <v>1.2</v>
      </c>
      <c r="N22" s="10">
        <f t="shared" si="2"/>
        <v>0</v>
      </c>
      <c r="O22" s="10">
        <v>0</v>
      </c>
      <c r="P22" s="10">
        <f t="shared" si="3"/>
        <v>7.2</v>
      </c>
      <c r="Q22" s="17">
        <v>22.15</v>
      </c>
      <c r="R22" s="18">
        <f t="shared" si="4"/>
        <v>29.349999999999998</v>
      </c>
      <c r="S22" s="19">
        <f t="shared" si="5"/>
        <v>8.125</v>
      </c>
      <c r="T22" s="20">
        <f t="shared" si="6"/>
        <v>21.224999999999998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20.399999999999999">
      <c r="A23" s="9">
        <v>1</v>
      </c>
      <c r="B23" s="8">
        <v>221</v>
      </c>
      <c r="C23" s="8">
        <v>790956883</v>
      </c>
      <c r="D23" s="42" t="s">
        <v>96</v>
      </c>
      <c r="E23" s="42" t="s">
        <v>95</v>
      </c>
      <c r="F23" s="10">
        <v>4</v>
      </c>
      <c r="G23" s="10">
        <v>1</v>
      </c>
      <c r="H23" s="50">
        <v>0</v>
      </c>
      <c r="I23" s="50">
        <v>0</v>
      </c>
      <c r="J23" s="50">
        <v>0</v>
      </c>
      <c r="K23" s="14" t="s">
        <v>53</v>
      </c>
      <c r="L23" s="11">
        <f t="shared" si="0"/>
        <v>6</v>
      </c>
      <c r="M23" s="10">
        <f t="shared" si="1"/>
        <v>1.2</v>
      </c>
      <c r="N23" s="10">
        <f t="shared" si="2"/>
        <v>0</v>
      </c>
      <c r="O23" s="10">
        <v>0</v>
      </c>
      <c r="P23" s="10">
        <f t="shared" si="3"/>
        <v>7.2</v>
      </c>
      <c r="Q23" s="17">
        <v>22.106249999999996</v>
      </c>
      <c r="R23" s="18">
        <f t="shared" si="4"/>
        <v>29.306249999999995</v>
      </c>
      <c r="S23" s="19">
        <f t="shared" si="5"/>
        <v>8.125</v>
      </c>
      <c r="T23" s="20">
        <f t="shared" si="6"/>
        <v>21.181249999999995</v>
      </c>
      <c r="U23" s="4"/>
      <c r="V23" s="4"/>
      <c r="W23" s="4"/>
    </row>
    <row r="24" spans="1:29" s="1" customFormat="1" ht="17.399999999999999">
      <c r="A24" s="9">
        <v>1</v>
      </c>
      <c r="B24" s="8">
        <v>226</v>
      </c>
      <c r="C24" s="8">
        <v>1238792963</v>
      </c>
      <c r="D24" s="42" t="s">
        <v>108</v>
      </c>
      <c r="E24" s="42"/>
      <c r="F24" s="10">
        <v>3</v>
      </c>
      <c r="G24" s="10">
        <v>1</v>
      </c>
      <c r="H24" s="50">
        <v>0</v>
      </c>
      <c r="I24" s="50">
        <v>0</v>
      </c>
      <c r="J24" s="50">
        <v>0</v>
      </c>
      <c r="K24" s="14" t="s">
        <v>53</v>
      </c>
      <c r="L24" s="11">
        <f t="shared" si="0"/>
        <v>4</v>
      </c>
      <c r="M24" s="10">
        <f t="shared" si="1"/>
        <v>1.2</v>
      </c>
      <c r="N24" s="10">
        <f t="shared" si="2"/>
        <v>0</v>
      </c>
      <c r="O24" s="10">
        <v>0</v>
      </c>
      <c r="P24" s="10">
        <f t="shared" si="3"/>
        <v>5.2</v>
      </c>
      <c r="Q24" s="17">
        <v>24.09375</v>
      </c>
      <c r="R24" s="18">
        <f t="shared" si="4"/>
        <v>29.293749999999999</v>
      </c>
      <c r="S24" s="19">
        <f t="shared" si="5"/>
        <v>8.125</v>
      </c>
      <c r="T24" s="20">
        <f t="shared" si="6"/>
        <v>21.168749999999999</v>
      </c>
      <c r="U24" s="4"/>
      <c r="V24" s="4"/>
      <c r="W24" s="4"/>
    </row>
    <row r="25" spans="1:29" s="1" customFormat="1" ht="17.399999999999999">
      <c r="A25" s="9">
        <v>1</v>
      </c>
      <c r="B25" s="8">
        <v>225</v>
      </c>
      <c r="C25" s="8">
        <v>1963965829</v>
      </c>
      <c r="D25" s="42" t="s">
        <v>107</v>
      </c>
      <c r="E25" s="42"/>
      <c r="F25" s="10">
        <v>4</v>
      </c>
      <c r="G25" s="10">
        <v>1</v>
      </c>
      <c r="H25" s="50">
        <v>0</v>
      </c>
      <c r="I25" s="50">
        <v>0</v>
      </c>
      <c r="J25" s="50">
        <v>0</v>
      </c>
      <c r="K25" s="14" t="s">
        <v>53</v>
      </c>
      <c r="L25" s="11">
        <f t="shared" si="0"/>
        <v>6</v>
      </c>
      <c r="M25" s="10">
        <f t="shared" si="1"/>
        <v>1.2</v>
      </c>
      <c r="N25" s="10">
        <f t="shared" si="2"/>
        <v>0</v>
      </c>
      <c r="O25" s="10">
        <v>0</v>
      </c>
      <c r="P25" s="10">
        <f t="shared" si="3"/>
        <v>7.2</v>
      </c>
      <c r="Q25" s="17">
        <v>22.060736940298497</v>
      </c>
      <c r="R25" s="18">
        <f t="shared" si="4"/>
        <v>29.260736940298496</v>
      </c>
      <c r="S25" s="19">
        <f t="shared" si="5"/>
        <v>8.125</v>
      </c>
      <c r="T25" s="20">
        <f t="shared" si="6"/>
        <v>21.135736940298496</v>
      </c>
      <c r="U25" s="4"/>
      <c r="V25" s="4"/>
      <c r="W25" s="4"/>
    </row>
    <row r="26" spans="1:29" s="1" customFormat="1" ht="18.75" customHeight="1">
      <c r="A26" s="9">
        <v>1</v>
      </c>
      <c r="B26" s="8">
        <v>242</v>
      </c>
      <c r="C26" s="8">
        <v>1381736232</v>
      </c>
      <c r="D26" s="42" t="s">
        <v>125</v>
      </c>
      <c r="E26" s="4"/>
      <c r="F26" s="10">
        <v>4</v>
      </c>
      <c r="G26" s="10">
        <v>1</v>
      </c>
      <c r="H26" s="50">
        <v>0</v>
      </c>
      <c r="I26" s="50">
        <v>0</v>
      </c>
      <c r="J26" s="50">
        <v>0</v>
      </c>
      <c r="K26" s="14" t="s">
        <v>53</v>
      </c>
      <c r="L26" s="11">
        <f t="shared" si="0"/>
        <v>6</v>
      </c>
      <c r="M26" s="10">
        <f t="shared" si="1"/>
        <v>1.2</v>
      </c>
      <c r="N26" s="10">
        <f t="shared" si="2"/>
        <v>0</v>
      </c>
      <c r="O26" s="10">
        <v>0</v>
      </c>
      <c r="P26" s="10">
        <f t="shared" si="3"/>
        <v>7.2</v>
      </c>
      <c r="Q26" s="17">
        <v>22.031249999999993</v>
      </c>
      <c r="R26" s="18">
        <f t="shared" si="4"/>
        <v>29.231249999999992</v>
      </c>
      <c r="S26" s="19">
        <f t="shared" si="5"/>
        <v>8.125</v>
      </c>
      <c r="T26" s="20">
        <f t="shared" si="6"/>
        <v>21.106249999999992</v>
      </c>
      <c r="U26" s="4"/>
      <c r="V26" s="4"/>
      <c r="W26" s="4"/>
    </row>
    <row r="27" spans="1:29" s="1" customFormat="1" ht="17.399999999999999">
      <c r="A27" s="9">
        <v>1</v>
      </c>
      <c r="B27" s="8">
        <v>178</v>
      </c>
      <c r="C27" s="8">
        <v>1059185275</v>
      </c>
      <c r="D27" s="42" t="s">
        <v>66</v>
      </c>
      <c r="E27" s="47"/>
      <c r="F27" s="10">
        <v>3</v>
      </c>
      <c r="G27" s="10">
        <v>1</v>
      </c>
      <c r="H27" s="50">
        <v>0</v>
      </c>
      <c r="I27" s="50">
        <v>0</v>
      </c>
      <c r="J27" s="50">
        <v>0</v>
      </c>
      <c r="K27" s="14" t="s">
        <v>53</v>
      </c>
      <c r="L27" s="11">
        <f t="shared" si="0"/>
        <v>4</v>
      </c>
      <c r="M27" s="10">
        <f t="shared" si="1"/>
        <v>1.2</v>
      </c>
      <c r="N27" s="10">
        <f t="shared" si="2"/>
        <v>0</v>
      </c>
      <c r="O27" s="10">
        <v>0</v>
      </c>
      <c r="P27" s="10">
        <f t="shared" si="3"/>
        <v>5.2</v>
      </c>
      <c r="Q27" s="17">
        <v>24.012499999999996</v>
      </c>
      <c r="R27" s="18">
        <f t="shared" si="4"/>
        <v>29.212499999999995</v>
      </c>
      <c r="S27" s="19">
        <f t="shared" si="5"/>
        <v>8.125</v>
      </c>
      <c r="T27" s="20">
        <f t="shared" si="6"/>
        <v>21.087499999999995</v>
      </c>
      <c r="U27" s="4"/>
      <c r="V27" s="4"/>
      <c r="W27" s="4"/>
    </row>
    <row r="28" spans="1:29" s="1" customFormat="1" ht="17.399999999999999">
      <c r="A28" s="9">
        <v>1</v>
      </c>
      <c r="B28" s="8">
        <v>232</v>
      </c>
      <c r="C28" s="8">
        <v>1088909927</v>
      </c>
      <c r="D28" s="42" t="s">
        <v>113</v>
      </c>
      <c r="E28" s="4"/>
      <c r="F28" s="10">
        <v>3</v>
      </c>
      <c r="G28" s="10">
        <v>1</v>
      </c>
      <c r="H28" s="50">
        <v>0</v>
      </c>
      <c r="I28" s="50">
        <v>0</v>
      </c>
      <c r="J28" s="50">
        <v>0</v>
      </c>
      <c r="K28" s="14" t="s">
        <v>53</v>
      </c>
      <c r="L28" s="11">
        <f t="shared" si="0"/>
        <v>4</v>
      </c>
      <c r="M28" s="10">
        <f t="shared" si="1"/>
        <v>1.2</v>
      </c>
      <c r="N28" s="10">
        <f t="shared" si="2"/>
        <v>0</v>
      </c>
      <c r="O28" s="10">
        <v>0</v>
      </c>
      <c r="P28" s="10">
        <f t="shared" si="3"/>
        <v>5.2</v>
      </c>
      <c r="Q28" s="17">
        <v>23.53125</v>
      </c>
      <c r="R28" s="18">
        <f t="shared" si="4"/>
        <v>28.731249999999999</v>
      </c>
      <c r="S28" s="19">
        <f t="shared" si="5"/>
        <v>8.125</v>
      </c>
      <c r="T28" s="20">
        <f t="shared" si="6"/>
        <v>20.606249999999999</v>
      </c>
      <c r="U28" s="4"/>
      <c r="V28" s="4"/>
      <c r="W28" s="4"/>
    </row>
    <row r="29" spans="1:29" s="2" customFormat="1" ht="17.399999999999999">
      <c r="A29" s="9">
        <v>1</v>
      </c>
      <c r="B29" s="9">
        <v>10</v>
      </c>
      <c r="C29" s="8">
        <v>2108977014</v>
      </c>
      <c r="D29" s="42" t="s">
        <v>57</v>
      </c>
      <c r="E29" s="42" t="s">
        <v>8</v>
      </c>
      <c r="F29" s="10">
        <v>2</v>
      </c>
      <c r="G29" s="10">
        <v>1</v>
      </c>
      <c r="H29" s="50">
        <v>0</v>
      </c>
      <c r="I29" s="50">
        <v>0</v>
      </c>
      <c r="J29" s="50">
        <v>0</v>
      </c>
      <c r="K29" s="14" t="s">
        <v>53</v>
      </c>
      <c r="L29" s="11">
        <f t="shared" si="0"/>
        <v>2</v>
      </c>
      <c r="M29" s="10">
        <f t="shared" si="1"/>
        <v>1.2</v>
      </c>
      <c r="N29" s="10">
        <f t="shared" si="2"/>
        <v>0</v>
      </c>
      <c r="O29" s="10">
        <v>0</v>
      </c>
      <c r="P29" s="10">
        <f t="shared" si="3"/>
        <v>3.2</v>
      </c>
      <c r="Q29" s="17">
        <v>25.500000000000014</v>
      </c>
      <c r="R29" s="18">
        <f t="shared" si="4"/>
        <v>28.700000000000014</v>
      </c>
      <c r="S29" s="19">
        <f t="shared" si="5"/>
        <v>8.125</v>
      </c>
      <c r="T29" s="20">
        <f t="shared" si="6"/>
        <v>20.575000000000014</v>
      </c>
      <c r="U29" s="11"/>
      <c r="V29" s="11"/>
      <c r="W29" s="11"/>
      <c r="X29" s="1"/>
      <c r="Y29" s="1"/>
      <c r="Z29" s="1"/>
      <c r="AA29" s="1"/>
      <c r="AB29" s="1"/>
      <c r="AC29" s="1"/>
    </row>
    <row r="30" spans="1:29" s="2" customFormat="1" ht="17.399999999999999">
      <c r="A30" s="9">
        <v>1</v>
      </c>
      <c r="B30" s="8">
        <v>195</v>
      </c>
      <c r="C30" s="8">
        <v>1634663314</v>
      </c>
      <c r="D30" s="42" t="s">
        <v>73</v>
      </c>
      <c r="E30" s="47"/>
      <c r="F30" s="10">
        <v>3</v>
      </c>
      <c r="G30" s="10">
        <v>1</v>
      </c>
      <c r="H30" s="50">
        <v>0</v>
      </c>
      <c r="I30" s="50">
        <v>0</v>
      </c>
      <c r="J30" s="50">
        <v>0</v>
      </c>
      <c r="K30" s="14" t="s">
        <v>53</v>
      </c>
      <c r="L30" s="11">
        <f t="shared" si="0"/>
        <v>4</v>
      </c>
      <c r="M30" s="10">
        <f t="shared" si="1"/>
        <v>1.2</v>
      </c>
      <c r="N30" s="10">
        <f t="shared" si="2"/>
        <v>0</v>
      </c>
      <c r="O30" s="10">
        <v>0</v>
      </c>
      <c r="P30" s="10">
        <f t="shared" si="3"/>
        <v>5.2</v>
      </c>
      <c r="Q30" s="17">
        <v>23.305749999999989</v>
      </c>
      <c r="R30" s="18">
        <f t="shared" si="4"/>
        <v>28.505749999999988</v>
      </c>
      <c r="S30" s="19">
        <f t="shared" si="5"/>
        <v>8.125</v>
      </c>
      <c r="T30" s="20">
        <f t="shared" si="6"/>
        <v>20.380749999999988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7.399999999999999">
      <c r="A31" s="9">
        <v>1</v>
      </c>
      <c r="B31" s="8">
        <v>182</v>
      </c>
      <c r="C31" s="8">
        <v>828260319</v>
      </c>
      <c r="D31" s="42" t="s">
        <v>134</v>
      </c>
      <c r="E31" s="42" t="s">
        <v>127</v>
      </c>
      <c r="F31" s="10">
        <v>4</v>
      </c>
      <c r="G31" s="10">
        <v>1</v>
      </c>
      <c r="H31" s="50">
        <v>0</v>
      </c>
      <c r="I31" s="50">
        <v>0</v>
      </c>
      <c r="J31" s="50">
        <v>0</v>
      </c>
      <c r="K31" s="14" t="s">
        <v>53</v>
      </c>
      <c r="L31" s="11">
        <f t="shared" si="0"/>
        <v>6</v>
      </c>
      <c r="M31" s="10">
        <f t="shared" si="1"/>
        <v>1.2</v>
      </c>
      <c r="N31" s="10">
        <f t="shared" si="2"/>
        <v>0</v>
      </c>
      <c r="O31" s="10">
        <v>0</v>
      </c>
      <c r="P31" s="10">
        <f t="shared" si="3"/>
        <v>7.2</v>
      </c>
      <c r="Q31" s="17">
        <v>21.206750000000021</v>
      </c>
      <c r="R31" s="18">
        <f t="shared" si="4"/>
        <v>28.40675000000002</v>
      </c>
      <c r="S31" s="19">
        <f t="shared" si="5"/>
        <v>8.125</v>
      </c>
      <c r="T31" s="20">
        <f t="shared" si="6"/>
        <v>20.28175000000002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7.399999999999999">
      <c r="A32" s="9">
        <v>1</v>
      </c>
      <c r="B32" s="8">
        <v>184</v>
      </c>
      <c r="C32" s="8">
        <v>1814130074</v>
      </c>
      <c r="D32" s="42" t="s">
        <v>67</v>
      </c>
      <c r="E32" s="47"/>
      <c r="F32" s="10">
        <v>4</v>
      </c>
      <c r="G32" s="10">
        <v>1</v>
      </c>
      <c r="H32" s="50">
        <v>0</v>
      </c>
      <c r="I32" s="50">
        <v>0</v>
      </c>
      <c r="J32" s="50">
        <v>0</v>
      </c>
      <c r="K32" s="14" t="s">
        <v>53</v>
      </c>
      <c r="L32" s="11">
        <f t="shared" si="0"/>
        <v>6</v>
      </c>
      <c r="M32" s="10">
        <f t="shared" si="1"/>
        <v>1.2</v>
      </c>
      <c r="N32" s="10">
        <f t="shared" si="2"/>
        <v>0</v>
      </c>
      <c r="O32" s="10">
        <v>0</v>
      </c>
      <c r="P32" s="10">
        <f t="shared" si="3"/>
        <v>7.2</v>
      </c>
      <c r="Q32" s="17">
        <v>20.268750000000022</v>
      </c>
      <c r="R32" s="18">
        <f t="shared" si="4"/>
        <v>27.468750000000021</v>
      </c>
      <c r="S32" s="19">
        <f t="shared" si="5"/>
        <v>8.125</v>
      </c>
      <c r="T32" s="20">
        <f t="shared" si="6"/>
        <v>19.343750000000021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7.399999999999999">
      <c r="A33" s="9">
        <v>1</v>
      </c>
      <c r="B33" s="8">
        <v>234</v>
      </c>
      <c r="C33" s="8">
        <v>1333428907</v>
      </c>
      <c r="D33" s="42" t="s">
        <v>128</v>
      </c>
      <c r="E33" s="42" t="s">
        <v>115</v>
      </c>
      <c r="F33" s="10">
        <v>4</v>
      </c>
      <c r="G33" s="10">
        <v>0</v>
      </c>
      <c r="H33" s="50">
        <v>0</v>
      </c>
      <c r="I33" s="50">
        <v>0</v>
      </c>
      <c r="J33" s="50">
        <v>0</v>
      </c>
      <c r="K33" s="14" t="s">
        <v>53</v>
      </c>
      <c r="L33" s="11">
        <f t="shared" si="0"/>
        <v>6</v>
      </c>
      <c r="M33" s="10">
        <f t="shared" si="1"/>
        <v>0</v>
      </c>
      <c r="N33" s="10">
        <f t="shared" si="2"/>
        <v>0</v>
      </c>
      <c r="O33" s="10">
        <v>0</v>
      </c>
      <c r="P33" s="10">
        <f t="shared" si="3"/>
        <v>6</v>
      </c>
      <c r="Q33" s="17">
        <v>20.75</v>
      </c>
      <c r="R33" s="18">
        <f t="shared" si="4"/>
        <v>26.75</v>
      </c>
      <c r="S33" s="19">
        <f t="shared" si="5"/>
        <v>8.125</v>
      </c>
      <c r="T33" s="20">
        <f t="shared" si="6"/>
        <v>18.625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20.399999999999999">
      <c r="A34" s="9">
        <v>1</v>
      </c>
      <c r="B34" s="9">
        <v>49</v>
      </c>
      <c r="C34" s="8">
        <v>311361673</v>
      </c>
      <c r="D34" s="43" t="s">
        <v>105</v>
      </c>
      <c r="E34" s="49" t="s">
        <v>11</v>
      </c>
      <c r="F34" s="10">
        <v>4</v>
      </c>
      <c r="G34" s="10">
        <v>1</v>
      </c>
      <c r="H34" s="50">
        <v>0</v>
      </c>
      <c r="I34" s="50">
        <v>0</v>
      </c>
      <c r="J34" s="50">
        <v>0</v>
      </c>
      <c r="K34" s="14" t="s">
        <v>53</v>
      </c>
      <c r="L34" s="11">
        <f t="shared" si="0"/>
        <v>6</v>
      </c>
      <c r="M34" s="10">
        <f>IF(G34&gt;0,1,0)*$Y$14</f>
        <v>1.2</v>
      </c>
      <c r="N34" s="10">
        <f t="shared" si="2"/>
        <v>0</v>
      </c>
      <c r="O34" s="10">
        <v>0</v>
      </c>
      <c r="P34" s="10">
        <f t="shared" si="3"/>
        <v>7.2</v>
      </c>
      <c r="Q34" s="17">
        <v>19.081249999999997</v>
      </c>
      <c r="R34" s="18">
        <f t="shared" si="4"/>
        <v>26.281249999999996</v>
      </c>
      <c r="S34" s="19">
        <f t="shared" si="5"/>
        <v>8.125</v>
      </c>
      <c r="T34" s="20">
        <f t="shared" si="6"/>
        <v>18.156249999999996</v>
      </c>
      <c r="U34" s="11"/>
      <c r="V34" s="11"/>
      <c r="W34" s="11"/>
      <c r="X34" s="1"/>
      <c r="Y34" s="1"/>
      <c r="Z34" s="1"/>
      <c r="AA34" s="1"/>
      <c r="AB34" s="1"/>
      <c r="AC34" s="1"/>
    </row>
    <row r="35" spans="1:29" s="2" customFormat="1" ht="17.399999999999999">
      <c r="A35" s="9">
        <v>1</v>
      </c>
      <c r="B35" s="8">
        <v>238</v>
      </c>
      <c r="C35" s="8">
        <v>108179057</v>
      </c>
      <c r="D35" s="42" t="s">
        <v>120</v>
      </c>
      <c r="E35" s="4"/>
      <c r="F35" s="10">
        <v>4</v>
      </c>
      <c r="G35" s="10">
        <v>1</v>
      </c>
      <c r="H35" s="50">
        <v>0</v>
      </c>
      <c r="I35" s="50">
        <v>0</v>
      </c>
      <c r="J35" s="50">
        <v>0</v>
      </c>
      <c r="K35" s="14" t="s">
        <v>53</v>
      </c>
      <c r="L35" s="11">
        <f t="shared" si="0"/>
        <v>6</v>
      </c>
      <c r="M35" s="10">
        <f t="shared" ref="M35:M70" si="7">G35*$Y$14</f>
        <v>1.2</v>
      </c>
      <c r="N35" s="10">
        <f t="shared" si="2"/>
        <v>0</v>
      </c>
      <c r="O35" s="10">
        <v>0</v>
      </c>
      <c r="P35" s="10">
        <f t="shared" si="3"/>
        <v>7.2</v>
      </c>
      <c r="Q35" s="17">
        <v>19.074999999999989</v>
      </c>
      <c r="R35" s="18">
        <f t="shared" si="4"/>
        <v>26.274999999999988</v>
      </c>
      <c r="S35" s="19">
        <f t="shared" si="5"/>
        <v>8.125</v>
      </c>
      <c r="T35" s="20">
        <f t="shared" si="6"/>
        <v>18.149999999999988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7.399999999999999">
      <c r="A36" s="9">
        <v>1</v>
      </c>
      <c r="B36" s="8">
        <v>167</v>
      </c>
      <c r="C36" s="8">
        <v>1173807161</v>
      </c>
      <c r="D36" s="42" t="s">
        <v>48</v>
      </c>
      <c r="E36" s="48"/>
      <c r="F36" s="10">
        <v>0</v>
      </c>
      <c r="G36" s="10">
        <v>0</v>
      </c>
      <c r="H36" s="50">
        <v>0</v>
      </c>
      <c r="I36" s="50">
        <v>0</v>
      </c>
      <c r="J36" s="50">
        <v>0</v>
      </c>
      <c r="K36" s="39" t="s">
        <v>30</v>
      </c>
      <c r="L36" s="11">
        <f t="shared" si="0"/>
        <v>0</v>
      </c>
      <c r="M36" s="10">
        <f t="shared" si="7"/>
        <v>0</v>
      </c>
      <c r="N36" s="10">
        <f t="shared" si="2"/>
        <v>0</v>
      </c>
      <c r="O36" s="10">
        <v>0</v>
      </c>
      <c r="P36" s="10">
        <f t="shared" si="3"/>
        <v>0</v>
      </c>
      <c r="Q36" s="17">
        <v>25.824999999999978</v>
      </c>
      <c r="R36" s="18">
        <f t="shared" si="4"/>
        <v>25.824999999999978</v>
      </c>
      <c r="S36" s="19">
        <f t="shared" si="5"/>
        <v>0</v>
      </c>
      <c r="T36" s="20">
        <f t="shared" si="6"/>
        <v>25.824999999999978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7.399999999999999">
      <c r="A37" s="9">
        <v>1</v>
      </c>
      <c r="B37" s="8">
        <v>236</v>
      </c>
      <c r="C37" s="8">
        <v>1968448898</v>
      </c>
      <c r="D37" s="42" t="s">
        <v>118</v>
      </c>
      <c r="E37" s="4"/>
      <c r="F37" s="10">
        <v>2</v>
      </c>
      <c r="G37" s="10">
        <v>1</v>
      </c>
      <c r="H37" s="50">
        <v>0</v>
      </c>
      <c r="I37" s="50">
        <v>0</v>
      </c>
      <c r="J37" s="50">
        <v>0</v>
      </c>
      <c r="K37" s="14" t="s">
        <v>53</v>
      </c>
      <c r="L37" s="11">
        <f t="shared" ref="L37:L70" si="8">F37+IF(F37&gt;2,(F37-2)*1,0)</f>
        <v>2</v>
      </c>
      <c r="M37" s="10">
        <f t="shared" si="7"/>
        <v>1.2</v>
      </c>
      <c r="N37" s="10">
        <f t="shared" ref="N37:N70" si="9">SUM(H37:J37)*$Y$18</f>
        <v>0</v>
      </c>
      <c r="O37" s="10">
        <v>0</v>
      </c>
      <c r="P37" s="10">
        <f t="shared" ref="P37:P68" si="10">SUM(M37+L37+O37+N37)</f>
        <v>3.2</v>
      </c>
      <c r="Q37" s="17">
        <v>22.306249999999991</v>
      </c>
      <c r="R37" s="18">
        <f t="shared" ref="R37:R68" si="11">P37+Q37</f>
        <v>25.506249999999991</v>
      </c>
      <c r="S37" s="19">
        <f t="shared" ref="S37:S70" si="12">VLOOKUP(K37,$X$3:$Y$10,2,FALSE)</f>
        <v>8.125</v>
      </c>
      <c r="T37" s="20">
        <f t="shared" ref="T37:T68" si="13">R37-S37</f>
        <v>17.381249999999991</v>
      </c>
      <c r="U37" s="4"/>
      <c r="V37" s="4"/>
      <c r="W37" s="4"/>
    </row>
    <row r="38" spans="1:29" s="2" customFormat="1" ht="17.399999999999999">
      <c r="A38" s="9">
        <v>1</v>
      </c>
      <c r="B38" s="9">
        <v>230</v>
      </c>
      <c r="C38" s="8">
        <v>1076026693</v>
      </c>
      <c r="D38" s="42" t="s">
        <v>111</v>
      </c>
      <c r="E38" s="4"/>
      <c r="F38" s="10">
        <v>1</v>
      </c>
      <c r="G38" s="10">
        <v>1</v>
      </c>
      <c r="H38" s="50">
        <v>0</v>
      </c>
      <c r="I38" s="50">
        <v>0</v>
      </c>
      <c r="J38" s="50">
        <v>0</v>
      </c>
      <c r="K38" s="14" t="s">
        <v>53</v>
      </c>
      <c r="L38" s="11">
        <f t="shared" si="8"/>
        <v>1</v>
      </c>
      <c r="M38" s="10">
        <f t="shared" si="7"/>
        <v>1.2</v>
      </c>
      <c r="N38" s="10">
        <f t="shared" si="9"/>
        <v>0</v>
      </c>
      <c r="O38" s="10">
        <v>0</v>
      </c>
      <c r="P38" s="10">
        <f t="shared" si="10"/>
        <v>2.2000000000000002</v>
      </c>
      <c r="Q38" s="17">
        <v>22.799999999999997</v>
      </c>
      <c r="R38" s="18">
        <f t="shared" si="11"/>
        <v>24.999999999999996</v>
      </c>
      <c r="S38" s="19">
        <f t="shared" si="12"/>
        <v>8.125</v>
      </c>
      <c r="T38" s="20">
        <f t="shared" si="13"/>
        <v>16.874999999999996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7.399999999999999">
      <c r="A39" s="9">
        <v>1</v>
      </c>
      <c r="B39" s="8">
        <v>209</v>
      </c>
      <c r="C39" s="8">
        <v>1525950050</v>
      </c>
      <c r="D39" s="42" t="s">
        <v>85</v>
      </c>
      <c r="E39" s="42" t="s">
        <v>83</v>
      </c>
      <c r="F39" s="10">
        <v>1</v>
      </c>
      <c r="G39" s="10">
        <v>1</v>
      </c>
      <c r="H39" s="50">
        <v>0</v>
      </c>
      <c r="I39" s="50">
        <v>0</v>
      </c>
      <c r="J39" s="50">
        <v>0</v>
      </c>
      <c r="K39" s="14" t="s">
        <v>53</v>
      </c>
      <c r="L39" s="11">
        <f t="shared" si="8"/>
        <v>1</v>
      </c>
      <c r="M39" s="10">
        <f t="shared" si="7"/>
        <v>1.2</v>
      </c>
      <c r="N39" s="10">
        <f t="shared" si="9"/>
        <v>0</v>
      </c>
      <c r="O39" s="10">
        <v>0</v>
      </c>
      <c r="P39" s="10">
        <f t="shared" si="10"/>
        <v>2.2000000000000002</v>
      </c>
      <c r="Q39" s="17">
        <v>22.149999999999991</v>
      </c>
      <c r="R39" s="18">
        <f t="shared" si="11"/>
        <v>24.349999999999991</v>
      </c>
      <c r="S39" s="19">
        <f t="shared" si="12"/>
        <v>8.125</v>
      </c>
      <c r="T39" s="20">
        <f t="shared" si="13"/>
        <v>16.224999999999991</v>
      </c>
      <c r="U39" s="4"/>
      <c r="V39" s="4"/>
      <c r="W39" s="4"/>
    </row>
    <row r="40" spans="1:29" ht="17.399999999999999">
      <c r="A40" s="9">
        <v>1</v>
      </c>
      <c r="B40" s="8">
        <v>202</v>
      </c>
      <c r="C40" s="8">
        <v>471245585</v>
      </c>
      <c r="D40" s="42" t="s">
        <v>77</v>
      </c>
      <c r="E40" s="47"/>
      <c r="F40" s="10">
        <v>2</v>
      </c>
      <c r="G40" s="10">
        <v>1</v>
      </c>
      <c r="H40" s="50">
        <v>0</v>
      </c>
      <c r="I40" s="50">
        <v>0</v>
      </c>
      <c r="J40" s="50">
        <v>0</v>
      </c>
      <c r="K40" s="14" t="s">
        <v>53</v>
      </c>
      <c r="L40" s="11">
        <f t="shared" si="8"/>
        <v>2</v>
      </c>
      <c r="M40" s="10">
        <f t="shared" si="7"/>
        <v>1.2</v>
      </c>
      <c r="N40" s="10">
        <f t="shared" si="9"/>
        <v>0</v>
      </c>
      <c r="O40" s="10">
        <v>0</v>
      </c>
      <c r="P40" s="10">
        <f t="shared" si="10"/>
        <v>3.2</v>
      </c>
      <c r="Q40" s="17">
        <v>21.024999999999991</v>
      </c>
      <c r="R40" s="18">
        <f t="shared" si="11"/>
        <v>24.224999999999991</v>
      </c>
      <c r="S40" s="19">
        <f t="shared" si="12"/>
        <v>8.125</v>
      </c>
      <c r="T40" s="20">
        <f t="shared" si="13"/>
        <v>16.099999999999991</v>
      </c>
      <c r="U40" s="4"/>
      <c r="V40" s="4"/>
      <c r="W40" s="4"/>
    </row>
    <row r="41" spans="1:29" ht="17.399999999999999">
      <c r="A41" s="9">
        <v>1</v>
      </c>
      <c r="B41" s="8">
        <v>110</v>
      </c>
      <c r="C41" s="8">
        <v>1968703358</v>
      </c>
      <c r="D41" s="42" t="s">
        <v>60</v>
      </c>
      <c r="E41" s="42" t="s">
        <v>38</v>
      </c>
      <c r="F41" s="10">
        <v>0</v>
      </c>
      <c r="G41" s="10">
        <v>1</v>
      </c>
      <c r="H41" s="50">
        <v>0</v>
      </c>
      <c r="I41" s="50">
        <v>0</v>
      </c>
      <c r="J41" s="50">
        <v>0</v>
      </c>
      <c r="K41" s="39" t="s">
        <v>30</v>
      </c>
      <c r="L41" s="11">
        <f t="shared" si="8"/>
        <v>0</v>
      </c>
      <c r="M41" s="10">
        <f t="shared" si="7"/>
        <v>1.2</v>
      </c>
      <c r="N41" s="10">
        <f t="shared" si="9"/>
        <v>0</v>
      </c>
      <c r="O41" s="10">
        <v>0</v>
      </c>
      <c r="P41" s="10">
        <f t="shared" si="10"/>
        <v>1.2</v>
      </c>
      <c r="Q41" s="17">
        <v>22.537500000000016</v>
      </c>
      <c r="R41" s="18">
        <f t="shared" si="11"/>
        <v>23.737500000000015</v>
      </c>
      <c r="S41" s="19">
        <f t="shared" si="12"/>
        <v>0</v>
      </c>
      <c r="T41" s="20">
        <f t="shared" si="13"/>
        <v>23.737500000000015</v>
      </c>
      <c r="U41" s="11"/>
      <c r="V41" s="11"/>
      <c r="W41" s="17"/>
    </row>
    <row r="42" spans="1:29" ht="17.399999999999999">
      <c r="A42" s="9">
        <v>1</v>
      </c>
      <c r="B42" s="8">
        <v>241</v>
      </c>
      <c r="C42" s="8">
        <v>1136259669</v>
      </c>
      <c r="D42" s="42" t="s">
        <v>124</v>
      </c>
      <c r="F42" s="10">
        <v>2</v>
      </c>
      <c r="G42" s="10">
        <v>1</v>
      </c>
      <c r="H42" s="50">
        <v>0</v>
      </c>
      <c r="I42" s="50">
        <v>0</v>
      </c>
      <c r="J42" s="50">
        <v>0</v>
      </c>
      <c r="K42" s="14" t="s">
        <v>53</v>
      </c>
      <c r="L42" s="11">
        <f t="shared" si="8"/>
        <v>2</v>
      </c>
      <c r="M42" s="10">
        <f t="shared" si="7"/>
        <v>1.2</v>
      </c>
      <c r="N42" s="10">
        <f t="shared" si="9"/>
        <v>0</v>
      </c>
      <c r="O42" s="10">
        <v>0</v>
      </c>
      <c r="P42" s="10">
        <f t="shared" si="10"/>
        <v>3.2</v>
      </c>
      <c r="Q42" s="17">
        <v>19.718749999999989</v>
      </c>
      <c r="R42" s="18">
        <f t="shared" si="11"/>
        <v>22.918749999999989</v>
      </c>
      <c r="S42" s="19">
        <f t="shared" si="12"/>
        <v>8.125</v>
      </c>
      <c r="T42" s="20">
        <f t="shared" si="13"/>
        <v>14.793749999999989</v>
      </c>
      <c r="U42" s="4"/>
      <c r="V42" s="4"/>
      <c r="W42" s="4"/>
    </row>
    <row r="43" spans="1:29" ht="17.399999999999999">
      <c r="A43" s="9">
        <v>1</v>
      </c>
      <c r="B43" s="9">
        <v>92</v>
      </c>
      <c r="C43" s="8">
        <v>1367873925</v>
      </c>
      <c r="D43" s="42" t="s">
        <v>80</v>
      </c>
      <c r="E43" s="42" t="s">
        <v>31</v>
      </c>
      <c r="F43" s="10">
        <v>2</v>
      </c>
      <c r="G43" s="10">
        <v>1</v>
      </c>
      <c r="H43" s="50">
        <v>0</v>
      </c>
      <c r="I43" s="50">
        <v>0</v>
      </c>
      <c r="J43" s="50">
        <v>0</v>
      </c>
      <c r="K43" s="14" t="s">
        <v>53</v>
      </c>
      <c r="L43" s="11">
        <f t="shared" si="8"/>
        <v>2</v>
      </c>
      <c r="M43" s="10">
        <f t="shared" si="7"/>
        <v>1.2</v>
      </c>
      <c r="N43" s="10">
        <f t="shared" si="9"/>
        <v>0</v>
      </c>
      <c r="O43" s="10">
        <v>0</v>
      </c>
      <c r="P43" s="10">
        <f t="shared" si="10"/>
        <v>3.2</v>
      </c>
      <c r="Q43" s="17">
        <v>18.956249999999994</v>
      </c>
      <c r="R43" s="18">
        <f t="shared" si="11"/>
        <v>22.156249999999993</v>
      </c>
      <c r="S43" s="19">
        <f t="shared" si="12"/>
        <v>8.125</v>
      </c>
      <c r="T43" s="20">
        <f t="shared" si="13"/>
        <v>14.031249999999993</v>
      </c>
      <c r="U43" s="11"/>
      <c r="V43" s="11"/>
      <c r="W43" s="31"/>
    </row>
    <row r="44" spans="1:29" ht="20.399999999999999">
      <c r="A44" s="9">
        <v>1</v>
      </c>
      <c r="B44" s="8">
        <v>229</v>
      </c>
      <c r="C44" s="8">
        <v>1598972736</v>
      </c>
      <c r="D44" s="42" t="s">
        <v>110</v>
      </c>
      <c r="E44" s="42"/>
      <c r="F44" s="10">
        <v>0</v>
      </c>
      <c r="G44" s="10">
        <v>0</v>
      </c>
      <c r="H44" s="50">
        <v>0</v>
      </c>
      <c r="I44" s="50">
        <v>0</v>
      </c>
      <c r="J44" s="50">
        <v>0</v>
      </c>
      <c r="K44" s="39" t="s">
        <v>30</v>
      </c>
      <c r="L44" s="11">
        <f t="shared" si="8"/>
        <v>0</v>
      </c>
      <c r="M44" s="10">
        <f t="shared" si="7"/>
        <v>0</v>
      </c>
      <c r="N44" s="10">
        <f t="shared" si="9"/>
        <v>0</v>
      </c>
      <c r="O44" s="10">
        <v>0</v>
      </c>
      <c r="P44" s="10">
        <f t="shared" si="10"/>
        <v>0</v>
      </c>
      <c r="Q44" s="17">
        <v>21.197089552238797</v>
      </c>
      <c r="R44" s="18">
        <f t="shared" si="11"/>
        <v>21.197089552238797</v>
      </c>
      <c r="S44" s="19">
        <f t="shared" si="12"/>
        <v>0</v>
      </c>
      <c r="T44" s="20">
        <f t="shared" si="13"/>
        <v>21.197089552238797</v>
      </c>
      <c r="U44" s="4"/>
      <c r="V44" s="4"/>
      <c r="W44" s="4"/>
    </row>
    <row r="45" spans="1:29" ht="17.399999999999999">
      <c r="A45" s="9">
        <v>1</v>
      </c>
      <c r="B45" s="8">
        <v>196</v>
      </c>
      <c r="C45" s="8">
        <v>1065641844</v>
      </c>
      <c r="D45" s="42" t="s">
        <v>74</v>
      </c>
      <c r="E45" s="47"/>
      <c r="F45" s="10">
        <v>0</v>
      </c>
      <c r="G45" s="10">
        <v>0</v>
      </c>
      <c r="H45" s="50">
        <v>0</v>
      </c>
      <c r="I45" s="50">
        <v>0</v>
      </c>
      <c r="J45" s="50">
        <v>0</v>
      </c>
      <c r="K45" s="39" t="s">
        <v>30</v>
      </c>
      <c r="L45" s="11">
        <f t="shared" si="8"/>
        <v>0</v>
      </c>
      <c r="M45" s="10">
        <f t="shared" si="7"/>
        <v>0</v>
      </c>
      <c r="N45" s="10">
        <f t="shared" si="9"/>
        <v>0</v>
      </c>
      <c r="O45" s="10">
        <v>0</v>
      </c>
      <c r="P45" s="10">
        <f t="shared" si="10"/>
        <v>0</v>
      </c>
      <c r="Q45" s="17">
        <v>21.062499999999993</v>
      </c>
      <c r="R45" s="18">
        <f t="shared" si="11"/>
        <v>21.062499999999993</v>
      </c>
      <c r="S45" s="19">
        <f t="shared" si="12"/>
        <v>0</v>
      </c>
      <c r="T45" s="20">
        <f t="shared" si="13"/>
        <v>21.062499999999993</v>
      </c>
      <c r="U45" s="4"/>
      <c r="V45" s="4"/>
      <c r="W45" s="4"/>
    </row>
    <row r="46" spans="1:29" ht="17.399999999999999">
      <c r="A46" s="9">
        <v>1</v>
      </c>
      <c r="B46" s="8">
        <v>198</v>
      </c>
      <c r="C46" s="8">
        <v>723448640</v>
      </c>
      <c r="D46" s="42" t="s">
        <v>75</v>
      </c>
      <c r="E46" s="47"/>
      <c r="F46" s="10">
        <v>0</v>
      </c>
      <c r="G46" s="10">
        <v>0</v>
      </c>
      <c r="H46" s="50">
        <v>0</v>
      </c>
      <c r="I46" s="50">
        <v>0</v>
      </c>
      <c r="J46" s="50">
        <v>0</v>
      </c>
      <c r="K46" s="39" t="s">
        <v>30</v>
      </c>
      <c r="L46" s="11">
        <f t="shared" si="8"/>
        <v>0</v>
      </c>
      <c r="M46" s="10">
        <f t="shared" si="7"/>
        <v>0</v>
      </c>
      <c r="N46" s="10">
        <f t="shared" si="9"/>
        <v>0</v>
      </c>
      <c r="O46" s="10">
        <v>0</v>
      </c>
      <c r="P46" s="10">
        <f t="shared" si="10"/>
        <v>0</v>
      </c>
      <c r="Q46" s="17">
        <v>18.01874999999999</v>
      </c>
      <c r="R46" s="18">
        <f t="shared" si="11"/>
        <v>18.01874999999999</v>
      </c>
      <c r="S46" s="19">
        <f t="shared" si="12"/>
        <v>0</v>
      </c>
      <c r="T46" s="20">
        <f t="shared" si="13"/>
        <v>18.01874999999999</v>
      </c>
      <c r="U46" s="4"/>
      <c r="V46" s="4"/>
      <c r="W46" s="4"/>
    </row>
    <row r="47" spans="1:29" ht="17.399999999999999">
      <c r="A47" s="9">
        <v>1</v>
      </c>
      <c r="B47" s="8">
        <v>193</v>
      </c>
      <c r="C47" s="8">
        <v>2125731287</v>
      </c>
      <c r="D47" s="42" t="s">
        <v>72</v>
      </c>
      <c r="E47" s="47"/>
      <c r="F47" s="10">
        <v>0</v>
      </c>
      <c r="G47" s="10">
        <v>0</v>
      </c>
      <c r="H47" s="50">
        <v>0</v>
      </c>
      <c r="I47" s="50">
        <v>0</v>
      </c>
      <c r="J47" s="50">
        <v>0</v>
      </c>
      <c r="K47" s="39" t="s">
        <v>30</v>
      </c>
      <c r="L47" s="11">
        <f t="shared" si="8"/>
        <v>0</v>
      </c>
      <c r="M47" s="10">
        <f t="shared" si="7"/>
        <v>0</v>
      </c>
      <c r="N47" s="10">
        <f t="shared" si="9"/>
        <v>0</v>
      </c>
      <c r="O47" s="10">
        <v>0</v>
      </c>
      <c r="P47" s="10">
        <f t="shared" si="10"/>
        <v>0</v>
      </c>
      <c r="Q47" s="17">
        <v>17.812499999999996</v>
      </c>
      <c r="R47" s="18">
        <f t="shared" si="11"/>
        <v>17.812499999999996</v>
      </c>
      <c r="S47" s="19">
        <f t="shared" si="12"/>
        <v>0</v>
      </c>
      <c r="T47" s="20">
        <f t="shared" si="13"/>
        <v>17.812499999999996</v>
      </c>
      <c r="U47" s="4"/>
      <c r="V47" s="4"/>
      <c r="W47" s="4"/>
    </row>
    <row r="48" spans="1:29" ht="20.399999999999999">
      <c r="A48" s="9">
        <v>1</v>
      </c>
      <c r="B48" s="8">
        <v>214</v>
      </c>
      <c r="C48" s="8">
        <v>2130976604</v>
      </c>
      <c r="D48" s="42" t="s">
        <v>86</v>
      </c>
      <c r="E48" s="2"/>
      <c r="F48" s="10">
        <v>4</v>
      </c>
      <c r="G48" s="10">
        <v>1</v>
      </c>
      <c r="H48" s="50">
        <v>0</v>
      </c>
      <c r="I48" s="50">
        <v>0</v>
      </c>
      <c r="J48" s="50">
        <v>0</v>
      </c>
      <c r="K48" s="14" t="s">
        <v>53</v>
      </c>
      <c r="L48" s="11">
        <f t="shared" si="8"/>
        <v>6</v>
      </c>
      <c r="M48" s="10">
        <f t="shared" si="7"/>
        <v>1.2</v>
      </c>
      <c r="N48" s="10">
        <f t="shared" si="9"/>
        <v>0</v>
      </c>
      <c r="O48" s="10">
        <v>0</v>
      </c>
      <c r="P48" s="10">
        <f t="shared" si="10"/>
        <v>7.2</v>
      </c>
      <c r="Q48" s="17">
        <v>10.537499999999987</v>
      </c>
      <c r="R48" s="18">
        <f t="shared" si="11"/>
        <v>17.737499999999986</v>
      </c>
      <c r="S48" s="19">
        <f t="shared" si="12"/>
        <v>8.125</v>
      </c>
      <c r="T48" s="20">
        <f t="shared" si="13"/>
        <v>9.6124999999999865</v>
      </c>
    </row>
    <row r="49" spans="1:20" ht="17.399999999999999">
      <c r="A49" s="9">
        <v>1</v>
      </c>
      <c r="B49" s="8">
        <v>187</v>
      </c>
      <c r="C49" s="8">
        <v>1241038267</v>
      </c>
      <c r="D49" s="42" t="s">
        <v>69</v>
      </c>
      <c r="E49" s="47"/>
      <c r="F49" s="10">
        <v>0</v>
      </c>
      <c r="G49" s="10">
        <v>0</v>
      </c>
      <c r="H49" s="50">
        <v>0</v>
      </c>
      <c r="I49" s="50">
        <v>0</v>
      </c>
      <c r="J49" s="50">
        <v>0</v>
      </c>
      <c r="K49" s="39" t="s">
        <v>30</v>
      </c>
      <c r="L49" s="11">
        <f t="shared" si="8"/>
        <v>0</v>
      </c>
      <c r="M49" s="10">
        <f t="shared" si="7"/>
        <v>0</v>
      </c>
      <c r="N49" s="10">
        <f t="shared" si="9"/>
        <v>0</v>
      </c>
      <c r="O49" s="10">
        <v>0</v>
      </c>
      <c r="P49" s="10">
        <f t="shared" si="10"/>
        <v>0</v>
      </c>
      <c r="Q49" s="17">
        <v>16.318749999999987</v>
      </c>
      <c r="R49" s="18">
        <f t="shared" si="11"/>
        <v>16.318749999999987</v>
      </c>
      <c r="S49" s="19">
        <f t="shared" si="12"/>
        <v>0</v>
      </c>
      <c r="T49" s="20">
        <f t="shared" si="13"/>
        <v>16.318749999999987</v>
      </c>
    </row>
    <row r="50" spans="1:20" ht="17.399999999999999">
      <c r="A50" s="9">
        <v>1</v>
      </c>
      <c r="B50" s="8">
        <v>222</v>
      </c>
      <c r="C50" s="8">
        <v>1945277617</v>
      </c>
      <c r="D50" s="42" t="s">
        <v>97</v>
      </c>
      <c r="E50" s="42"/>
      <c r="F50" s="10">
        <v>0</v>
      </c>
      <c r="G50" s="10">
        <v>0</v>
      </c>
      <c r="H50" s="50">
        <v>0</v>
      </c>
      <c r="I50" s="50">
        <v>0</v>
      </c>
      <c r="J50" s="50">
        <v>0</v>
      </c>
      <c r="K50" s="39" t="s">
        <v>30</v>
      </c>
      <c r="L50" s="11">
        <f t="shared" si="8"/>
        <v>0</v>
      </c>
      <c r="M50" s="10">
        <f t="shared" si="7"/>
        <v>0</v>
      </c>
      <c r="N50" s="10">
        <f t="shared" si="9"/>
        <v>0</v>
      </c>
      <c r="O50" s="10">
        <v>0</v>
      </c>
      <c r="P50" s="10">
        <f t="shared" si="10"/>
        <v>0</v>
      </c>
      <c r="Q50" s="17">
        <v>15.637727649769573</v>
      </c>
      <c r="R50" s="18">
        <f t="shared" si="11"/>
        <v>15.637727649769573</v>
      </c>
      <c r="S50" s="19">
        <f t="shared" si="12"/>
        <v>0</v>
      </c>
      <c r="T50" s="20">
        <f t="shared" si="13"/>
        <v>15.637727649769573</v>
      </c>
    </row>
    <row r="51" spans="1:20" ht="17.399999999999999">
      <c r="A51" s="9">
        <v>1</v>
      </c>
      <c r="B51" s="8">
        <v>155</v>
      </c>
      <c r="C51" s="8">
        <v>1532576874</v>
      </c>
      <c r="D51" s="42" t="s">
        <v>63</v>
      </c>
      <c r="E51" s="42" t="s">
        <v>46</v>
      </c>
      <c r="F51" s="10">
        <v>0</v>
      </c>
      <c r="G51" s="10">
        <v>0</v>
      </c>
      <c r="H51" s="50">
        <v>0</v>
      </c>
      <c r="I51" s="50">
        <v>0</v>
      </c>
      <c r="J51" s="50">
        <v>0</v>
      </c>
      <c r="K51" s="39" t="s">
        <v>30</v>
      </c>
      <c r="L51" s="11">
        <f t="shared" si="8"/>
        <v>0</v>
      </c>
      <c r="M51" s="10">
        <f t="shared" si="7"/>
        <v>0</v>
      </c>
      <c r="N51" s="10">
        <f t="shared" si="9"/>
        <v>0</v>
      </c>
      <c r="O51" s="10">
        <v>0</v>
      </c>
      <c r="P51" s="10">
        <f t="shared" si="10"/>
        <v>0</v>
      </c>
      <c r="Q51" s="17">
        <v>15.212499999999999</v>
      </c>
      <c r="R51" s="18">
        <f t="shared" si="11"/>
        <v>15.212499999999999</v>
      </c>
      <c r="S51" s="19">
        <f t="shared" si="12"/>
        <v>0</v>
      </c>
      <c r="T51" s="20">
        <f t="shared" si="13"/>
        <v>15.212499999999999</v>
      </c>
    </row>
    <row r="52" spans="1:20" ht="17.399999999999999">
      <c r="A52" s="9">
        <v>1</v>
      </c>
      <c r="B52" s="8">
        <v>239</v>
      </c>
      <c r="C52" s="8">
        <v>416459640</v>
      </c>
      <c r="D52" s="42" t="s">
        <v>122</v>
      </c>
      <c r="F52" s="10">
        <v>0</v>
      </c>
      <c r="G52" s="10">
        <v>0</v>
      </c>
      <c r="H52" s="50">
        <v>0</v>
      </c>
      <c r="I52" s="50">
        <v>0</v>
      </c>
      <c r="J52" s="50">
        <v>0</v>
      </c>
      <c r="K52" s="39" t="s">
        <v>30</v>
      </c>
      <c r="L52" s="11">
        <f t="shared" si="8"/>
        <v>0</v>
      </c>
      <c r="M52" s="10">
        <f t="shared" si="7"/>
        <v>0</v>
      </c>
      <c r="N52" s="10">
        <f t="shared" si="9"/>
        <v>0</v>
      </c>
      <c r="O52" s="10">
        <v>0</v>
      </c>
      <c r="P52" s="10">
        <f t="shared" si="10"/>
        <v>0</v>
      </c>
      <c r="Q52" s="17">
        <v>13.668749999999999</v>
      </c>
      <c r="R52" s="18">
        <f t="shared" si="11"/>
        <v>13.668749999999999</v>
      </c>
      <c r="S52" s="19">
        <f t="shared" si="12"/>
        <v>0</v>
      </c>
      <c r="T52" s="20">
        <f t="shared" si="13"/>
        <v>13.668749999999999</v>
      </c>
    </row>
    <row r="53" spans="1:20" ht="17.399999999999999">
      <c r="A53" s="9">
        <v>1</v>
      </c>
      <c r="B53" s="8">
        <v>243</v>
      </c>
      <c r="D53" s="42" t="s">
        <v>133</v>
      </c>
      <c r="F53" s="10">
        <v>4</v>
      </c>
      <c r="G53" s="10">
        <v>1</v>
      </c>
      <c r="H53" s="50">
        <v>0</v>
      </c>
      <c r="I53" s="50">
        <v>0</v>
      </c>
      <c r="J53" s="50">
        <v>0</v>
      </c>
      <c r="K53" s="14" t="s">
        <v>53</v>
      </c>
      <c r="L53" s="11">
        <f t="shared" si="8"/>
        <v>6</v>
      </c>
      <c r="M53" s="10">
        <f t="shared" si="7"/>
        <v>1.2</v>
      </c>
      <c r="N53" s="10">
        <f t="shared" si="9"/>
        <v>0</v>
      </c>
      <c r="O53" s="10">
        <v>0</v>
      </c>
      <c r="P53" s="10">
        <f t="shared" si="10"/>
        <v>7.2</v>
      </c>
      <c r="Q53" s="17">
        <v>5.8312500000000016</v>
      </c>
      <c r="R53" s="18">
        <f t="shared" si="11"/>
        <v>13.031250000000002</v>
      </c>
      <c r="S53" s="19">
        <f t="shared" si="12"/>
        <v>8.125</v>
      </c>
      <c r="T53" s="20">
        <f t="shared" si="13"/>
        <v>4.9062500000000018</v>
      </c>
    </row>
    <row r="54" spans="1:20" ht="17.399999999999999">
      <c r="A54" s="9">
        <v>1</v>
      </c>
      <c r="B54" s="8">
        <v>223</v>
      </c>
      <c r="C54" s="8">
        <v>784792167</v>
      </c>
      <c r="D54" s="42" t="s">
        <v>98</v>
      </c>
      <c r="E54" s="42"/>
      <c r="F54" s="10">
        <v>0</v>
      </c>
      <c r="G54" s="10">
        <v>0</v>
      </c>
      <c r="H54" s="50">
        <v>0</v>
      </c>
      <c r="I54" s="50">
        <v>0</v>
      </c>
      <c r="J54" s="50">
        <v>0</v>
      </c>
      <c r="K54" s="39" t="s">
        <v>30</v>
      </c>
      <c r="L54" s="11">
        <f t="shared" si="8"/>
        <v>0</v>
      </c>
      <c r="M54" s="10">
        <f t="shared" si="7"/>
        <v>0</v>
      </c>
      <c r="N54" s="10">
        <f t="shared" si="9"/>
        <v>0</v>
      </c>
      <c r="O54" s="10">
        <v>0</v>
      </c>
      <c r="P54" s="10">
        <f t="shared" si="10"/>
        <v>0</v>
      </c>
      <c r="Q54" s="17">
        <v>10.624999999999996</v>
      </c>
      <c r="R54" s="18">
        <f t="shared" si="11"/>
        <v>10.624999999999996</v>
      </c>
      <c r="S54" s="19">
        <f t="shared" si="12"/>
        <v>0</v>
      </c>
      <c r="T54" s="20">
        <f t="shared" si="13"/>
        <v>10.624999999999996</v>
      </c>
    </row>
    <row r="55" spans="1:20" ht="17.399999999999999">
      <c r="A55" s="9">
        <v>1</v>
      </c>
      <c r="B55" s="8">
        <v>219</v>
      </c>
      <c r="C55" s="8">
        <v>1128309198</v>
      </c>
      <c r="D55" s="42" t="s">
        <v>93</v>
      </c>
      <c r="E55" s="47"/>
      <c r="F55" s="10">
        <v>0</v>
      </c>
      <c r="G55" s="10">
        <v>0</v>
      </c>
      <c r="H55" s="50">
        <v>0</v>
      </c>
      <c r="I55" s="50">
        <v>0</v>
      </c>
      <c r="J55" s="50">
        <v>0</v>
      </c>
      <c r="K55" s="39" t="s">
        <v>30</v>
      </c>
      <c r="L55" s="11">
        <f t="shared" si="8"/>
        <v>0</v>
      </c>
      <c r="M55" s="10">
        <f t="shared" si="7"/>
        <v>0</v>
      </c>
      <c r="N55" s="10">
        <f t="shared" si="9"/>
        <v>0</v>
      </c>
      <c r="O55" s="10">
        <v>0</v>
      </c>
      <c r="P55" s="10">
        <f t="shared" si="10"/>
        <v>0</v>
      </c>
      <c r="Q55" s="17">
        <v>9.4499999999999957</v>
      </c>
      <c r="R55" s="18">
        <f t="shared" si="11"/>
        <v>9.4499999999999957</v>
      </c>
      <c r="S55" s="19">
        <f t="shared" si="12"/>
        <v>0</v>
      </c>
      <c r="T55" s="20">
        <f t="shared" si="13"/>
        <v>9.4499999999999957</v>
      </c>
    </row>
    <row r="56" spans="1:20" ht="17.399999999999999">
      <c r="A56" s="9">
        <v>1</v>
      </c>
      <c r="B56" s="8">
        <v>240</v>
      </c>
      <c r="C56" s="8">
        <v>289805855</v>
      </c>
      <c r="D56" s="42" t="s">
        <v>123</v>
      </c>
      <c r="F56" s="10">
        <v>4</v>
      </c>
      <c r="G56" s="10">
        <v>1</v>
      </c>
      <c r="H56" s="50">
        <v>0</v>
      </c>
      <c r="I56" s="50">
        <v>0</v>
      </c>
      <c r="J56" s="50">
        <v>0</v>
      </c>
      <c r="K56" s="14" t="s">
        <v>53</v>
      </c>
      <c r="L56" s="11">
        <f t="shared" si="8"/>
        <v>6</v>
      </c>
      <c r="M56" s="10">
        <f t="shared" si="7"/>
        <v>1.2</v>
      </c>
      <c r="N56" s="10">
        <f t="shared" si="9"/>
        <v>0</v>
      </c>
      <c r="O56" s="10">
        <v>0</v>
      </c>
      <c r="P56" s="10">
        <f t="shared" si="10"/>
        <v>7.2</v>
      </c>
      <c r="Q56" s="17">
        <v>0</v>
      </c>
      <c r="R56" s="18">
        <f t="shared" si="11"/>
        <v>7.2</v>
      </c>
      <c r="S56" s="19">
        <f t="shared" si="12"/>
        <v>8.125</v>
      </c>
      <c r="T56" s="20">
        <f t="shared" si="13"/>
        <v>-0.92499999999999982</v>
      </c>
    </row>
    <row r="57" spans="1:20" ht="17.399999999999999">
      <c r="A57" s="9">
        <v>1</v>
      </c>
      <c r="B57" s="8">
        <v>192</v>
      </c>
      <c r="C57" s="8">
        <v>1725281178</v>
      </c>
      <c r="D57" s="42" t="s">
        <v>71</v>
      </c>
      <c r="E57" s="47"/>
      <c r="F57" s="10">
        <v>0</v>
      </c>
      <c r="G57" s="10">
        <v>0</v>
      </c>
      <c r="H57" s="50">
        <v>0</v>
      </c>
      <c r="I57" s="50">
        <v>0</v>
      </c>
      <c r="J57" s="50">
        <v>0</v>
      </c>
      <c r="K57" s="39" t="s">
        <v>30</v>
      </c>
      <c r="L57" s="11">
        <f t="shared" si="8"/>
        <v>0</v>
      </c>
      <c r="M57" s="10">
        <f t="shared" si="7"/>
        <v>0</v>
      </c>
      <c r="N57" s="10">
        <f t="shared" si="9"/>
        <v>0</v>
      </c>
      <c r="O57" s="10">
        <v>0</v>
      </c>
      <c r="P57" s="10">
        <f t="shared" si="10"/>
        <v>0</v>
      </c>
      <c r="Q57" s="17">
        <v>3.1437499999999954</v>
      </c>
      <c r="R57" s="18">
        <f t="shared" si="11"/>
        <v>3.1437499999999954</v>
      </c>
      <c r="S57" s="19">
        <f t="shared" si="12"/>
        <v>0</v>
      </c>
      <c r="T57" s="20">
        <f t="shared" si="13"/>
        <v>3.1437499999999954</v>
      </c>
    </row>
    <row r="58" spans="1:20" ht="20.399999999999999">
      <c r="A58" s="9">
        <v>1</v>
      </c>
      <c r="B58" s="8">
        <v>220</v>
      </c>
      <c r="C58" s="8">
        <v>353335311</v>
      </c>
      <c r="D58" s="42" t="s">
        <v>94</v>
      </c>
      <c r="E58" s="44"/>
      <c r="F58" s="10">
        <v>0</v>
      </c>
      <c r="G58" s="10">
        <v>0</v>
      </c>
      <c r="H58" s="50">
        <v>0</v>
      </c>
      <c r="I58" s="50">
        <v>0</v>
      </c>
      <c r="J58" s="50">
        <v>0</v>
      </c>
      <c r="K58" s="39" t="s">
        <v>30</v>
      </c>
      <c r="L58" s="11">
        <f t="shared" si="8"/>
        <v>0</v>
      </c>
      <c r="M58" s="10">
        <f t="shared" si="7"/>
        <v>0</v>
      </c>
      <c r="N58" s="10">
        <f t="shared" si="9"/>
        <v>0</v>
      </c>
      <c r="O58" s="10">
        <v>0</v>
      </c>
      <c r="P58" s="10">
        <f t="shared" si="10"/>
        <v>0</v>
      </c>
      <c r="Q58" s="17">
        <v>2.0310546874999984</v>
      </c>
      <c r="R58" s="18">
        <f t="shared" si="11"/>
        <v>2.0310546874999984</v>
      </c>
      <c r="S58" s="19">
        <f t="shared" si="12"/>
        <v>0</v>
      </c>
      <c r="T58" s="20">
        <f t="shared" si="13"/>
        <v>2.0310546874999984</v>
      </c>
    </row>
    <row r="59" spans="1:20" ht="17.399999999999999">
      <c r="A59" s="9">
        <v>1</v>
      </c>
      <c r="B59" s="8">
        <v>233</v>
      </c>
      <c r="C59" s="8">
        <v>1963965829</v>
      </c>
      <c r="D59" s="42" t="s">
        <v>114</v>
      </c>
      <c r="F59" s="10">
        <v>0</v>
      </c>
      <c r="G59" s="10">
        <v>0</v>
      </c>
      <c r="H59" s="50">
        <v>0</v>
      </c>
      <c r="I59" s="50">
        <v>0</v>
      </c>
      <c r="J59" s="50">
        <v>0</v>
      </c>
      <c r="K59" s="39" t="s">
        <v>30</v>
      </c>
      <c r="L59" s="11">
        <f t="shared" si="8"/>
        <v>0</v>
      </c>
      <c r="M59" s="10">
        <f t="shared" si="7"/>
        <v>0</v>
      </c>
      <c r="N59" s="10">
        <f t="shared" si="9"/>
        <v>0</v>
      </c>
      <c r="O59" s="10">
        <v>0</v>
      </c>
      <c r="P59" s="10">
        <f t="shared" si="10"/>
        <v>0</v>
      </c>
      <c r="Q59" s="17">
        <v>2.0000000000000018</v>
      </c>
      <c r="R59" s="18">
        <f t="shared" si="11"/>
        <v>2.0000000000000018</v>
      </c>
      <c r="S59" s="19">
        <f t="shared" si="12"/>
        <v>0</v>
      </c>
      <c r="T59" s="20">
        <f t="shared" si="13"/>
        <v>2.0000000000000018</v>
      </c>
    </row>
    <row r="60" spans="1:20" ht="17.399999999999999">
      <c r="A60" s="9">
        <v>1</v>
      </c>
      <c r="B60" s="8">
        <v>207</v>
      </c>
      <c r="C60" s="8">
        <v>721273803</v>
      </c>
      <c r="D60" s="45" t="s">
        <v>81</v>
      </c>
      <c r="E60" s="47"/>
      <c r="F60" s="10">
        <v>0</v>
      </c>
      <c r="G60" s="10">
        <v>0</v>
      </c>
      <c r="H60" s="50">
        <v>0</v>
      </c>
      <c r="I60" s="50">
        <v>0</v>
      </c>
      <c r="J60" s="50">
        <v>0</v>
      </c>
      <c r="K60" s="39" t="s">
        <v>30</v>
      </c>
      <c r="L60" s="11">
        <f t="shared" si="8"/>
        <v>0</v>
      </c>
      <c r="M60" s="10">
        <f t="shared" si="7"/>
        <v>0</v>
      </c>
      <c r="N60" s="10">
        <f t="shared" si="9"/>
        <v>0</v>
      </c>
      <c r="O60" s="10">
        <v>0</v>
      </c>
      <c r="P60" s="10">
        <f t="shared" si="10"/>
        <v>0</v>
      </c>
      <c r="Q60" s="17">
        <v>1.425</v>
      </c>
      <c r="R60" s="18">
        <f t="shared" si="11"/>
        <v>1.425</v>
      </c>
      <c r="S60" s="19">
        <f t="shared" si="12"/>
        <v>0</v>
      </c>
      <c r="T60" s="20">
        <f t="shared" si="13"/>
        <v>1.425</v>
      </c>
    </row>
    <row r="61" spans="1:20" ht="20.399999999999999">
      <c r="A61" s="9">
        <v>1</v>
      </c>
      <c r="B61" s="8">
        <v>213</v>
      </c>
      <c r="C61" s="8">
        <v>311361673</v>
      </c>
      <c r="D61" s="42" t="s">
        <v>55</v>
      </c>
      <c r="E61" s="2"/>
      <c r="F61" s="10">
        <v>0</v>
      </c>
      <c r="G61" s="10">
        <v>0</v>
      </c>
      <c r="H61" s="50">
        <v>0</v>
      </c>
      <c r="I61" s="50">
        <v>0</v>
      </c>
      <c r="J61" s="50">
        <v>0</v>
      </c>
      <c r="K61" s="39" t="s">
        <v>30</v>
      </c>
      <c r="L61" s="11">
        <f t="shared" si="8"/>
        <v>0</v>
      </c>
      <c r="M61" s="10">
        <f t="shared" si="7"/>
        <v>0</v>
      </c>
      <c r="N61" s="10">
        <f t="shared" si="9"/>
        <v>0</v>
      </c>
      <c r="O61" s="10">
        <v>0</v>
      </c>
      <c r="P61" s="10">
        <f t="shared" si="10"/>
        <v>0</v>
      </c>
      <c r="Q61" s="17">
        <v>1.2687499999999945</v>
      </c>
      <c r="R61" s="18">
        <f t="shared" si="11"/>
        <v>1.2687499999999945</v>
      </c>
      <c r="S61" s="19">
        <f t="shared" si="12"/>
        <v>0</v>
      </c>
      <c r="T61" s="20">
        <f t="shared" si="13"/>
        <v>1.2687499999999945</v>
      </c>
    </row>
    <row r="62" spans="1:20" ht="17.399999999999999">
      <c r="A62" s="9">
        <v>1</v>
      </c>
      <c r="B62" s="8">
        <v>242</v>
      </c>
      <c r="C62" s="8">
        <v>250098915</v>
      </c>
      <c r="D62" s="42" t="s">
        <v>131</v>
      </c>
      <c r="F62" s="10">
        <v>0</v>
      </c>
      <c r="G62" s="10">
        <v>0</v>
      </c>
      <c r="H62" s="50">
        <v>0</v>
      </c>
      <c r="I62" s="50">
        <v>0</v>
      </c>
      <c r="J62" s="50">
        <v>0</v>
      </c>
      <c r="K62" s="39" t="s">
        <v>30</v>
      </c>
      <c r="L62" s="11">
        <f t="shared" si="8"/>
        <v>0</v>
      </c>
      <c r="M62" s="10">
        <f t="shared" si="7"/>
        <v>0</v>
      </c>
      <c r="N62" s="10">
        <f t="shared" si="9"/>
        <v>0</v>
      </c>
      <c r="O62" s="10">
        <v>0</v>
      </c>
      <c r="P62" s="10">
        <f t="shared" si="10"/>
        <v>0</v>
      </c>
      <c r="Q62" s="17">
        <v>0.90625</v>
      </c>
      <c r="R62" s="18">
        <f t="shared" si="11"/>
        <v>0.90625</v>
      </c>
      <c r="S62" s="19">
        <f t="shared" si="12"/>
        <v>0</v>
      </c>
      <c r="T62" s="20">
        <f t="shared" si="13"/>
        <v>0.90625</v>
      </c>
    </row>
    <row r="63" spans="1:20" ht="17.399999999999999">
      <c r="A63" s="9">
        <v>1</v>
      </c>
      <c r="B63" s="8">
        <v>242</v>
      </c>
      <c r="C63" s="8">
        <v>1769984287</v>
      </c>
      <c r="D63" s="8" t="s">
        <v>132</v>
      </c>
      <c r="F63" s="10">
        <v>0</v>
      </c>
      <c r="G63" s="10">
        <v>0</v>
      </c>
      <c r="H63" s="50">
        <v>0</v>
      </c>
      <c r="I63" s="50">
        <v>0</v>
      </c>
      <c r="J63" s="50">
        <v>0</v>
      </c>
      <c r="K63" s="39" t="s">
        <v>30</v>
      </c>
      <c r="L63" s="11">
        <f t="shared" si="8"/>
        <v>0</v>
      </c>
      <c r="M63" s="10">
        <f t="shared" si="7"/>
        <v>0</v>
      </c>
      <c r="N63" s="10">
        <f t="shared" si="9"/>
        <v>0</v>
      </c>
      <c r="O63" s="10">
        <v>0</v>
      </c>
      <c r="P63" s="10">
        <f t="shared" si="10"/>
        <v>0</v>
      </c>
      <c r="Q63" s="17">
        <v>0.65000000000000036</v>
      </c>
      <c r="R63" s="18">
        <f t="shared" si="11"/>
        <v>0.65000000000000036</v>
      </c>
      <c r="S63" s="19">
        <f t="shared" si="12"/>
        <v>0</v>
      </c>
      <c r="T63" s="20">
        <f t="shared" si="13"/>
        <v>0.65000000000000036</v>
      </c>
    </row>
    <row r="64" spans="1:20" ht="17.399999999999999">
      <c r="A64" s="9">
        <v>1</v>
      </c>
      <c r="B64" s="8">
        <v>218</v>
      </c>
      <c r="C64" s="8">
        <v>1804880865</v>
      </c>
      <c r="D64" s="42" t="s">
        <v>92</v>
      </c>
      <c r="E64" s="47"/>
      <c r="F64" s="10">
        <v>0</v>
      </c>
      <c r="G64" s="10">
        <v>0</v>
      </c>
      <c r="H64" s="50">
        <v>0</v>
      </c>
      <c r="I64" s="50">
        <v>0</v>
      </c>
      <c r="J64" s="50">
        <v>0</v>
      </c>
      <c r="K64" s="39" t="s">
        <v>30</v>
      </c>
      <c r="L64" s="11">
        <f t="shared" si="8"/>
        <v>0</v>
      </c>
      <c r="M64" s="10">
        <f t="shared" si="7"/>
        <v>0</v>
      </c>
      <c r="N64" s="10">
        <f t="shared" si="9"/>
        <v>0</v>
      </c>
      <c r="O64" s="10">
        <v>0</v>
      </c>
      <c r="P64" s="10">
        <f t="shared" si="10"/>
        <v>0</v>
      </c>
      <c r="Q64" s="17">
        <v>0.11749999999999983</v>
      </c>
      <c r="R64" s="18">
        <f t="shared" si="11"/>
        <v>0.11749999999999983</v>
      </c>
      <c r="S64" s="19">
        <f t="shared" si="12"/>
        <v>0</v>
      </c>
      <c r="T64" s="20">
        <f t="shared" si="13"/>
        <v>0.11749999999999983</v>
      </c>
    </row>
    <row r="65" spans="1:23" ht="17.399999999999999">
      <c r="A65" s="9">
        <v>1</v>
      </c>
      <c r="B65" s="8">
        <v>217</v>
      </c>
      <c r="C65" s="8">
        <v>331155825</v>
      </c>
      <c r="D65" s="46" t="s">
        <v>89</v>
      </c>
      <c r="E65" s="2"/>
      <c r="F65" s="10">
        <v>0</v>
      </c>
      <c r="G65" s="10">
        <v>0</v>
      </c>
      <c r="H65" s="50">
        <v>0</v>
      </c>
      <c r="I65" s="50">
        <v>0</v>
      </c>
      <c r="J65" s="50">
        <v>0</v>
      </c>
      <c r="K65" s="39" t="s">
        <v>30</v>
      </c>
      <c r="L65" s="11">
        <f t="shared" si="8"/>
        <v>0</v>
      </c>
      <c r="M65" s="10">
        <f t="shared" si="7"/>
        <v>0</v>
      </c>
      <c r="N65" s="10">
        <f t="shared" si="9"/>
        <v>0</v>
      </c>
      <c r="O65" s="10">
        <v>0</v>
      </c>
      <c r="P65" s="10">
        <f t="shared" si="10"/>
        <v>0</v>
      </c>
      <c r="Q65" s="17">
        <v>-1.3124999999999984</v>
      </c>
      <c r="R65" s="18">
        <f t="shared" si="11"/>
        <v>-1.3124999999999984</v>
      </c>
      <c r="S65" s="19">
        <f t="shared" si="12"/>
        <v>0</v>
      </c>
      <c r="T65" s="20">
        <f t="shared" si="13"/>
        <v>-1.3124999999999984</v>
      </c>
    </row>
    <row r="66" spans="1:23" ht="17.399999999999999">
      <c r="A66" s="9">
        <v>1</v>
      </c>
      <c r="B66" s="8">
        <v>237</v>
      </c>
      <c r="C66" s="8">
        <v>1331532576</v>
      </c>
      <c r="D66" s="42" t="s">
        <v>119</v>
      </c>
      <c r="F66" s="10">
        <v>0</v>
      </c>
      <c r="G66" s="10">
        <v>0</v>
      </c>
      <c r="H66" s="50">
        <v>0</v>
      </c>
      <c r="I66" s="50">
        <v>0</v>
      </c>
      <c r="J66" s="50">
        <v>0</v>
      </c>
      <c r="K66" s="39" t="s">
        <v>30</v>
      </c>
      <c r="L66" s="11">
        <f t="shared" si="8"/>
        <v>0</v>
      </c>
      <c r="M66" s="10">
        <f t="shared" si="7"/>
        <v>0</v>
      </c>
      <c r="N66" s="10">
        <f t="shared" si="9"/>
        <v>0</v>
      </c>
      <c r="O66" s="10">
        <v>0</v>
      </c>
      <c r="P66" s="10">
        <f t="shared" si="10"/>
        <v>0</v>
      </c>
      <c r="Q66" s="17">
        <v>-2.5499999999999998</v>
      </c>
      <c r="R66" s="18">
        <f t="shared" si="11"/>
        <v>-2.5499999999999998</v>
      </c>
      <c r="S66" s="19">
        <f t="shared" si="12"/>
        <v>0</v>
      </c>
      <c r="T66" s="20">
        <f t="shared" si="13"/>
        <v>-2.5499999999999998</v>
      </c>
    </row>
    <row r="67" spans="1:23" ht="17.399999999999999">
      <c r="A67" s="9">
        <v>1</v>
      </c>
      <c r="B67" s="8">
        <v>228</v>
      </c>
      <c r="C67" s="8">
        <v>1287481910</v>
      </c>
      <c r="D67" s="42" t="s">
        <v>109</v>
      </c>
      <c r="E67" s="42"/>
      <c r="F67" s="10">
        <v>0</v>
      </c>
      <c r="G67" s="10">
        <v>0</v>
      </c>
      <c r="H67" s="50">
        <v>0</v>
      </c>
      <c r="I67" s="50">
        <v>0</v>
      </c>
      <c r="J67" s="50">
        <v>0</v>
      </c>
      <c r="K67" s="39" t="s">
        <v>30</v>
      </c>
      <c r="L67" s="11">
        <f t="shared" si="8"/>
        <v>0</v>
      </c>
      <c r="M67" s="10">
        <f t="shared" si="7"/>
        <v>0</v>
      </c>
      <c r="N67" s="10">
        <f t="shared" si="9"/>
        <v>0</v>
      </c>
      <c r="O67" s="10">
        <v>0</v>
      </c>
      <c r="P67" s="10">
        <f t="shared" si="10"/>
        <v>0</v>
      </c>
      <c r="Q67" s="17">
        <v>-4.1499999999999995</v>
      </c>
      <c r="R67" s="18">
        <f t="shared" si="11"/>
        <v>-4.1499999999999995</v>
      </c>
      <c r="S67" s="19">
        <f t="shared" si="12"/>
        <v>0</v>
      </c>
      <c r="T67" s="20">
        <f t="shared" si="13"/>
        <v>-4.1499999999999995</v>
      </c>
    </row>
    <row r="68" spans="1:23" ht="17.399999999999999">
      <c r="A68" s="9">
        <v>1</v>
      </c>
      <c r="B68" s="8">
        <v>235</v>
      </c>
      <c r="C68" s="8">
        <v>988684940</v>
      </c>
      <c r="D68" s="42" t="s">
        <v>116</v>
      </c>
      <c r="F68" s="10">
        <v>0</v>
      </c>
      <c r="G68" s="10">
        <v>0</v>
      </c>
      <c r="H68" s="50">
        <v>0</v>
      </c>
      <c r="I68" s="50">
        <v>0</v>
      </c>
      <c r="J68" s="50">
        <v>0</v>
      </c>
      <c r="K68" s="39" t="s">
        <v>30</v>
      </c>
      <c r="L68" s="11">
        <f t="shared" si="8"/>
        <v>0</v>
      </c>
      <c r="M68" s="10">
        <f t="shared" si="7"/>
        <v>0</v>
      </c>
      <c r="N68" s="10">
        <f t="shared" si="9"/>
        <v>0</v>
      </c>
      <c r="O68" s="10">
        <v>0</v>
      </c>
      <c r="P68" s="10">
        <f t="shared" si="10"/>
        <v>0</v>
      </c>
      <c r="Q68" s="17">
        <v>-7.125</v>
      </c>
      <c r="R68" s="18">
        <f t="shared" si="11"/>
        <v>-7.125</v>
      </c>
      <c r="S68" s="19">
        <f t="shared" si="12"/>
        <v>0</v>
      </c>
      <c r="T68" s="20">
        <f t="shared" si="13"/>
        <v>-7.125</v>
      </c>
    </row>
    <row r="69" spans="1:23" ht="17.399999999999999">
      <c r="A69" s="9">
        <v>1</v>
      </c>
      <c r="B69" s="8">
        <v>141</v>
      </c>
      <c r="C69" s="8">
        <v>1190305158</v>
      </c>
      <c r="D69" s="42" t="s">
        <v>44</v>
      </c>
      <c r="E69" s="44"/>
      <c r="F69" s="10">
        <v>0</v>
      </c>
      <c r="G69" s="10">
        <v>0</v>
      </c>
      <c r="H69" s="50">
        <v>0</v>
      </c>
      <c r="I69" s="50">
        <v>0</v>
      </c>
      <c r="J69" s="50">
        <v>0</v>
      </c>
      <c r="K69" s="39" t="s">
        <v>30</v>
      </c>
      <c r="L69" s="11">
        <f t="shared" si="8"/>
        <v>0</v>
      </c>
      <c r="M69" s="10">
        <f t="shared" si="7"/>
        <v>0</v>
      </c>
      <c r="N69" s="10">
        <f t="shared" si="9"/>
        <v>0</v>
      </c>
      <c r="O69" s="10">
        <v>0</v>
      </c>
      <c r="P69" s="10">
        <f t="shared" ref="P69:P70" si="14">SUM(M69+L69+O69+N69)</f>
        <v>0</v>
      </c>
      <c r="Q69" s="17">
        <v>-7.8937500000000043</v>
      </c>
      <c r="R69" s="18">
        <f t="shared" ref="R69:R70" si="15">P69+Q69</f>
        <v>-7.8937500000000043</v>
      </c>
      <c r="S69" s="19">
        <f t="shared" si="12"/>
        <v>0</v>
      </c>
      <c r="T69" s="20">
        <f t="shared" ref="T69:T70" si="16">R69-S69</f>
        <v>-7.8937500000000043</v>
      </c>
      <c r="U69" s="40"/>
      <c r="V69" s="40"/>
      <c r="W69" s="41"/>
    </row>
    <row r="70" spans="1:23" ht="17.399999999999999">
      <c r="A70" s="70">
        <v>1</v>
      </c>
      <c r="B70" s="8">
        <v>203</v>
      </c>
      <c r="C70" s="8">
        <v>382695365</v>
      </c>
      <c r="D70" s="42" t="s">
        <v>78</v>
      </c>
      <c r="E70" s="47"/>
      <c r="F70" s="10">
        <v>0</v>
      </c>
      <c r="G70" s="10">
        <v>0</v>
      </c>
      <c r="H70" s="50">
        <v>0</v>
      </c>
      <c r="I70" s="50">
        <v>0</v>
      </c>
      <c r="J70" s="50">
        <v>0</v>
      </c>
      <c r="K70" s="39" t="s">
        <v>30</v>
      </c>
      <c r="L70" s="11">
        <f t="shared" si="8"/>
        <v>0</v>
      </c>
      <c r="M70" s="10">
        <f t="shared" si="7"/>
        <v>0</v>
      </c>
      <c r="N70" s="10">
        <f t="shared" si="9"/>
        <v>0</v>
      </c>
      <c r="O70" s="10">
        <v>0</v>
      </c>
      <c r="P70" s="10">
        <f t="shared" si="14"/>
        <v>0</v>
      </c>
      <c r="Q70" s="17">
        <v>-16.90625</v>
      </c>
      <c r="R70" s="18">
        <f t="shared" si="15"/>
        <v>-16.90625</v>
      </c>
      <c r="S70" s="19">
        <f t="shared" si="12"/>
        <v>0</v>
      </c>
      <c r="T70" s="20">
        <f t="shared" si="16"/>
        <v>-16.90625</v>
      </c>
    </row>
    <row r="71" spans="1:23" ht="17.399999999999999">
      <c r="A71" s="70"/>
    </row>
  </sheetData>
  <autoFilter ref="A4:W70" xr:uid="{28593B8F-03E7-4BE1-B554-FC0AADC431B2}">
    <sortState xmlns:xlrd2="http://schemas.microsoft.com/office/spreadsheetml/2017/richdata2" ref="A5:W70">
      <sortCondition descending="1" ref="R4:R70"/>
    </sortState>
  </autoFilter>
  <mergeCells count="5">
    <mergeCell ref="B1:T1"/>
    <mergeCell ref="B2:T2"/>
    <mergeCell ref="B3:E3"/>
    <mergeCell ref="H3:J3"/>
    <mergeCell ref="K3:T3"/>
  </mergeCells>
  <conditionalFormatting sqref="O5:O70 F5:J70">
    <cfRule type="cellIs" dxfId="21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32BCF-8E92-4F42-B522-1ADCD0AB47F8}">
  <dimension ref="A1:AC71"/>
  <sheetViews>
    <sheetView zoomScale="85" zoomScaleNormal="85" workbookViewId="0">
      <selection activeCell="A3" sqref="A3"/>
    </sheetView>
  </sheetViews>
  <sheetFormatPr defaultColWidth="9" defaultRowHeight="14.4"/>
  <cols>
    <col min="1" max="1" width="6.44140625" customWidth="1"/>
    <col min="2" max="2" width="6.6640625" style="4" customWidth="1"/>
    <col min="3" max="3" width="19.77734375" style="5" customWidth="1"/>
    <col min="4" max="4" width="21.21875" style="5" customWidth="1"/>
    <col min="5" max="5" width="18.33203125" style="4" customWidth="1"/>
    <col min="6" max="6" width="13.109375" style="4" customWidth="1"/>
    <col min="7" max="7" width="13.77734375" style="4" customWidth="1"/>
    <col min="8" max="8" width="5.77734375" style="4" customWidth="1"/>
    <col min="9" max="9" width="5.88671875" style="4" customWidth="1"/>
    <col min="10" max="10" width="5.77734375" style="4" customWidth="1"/>
    <col min="11" max="11" width="20" style="4" customWidth="1"/>
    <col min="12" max="12" width="9" style="4" customWidth="1"/>
    <col min="13" max="13" width="12.109375" style="4" customWidth="1"/>
    <col min="14" max="14" width="11.33203125" style="4" customWidth="1"/>
    <col min="15" max="15" width="10" style="4" customWidth="1"/>
    <col min="16" max="16" width="9" style="4" customWidth="1"/>
    <col min="17" max="17" width="12.88671875" style="4" customWidth="1"/>
    <col min="18" max="18" width="12" style="4" customWidth="1"/>
    <col min="19" max="19" width="9.21875" style="4" customWidth="1"/>
    <col min="20" max="20" width="12.6640625" style="4" customWidth="1"/>
    <col min="21" max="23" width="11.109375" style="21" customWidth="1"/>
    <col min="24" max="24" width="22.44140625" customWidth="1"/>
  </cols>
  <sheetData>
    <row r="1" spans="1:29" ht="36.6" customHeight="1">
      <c r="B1" s="99" t="str">
        <f>CONCATENATE("157区 活动中心",Y15,"年",Y16,"月",Y17,"日","分包贡献明细"," 统计：一二三")</f>
        <v>157区 活动中心2021年10月9日分包贡献明细 统计：一二三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62"/>
      <c r="V1" s="62"/>
      <c r="W1" s="62"/>
      <c r="X1" s="22" t="s">
        <v>12</v>
      </c>
      <c r="Y1" s="5">
        <v>67</v>
      </c>
      <c r="Z1" s="3"/>
      <c r="AA1" s="3"/>
      <c r="AB1" s="3"/>
      <c r="AC1" s="3"/>
    </row>
    <row r="2" spans="1:29" ht="137.4" customHeight="1">
      <c r="B2" s="101" t="s">
        <v>126</v>
      </c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63"/>
      <c r="V2" s="63"/>
      <c r="W2" s="63"/>
      <c r="X2" s="23" t="s">
        <v>0</v>
      </c>
      <c r="Y2" s="24" t="s">
        <v>13</v>
      </c>
      <c r="Z2" s="25" t="s">
        <v>14</v>
      </c>
      <c r="AA2" s="25" t="s">
        <v>15</v>
      </c>
      <c r="AB2" s="25" t="s">
        <v>56</v>
      </c>
      <c r="AC2" s="26" t="s">
        <v>16</v>
      </c>
    </row>
    <row r="3" spans="1:29" ht="20.399999999999999">
      <c r="A3">
        <f>COUNTIF(K:K,"a跨服传说礼包")</f>
        <v>7</v>
      </c>
      <c r="B3" s="104" t="s">
        <v>20</v>
      </c>
      <c r="C3" s="104"/>
      <c r="D3" s="104"/>
      <c r="E3" s="104"/>
      <c r="F3" s="64" t="s">
        <v>17</v>
      </c>
      <c r="G3" s="65" t="s">
        <v>39</v>
      </c>
      <c r="H3" s="105" t="s">
        <v>99</v>
      </c>
      <c r="I3" s="105"/>
      <c r="J3" s="105"/>
      <c r="K3" s="106" t="s">
        <v>21</v>
      </c>
      <c r="L3" s="107"/>
      <c r="M3" s="107"/>
      <c r="N3" s="107"/>
      <c r="O3" s="107"/>
      <c r="P3" s="107"/>
      <c r="Q3" s="107"/>
      <c r="R3" s="107"/>
      <c r="S3" s="107"/>
      <c r="T3" s="108"/>
      <c r="U3" s="61"/>
      <c r="V3" s="61"/>
      <c r="W3" s="61"/>
      <c r="X3" s="27" t="s">
        <v>22</v>
      </c>
      <c r="Y3" s="28">
        <f>AC3/$Y$13</f>
        <v>11.875</v>
      </c>
      <c r="Z3" s="23">
        <v>5</v>
      </c>
      <c r="AA3" s="23">
        <v>7</v>
      </c>
      <c r="AB3" s="23">
        <v>20</v>
      </c>
      <c r="AC3" s="23">
        <v>1900</v>
      </c>
    </row>
    <row r="4" spans="1:29" ht="40.799999999999997">
      <c r="A4" s="74" t="s">
        <v>117</v>
      </c>
      <c r="B4" s="74" t="s">
        <v>2</v>
      </c>
      <c r="C4" s="60" t="s">
        <v>23</v>
      </c>
      <c r="D4" s="74" t="s">
        <v>3</v>
      </c>
      <c r="E4" s="74" t="s">
        <v>4</v>
      </c>
      <c r="F4" s="6" t="s">
        <v>40</v>
      </c>
      <c r="G4" s="7" t="s">
        <v>91</v>
      </c>
      <c r="H4" s="7" t="s">
        <v>100</v>
      </c>
      <c r="I4" s="7" t="s">
        <v>101</v>
      </c>
      <c r="J4" s="7" t="s">
        <v>102</v>
      </c>
      <c r="K4" s="6" t="s">
        <v>5</v>
      </c>
      <c r="L4" s="6" t="s">
        <v>24</v>
      </c>
      <c r="M4" s="7" t="s">
        <v>41</v>
      </c>
      <c r="N4" s="7" t="s">
        <v>104</v>
      </c>
      <c r="O4" s="7" t="s">
        <v>45</v>
      </c>
      <c r="P4" s="15" t="s">
        <v>25</v>
      </c>
      <c r="Q4" s="60" t="s">
        <v>26</v>
      </c>
      <c r="R4" s="16" t="s">
        <v>7</v>
      </c>
      <c r="S4" s="60" t="s">
        <v>6</v>
      </c>
      <c r="T4" s="60" t="s">
        <v>27</v>
      </c>
      <c r="U4" s="60" t="s">
        <v>18</v>
      </c>
      <c r="V4" s="60" t="s">
        <v>19</v>
      </c>
      <c r="W4" s="60" t="s">
        <v>1</v>
      </c>
      <c r="X4" s="29" t="s">
        <v>28</v>
      </c>
      <c r="Y4" s="28">
        <f>AC4/$Y$13</f>
        <v>9.6875</v>
      </c>
      <c r="Z4" s="23">
        <v>4</v>
      </c>
      <c r="AA4" s="23">
        <v>6</v>
      </c>
      <c r="AB4" s="23">
        <v>15</v>
      </c>
      <c r="AC4" s="23">
        <v>1550</v>
      </c>
    </row>
    <row r="5" spans="1:29" s="1" customFormat="1" ht="17.399999999999999">
      <c r="A5" s="9">
        <v>1</v>
      </c>
      <c r="B5" s="8">
        <v>189</v>
      </c>
      <c r="C5" s="8">
        <v>522812489</v>
      </c>
      <c r="D5" s="42" t="s">
        <v>70</v>
      </c>
      <c r="E5" s="47"/>
      <c r="F5" s="10">
        <v>3</v>
      </c>
      <c r="G5" s="10">
        <v>1</v>
      </c>
      <c r="H5" s="50">
        <v>0</v>
      </c>
      <c r="I5" s="50">
        <v>0</v>
      </c>
      <c r="J5" s="50">
        <v>0</v>
      </c>
      <c r="K5" s="27" t="s">
        <v>22</v>
      </c>
      <c r="L5" s="11">
        <f t="shared" ref="L5:L36" si="0">F5+IF(F5&gt;2,(F5-2)*1,0)</f>
        <v>4</v>
      </c>
      <c r="M5" s="10">
        <f t="shared" ref="M5:M32" si="1">G5*$Y$14</f>
        <v>1.2</v>
      </c>
      <c r="N5" s="10">
        <f t="shared" ref="N5:N36" si="2">SUM(H5:J5)*$Y$18</f>
        <v>0</v>
      </c>
      <c r="O5" s="10">
        <v>0</v>
      </c>
      <c r="P5" s="10">
        <f t="shared" ref="P5:P36" si="3">SUM(M5+L5+O5+N5)</f>
        <v>5.2</v>
      </c>
      <c r="Q5" s="17">
        <v>24.500000000000004</v>
      </c>
      <c r="R5" s="18">
        <f t="shared" ref="R5:R36" si="4">P5+Q5</f>
        <v>29.700000000000003</v>
      </c>
      <c r="S5" s="19">
        <f t="shared" ref="S5:S36" si="5">VLOOKUP(K5,$X$3:$Y$10,2,FALSE)</f>
        <v>11.875</v>
      </c>
      <c r="T5" s="20">
        <f t="shared" ref="T5:T36" si="6">R5-S5</f>
        <v>17.825000000000003</v>
      </c>
      <c r="U5" s="4"/>
      <c r="V5" s="4"/>
      <c r="W5" s="4"/>
      <c r="X5" s="14" t="s">
        <v>29</v>
      </c>
      <c r="Y5" s="28">
        <f>AC5/$Y$13/4</f>
        <v>1.875</v>
      </c>
      <c r="Z5" s="30">
        <v>3</v>
      </c>
      <c r="AA5" s="30">
        <v>5</v>
      </c>
      <c r="AB5" s="30">
        <v>10</v>
      </c>
      <c r="AC5" s="30">
        <v>1200</v>
      </c>
    </row>
    <row r="6" spans="1:29" s="1" customFormat="1" ht="17.399999999999999">
      <c r="A6" s="9">
        <v>1</v>
      </c>
      <c r="B6" s="8">
        <v>224</v>
      </c>
      <c r="C6" s="8">
        <v>862562360</v>
      </c>
      <c r="D6" s="42" t="s">
        <v>129</v>
      </c>
      <c r="E6" s="42" t="s">
        <v>106</v>
      </c>
      <c r="F6" s="10">
        <v>3</v>
      </c>
      <c r="G6" s="10">
        <v>1</v>
      </c>
      <c r="H6" s="50">
        <v>0</v>
      </c>
      <c r="I6" s="50">
        <v>0</v>
      </c>
      <c r="J6" s="50">
        <v>0</v>
      </c>
      <c r="K6" s="27" t="s">
        <v>22</v>
      </c>
      <c r="L6" s="11">
        <f t="shared" si="0"/>
        <v>4</v>
      </c>
      <c r="M6" s="10">
        <f t="shared" si="1"/>
        <v>1.2</v>
      </c>
      <c r="N6" s="10">
        <f t="shared" si="2"/>
        <v>0</v>
      </c>
      <c r="O6" s="10">
        <v>0</v>
      </c>
      <c r="P6" s="10">
        <f t="shared" si="3"/>
        <v>5.2</v>
      </c>
      <c r="Q6" s="17">
        <v>24.060354477611941</v>
      </c>
      <c r="R6" s="18">
        <f t="shared" si="4"/>
        <v>29.260354477611941</v>
      </c>
      <c r="S6" s="19">
        <f t="shared" si="5"/>
        <v>11.875</v>
      </c>
      <c r="T6" s="20">
        <f t="shared" si="6"/>
        <v>17.385354477611941</v>
      </c>
      <c r="U6" s="4"/>
      <c r="V6" s="4"/>
      <c r="W6" s="4"/>
      <c r="X6" s="14"/>
      <c r="Y6" s="28"/>
      <c r="Z6" s="30"/>
      <c r="AA6" s="30"/>
      <c r="AB6" s="30"/>
      <c r="AC6" s="30"/>
    </row>
    <row r="7" spans="1:29" s="1" customFormat="1" ht="17.399999999999999">
      <c r="A7" s="9">
        <v>1</v>
      </c>
      <c r="B7" s="8">
        <v>174</v>
      </c>
      <c r="C7" s="8">
        <v>775720958</v>
      </c>
      <c r="D7" s="42" t="s">
        <v>79</v>
      </c>
      <c r="E7" s="42" t="s">
        <v>49</v>
      </c>
      <c r="F7" s="10">
        <v>3</v>
      </c>
      <c r="G7" s="10">
        <v>1</v>
      </c>
      <c r="H7" s="50">
        <v>0</v>
      </c>
      <c r="I7" s="50">
        <v>0</v>
      </c>
      <c r="J7" s="50">
        <v>0</v>
      </c>
      <c r="K7" s="27" t="s">
        <v>22</v>
      </c>
      <c r="L7" s="11">
        <f t="shared" si="0"/>
        <v>4</v>
      </c>
      <c r="M7" s="10">
        <f t="shared" si="1"/>
        <v>1.2</v>
      </c>
      <c r="N7" s="10">
        <f t="shared" si="2"/>
        <v>0</v>
      </c>
      <c r="O7" s="10">
        <v>0</v>
      </c>
      <c r="P7" s="10">
        <f t="shared" si="3"/>
        <v>5.2</v>
      </c>
      <c r="Q7" s="17">
        <v>24.049999999999983</v>
      </c>
      <c r="R7" s="18">
        <f t="shared" si="4"/>
        <v>29.249999999999982</v>
      </c>
      <c r="S7" s="19">
        <f t="shared" si="5"/>
        <v>11.875</v>
      </c>
      <c r="T7" s="20">
        <f t="shared" si="6"/>
        <v>17.374999999999982</v>
      </c>
      <c r="U7" s="4"/>
      <c r="V7" s="4"/>
      <c r="W7" s="4"/>
      <c r="X7" s="12" t="s">
        <v>53</v>
      </c>
      <c r="Y7" s="28">
        <f>AC7/$Y$13</f>
        <v>8.125</v>
      </c>
      <c r="Z7" s="30">
        <v>4</v>
      </c>
      <c r="AA7" s="30">
        <v>5</v>
      </c>
      <c r="AB7" s="30"/>
      <c r="AC7" s="30">
        <v>1300</v>
      </c>
    </row>
    <row r="8" spans="1:29" s="1" customFormat="1" ht="17.399999999999999">
      <c r="A8" s="9">
        <v>1</v>
      </c>
      <c r="B8" s="8">
        <v>185</v>
      </c>
      <c r="C8" s="8">
        <v>30705222</v>
      </c>
      <c r="D8" s="42" t="s">
        <v>68</v>
      </c>
      <c r="E8" s="47"/>
      <c r="F8" s="10">
        <v>3</v>
      </c>
      <c r="G8" s="10">
        <v>1</v>
      </c>
      <c r="H8" s="50">
        <v>0</v>
      </c>
      <c r="I8" s="50">
        <v>0</v>
      </c>
      <c r="J8" s="50">
        <v>0</v>
      </c>
      <c r="K8" s="27" t="s">
        <v>22</v>
      </c>
      <c r="L8" s="11">
        <f t="shared" si="0"/>
        <v>4</v>
      </c>
      <c r="M8" s="10">
        <f t="shared" si="1"/>
        <v>1.2</v>
      </c>
      <c r="N8" s="10">
        <f t="shared" si="2"/>
        <v>0</v>
      </c>
      <c r="O8" s="10">
        <v>0</v>
      </c>
      <c r="P8" s="10">
        <f t="shared" si="3"/>
        <v>5.2</v>
      </c>
      <c r="Q8" s="17">
        <v>23.78125</v>
      </c>
      <c r="R8" s="18">
        <f t="shared" si="4"/>
        <v>28.981249999999999</v>
      </c>
      <c r="S8" s="19">
        <f t="shared" si="5"/>
        <v>11.875</v>
      </c>
      <c r="T8" s="20">
        <f t="shared" si="6"/>
        <v>17.106249999999999</v>
      </c>
      <c r="U8" s="4"/>
      <c r="V8" s="4"/>
      <c r="W8" s="4"/>
      <c r="X8" s="13" t="s">
        <v>52</v>
      </c>
      <c r="Y8" s="28">
        <f>AC8/$Y$13</f>
        <v>6.25</v>
      </c>
      <c r="Z8" s="30">
        <v>3</v>
      </c>
      <c r="AA8" s="30">
        <v>4</v>
      </c>
      <c r="AB8" s="30"/>
      <c r="AC8" s="30">
        <v>1000</v>
      </c>
    </row>
    <row r="9" spans="1:29" s="1" customFormat="1" ht="17.399999999999999">
      <c r="A9" s="9">
        <v>1</v>
      </c>
      <c r="B9" s="8">
        <v>110</v>
      </c>
      <c r="C9" s="8">
        <v>1968703358</v>
      </c>
      <c r="D9" s="42" t="s">
        <v>60</v>
      </c>
      <c r="E9" s="42" t="s">
        <v>38</v>
      </c>
      <c r="F9" s="10">
        <v>3</v>
      </c>
      <c r="G9" s="10">
        <v>1</v>
      </c>
      <c r="H9" s="50">
        <v>0</v>
      </c>
      <c r="I9" s="50">
        <v>0</v>
      </c>
      <c r="J9" s="50">
        <v>0</v>
      </c>
      <c r="K9" s="27" t="s">
        <v>22</v>
      </c>
      <c r="L9" s="11">
        <f t="shared" si="0"/>
        <v>4</v>
      </c>
      <c r="M9" s="10">
        <f t="shared" si="1"/>
        <v>1.2</v>
      </c>
      <c r="N9" s="10">
        <f t="shared" si="2"/>
        <v>0</v>
      </c>
      <c r="O9" s="10">
        <v>0</v>
      </c>
      <c r="P9" s="10">
        <f t="shared" si="3"/>
        <v>5.2</v>
      </c>
      <c r="Q9" s="17">
        <v>23.737500000000015</v>
      </c>
      <c r="R9" s="18">
        <f t="shared" si="4"/>
        <v>28.937500000000014</v>
      </c>
      <c r="S9" s="19">
        <f t="shared" si="5"/>
        <v>11.875</v>
      </c>
      <c r="T9" s="20">
        <f t="shared" si="6"/>
        <v>17.062500000000014</v>
      </c>
      <c r="U9" s="11"/>
      <c r="V9" s="11"/>
      <c r="W9" s="17"/>
      <c r="X9" s="14" t="s">
        <v>53</v>
      </c>
      <c r="Y9" s="28">
        <f>AC9/$Y$13/4</f>
        <v>1.09375</v>
      </c>
      <c r="Z9" s="30">
        <v>2</v>
      </c>
      <c r="AA9" s="30">
        <v>3</v>
      </c>
      <c r="AB9" s="30"/>
      <c r="AC9" s="30">
        <v>700</v>
      </c>
    </row>
    <row r="10" spans="1:29" s="1" customFormat="1" ht="17.399999999999999">
      <c r="A10" s="9">
        <v>1</v>
      </c>
      <c r="B10" s="8">
        <v>215</v>
      </c>
      <c r="C10" s="8">
        <v>289805855</v>
      </c>
      <c r="D10" s="42" t="s">
        <v>87</v>
      </c>
      <c r="E10" s="2"/>
      <c r="F10" s="10">
        <v>3</v>
      </c>
      <c r="G10" s="10">
        <v>1</v>
      </c>
      <c r="H10" s="50">
        <v>0</v>
      </c>
      <c r="I10" s="50">
        <v>0</v>
      </c>
      <c r="J10" s="50">
        <v>0</v>
      </c>
      <c r="K10" s="27" t="s">
        <v>22</v>
      </c>
      <c r="L10" s="11">
        <f t="shared" si="0"/>
        <v>4</v>
      </c>
      <c r="M10" s="10">
        <f t="shared" si="1"/>
        <v>1.2</v>
      </c>
      <c r="N10" s="10">
        <f t="shared" si="2"/>
        <v>0</v>
      </c>
      <c r="O10" s="10">
        <v>0</v>
      </c>
      <c r="P10" s="10">
        <f t="shared" si="3"/>
        <v>5.2</v>
      </c>
      <c r="Q10" s="17">
        <v>23.687999999999992</v>
      </c>
      <c r="R10" s="18">
        <f t="shared" si="4"/>
        <v>28.887999999999991</v>
      </c>
      <c r="S10" s="19">
        <f t="shared" si="5"/>
        <v>11.875</v>
      </c>
      <c r="T10" s="20">
        <f t="shared" si="6"/>
        <v>17.012999999999991</v>
      </c>
      <c r="U10" s="4"/>
      <c r="V10" s="4"/>
      <c r="W10" s="4"/>
      <c r="X10" s="33" t="s">
        <v>30</v>
      </c>
      <c r="Y10" s="2">
        <v>0</v>
      </c>
      <c r="Z10" s="2"/>
      <c r="AA10" s="2"/>
      <c r="AB10" s="2"/>
      <c r="AC10" s="2"/>
    </row>
    <row r="11" spans="1:29" s="1" customFormat="1" ht="17.399999999999999">
      <c r="A11" s="9">
        <v>1</v>
      </c>
      <c r="B11" s="8">
        <v>183</v>
      </c>
      <c r="C11" s="8">
        <v>1250030371</v>
      </c>
      <c r="D11" s="42" t="s">
        <v>130</v>
      </c>
      <c r="E11" s="42" t="s">
        <v>121</v>
      </c>
      <c r="F11" s="10">
        <v>3</v>
      </c>
      <c r="G11" s="10">
        <v>1</v>
      </c>
      <c r="H11" s="50">
        <v>0</v>
      </c>
      <c r="I11" s="50">
        <v>0</v>
      </c>
      <c r="J11" s="50">
        <v>0</v>
      </c>
      <c r="K11" s="27" t="s">
        <v>22</v>
      </c>
      <c r="L11" s="11">
        <f t="shared" si="0"/>
        <v>4</v>
      </c>
      <c r="M11" s="10">
        <f t="shared" si="1"/>
        <v>1.2</v>
      </c>
      <c r="N11" s="10">
        <f t="shared" si="2"/>
        <v>0</v>
      </c>
      <c r="O11" s="10">
        <v>0</v>
      </c>
      <c r="P11" s="10">
        <f t="shared" si="3"/>
        <v>5.2</v>
      </c>
      <c r="Q11" s="17">
        <v>22.693749999999998</v>
      </c>
      <c r="R11" s="18">
        <f t="shared" si="4"/>
        <v>27.893749999999997</v>
      </c>
      <c r="S11" s="19">
        <f t="shared" si="5"/>
        <v>11.875</v>
      </c>
      <c r="T11" s="20">
        <f t="shared" si="6"/>
        <v>16.018749999999997</v>
      </c>
      <c r="U11" s="4"/>
      <c r="V11" s="4"/>
      <c r="W11" s="4"/>
      <c r="X11" s="34"/>
    </row>
    <row r="12" spans="1:29" s="1" customFormat="1" ht="17.399999999999999">
      <c r="A12" s="9">
        <v>1</v>
      </c>
      <c r="B12" s="8">
        <v>212</v>
      </c>
      <c r="C12" s="8">
        <v>2133045883</v>
      </c>
      <c r="D12" s="42" t="s">
        <v>84</v>
      </c>
      <c r="E12" s="47"/>
      <c r="F12" s="10">
        <v>3</v>
      </c>
      <c r="G12" s="10">
        <v>0</v>
      </c>
      <c r="H12" s="50">
        <v>0</v>
      </c>
      <c r="I12" s="50">
        <v>0</v>
      </c>
      <c r="J12" s="50">
        <v>0</v>
      </c>
      <c r="K12" s="29" t="s">
        <v>28</v>
      </c>
      <c r="L12" s="11">
        <f t="shared" si="0"/>
        <v>4</v>
      </c>
      <c r="M12" s="10">
        <f t="shared" si="1"/>
        <v>0</v>
      </c>
      <c r="N12" s="10">
        <f t="shared" si="2"/>
        <v>0</v>
      </c>
      <c r="O12" s="10">
        <v>0</v>
      </c>
      <c r="P12" s="10">
        <f t="shared" si="3"/>
        <v>4</v>
      </c>
      <c r="Q12" s="17">
        <v>23.731249999999985</v>
      </c>
      <c r="R12" s="18">
        <f t="shared" si="4"/>
        <v>27.731249999999985</v>
      </c>
      <c r="S12" s="19">
        <f t="shared" si="5"/>
        <v>9.6875</v>
      </c>
      <c r="T12" s="20">
        <f t="shared" si="6"/>
        <v>18.043749999999985</v>
      </c>
      <c r="U12" s="4"/>
      <c r="V12" s="4"/>
      <c r="W12" s="4"/>
      <c r="X12" s="35" t="s">
        <v>32</v>
      </c>
      <c r="Y12" s="1">
        <v>15000</v>
      </c>
    </row>
    <row r="13" spans="1:29" s="2" customFormat="1" ht="17.399999999999999">
      <c r="A13" s="9">
        <v>1</v>
      </c>
      <c r="B13" s="8">
        <v>156</v>
      </c>
      <c r="C13" s="8">
        <v>1744610165</v>
      </c>
      <c r="D13" s="42" t="s">
        <v>135</v>
      </c>
      <c r="E13" s="42" t="s">
        <v>64</v>
      </c>
      <c r="F13" s="10">
        <v>2</v>
      </c>
      <c r="G13" s="10">
        <v>1</v>
      </c>
      <c r="H13" s="50">
        <v>0</v>
      </c>
      <c r="I13" s="50">
        <v>0</v>
      </c>
      <c r="J13" s="50">
        <v>0</v>
      </c>
      <c r="K13" s="29" t="s">
        <v>28</v>
      </c>
      <c r="L13" s="11">
        <f t="shared" si="0"/>
        <v>2</v>
      </c>
      <c r="M13" s="10">
        <f t="shared" si="1"/>
        <v>1.2</v>
      </c>
      <c r="N13" s="10">
        <f t="shared" si="2"/>
        <v>0</v>
      </c>
      <c r="O13" s="10">
        <v>0</v>
      </c>
      <c r="P13" s="10">
        <f t="shared" si="3"/>
        <v>3.2</v>
      </c>
      <c r="Q13" s="17">
        <v>24.373766129032244</v>
      </c>
      <c r="R13" s="18">
        <f t="shared" si="4"/>
        <v>27.573766129032244</v>
      </c>
      <c r="S13" s="19">
        <f t="shared" si="5"/>
        <v>9.6875</v>
      </c>
      <c r="T13" s="20">
        <f t="shared" si="6"/>
        <v>17.886266129032244</v>
      </c>
      <c r="U13" s="4"/>
      <c r="V13" s="4"/>
      <c r="W13" s="4"/>
      <c r="X13" s="36" t="s">
        <v>33</v>
      </c>
      <c r="Y13" s="37">
        <v>160</v>
      </c>
      <c r="Z13" s="1"/>
      <c r="AA13" s="1"/>
      <c r="AB13" s="1"/>
      <c r="AC13" s="1"/>
    </row>
    <row r="14" spans="1:29" s="2" customFormat="1" ht="17.399999999999999">
      <c r="A14" s="9">
        <v>1</v>
      </c>
      <c r="B14" s="8">
        <v>172</v>
      </c>
      <c r="C14" s="8">
        <v>724061220</v>
      </c>
      <c r="D14" s="42" t="s">
        <v>65</v>
      </c>
      <c r="E14" s="42" t="s">
        <v>50</v>
      </c>
      <c r="F14" s="10">
        <v>3</v>
      </c>
      <c r="G14" s="10">
        <v>0</v>
      </c>
      <c r="H14" s="50">
        <v>0</v>
      </c>
      <c r="I14" s="50">
        <v>0</v>
      </c>
      <c r="J14" s="50">
        <v>0</v>
      </c>
      <c r="K14" s="29" t="s">
        <v>28</v>
      </c>
      <c r="L14" s="11">
        <f t="shared" si="0"/>
        <v>4</v>
      </c>
      <c r="M14" s="10">
        <f t="shared" si="1"/>
        <v>0</v>
      </c>
      <c r="N14" s="10">
        <f t="shared" si="2"/>
        <v>0</v>
      </c>
      <c r="O14" s="10">
        <v>0</v>
      </c>
      <c r="P14" s="10">
        <f t="shared" si="3"/>
        <v>4</v>
      </c>
      <c r="Q14" s="17">
        <v>22.856249999999999</v>
      </c>
      <c r="R14" s="18">
        <f t="shared" si="4"/>
        <v>26.856249999999999</v>
      </c>
      <c r="S14" s="19">
        <f t="shared" si="5"/>
        <v>9.6875</v>
      </c>
      <c r="T14" s="20">
        <f t="shared" si="6"/>
        <v>17.168749999999999</v>
      </c>
      <c r="U14" s="4"/>
      <c r="V14" s="4"/>
      <c r="W14" s="4"/>
      <c r="X14" s="38" t="s">
        <v>42</v>
      </c>
      <c r="Y14" s="37">
        <v>1.2</v>
      </c>
      <c r="Z14" s="1"/>
      <c r="AA14" s="1"/>
      <c r="AB14" s="1"/>
      <c r="AC14" s="1"/>
    </row>
    <row r="15" spans="1:29" s="2" customFormat="1" ht="17.399999999999999">
      <c r="A15" s="9">
        <v>1</v>
      </c>
      <c r="B15" s="8">
        <v>116</v>
      </c>
      <c r="C15" s="8">
        <v>2122596917</v>
      </c>
      <c r="D15" s="42" t="s">
        <v>61</v>
      </c>
      <c r="E15" s="42" t="s">
        <v>37</v>
      </c>
      <c r="F15" s="10">
        <v>2</v>
      </c>
      <c r="G15" s="10">
        <v>1</v>
      </c>
      <c r="H15" s="50">
        <v>0</v>
      </c>
      <c r="I15" s="50">
        <v>0</v>
      </c>
      <c r="J15" s="50">
        <v>0</v>
      </c>
      <c r="K15" s="29" t="s">
        <v>28</v>
      </c>
      <c r="L15" s="11">
        <f t="shared" si="0"/>
        <v>2</v>
      </c>
      <c r="M15" s="10">
        <f t="shared" si="1"/>
        <v>1.2</v>
      </c>
      <c r="N15" s="10">
        <f t="shared" si="2"/>
        <v>0</v>
      </c>
      <c r="O15" s="10">
        <v>0</v>
      </c>
      <c r="P15" s="10">
        <f t="shared" si="3"/>
        <v>3.2</v>
      </c>
      <c r="Q15" s="17">
        <v>23.574999999999999</v>
      </c>
      <c r="R15" s="18">
        <f t="shared" si="4"/>
        <v>26.774999999999999</v>
      </c>
      <c r="S15" s="19">
        <f t="shared" si="5"/>
        <v>9.6875</v>
      </c>
      <c r="T15" s="20">
        <f t="shared" si="6"/>
        <v>17.087499999999999</v>
      </c>
      <c r="U15" s="11"/>
      <c r="V15" s="11"/>
      <c r="W15" s="32"/>
      <c r="X15" s="1" t="s">
        <v>34</v>
      </c>
      <c r="Y15" s="37">
        <v>2021</v>
      </c>
      <c r="Z15" s="1"/>
      <c r="AA15" s="1"/>
      <c r="AB15" s="1"/>
      <c r="AC15" s="1"/>
    </row>
    <row r="16" spans="1:29" s="2" customFormat="1" ht="17.399999999999999">
      <c r="A16" s="9">
        <v>1</v>
      </c>
      <c r="B16" s="8">
        <v>200</v>
      </c>
      <c r="C16" s="8">
        <v>967589156</v>
      </c>
      <c r="D16" s="42" t="s">
        <v>76</v>
      </c>
      <c r="E16" s="47"/>
      <c r="F16" s="10">
        <v>3</v>
      </c>
      <c r="G16" s="10">
        <v>1</v>
      </c>
      <c r="H16" s="50">
        <v>0</v>
      </c>
      <c r="I16" s="50">
        <v>0</v>
      </c>
      <c r="J16" s="50">
        <v>0</v>
      </c>
      <c r="K16" s="29" t="s">
        <v>28</v>
      </c>
      <c r="L16" s="11">
        <f t="shared" si="0"/>
        <v>4</v>
      </c>
      <c r="M16" s="10">
        <f t="shared" si="1"/>
        <v>1.2</v>
      </c>
      <c r="N16" s="10">
        <f t="shared" si="2"/>
        <v>0</v>
      </c>
      <c r="O16" s="10">
        <v>0</v>
      </c>
      <c r="P16" s="10">
        <f t="shared" si="3"/>
        <v>5.2</v>
      </c>
      <c r="Q16" s="17">
        <v>21.556250000000016</v>
      </c>
      <c r="R16" s="18">
        <f t="shared" si="4"/>
        <v>26.756250000000016</v>
      </c>
      <c r="S16" s="19">
        <f t="shared" si="5"/>
        <v>9.6875</v>
      </c>
      <c r="T16" s="20">
        <f t="shared" si="6"/>
        <v>17.068750000000016</v>
      </c>
      <c r="U16" s="4"/>
      <c r="V16" s="4"/>
      <c r="W16" s="4"/>
      <c r="X16" s="1" t="s">
        <v>35</v>
      </c>
      <c r="Y16" s="37">
        <v>10</v>
      </c>
      <c r="Z16" s="1"/>
      <c r="AA16" s="1"/>
      <c r="AB16" s="1"/>
      <c r="AC16" s="1"/>
    </row>
    <row r="17" spans="1:29" s="2" customFormat="1" ht="17.399999999999999">
      <c r="A17" s="9">
        <v>1</v>
      </c>
      <c r="B17" s="8">
        <v>216</v>
      </c>
      <c r="C17" s="8">
        <v>395700385</v>
      </c>
      <c r="D17" s="42" t="s">
        <v>88</v>
      </c>
      <c r="F17" s="10">
        <v>3</v>
      </c>
      <c r="G17" s="10">
        <v>1</v>
      </c>
      <c r="H17" s="50">
        <v>0</v>
      </c>
      <c r="I17" s="50">
        <v>0</v>
      </c>
      <c r="J17" s="50">
        <v>0</v>
      </c>
      <c r="K17" s="29" t="s">
        <v>28</v>
      </c>
      <c r="L17" s="11">
        <f t="shared" si="0"/>
        <v>4</v>
      </c>
      <c r="M17" s="10">
        <f t="shared" si="1"/>
        <v>1.2</v>
      </c>
      <c r="N17" s="10">
        <f t="shared" si="2"/>
        <v>0</v>
      </c>
      <c r="O17" s="10">
        <v>0</v>
      </c>
      <c r="P17" s="10">
        <f t="shared" si="3"/>
        <v>5.2</v>
      </c>
      <c r="Q17" s="17">
        <v>21.500201612903215</v>
      </c>
      <c r="R17" s="18">
        <f t="shared" si="4"/>
        <v>26.700201612903214</v>
      </c>
      <c r="S17" s="19">
        <f t="shared" si="5"/>
        <v>9.6875</v>
      </c>
      <c r="T17" s="20">
        <f t="shared" si="6"/>
        <v>17.012701612903214</v>
      </c>
      <c r="U17" s="4"/>
      <c r="V17" s="4"/>
      <c r="W17" s="4"/>
      <c r="X17" s="1" t="s">
        <v>36</v>
      </c>
      <c r="Y17" s="37">
        <v>9</v>
      </c>
      <c r="Z17" s="1"/>
      <c r="AA17" s="1"/>
      <c r="AB17" s="1"/>
      <c r="AC17" s="1"/>
    </row>
    <row r="18" spans="1:29" s="2" customFormat="1" ht="17.399999999999999">
      <c r="A18" s="9">
        <v>1</v>
      </c>
      <c r="B18" s="9">
        <v>26</v>
      </c>
      <c r="C18" s="8">
        <v>1754932067</v>
      </c>
      <c r="D18" s="42" t="s">
        <v>58</v>
      </c>
      <c r="E18" s="42" t="s">
        <v>9</v>
      </c>
      <c r="F18" s="10">
        <v>3</v>
      </c>
      <c r="G18" s="10">
        <v>1</v>
      </c>
      <c r="H18" s="50">
        <v>0</v>
      </c>
      <c r="I18" s="50">
        <v>0</v>
      </c>
      <c r="J18" s="50">
        <v>0</v>
      </c>
      <c r="K18" s="29" t="s">
        <v>28</v>
      </c>
      <c r="L18" s="11">
        <f t="shared" si="0"/>
        <v>4</v>
      </c>
      <c r="M18" s="10">
        <f t="shared" si="1"/>
        <v>1.2</v>
      </c>
      <c r="N18" s="10">
        <f t="shared" si="2"/>
        <v>0</v>
      </c>
      <c r="O18" s="10">
        <v>0</v>
      </c>
      <c r="P18" s="10">
        <f t="shared" si="3"/>
        <v>5.2</v>
      </c>
      <c r="Q18" s="17">
        <v>21.462500000000002</v>
      </c>
      <c r="R18" s="18">
        <f t="shared" si="4"/>
        <v>26.662500000000001</v>
      </c>
      <c r="S18" s="19">
        <f t="shared" si="5"/>
        <v>9.6875</v>
      </c>
      <c r="T18" s="20">
        <f t="shared" si="6"/>
        <v>16.975000000000001</v>
      </c>
      <c r="U18" s="11"/>
      <c r="V18" s="11"/>
      <c r="W18" s="11"/>
      <c r="X18" s="51" t="s">
        <v>103</v>
      </c>
      <c r="Y18" s="37">
        <v>0.4</v>
      </c>
      <c r="Z18" s="1"/>
      <c r="AA18" s="1"/>
      <c r="AB18" s="1"/>
      <c r="AC18" s="1"/>
    </row>
    <row r="19" spans="1:29" s="2" customFormat="1" ht="17.399999999999999">
      <c r="A19" s="9">
        <v>1</v>
      </c>
      <c r="B19" s="9">
        <v>231</v>
      </c>
      <c r="C19" s="8">
        <v>1725915293</v>
      </c>
      <c r="D19" s="42" t="s">
        <v>112</v>
      </c>
      <c r="E19" s="4"/>
      <c r="F19" s="10">
        <v>3</v>
      </c>
      <c r="G19" s="10">
        <v>1</v>
      </c>
      <c r="H19" s="50">
        <v>0</v>
      </c>
      <c r="I19" s="50">
        <v>0</v>
      </c>
      <c r="J19" s="50">
        <v>0</v>
      </c>
      <c r="K19" s="14" t="s">
        <v>29</v>
      </c>
      <c r="L19" s="11">
        <f t="shared" si="0"/>
        <v>4</v>
      </c>
      <c r="M19" s="10">
        <f t="shared" si="1"/>
        <v>1.2</v>
      </c>
      <c r="N19" s="10">
        <f t="shared" si="2"/>
        <v>0</v>
      </c>
      <c r="O19" s="10">
        <v>0</v>
      </c>
      <c r="P19" s="10">
        <f t="shared" si="3"/>
        <v>5.2</v>
      </c>
      <c r="Q19" s="17">
        <v>21.443749999999998</v>
      </c>
      <c r="R19" s="18">
        <f t="shared" si="4"/>
        <v>26.643749999999997</v>
      </c>
      <c r="S19" s="19">
        <f t="shared" si="5"/>
        <v>1.875</v>
      </c>
      <c r="T19" s="20">
        <f t="shared" si="6"/>
        <v>24.768749999999997</v>
      </c>
      <c r="U19" s="4"/>
      <c r="V19" s="4"/>
      <c r="W19" s="4"/>
      <c r="X19" s="1"/>
      <c r="Y19" s="1"/>
      <c r="Z19" s="1"/>
      <c r="AA19" s="1"/>
      <c r="AB19" s="1"/>
      <c r="AC19" s="1"/>
    </row>
    <row r="20" spans="1:29" s="2" customFormat="1" ht="17.399999999999999">
      <c r="A20" s="9">
        <v>1</v>
      </c>
      <c r="B20" s="8">
        <v>208</v>
      </c>
      <c r="C20" s="8">
        <v>92129464</v>
      </c>
      <c r="D20" s="42" t="s">
        <v>82</v>
      </c>
      <c r="E20" s="47"/>
      <c r="F20" s="10">
        <v>3</v>
      </c>
      <c r="G20" s="10">
        <v>1</v>
      </c>
      <c r="H20" s="50">
        <v>0</v>
      </c>
      <c r="I20" s="50">
        <v>0</v>
      </c>
      <c r="J20" s="50">
        <v>0</v>
      </c>
      <c r="K20" s="14" t="s">
        <v>29</v>
      </c>
      <c r="L20" s="11">
        <f t="shared" si="0"/>
        <v>4</v>
      </c>
      <c r="M20" s="10">
        <f t="shared" si="1"/>
        <v>1.2</v>
      </c>
      <c r="N20" s="10">
        <f t="shared" si="2"/>
        <v>0</v>
      </c>
      <c r="O20" s="10">
        <v>0</v>
      </c>
      <c r="P20" s="10">
        <f t="shared" si="3"/>
        <v>5.2</v>
      </c>
      <c r="Q20" s="17">
        <v>21.224999999999998</v>
      </c>
      <c r="R20" s="18">
        <f t="shared" si="4"/>
        <v>26.424999999999997</v>
      </c>
      <c r="S20" s="19">
        <f t="shared" si="5"/>
        <v>1.875</v>
      </c>
      <c r="T20" s="20">
        <f t="shared" si="6"/>
        <v>24.549999999999997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20.399999999999999">
      <c r="A21" s="9">
        <v>1</v>
      </c>
      <c r="B21" s="8">
        <v>221</v>
      </c>
      <c r="C21" s="8">
        <v>790956883</v>
      </c>
      <c r="D21" s="42" t="s">
        <v>96</v>
      </c>
      <c r="E21" s="42" t="s">
        <v>95</v>
      </c>
      <c r="F21" s="10">
        <v>3</v>
      </c>
      <c r="G21" s="10">
        <v>1</v>
      </c>
      <c r="H21" s="50">
        <v>0</v>
      </c>
      <c r="I21" s="50">
        <v>0</v>
      </c>
      <c r="J21" s="50">
        <v>0</v>
      </c>
      <c r="K21" s="14" t="s">
        <v>29</v>
      </c>
      <c r="L21" s="11">
        <f t="shared" si="0"/>
        <v>4</v>
      </c>
      <c r="M21" s="10">
        <f t="shared" si="1"/>
        <v>1.2</v>
      </c>
      <c r="N21" s="10">
        <f t="shared" si="2"/>
        <v>0</v>
      </c>
      <c r="O21" s="10">
        <v>0</v>
      </c>
      <c r="P21" s="10">
        <f t="shared" si="3"/>
        <v>5.2</v>
      </c>
      <c r="Q21" s="17">
        <v>21.181249999999995</v>
      </c>
      <c r="R21" s="18">
        <f t="shared" si="4"/>
        <v>26.381249999999994</v>
      </c>
      <c r="S21" s="19">
        <f t="shared" si="5"/>
        <v>1.875</v>
      </c>
      <c r="T21" s="20">
        <f t="shared" si="6"/>
        <v>24.506249999999994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7.399999999999999">
      <c r="A22" s="9">
        <v>1</v>
      </c>
      <c r="B22" s="8">
        <v>225</v>
      </c>
      <c r="C22" s="8">
        <v>1963965829</v>
      </c>
      <c r="D22" s="42" t="s">
        <v>107</v>
      </c>
      <c r="E22" s="42"/>
      <c r="F22" s="10">
        <v>3</v>
      </c>
      <c r="G22" s="10">
        <v>1</v>
      </c>
      <c r="H22" s="50">
        <v>0</v>
      </c>
      <c r="I22" s="50">
        <v>0</v>
      </c>
      <c r="J22" s="50">
        <v>0</v>
      </c>
      <c r="K22" s="14" t="s">
        <v>29</v>
      </c>
      <c r="L22" s="11">
        <f t="shared" si="0"/>
        <v>4</v>
      </c>
      <c r="M22" s="10">
        <f t="shared" si="1"/>
        <v>1.2</v>
      </c>
      <c r="N22" s="10">
        <f t="shared" si="2"/>
        <v>0</v>
      </c>
      <c r="O22" s="10">
        <v>0</v>
      </c>
      <c r="P22" s="10">
        <f t="shared" si="3"/>
        <v>5.2</v>
      </c>
      <c r="Q22" s="17">
        <v>21.135736940298496</v>
      </c>
      <c r="R22" s="18">
        <f t="shared" si="4"/>
        <v>26.335736940298496</v>
      </c>
      <c r="S22" s="19">
        <f t="shared" si="5"/>
        <v>1.875</v>
      </c>
      <c r="T22" s="20">
        <f t="shared" si="6"/>
        <v>24.460736940298496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7.399999999999999">
      <c r="A23" s="9">
        <v>1</v>
      </c>
      <c r="B23" s="8">
        <v>242</v>
      </c>
      <c r="C23" s="8">
        <v>1381736232</v>
      </c>
      <c r="D23" s="42" t="s">
        <v>125</v>
      </c>
      <c r="E23" s="4"/>
      <c r="F23" s="10">
        <v>3</v>
      </c>
      <c r="G23" s="10">
        <v>1</v>
      </c>
      <c r="H23" s="50">
        <v>0</v>
      </c>
      <c r="I23" s="50">
        <v>0</v>
      </c>
      <c r="J23" s="50">
        <v>0</v>
      </c>
      <c r="K23" s="14" t="s">
        <v>29</v>
      </c>
      <c r="L23" s="11">
        <f t="shared" si="0"/>
        <v>4</v>
      </c>
      <c r="M23" s="10">
        <f t="shared" si="1"/>
        <v>1.2</v>
      </c>
      <c r="N23" s="10">
        <f t="shared" si="2"/>
        <v>0</v>
      </c>
      <c r="O23" s="10">
        <v>0</v>
      </c>
      <c r="P23" s="10">
        <f t="shared" si="3"/>
        <v>5.2</v>
      </c>
      <c r="Q23" s="17">
        <v>21.106249999999992</v>
      </c>
      <c r="R23" s="18">
        <f t="shared" si="4"/>
        <v>26.306249999999991</v>
      </c>
      <c r="S23" s="19">
        <f t="shared" si="5"/>
        <v>1.875</v>
      </c>
      <c r="T23" s="20">
        <f t="shared" si="6"/>
        <v>24.431249999999991</v>
      </c>
      <c r="U23" s="4"/>
      <c r="V23" s="4"/>
      <c r="W23" s="4"/>
    </row>
    <row r="24" spans="1:29" s="1" customFormat="1" ht="17.399999999999999">
      <c r="A24" s="9">
        <v>1</v>
      </c>
      <c r="B24" s="8">
        <v>178</v>
      </c>
      <c r="C24" s="8">
        <v>1059185275</v>
      </c>
      <c r="D24" s="42" t="s">
        <v>66</v>
      </c>
      <c r="E24" s="47"/>
      <c r="F24" s="10">
        <v>3</v>
      </c>
      <c r="G24" s="10">
        <v>1</v>
      </c>
      <c r="H24" s="50">
        <v>0</v>
      </c>
      <c r="I24" s="50">
        <v>0</v>
      </c>
      <c r="J24" s="50">
        <v>0</v>
      </c>
      <c r="K24" s="14" t="s">
        <v>29</v>
      </c>
      <c r="L24" s="11">
        <f t="shared" si="0"/>
        <v>4</v>
      </c>
      <c r="M24" s="10">
        <f t="shared" si="1"/>
        <v>1.2</v>
      </c>
      <c r="N24" s="10">
        <f t="shared" si="2"/>
        <v>0</v>
      </c>
      <c r="O24" s="10">
        <v>0</v>
      </c>
      <c r="P24" s="10">
        <f t="shared" si="3"/>
        <v>5.2</v>
      </c>
      <c r="Q24" s="17">
        <v>21.087499999999995</v>
      </c>
      <c r="R24" s="18">
        <f t="shared" si="4"/>
        <v>26.287499999999994</v>
      </c>
      <c r="S24" s="19">
        <f t="shared" si="5"/>
        <v>1.875</v>
      </c>
      <c r="T24" s="20">
        <f t="shared" si="6"/>
        <v>24.412499999999994</v>
      </c>
      <c r="U24" s="4"/>
      <c r="V24" s="4"/>
      <c r="W24" s="4"/>
    </row>
    <row r="25" spans="1:29" s="1" customFormat="1" ht="17.399999999999999">
      <c r="A25" s="9">
        <v>1</v>
      </c>
      <c r="B25" s="8">
        <v>167</v>
      </c>
      <c r="C25" s="8">
        <v>1173807161</v>
      </c>
      <c r="D25" s="42" t="s">
        <v>48</v>
      </c>
      <c r="E25" s="48"/>
      <c r="F25" s="10">
        <v>0</v>
      </c>
      <c r="G25" s="10">
        <v>0</v>
      </c>
      <c r="H25" s="50">
        <v>0</v>
      </c>
      <c r="I25" s="50">
        <v>0</v>
      </c>
      <c r="J25" s="50">
        <v>0</v>
      </c>
      <c r="K25" s="39" t="s">
        <v>30</v>
      </c>
      <c r="L25" s="11">
        <f t="shared" si="0"/>
        <v>0</v>
      </c>
      <c r="M25" s="10">
        <f t="shared" si="1"/>
        <v>0</v>
      </c>
      <c r="N25" s="10">
        <f t="shared" si="2"/>
        <v>0</v>
      </c>
      <c r="O25" s="10">
        <v>0</v>
      </c>
      <c r="P25" s="10">
        <f t="shared" si="3"/>
        <v>0</v>
      </c>
      <c r="Q25" s="17">
        <v>25.824999999999978</v>
      </c>
      <c r="R25" s="18">
        <f t="shared" si="4"/>
        <v>25.824999999999978</v>
      </c>
      <c r="S25" s="19">
        <f t="shared" si="5"/>
        <v>0</v>
      </c>
      <c r="T25" s="20">
        <f t="shared" si="6"/>
        <v>25.824999999999978</v>
      </c>
      <c r="U25" s="4"/>
      <c r="V25" s="4"/>
      <c r="W25" s="4"/>
    </row>
    <row r="26" spans="1:29" s="1" customFormat="1" ht="18.75" customHeight="1">
      <c r="A26" s="9">
        <v>1</v>
      </c>
      <c r="B26" s="8">
        <v>232</v>
      </c>
      <c r="C26" s="8">
        <v>1088909927</v>
      </c>
      <c r="D26" s="42" t="s">
        <v>113</v>
      </c>
      <c r="E26" s="4"/>
      <c r="F26" s="10">
        <v>3</v>
      </c>
      <c r="G26" s="10">
        <v>1</v>
      </c>
      <c r="H26" s="50">
        <v>0</v>
      </c>
      <c r="I26" s="50">
        <v>0</v>
      </c>
      <c r="J26" s="50">
        <v>0</v>
      </c>
      <c r="K26" s="14" t="s">
        <v>29</v>
      </c>
      <c r="L26" s="11">
        <f t="shared" si="0"/>
        <v>4</v>
      </c>
      <c r="M26" s="10">
        <f t="shared" si="1"/>
        <v>1.2</v>
      </c>
      <c r="N26" s="10">
        <f t="shared" si="2"/>
        <v>0</v>
      </c>
      <c r="O26" s="10">
        <v>0</v>
      </c>
      <c r="P26" s="10">
        <f t="shared" si="3"/>
        <v>5.2</v>
      </c>
      <c r="Q26" s="17">
        <v>20.606249999999999</v>
      </c>
      <c r="R26" s="18">
        <f t="shared" si="4"/>
        <v>25.806249999999999</v>
      </c>
      <c r="S26" s="19">
        <f t="shared" si="5"/>
        <v>1.875</v>
      </c>
      <c r="T26" s="20">
        <f t="shared" si="6"/>
        <v>23.931249999999999</v>
      </c>
      <c r="U26" s="4"/>
      <c r="V26" s="4"/>
      <c r="W26" s="4"/>
    </row>
    <row r="27" spans="1:29" s="1" customFormat="1" ht="17.399999999999999">
      <c r="A27" s="9">
        <v>1</v>
      </c>
      <c r="B27" s="8">
        <v>182</v>
      </c>
      <c r="C27" s="8">
        <v>828260319</v>
      </c>
      <c r="D27" s="42" t="s">
        <v>134</v>
      </c>
      <c r="E27" s="42" t="s">
        <v>127</v>
      </c>
      <c r="F27" s="10">
        <v>3</v>
      </c>
      <c r="G27" s="10">
        <v>1</v>
      </c>
      <c r="H27" s="50">
        <v>0</v>
      </c>
      <c r="I27" s="50">
        <v>0</v>
      </c>
      <c r="J27" s="50">
        <v>0</v>
      </c>
      <c r="K27" s="14" t="s">
        <v>29</v>
      </c>
      <c r="L27" s="11">
        <f t="shared" si="0"/>
        <v>4</v>
      </c>
      <c r="M27" s="10">
        <f t="shared" si="1"/>
        <v>1.2</v>
      </c>
      <c r="N27" s="10">
        <f t="shared" si="2"/>
        <v>0</v>
      </c>
      <c r="O27" s="10">
        <v>0</v>
      </c>
      <c r="P27" s="10">
        <f t="shared" si="3"/>
        <v>5.2</v>
      </c>
      <c r="Q27" s="17">
        <v>20.28175000000002</v>
      </c>
      <c r="R27" s="18">
        <f t="shared" si="4"/>
        <v>25.481750000000019</v>
      </c>
      <c r="S27" s="19">
        <f t="shared" si="5"/>
        <v>1.875</v>
      </c>
      <c r="T27" s="20">
        <f t="shared" si="6"/>
        <v>23.606750000000019</v>
      </c>
      <c r="U27" s="4"/>
      <c r="V27" s="4"/>
      <c r="W27" s="4"/>
    </row>
    <row r="28" spans="1:29" s="1" customFormat="1" ht="17.399999999999999">
      <c r="A28" s="9">
        <v>1</v>
      </c>
      <c r="B28" s="8">
        <v>118</v>
      </c>
      <c r="C28" s="8">
        <v>2018112397</v>
      </c>
      <c r="D28" s="42" t="s">
        <v>54</v>
      </c>
      <c r="E28" s="42" t="s">
        <v>47</v>
      </c>
      <c r="F28" s="10">
        <v>1</v>
      </c>
      <c r="G28" s="10">
        <v>1</v>
      </c>
      <c r="H28" s="50">
        <v>0</v>
      </c>
      <c r="I28" s="50">
        <v>0</v>
      </c>
      <c r="J28" s="50">
        <v>0</v>
      </c>
      <c r="K28" s="14" t="s">
        <v>29</v>
      </c>
      <c r="L28" s="11">
        <f t="shared" si="0"/>
        <v>1</v>
      </c>
      <c r="M28" s="10">
        <f t="shared" si="1"/>
        <v>1.2</v>
      </c>
      <c r="N28" s="10">
        <f t="shared" si="2"/>
        <v>0</v>
      </c>
      <c r="O28" s="10">
        <v>0</v>
      </c>
      <c r="P28" s="10">
        <f t="shared" si="3"/>
        <v>2.2000000000000002</v>
      </c>
      <c r="Q28" s="17">
        <v>23.068749999999987</v>
      </c>
      <c r="R28" s="18">
        <f t="shared" si="4"/>
        <v>25.268749999999986</v>
      </c>
      <c r="S28" s="19">
        <f t="shared" si="5"/>
        <v>1.875</v>
      </c>
      <c r="T28" s="20">
        <f t="shared" si="6"/>
        <v>23.393749999999986</v>
      </c>
      <c r="U28" s="11"/>
      <c r="V28" s="11"/>
      <c r="W28" s="32"/>
    </row>
    <row r="29" spans="1:29" s="2" customFormat="1" ht="17.399999999999999">
      <c r="A29" s="9">
        <v>1</v>
      </c>
      <c r="B29" s="8">
        <v>128</v>
      </c>
      <c r="C29" s="8">
        <v>1214614935</v>
      </c>
      <c r="D29" s="42" t="s">
        <v>62</v>
      </c>
      <c r="E29" s="49" t="s">
        <v>43</v>
      </c>
      <c r="F29" s="10">
        <v>2</v>
      </c>
      <c r="G29" s="10">
        <v>1</v>
      </c>
      <c r="H29" s="50">
        <v>0</v>
      </c>
      <c r="I29" s="50">
        <v>0</v>
      </c>
      <c r="J29" s="50">
        <v>0</v>
      </c>
      <c r="K29" s="14" t="s">
        <v>29</v>
      </c>
      <c r="L29" s="11">
        <f t="shared" si="0"/>
        <v>2</v>
      </c>
      <c r="M29" s="10">
        <f t="shared" si="1"/>
        <v>1.2</v>
      </c>
      <c r="N29" s="10">
        <f t="shared" si="2"/>
        <v>0</v>
      </c>
      <c r="O29" s="10">
        <v>0</v>
      </c>
      <c r="P29" s="10">
        <f t="shared" si="3"/>
        <v>3.2</v>
      </c>
      <c r="Q29" s="17">
        <v>21.624499999999994</v>
      </c>
      <c r="R29" s="18">
        <f t="shared" si="4"/>
        <v>24.824499999999993</v>
      </c>
      <c r="S29" s="19">
        <f t="shared" si="5"/>
        <v>1.875</v>
      </c>
      <c r="T29" s="20">
        <f t="shared" si="6"/>
        <v>22.949499999999993</v>
      </c>
      <c r="U29" s="11"/>
      <c r="V29" s="11"/>
      <c r="W29" s="31"/>
      <c r="X29" s="1"/>
      <c r="Y29" s="1"/>
      <c r="Z29" s="1"/>
      <c r="AA29" s="1"/>
      <c r="AB29" s="1"/>
      <c r="AC29" s="1"/>
    </row>
    <row r="30" spans="1:29" s="2" customFormat="1" ht="17.399999999999999">
      <c r="A30" s="9">
        <v>1</v>
      </c>
      <c r="B30" s="8">
        <v>184</v>
      </c>
      <c r="C30" s="8">
        <v>1814130074</v>
      </c>
      <c r="D30" s="42" t="s">
        <v>67</v>
      </c>
      <c r="E30" s="47"/>
      <c r="F30" s="10">
        <v>3</v>
      </c>
      <c r="G30" s="10">
        <v>1</v>
      </c>
      <c r="H30" s="50">
        <v>0</v>
      </c>
      <c r="I30" s="50">
        <v>0</v>
      </c>
      <c r="J30" s="50">
        <v>0</v>
      </c>
      <c r="K30" s="14" t="s">
        <v>29</v>
      </c>
      <c r="L30" s="11">
        <f t="shared" si="0"/>
        <v>4</v>
      </c>
      <c r="M30" s="10">
        <f t="shared" si="1"/>
        <v>1.2</v>
      </c>
      <c r="N30" s="10">
        <f t="shared" si="2"/>
        <v>0</v>
      </c>
      <c r="O30" s="10">
        <v>0</v>
      </c>
      <c r="P30" s="10">
        <f t="shared" si="3"/>
        <v>5.2</v>
      </c>
      <c r="Q30" s="17">
        <v>19.343750000000021</v>
      </c>
      <c r="R30" s="18">
        <f t="shared" si="4"/>
        <v>24.543750000000021</v>
      </c>
      <c r="S30" s="19">
        <f t="shared" si="5"/>
        <v>1.875</v>
      </c>
      <c r="T30" s="20">
        <f t="shared" si="6"/>
        <v>22.668750000000021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7.399999999999999">
      <c r="A31" s="9">
        <v>1</v>
      </c>
      <c r="B31" s="9">
        <v>46</v>
      </c>
      <c r="C31" s="8">
        <v>2109182835</v>
      </c>
      <c r="D31" s="42" t="s">
        <v>59</v>
      </c>
      <c r="E31" s="42" t="s">
        <v>10</v>
      </c>
      <c r="F31" s="10">
        <v>1</v>
      </c>
      <c r="G31" s="10">
        <v>0</v>
      </c>
      <c r="H31" s="50">
        <v>0</v>
      </c>
      <c r="I31" s="50">
        <v>0</v>
      </c>
      <c r="J31" s="50">
        <v>0</v>
      </c>
      <c r="K31" s="14" t="s">
        <v>29</v>
      </c>
      <c r="L31" s="11">
        <f t="shared" si="0"/>
        <v>1</v>
      </c>
      <c r="M31" s="10">
        <f t="shared" si="1"/>
        <v>0</v>
      </c>
      <c r="N31" s="10">
        <f t="shared" si="2"/>
        <v>0</v>
      </c>
      <c r="O31" s="10">
        <v>0</v>
      </c>
      <c r="P31" s="10">
        <f t="shared" si="3"/>
        <v>1</v>
      </c>
      <c r="Q31" s="17">
        <v>22.717500000000015</v>
      </c>
      <c r="R31" s="18">
        <f t="shared" si="4"/>
        <v>23.717500000000015</v>
      </c>
      <c r="S31" s="19">
        <f t="shared" si="5"/>
        <v>1.875</v>
      </c>
      <c r="T31" s="20">
        <f t="shared" si="6"/>
        <v>21.842500000000015</v>
      </c>
      <c r="U31" s="11"/>
      <c r="V31" s="11"/>
      <c r="W31" s="11"/>
      <c r="X31" s="1"/>
      <c r="Y31" s="1"/>
      <c r="Z31" s="1"/>
      <c r="AA31" s="1"/>
      <c r="AB31" s="1"/>
      <c r="AC31" s="1"/>
    </row>
    <row r="32" spans="1:29" s="2" customFormat="1" ht="17.399999999999999">
      <c r="A32" s="9">
        <v>1</v>
      </c>
      <c r="B32" s="8">
        <v>195</v>
      </c>
      <c r="C32" s="8">
        <v>1634663314</v>
      </c>
      <c r="D32" s="42" t="s">
        <v>73</v>
      </c>
      <c r="E32" s="47"/>
      <c r="F32" s="10">
        <v>2</v>
      </c>
      <c r="G32" s="10">
        <v>1</v>
      </c>
      <c r="H32" s="50">
        <v>0</v>
      </c>
      <c r="I32" s="50">
        <v>0</v>
      </c>
      <c r="J32" s="50">
        <v>0</v>
      </c>
      <c r="K32" s="14" t="s">
        <v>29</v>
      </c>
      <c r="L32" s="11">
        <f t="shared" si="0"/>
        <v>2</v>
      </c>
      <c r="M32" s="10">
        <f t="shared" si="1"/>
        <v>1.2</v>
      </c>
      <c r="N32" s="10">
        <f t="shared" si="2"/>
        <v>0</v>
      </c>
      <c r="O32" s="10">
        <v>0</v>
      </c>
      <c r="P32" s="10">
        <f t="shared" si="3"/>
        <v>3.2</v>
      </c>
      <c r="Q32" s="17">
        <v>20.380749999999988</v>
      </c>
      <c r="R32" s="18">
        <f t="shared" si="4"/>
        <v>23.580749999999988</v>
      </c>
      <c r="S32" s="19">
        <f t="shared" si="5"/>
        <v>1.875</v>
      </c>
      <c r="T32" s="20">
        <f t="shared" si="6"/>
        <v>21.705749999999988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20.399999999999999">
      <c r="A33" s="9">
        <v>1</v>
      </c>
      <c r="B33" s="9">
        <v>49</v>
      </c>
      <c r="C33" s="8">
        <v>311361673</v>
      </c>
      <c r="D33" s="43" t="s">
        <v>105</v>
      </c>
      <c r="E33" s="49" t="s">
        <v>11</v>
      </c>
      <c r="F33" s="10">
        <v>3</v>
      </c>
      <c r="G33" s="10">
        <v>1</v>
      </c>
      <c r="H33" s="50">
        <v>0</v>
      </c>
      <c r="I33" s="50">
        <v>0</v>
      </c>
      <c r="J33" s="50">
        <v>0</v>
      </c>
      <c r="K33" s="14" t="s">
        <v>29</v>
      </c>
      <c r="L33" s="11">
        <f t="shared" si="0"/>
        <v>4</v>
      </c>
      <c r="M33" s="10">
        <f>IF(G33&gt;0,1,0)*$Y$14</f>
        <v>1.2</v>
      </c>
      <c r="N33" s="10">
        <f t="shared" si="2"/>
        <v>0</v>
      </c>
      <c r="O33" s="10">
        <v>0</v>
      </c>
      <c r="P33" s="10">
        <f t="shared" si="3"/>
        <v>5.2</v>
      </c>
      <c r="Q33" s="17">
        <v>18.156249999999996</v>
      </c>
      <c r="R33" s="18">
        <f t="shared" si="4"/>
        <v>23.356249999999996</v>
      </c>
      <c r="S33" s="19">
        <f t="shared" si="5"/>
        <v>1.875</v>
      </c>
      <c r="T33" s="20">
        <f t="shared" si="6"/>
        <v>21.481249999999996</v>
      </c>
      <c r="U33" s="11"/>
      <c r="V33" s="11"/>
      <c r="W33" s="11"/>
      <c r="X33" s="1"/>
      <c r="Y33" s="1"/>
      <c r="Z33" s="1"/>
      <c r="AA33" s="1"/>
      <c r="AB33" s="1"/>
      <c r="AC33" s="1"/>
    </row>
    <row r="34" spans="1:29" s="2" customFormat="1" ht="17.399999999999999">
      <c r="A34" s="9">
        <v>1</v>
      </c>
      <c r="B34" s="8">
        <v>226</v>
      </c>
      <c r="C34" s="8">
        <v>1238792963</v>
      </c>
      <c r="D34" s="42" t="s">
        <v>108</v>
      </c>
      <c r="E34" s="42"/>
      <c r="F34" s="10">
        <v>2</v>
      </c>
      <c r="G34" s="10">
        <v>0</v>
      </c>
      <c r="H34" s="50">
        <v>0</v>
      </c>
      <c r="I34" s="50">
        <v>0</v>
      </c>
      <c r="J34" s="50">
        <v>0</v>
      </c>
      <c r="K34" s="14" t="s">
        <v>29</v>
      </c>
      <c r="L34" s="11">
        <f t="shared" si="0"/>
        <v>2</v>
      </c>
      <c r="M34" s="10">
        <f t="shared" ref="M34:M70" si="7">G34*$Y$14</f>
        <v>0</v>
      </c>
      <c r="N34" s="10">
        <f t="shared" si="2"/>
        <v>0</v>
      </c>
      <c r="O34" s="10">
        <v>0</v>
      </c>
      <c r="P34" s="10">
        <f t="shared" si="3"/>
        <v>2</v>
      </c>
      <c r="Q34" s="17">
        <v>21.168749999999999</v>
      </c>
      <c r="R34" s="18">
        <f t="shared" si="4"/>
        <v>23.168749999999999</v>
      </c>
      <c r="S34" s="19">
        <f t="shared" si="5"/>
        <v>1.875</v>
      </c>
      <c r="T34" s="20">
        <f t="shared" si="6"/>
        <v>21.293749999999999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7.399999999999999">
      <c r="A35" s="9">
        <v>1</v>
      </c>
      <c r="B35" s="9">
        <v>10</v>
      </c>
      <c r="C35" s="8">
        <v>2108977014</v>
      </c>
      <c r="D35" s="42" t="s">
        <v>57</v>
      </c>
      <c r="E35" s="42" t="s">
        <v>8</v>
      </c>
      <c r="F35" s="10">
        <v>2</v>
      </c>
      <c r="G35" s="10">
        <v>0</v>
      </c>
      <c r="H35" s="50">
        <v>0</v>
      </c>
      <c r="I35" s="50">
        <v>0</v>
      </c>
      <c r="J35" s="50">
        <v>0</v>
      </c>
      <c r="K35" s="14" t="s">
        <v>29</v>
      </c>
      <c r="L35" s="11">
        <f t="shared" si="0"/>
        <v>2</v>
      </c>
      <c r="M35" s="10">
        <f t="shared" si="7"/>
        <v>0</v>
      </c>
      <c r="N35" s="10">
        <f t="shared" si="2"/>
        <v>0</v>
      </c>
      <c r="O35" s="10">
        <v>0</v>
      </c>
      <c r="P35" s="10">
        <f t="shared" si="3"/>
        <v>2</v>
      </c>
      <c r="Q35" s="17">
        <v>20.575000000000014</v>
      </c>
      <c r="R35" s="18">
        <f t="shared" si="4"/>
        <v>22.575000000000014</v>
      </c>
      <c r="S35" s="19">
        <f t="shared" si="5"/>
        <v>1.875</v>
      </c>
      <c r="T35" s="20">
        <f t="shared" si="6"/>
        <v>20.700000000000014</v>
      </c>
      <c r="U35" s="11"/>
      <c r="V35" s="11"/>
      <c r="W35" s="11"/>
      <c r="X35" s="1"/>
      <c r="Y35" s="1"/>
      <c r="Z35" s="1"/>
      <c r="AA35" s="1"/>
      <c r="AB35" s="1"/>
      <c r="AC35" s="1"/>
    </row>
    <row r="36" spans="1:29" s="2" customFormat="1" ht="17.399999999999999">
      <c r="A36" s="9">
        <v>1</v>
      </c>
      <c r="B36" s="9">
        <v>230</v>
      </c>
      <c r="C36" s="8">
        <v>1076026693</v>
      </c>
      <c r="D36" s="42" t="s">
        <v>111</v>
      </c>
      <c r="E36" s="4"/>
      <c r="F36" s="10">
        <v>3</v>
      </c>
      <c r="G36" s="10">
        <v>1</v>
      </c>
      <c r="H36" s="50">
        <v>0</v>
      </c>
      <c r="I36" s="50">
        <v>0</v>
      </c>
      <c r="J36" s="50">
        <v>0</v>
      </c>
      <c r="K36" s="14" t="s">
        <v>29</v>
      </c>
      <c r="L36" s="11">
        <f t="shared" si="0"/>
        <v>4</v>
      </c>
      <c r="M36" s="10">
        <f t="shared" si="7"/>
        <v>1.2</v>
      </c>
      <c r="N36" s="10">
        <f t="shared" si="2"/>
        <v>0</v>
      </c>
      <c r="O36" s="10">
        <v>0</v>
      </c>
      <c r="P36" s="10">
        <f t="shared" si="3"/>
        <v>5.2</v>
      </c>
      <c r="Q36" s="17">
        <v>16.874999999999996</v>
      </c>
      <c r="R36" s="18">
        <f t="shared" si="4"/>
        <v>22.074999999999996</v>
      </c>
      <c r="S36" s="19">
        <f t="shared" si="5"/>
        <v>1.875</v>
      </c>
      <c r="T36" s="20">
        <f t="shared" si="6"/>
        <v>20.199999999999996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7.399999999999999">
      <c r="A37" s="9">
        <v>1</v>
      </c>
      <c r="B37" s="8">
        <v>209</v>
      </c>
      <c r="C37" s="8">
        <v>1525950050</v>
      </c>
      <c r="D37" s="42" t="s">
        <v>85</v>
      </c>
      <c r="E37" s="42" t="s">
        <v>83</v>
      </c>
      <c r="F37" s="10">
        <v>3</v>
      </c>
      <c r="G37" s="10">
        <v>1</v>
      </c>
      <c r="H37" s="50">
        <v>0</v>
      </c>
      <c r="I37" s="50">
        <v>0</v>
      </c>
      <c r="J37" s="50">
        <v>0</v>
      </c>
      <c r="K37" s="14" t="s">
        <v>29</v>
      </c>
      <c r="L37" s="11">
        <f t="shared" ref="L37:L70" si="8">F37+IF(F37&gt;2,(F37-2)*1,0)</f>
        <v>4</v>
      </c>
      <c r="M37" s="10">
        <f t="shared" si="7"/>
        <v>1.2</v>
      </c>
      <c r="N37" s="10">
        <f t="shared" ref="N37:N70" si="9">SUM(H37:J37)*$Y$18</f>
        <v>0</v>
      </c>
      <c r="O37" s="10">
        <v>0</v>
      </c>
      <c r="P37" s="10">
        <f t="shared" ref="P37:P68" si="10">SUM(M37+L37+O37+N37)</f>
        <v>5.2</v>
      </c>
      <c r="Q37" s="17">
        <v>16.224999999999991</v>
      </c>
      <c r="R37" s="18">
        <f t="shared" ref="R37:R68" si="11">P37+Q37</f>
        <v>21.42499999999999</v>
      </c>
      <c r="S37" s="19">
        <f t="shared" ref="S37:S70" si="12">VLOOKUP(K37,$X$3:$Y$10,2,FALSE)</f>
        <v>1.875</v>
      </c>
      <c r="T37" s="20">
        <f t="shared" ref="T37:T68" si="13">R37-S37</f>
        <v>19.54999999999999</v>
      </c>
      <c r="U37" s="4"/>
      <c r="V37" s="4"/>
      <c r="W37" s="4"/>
    </row>
    <row r="38" spans="1:29" s="2" customFormat="1" ht="17.399999999999999">
      <c r="A38" s="9">
        <v>1</v>
      </c>
      <c r="B38" s="8">
        <v>202</v>
      </c>
      <c r="C38" s="8">
        <v>471245585</v>
      </c>
      <c r="D38" s="42" t="s">
        <v>77</v>
      </c>
      <c r="E38" s="47"/>
      <c r="F38" s="10">
        <v>3</v>
      </c>
      <c r="G38" s="10">
        <v>1</v>
      </c>
      <c r="H38" s="50">
        <v>0</v>
      </c>
      <c r="I38" s="50">
        <v>0</v>
      </c>
      <c r="J38" s="50">
        <v>0</v>
      </c>
      <c r="K38" s="14" t="s">
        <v>29</v>
      </c>
      <c r="L38" s="11">
        <f t="shared" si="8"/>
        <v>4</v>
      </c>
      <c r="M38" s="10">
        <f t="shared" si="7"/>
        <v>1.2</v>
      </c>
      <c r="N38" s="10">
        <f t="shared" si="9"/>
        <v>0</v>
      </c>
      <c r="O38" s="10">
        <v>0</v>
      </c>
      <c r="P38" s="10">
        <f t="shared" si="10"/>
        <v>5.2</v>
      </c>
      <c r="Q38" s="17">
        <v>16.099999999999991</v>
      </c>
      <c r="R38" s="18">
        <f t="shared" si="11"/>
        <v>21.29999999999999</v>
      </c>
      <c r="S38" s="19">
        <f t="shared" si="12"/>
        <v>1.875</v>
      </c>
      <c r="T38" s="20">
        <f t="shared" si="13"/>
        <v>19.42499999999999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20.399999999999999">
      <c r="A39" s="9">
        <v>1</v>
      </c>
      <c r="B39" s="8">
        <v>229</v>
      </c>
      <c r="C39" s="8">
        <v>1598972736</v>
      </c>
      <c r="D39" s="42" t="s">
        <v>110</v>
      </c>
      <c r="E39" s="42"/>
      <c r="F39" s="10">
        <v>0</v>
      </c>
      <c r="G39" s="10">
        <v>0</v>
      </c>
      <c r="H39" s="50">
        <v>0</v>
      </c>
      <c r="I39" s="50">
        <v>0</v>
      </c>
      <c r="J39" s="50">
        <v>0</v>
      </c>
      <c r="K39" s="39" t="s">
        <v>30</v>
      </c>
      <c r="L39" s="11">
        <f t="shared" si="8"/>
        <v>0</v>
      </c>
      <c r="M39" s="10">
        <f t="shared" si="7"/>
        <v>0</v>
      </c>
      <c r="N39" s="10">
        <f t="shared" si="9"/>
        <v>0</v>
      </c>
      <c r="O39" s="10">
        <v>0</v>
      </c>
      <c r="P39" s="10">
        <f t="shared" si="10"/>
        <v>0</v>
      </c>
      <c r="Q39" s="17">
        <v>21.197089552238797</v>
      </c>
      <c r="R39" s="18">
        <f t="shared" si="11"/>
        <v>21.197089552238797</v>
      </c>
      <c r="S39" s="19">
        <f t="shared" si="12"/>
        <v>0</v>
      </c>
      <c r="T39" s="20">
        <f t="shared" si="13"/>
        <v>21.197089552238797</v>
      </c>
      <c r="U39" s="4"/>
      <c r="V39" s="4"/>
      <c r="W39" s="4"/>
    </row>
    <row r="40" spans="1:29" ht="17.399999999999999">
      <c r="A40" s="9">
        <v>1</v>
      </c>
      <c r="B40" s="8">
        <v>196</v>
      </c>
      <c r="C40" s="8">
        <v>1065641844</v>
      </c>
      <c r="D40" s="42" t="s">
        <v>74</v>
      </c>
      <c r="E40" s="47"/>
      <c r="F40" s="10">
        <v>0</v>
      </c>
      <c r="G40" s="10">
        <v>0</v>
      </c>
      <c r="H40" s="50">
        <v>0</v>
      </c>
      <c r="I40" s="50">
        <v>0</v>
      </c>
      <c r="J40" s="50">
        <v>0</v>
      </c>
      <c r="K40" s="39" t="s">
        <v>30</v>
      </c>
      <c r="L40" s="11">
        <f t="shared" si="8"/>
        <v>0</v>
      </c>
      <c r="M40" s="10">
        <f t="shared" si="7"/>
        <v>0</v>
      </c>
      <c r="N40" s="10">
        <f t="shared" si="9"/>
        <v>0</v>
      </c>
      <c r="O40" s="10">
        <v>0</v>
      </c>
      <c r="P40" s="10">
        <f t="shared" si="10"/>
        <v>0</v>
      </c>
      <c r="Q40" s="17">
        <v>21.062499999999993</v>
      </c>
      <c r="R40" s="18">
        <f t="shared" si="11"/>
        <v>21.062499999999993</v>
      </c>
      <c r="S40" s="19">
        <f t="shared" si="12"/>
        <v>0</v>
      </c>
      <c r="T40" s="20">
        <f t="shared" si="13"/>
        <v>21.062499999999993</v>
      </c>
      <c r="U40" s="4"/>
      <c r="V40" s="4"/>
      <c r="W40" s="4"/>
    </row>
    <row r="41" spans="1:29" ht="17.399999999999999">
      <c r="A41" s="9">
        <v>1</v>
      </c>
      <c r="B41" s="8">
        <v>236</v>
      </c>
      <c r="C41" s="8">
        <v>1968448898</v>
      </c>
      <c r="D41" s="42" t="s">
        <v>118</v>
      </c>
      <c r="F41" s="10">
        <v>2</v>
      </c>
      <c r="G41" s="10">
        <v>1</v>
      </c>
      <c r="H41" s="50">
        <v>0</v>
      </c>
      <c r="I41" s="50">
        <v>0</v>
      </c>
      <c r="J41" s="50">
        <v>0</v>
      </c>
      <c r="K41" s="14" t="s">
        <v>29</v>
      </c>
      <c r="L41" s="11">
        <f t="shared" si="8"/>
        <v>2</v>
      </c>
      <c r="M41" s="10">
        <f t="shared" si="7"/>
        <v>1.2</v>
      </c>
      <c r="N41" s="10">
        <f t="shared" si="9"/>
        <v>0</v>
      </c>
      <c r="O41" s="10">
        <v>0</v>
      </c>
      <c r="P41" s="10">
        <f t="shared" si="10"/>
        <v>3.2</v>
      </c>
      <c r="Q41" s="17">
        <v>17.381249999999991</v>
      </c>
      <c r="R41" s="18">
        <f t="shared" si="11"/>
        <v>20.58124999999999</v>
      </c>
      <c r="S41" s="19">
        <f t="shared" si="12"/>
        <v>1.875</v>
      </c>
      <c r="T41" s="20">
        <f t="shared" si="13"/>
        <v>18.70624999999999</v>
      </c>
      <c r="U41" s="4"/>
      <c r="V41" s="4"/>
      <c r="W41" s="4"/>
    </row>
    <row r="42" spans="1:29" ht="17.399999999999999">
      <c r="A42" s="9">
        <v>1</v>
      </c>
      <c r="B42" s="8">
        <v>238</v>
      </c>
      <c r="C42" s="8">
        <v>108179057</v>
      </c>
      <c r="D42" s="42" t="s">
        <v>120</v>
      </c>
      <c r="F42" s="10">
        <v>1</v>
      </c>
      <c r="G42" s="10">
        <v>1</v>
      </c>
      <c r="H42" s="50">
        <v>0</v>
      </c>
      <c r="I42" s="50">
        <v>0</v>
      </c>
      <c r="J42" s="50">
        <v>0</v>
      </c>
      <c r="K42" s="14" t="s">
        <v>29</v>
      </c>
      <c r="L42" s="11">
        <f t="shared" si="8"/>
        <v>1</v>
      </c>
      <c r="M42" s="10">
        <f t="shared" si="7"/>
        <v>1.2</v>
      </c>
      <c r="N42" s="10">
        <f t="shared" si="9"/>
        <v>0</v>
      </c>
      <c r="O42" s="10">
        <v>0</v>
      </c>
      <c r="P42" s="10">
        <f t="shared" si="10"/>
        <v>2.2000000000000002</v>
      </c>
      <c r="Q42" s="17">
        <v>18.149999999999988</v>
      </c>
      <c r="R42" s="18">
        <f t="shared" si="11"/>
        <v>20.349999999999987</v>
      </c>
      <c r="S42" s="19">
        <f t="shared" si="12"/>
        <v>1.875</v>
      </c>
      <c r="T42" s="20">
        <f t="shared" si="13"/>
        <v>18.474999999999987</v>
      </c>
      <c r="U42" s="4"/>
      <c r="V42" s="4"/>
      <c r="W42" s="4"/>
    </row>
    <row r="43" spans="1:29" ht="17.399999999999999">
      <c r="A43" s="9">
        <v>1</v>
      </c>
      <c r="B43" s="8">
        <v>234</v>
      </c>
      <c r="C43" s="8">
        <v>1333428907</v>
      </c>
      <c r="D43" s="42" t="s">
        <v>128</v>
      </c>
      <c r="E43" s="42" t="s">
        <v>115</v>
      </c>
      <c r="F43" s="10">
        <v>0</v>
      </c>
      <c r="G43" s="10">
        <v>0</v>
      </c>
      <c r="H43" s="50">
        <v>0</v>
      </c>
      <c r="I43" s="50">
        <v>0</v>
      </c>
      <c r="J43" s="50">
        <v>0</v>
      </c>
      <c r="K43" s="39" t="s">
        <v>30</v>
      </c>
      <c r="L43" s="11">
        <f t="shared" si="8"/>
        <v>0</v>
      </c>
      <c r="M43" s="10">
        <f t="shared" si="7"/>
        <v>0</v>
      </c>
      <c r="N43" s="10">
        <f t="shared" si="9"/>
        <v>0</v>
      </c>
      <c r="O43" s="10">
        <v>0</v>
      </c>
      <c r="P43" s="10">
        <f t="shared" si="10"/>
        <v>0</v>
      </c>
      <c r="Q43" s="17">
        <v>18.625</v>
      </c>
      <c r="R43" s="18">
        <f t="shared" si="11"/>
        <v>18.625</v>
      </c>
      <c r="S43" s="19">
        <f t="shared" si="12"/>
        <v>0</v>
      </c>
      <c r="T43" s="20">
        <f t="shared" si="13"/>
        <v>18.625</v>
      </c>
      <c r="U43" s="4"/>
      <c r="V43" s="4"/>
      <c r="W43" s="4"/>
    </row>
    <row r="44" spans="1:29" ht="17.399999999999999">
      <c r="A44" s="9">
        <v>1</v>
      </c>
      <c r="B44" s="8">
        <v>198</v>
      </c>
      <c r="C44" s="8">
        <v>723448640</v>
      </c>
      <c r="D44" s="42" t="s">
        <v>75</v>
      </c>
      <c r="E44" s="47"/>
      <c r="F44" s="10">
        <v>0</v>
      </c>
      <c r="G44" s="10">
        <v>0</v>
      </c>
      <c r="H44" s="50">
        <v>0</v>
      </c>
      <c r="I44" s="50">
        <v>0</v>
      </c>
      <c r="J44" s="50">
        <v>0</v>
      </c>
      <c r="K44" s="39" t="s">
        <v>30</v>
      </c>
      <c r="L44" s="11">
        <f t="shared" si="8"/>
        <v>0</v>
      </c>
      <c r="M44" s="10">
        <f t="shared" si="7"/>
        <v>0</v>
      </c>
      <c r="N44" s="10">
        <f t="shared" si="9"/>
        <v>0</v>
      </c>
      <c r="O44" s="10">
        <v>0</v>
      </c>
      <c r="P44" s="10">
        <f t="shared" si="10"/>
        <v>0</v>
      </c>
      <c r="Q44" s="17">
        <v>18.01874999999999</v>
      </c>
      <c r="R44" s="18">
        <f t="shared" si="11"/>
        <v>18.01874999999999</v>
      </c>
      <c r="S44" s="19">
        <f t="shared" si="12"/>
        <v>0</v>
      </c>
      <c r="T44" s="20">
        <f t="shared" si="13"/>
        <v>18.01874999999999</v>
      </c>
      <c r="U44" s="4"/>
      <c r="V44" s="4"/>
      <c r="W44" s="4"/>
    </row>
    <row r="45" spans="1:29" ht="17.399999999999999">
      <c r="A45" s="9">
        <v>1</v>
      </c>
      <c r="B45" s="8">
        <v>241</v>
      </c>
      <c r="C45" s="8">
        <v>1136259669</v>
      </c>
      <c r="D45" s="42" t="s">
        <v>124</v>
      </c>
      <c r="F45" s="10">
        <v>2</v>
      </c>
      <c r="G45" s="10">
        <v>1</v>
      </c>
      <c r="H45" s="50">
        <v>0</v>
      </c>
      <c r="I45" s="50">
        <v>0</v>
      </c>
      <c r="J45" s="50">
        <v>0</v>
      </c>
      <c r="K45" s="14" t="s">
        <v>29</v>
      </c>
      <c r="L45" s="11">
        <f t="shared" si="8"/>
        <v>2</v>
      </c>
      <c r="M45" s="10">
        <f t="shared" si="7"/>
        <v>1.2</v>
      </c>
      <c r="N45" s="10">
        <f t="shared" si="9"/>
        <v>0</v>
      </c>
      <c r="O45" s="10">
        <v>0</v>
      </c>
      <c r="P45" s="10">
        <f t="shared" si="10"/>
        <v>3.2</v>
      </c>
      <c r="Q45" s="17">
        <v>14.793749999999989</v>
      </c>
      <c r="R45" s="18">
        <f t="shared" si="11"/>
        <v>17.993749999999988</v>
      </c>
      <c r="S45" s="19">
        <f t="shared" si="12"/>
        <v>1.875</v>
      </c>
      <c r="T45" s="20">
        <f t="shared" si="13"/>
        <v>16.118749999999988</v>
      </c>
      <c r="U45" s="4"/>
      <c r="V45" s="4"/>
      <c r="W45" s="4"/>
    </row>
    <row r="46" spans="1:29" ht="17.399999999999999">
      <c r="A46" s="9">
        <v>1</v>
      </c>
      <c r="B46" s="8">
        <v>193</v>
      </c>
      <c r="C46" s="8">
        <v>2125731287</v>
      </c>
      <c r="D46" s="42" t="s">
        <v>72</v>
      </c>
      <c r="E46" s="47"/>
      <c r="F46" s="10">
        <v>0</v>
      </c>
      <c r="G46" s="10">
        <v>0</v>
      </c>
      <c r="H46" s="50">
        <v>0</v>
      </c>
      <c r="I46" s="50">
        <v>0</v>
      </c>
      <c r="J46" s="50">
        <v>0</v>
      </c>
      <c r="K46" s="39" t="s">
        <v>30</v>
      </c>
      <c r="L46" s="11">
        <f t="shared" si="8"/>
        <v>0</v>
      </c>
      <c r="M46" s="10">
        <f t="shared" si="7"/>
        <v>0</v>
      </c>
      <c r="N46" s="10">
        <f t="shared" si="9"/>
        <v>0</v>
      </c>
      <c r="O46" s="10">
        <v>0</v>
      </c>
      <c r="P46" s="10">
        <f t="shared" si="10"/>
        <v>0</v>
      </c>
      <c r="Q46" s="17">
        <v>17.812499999999996</v>
      </c>
      <c r="R46" s="18">
        <f t="shared" si="11"/>
        <v>17.812499999999996</v>
      </c>
      <c r="S46" s="19">
        <f t="shared" si="12"/>
        <v>0</v>
      </c>
      <c r="T46" s="20">
        <f t="shared" si="13"/>
        <v>17.812499999999996</v>
      </c>
      <c r="U46" s="4"/>
      <c r="V46" s="4"/>
      <c r="W46" s="4"/>
    </row>
    <row r="47" spans="1:29" ht="17.399999999999999">
      <c r="A47" s="9">
        <v>1</v>
      </c>
      <c r="B47" s="9">
        <v>92</v>
      </c>
      <c r="C47" s="8">
        <v>1367873925</v>
      </c>
      <c r="D47" s="42" t="s">
        <v>80</v>
      </c>
      <c r="E47" s="42" t="s">
        <v>31</v>
      </c>
      <c r="F47" s="10">
        <v>2</v>
      </c>
      <c r="G47" s="10">
        <v>1</v>
      </c>
      <c r="H47" s="50">
        <v>0</v>
      </c>
      <c r="I47" s="50">
        <v>0</v>
      </c>
      <c r="J47" s="50">
        <v>0</v>
      </c>
      <c r="K47" s="14" t="s">
        <v>29</v>
      </c>
      <c r="L47" s="11">
        <f t="shared" si="8"/>
        <v>2</v>
      </c>
      <c r="M47" s="10">
        <f t="shared" si="7"/>
        <v>1.2</v>
      </c>
      <c r="N47" s="10">
        <f t="shared" si="9"/>
        <v>0</v>
      </c>
      <c r="O47" s="10">
        <v>0</v>
      </c>
      <c r="P47" s="10">
        <f t="shared" si="10"/>
        <v>3.2</v>
      </c>
      <c r="Q47" s="17">
        <v>14.031249999999993</v>
      </c>
      <c r="R47" s="18">
        <f t="shared" si="11"/>
        <v>17.231249999999992</v>
      </c>
      <c r="S47" s="19">
        <f t="shared" si="12"/>
        <v>1.875</v>
      </c>
      <c r="T47" s="20">
        <f t="shared" si="13"/>
        <v>15.356249999999992</v>
      </c>
      <c r="U47" s="11"/>
      <c r="V47" s="11"/>
      <c r="W47" s="31"/>
    </row>
    <row r="48" spans="1:29" ht="17.399999999999999">
      <c r="A48" s="9">
        <v>1</v>
      </c>
      <c r="B48" s="8">
        <v>187</v>
      </c>
      <c r="C48" s="8">
        <v>1241038267</v>
      </c>
      <c r="D48" s="42" t="s">
        <v>69</v>
      </c>
      <c r="E48" s="47"/>
      <c r="F48" s="10">
        <v>0</v>
      </c>
      <c r="G48" s="10">
        <v>0</v>
      </c>
      <c r="H48" s="50">
        <v>0</v>
      </c>
      <c r="I48" s="50">
        <v>0</v>
      </c>
      <c r="J48" s="50">
        <v>0</v>
      </c>
      <c r="K48" s="39" t="s">
        <v>30</v>
      </c>
      <c r="L48" s="11">
        <f t="shared" si="8"/>
        <v>0</v>
      </c>
      <c r="M48" s="10">
        <f t="shared" si="7"/>
        <v>0</v>
      </c>
      <c r="N48" s="10">
        <f t="shared" si="9"/>
        <v>0</v>
      </c>
      <c r="O48" s="10">
        <v>0</v>
      </c>
      <c r="P48" s="10">
        <f t="shared" si="10"/>
        <v>0</v>
      </c>
      <c r="Q48" s="17">
        <v>16.318749999999987</v>
      </c>
      <c r="R48" s="18">
        <f t="shared" si="11"/>
        <v>16.318749999999987</v>
      </c>
      <c r="S48" s="19">
        <f t="shared" si="12"/>
        <v>0</v>
      </c>
      <c r="T48" s="20">
        <f t="shared" si="13"/>
        <v>16.318749999999987</v>
      </c>
    </row>
    <row r="49" spans="1:20" ht="17.399999999999999">
      <c r="A49" s="9">
        <v>1</v>
      </c>
      <c r="B49" s="8">
        <v>222</v>
      </c>
      <c r="C49" s="8">
        <v>1945277617</v>
      </c>
      <c r="D49" s="42" t="s">
        <v>97</v>
      </c>
      <c r="E49" s="42"/>
      <c r="F49" s="10">
        <v>0</v>
      </c>
      <c r="G49" s="10">
        <v>0</v>
      </c>
      <c r="H49" s="50">
        <v>0</v>
      </c>
      <c r="I49" s="50">
        <v>0</v>
      </c>
      <c r="J49" s="50">
        <v>0</v>
      </c>
      <c r="K49" s="39" t="s">
        <v>30</v>
      </c>
      <c r="L49" s="11">
        <f t="shared" si="8"/>
        <v>0</v>
      </c>
      <c r="M49" s="10">
        <f t="shared" si="7"/>
        <v>0</v>
      </c>
      <c r="N49" s="10">
        <f t="shared" si="9"/>
        <v>0</v>
      </c>
      <c r="O49" s="10">
        <v>0</v>
      </c>
      <c r="P49" s="10">
        <f t="shared" si="10"/>
        <v>0</v>
      </c>
      <c r="Q49" s="17">
        <v>15.637727649769573</v>
      </c>
      <c r="R49" s="18">
        <f t="shared" si="11"/>
        <v>15.637727649769573</v>
      </c>
      <c r="S49" s="19">
        <f t="shared" si="12"/>
        <v>0</v>
      </c>
      <c r="T49" s="20">
        <f t="shared" si="13"/>
        <v>15.637727649769573</v>
      </c>
    </row>
    <row r="50" spans="1:20" ht="17.399999999999999">
      <c r="A50" s="9">
        <v>1</v>
      </c>
      <c r="B50" s="8">
        <v>155</v>
      </c>
      <c r="C50" s="8">
        <v>1532576874</v>
      </c>
      <c r="D50" s="42" t="s">
        <v>63</v>
      </c>
      <c r="E50" s="42" t="s">
        <v>46</v>
      </c>
      <c r="F50" s="10">
        <v>0</v>
      </c>
      <c r="G50" s="10">
        <v>0</v>
      </c>
      <c r="H50" s="50">
        <v>0</v>
      </c>
      <c r="I50" s="50">
        <v>0</v>
      </c>
      <c r="J50" s="50">
        <v>0</v>
      </c>
      <c r="K50" s="39" t="s">
        <v>30</v>
      </c>
      <c r="L50" s="11">
        <f t="shared" si="8"/>
        <v>0</v>
      </c>
      <c r="M50" s="10">
        <f t="shared" si="7"/>
        <v>0</v>
      </c>
      <c r="N50" s="10">
        <f t="shared" si="9"/>
        <v>0</v>
      </c>
      <c r="O50" s="10">
        <v>0</v>
      </c>
      <c r="P50" s="10">
        <f t="shared" si="10"/>
        <v>0</v>
      </c>
      <c r="Q50" s="17">
        <v>15.212499999999999</v>
      </c>
      <c r="R50" s="18">
        <f t="shared" si="11"/>
        <v>15.212499999999999</v>
      </c>
      <c r="S50" s="19">
        <f t="shared" si="12"/>
        <v>0</v>
      </c>
      <c r="T50" s="20">
        <f t="shared" si="13"/>
        <v>15.212499999999999</v>
      </c>
    </row>
    <row r="51" spans="1:20" ht="17.399999999999999">
      <c r="A51" s="9">
        <v>1</v>
      </c>
      <c r="B51" s="8">
        <v>239</v>
      </c>
      <c r="C51" s="8">
        <v>416459640</v>
      </c>
      <c r="D51" s="42" t="s">
        <v>122</v>
      </c>
      <c r="F51" s="10">
        <v>0</v>
      </c>
      <c r="G51" s="10">
        <v>0</v>
      </c>
      <c r="H51" s="50">
        <v>0</v>
      </c>
      <c r="I51" s="50">
        <v>0</v>
      </c>
      <c r="J51" s="50">
        <v>0</v>
      </c>
      <c r="K51" s="39" t="s">
        <v>30</v>
      </c>
      <c r="L51" s="11">
        <f t="shared" si="8"/>
        <v>0</v>
      </c>
      <c r="M51" s="10">
        <f t="shared" si="7"/>
        <v>0</v>
      </c>
      <c r="N51" s="10">
        <f t="shared" si="9"/>
        <v>0</v>
      </c>
      <c r="O51" s="10">
        <v>0</v>
      </c>
      <c r="P51" s="10">
        <f t="shared" si="10"/>
        <v>0</v>
      </c>
      <c r="Q51" s="17">
        <v>13.668749999999999</v>
      </c>
      <c r="R51" s="18">
        <f t="shared" si="11"/>
        <v>13.668749999999999</v>
      </c>
      <c r="S51" s="19">
        <f t="shared" si="12"/>
        <v>0</v>
      </c>
      <c r="T51" s="20">
        <f t="shared" si="13"/>
        <v>13.668749999999999</v>
      </c>
    </row>
    <row r="52" spans="1:20" ht="20.399999999999999">
      <c r="A52" s="9">
        <v>1</v>
      </c>
      <c r="B52" s="8">
        <v>214</v>
      </c>
      <c r="C52" s="8">
        <v>2130976604</v>
      </c>
      <c r="D52" s="42" t="s">
        <v>86</v>
      </c>
      <c r="E52" s="2"/>
      <c r="F52" s="10">
        <v>2</v>
      </c>
      <c r="G52" s="10">
        <v>1</v>
      </c>
      <c r="H52" s="50">
        <v>0</v>
      </c>
      <c r="I52" s="50">
        <v>0</v>
      </c>
      <c r="J52" s="50">
        <v>0</v>
      </c>
      <c r="K52" s="14" t="s">
        <v>29</v>
      </c>
      <c r="L52" s="11">
        <f t="shared" si="8"/>
        <v>2</v>
      </c>
      <c r="M52" s="10">
        <f t="shared" si="7"/>
        <v>1.2</v>
      </c>
      <c r="N52" s="10">
        <f t="shared" si="9"/>
        <v>0</v>
      </c>
      <c r="O52" s="10">
        <v>0</v>
      </c>
      <c r="P52" s="10">
        <f t="shared" si="10"/>
        <v>3.2</v>
      </c>
      <c r="Q52" s="17">
        <v>9.6124999999999865</v>
      </c>
      <c r="R52" s="18">
        <f t="shared" si="11"/>
        <v>12.812499999999986</v>
      </c>
      <c r="S52" s="19">
        <f t="shared" si="12"/>
        <v>1.875</v>
      </c>
      <c r="T52" s="20">
        <f t="shared" si="13"/>
        <v>10.937499999999986</v>
      </c>
    </row>
    <row r="53" spans="1:20" ht="17.399999999999999">
      <c r="A53" s="9">
        <v>1</v>
      </c>
      <c r="B53" s="8">
        <v>223</v>
      </c>
      <c r="C53" s="8">
        <v>784792167</v>
      </c>
      <c r="D53" s="42" t="s">
        <v>98</v>
      </c>
      <c r="E53" s="42"/>
      <c r="F53" s="10">
        <v>0</v>
      </c>
      <c r="G53" s="10">
        <v>0</v>
      </c>
      <c r="H53" s="50">
        <v>0</v>
      </c>
      <c r="I53" s="50">
        <v>0</v>
      </c>
      <c r="J53" s="50">
        <v>0</v>
      </c>
      <c r="K53" s="39" t="s">
        <v>30</v>
      </c>
      <c r="L53" s="11">
        <f t="shared" si="8"/>
        <v>0</v>
      </c>
      <c r="M53" s="10">
        <f t="shared" si="7"/>
        <v>0</v>
      </c>
      <c r="N53" s="10">
        <f t="shared" si="9"/>
        <v>0</v>
      </c>
      <c r="O53" s="10">
        <v>0</v>
      </c>
      <c r="P53" s="10">
        <f t="shared" si="10"/>
        <v>0</v>
      </c>
      <c r="Q53" s="17">
        <v>10.624999999999996</v>
      </c>
      <c r="R53" s="18">
        <f t="shared" si="11"/>
        <v>10.624999999999996</v>
      </c>
      <c r="S53" s="19">
        <f t="shared" si="12"/>
        <v>0</v>
      </c>
      <c r="T53" s="20">
        <f t="shared" si="13"/>
        <v>10.624999999999996</v>
      </c>
    </row>
    <row r="54" spans="1:20" ht="17.399999999999999">
      <c r="A54" s="9">
        <v>1</v>
      </c>
      <c r="B54" s="8">
        <v>219</v>
      </c>
      <c r="C54" s="8">
        <v>1128309198</v>
      </c>
      <c r="D54" s="42" t="s">
        <v>93</v>
      </c>
      <c r="E54" s="47"/>
      <c r="F54" s="10">
        <v>0</v>
      </c>
      <c r="G54" s="10">
        <v>0</v>
      </c>
      <c r="H54" s="50">
        <v>0</v>
      </c>
      <c r="I54" s="50">
        <v>0</v>
      </c>
      <c r="J54" s="50">
        <v>0</v>
      </c>
      <c r="K54" s="39" t="s">
        <v>30</v>
      </c>
      <c r="L54" s="11">
        <f t="shared" si="8"/>
        <v>0</v>
      </c>
      <c r="M54" s="10">
        <f t="shared" si="7"/>
        <v>0</v>
      </c>
      <c r="N54" s="10">
        <f t="shared" si="9"/>
        <v>0</v>
      </c>
      <c r="O54" s="10">
        <v>0</v>
      </c>
      <c r="P54" s="10">
        <f t="shared" si="10"/>
        <v>0</v>
      </c>
      <c r="Q54" s="17">
        <v>9.4499999999999957</v>
      </c>
      <c r="R54" s="18">
        <f t="shared" si="11"/>
        <v>9.4499999999999957</v>
      </c>
      <c r="S54" s="19">
        <f t="shared" si="12"/>
        <v>0</v>
      </c>
      <c r="T54" s="20">
        <f t="shared" si="13"/>
        <v>9.4499999999999957</v>
      </c>
    </row>
    <row r="55" spans="1:20" ht="17.399999999999999">
      <c r="A55" s="9">
        <v>1</v>
      </c>
      <c r="B55" s="8">
        <v>243</v>
      </c>
      <c r="D55" s="42" t="s">
        <v>133</v>
      </c>
      <c r="F55" s="10">
        <v>2</v>
      </c>
      <c r="G55" s="10">
        <v>1</v>
      </c>
      <c r="H55" s="50">
        <v>0</v>
      </c>
      <c r="I55" s="50">
        <v>0</v>
      </c>
      <c r="J55" s="50">
        <v>0</v>
      </c>
      <c r="K55" s="14" t="s">
        <v>29</v>
      </c>
      <c r="L55" s="11">
        <f t="shared" si="8"/>
        <v>2</v>
      </c>
      <c r="M55" s="10">
        <f t="shared" si="7"/>
        <v>1.2</v>
      </c>
      <c r="N55" s="10">
        <f t="shared" si="9"/>
        <v>0</v>
      </c>
      <c r="O55" s="10">
        <v>0</v>
      </c>
      <c r="P55" s="10">
        <f t="shared" si="10"/>
        <v>3.2</v>
      </c>
      <c r="Q55" s="17">
        <v>4.9062500000000018</v>
      </c>
      <c r="R55" s="18">
        <f t="shared" si="11"/>
        <v>8.1062500000000028</v>
      </c>
      <c r="S55" s="19">
        <f t="shared" si="12"/>
        <v>1.875</v>
      </c>
      <c r="T55" s="20">
        <f t="shared" si="13"/>
        <v>6.2312500000000028</v>
      </c>
    </row>
    <row r="56" spans="1:20" ht="17.399999999999999">
      <c r="A56" s="9">
        <v>1</v>
      </c>
      <c r="B56" s="8">
        <v>240</v>
      </c>
      <c r="C56" s="8">
        <v>289805855</v>
      </c>
      <c r="D56" s="42" t="s">
        <v>123</v>
      </c>
      <c r="F56" s="10">
        <v>3</v>
      </c>
      <c r="G56" s="10">
        <v>1</v>
      </c>
      <c r="H56" s="50">
        <v>0</v>
      </c>
      <c r="I56" s="50">
        <v>0</v>
      </c>
      <c r="J56" s="50">
        <v>0</v>
      </c>
      <c r="K56" s="14" t="s">
        <v>29</v>
      </c>
      <c r="L56" s="11">
        <f t="shared" si="8"/>
        <v>4</v>
      </c>
      <c r="M56" s="10">
        <f t="shared" si="7"/>
        <v>1.2</v>
      </c>
      <c r="N56" s="10">
        <f t="shared" si="9"/>
        <v>0</v>
      </c>
      <c r="O56" s="10">
        <v>0</v>
      </c>
      <c r="P56" s="10">
        <f t="shared" si="10"/>
        <v>5.2</v>
      </c>
      <c r="Q56" s="17">
        <v>-0.92499999999999982</v>
      </c>
      <c r="R56" s="18">
        <f t="shared" si="11"/>
        <v>4.2750000000000004</v>
      </c>
      <c r="S56" s="19">
        <f t="shared" si="12"/>
        <v>1.875</v>
      </c>
      <c r="T56" s="20">
        <f t="shared" si="13"/>
        <v>2.4000000000000004</v>
      </c>
    </row>
    <row r="57" spans="1:20" ht="17.399999999999999">
      <c r="A57" s="9">
        <v>1</v>
      </c>
      <c r="B57" s="8">
        <v>192</v>
      </c>
      <c r="C57" s="8">
        <v>1725281178</v>
      </c>
      <c r="D57" s="42" t="s">
        <v>71</v>
      </c>
      <c r="E57" s="47"/>
      <c r="F57" s="10">
        <v>0</v>
      </c>
      <c r="G57" s="10">
        <v>0</v>
      </c>
      <c r="H57" s="50">
        <v>0</v>
      </c>
      <c r="I57" s="50">
        <v>0</v>
      </c>
      <c r="J57" s="50">
        <v>0</v>
      </c>
      <c r="K57" s="39" t="s">
        <v>30</v>
      </c>
      <c r="L57" s="11">
        <f t="shared" si="8"/>
        <v>0</v>
      </c>
      <c r="M57" s="10">
        <f t="shared" si="7"/>
        <v>0</v>
      </c>
      <c r="N57" s="10">
        <f t="shared" si="9"/>
        <v>0</v>
      </c>
      <c r="O57" s="10">
        <v>0</v>
      </c>
      <c r="P57" s="10">
        <f t="shared" si="10"/>
        <v>0</v>
      </c>
      <c r="Q57" s="17">
        <v>3.1437499999999954</v>
      </c>
      <c r="R57" s="18">
        <f t="shared" si="11"/>
        <v>3.1437499999999954</v>
      </c>
      <c r="S57" s="19">
        <f t="shared" si="12"/>
        <v>0</v>
      </c>
      <c r="T57" s="20">
        <f t="shared" si="13"/>
        <v>3.1437499999999954</v>
      </c>
    </row>
    <row r="58" spans="1:20" ht="20.399999999999999">
      <c r="A58" s="9">
        <v>1</v>
      </c>
      <c r="B58" s="8">
        <v>220</v>
      </c>
      <c r="C58" s="8">
        <v>353335311</v>
      </c>
      <c r="D58" s="42" t="s">
        <v>94</v>
      </c>
      <c r="E58" s="44"/>
      <c r="F58" s="10">
        <v>0</v>
      </c>
      <c r="G58" s="10">
        <v>0</v>
      </c>
      <c r="H58" s="50">
        <v>0</v>
      </c>
      <c r="I58" s="50">
        <v>0</v>
      </c>
      <c r="J58" s="50">
        <v>0</v>
      </c>
      <c r="K58" s="39" t="s">
        <v>30</v>
      </c>
      <c r="L58" s="11">
        <f t="shared" si="8"/>
        <v>0</v>
      </c>
      <c r="M58" s="10">
        <f t="shared" si="7"/>
        <v>0</v>
      </c>
      <c r="N58" s="10">
        <f t="shared" si="9"/>
        <v>0</v>
      </c>
      <c r="O58" s="10">
        <v>0</v>
      </c>
      <c r="P58" s="10">
        <f t="shared" si="10"/>
        <v>0</v>
      </c>
      <c r="Q58" s="17">
        <v>2.0310546874999984</v>
      </c>
      <c r="R58" s="18">
        <f t="shared" si="11"/>
        <v>2.0310546874999984</v>
      </c>
      <c r="S58" s="19">
        <f t="shared" si="12"/>
        <v>0</v>
      </c>
      <c r="T58" s="20">
        <f t="shared" si="13"/>
        <v>2.0310546874999984</v>
      </c>
    </row>
    <row r="59" spans="1:20" ht="17.399999999999999">
      <c r="A59" s="9">
        <v>1</v>
      </c>
      <c r="B59" s="8">
        <v>233</v>
      </c>
      <c r="C59" s="8">
        <v>1963965829</v>
      </c>
      <c r="D59" s="42" t="s">
        <v>114</v>
      </c>
      <c r="F59" s="10">
        <v>0</v>
      </c>
      <c r="G59" s="10">
        <v>0</v>
      </c>
      <c r="H59" s="50">
        <v>0</v>
      </c>
      <c r="I59" s="50">
        <v>0</v>
      </c>
      <c r="J59" s="50">
        <v>0</v>
      </c>
      <c r="K59" s="39" t="s">
        <v>30</v>
      </c>
      <c r="L59" s="11">
        <f t="shared" si="8"/>
        <v>0</v>
      </c>
      <c r="M59" s="10">
        <f t="shared" si="7"/>
        <v>0</v>
      </c>
      <c r="N59" s="10">
        <f t="shared" si="9"/>
        <v>0</v>
      </c>
      <c r="O59" s="10">
        <v>0</v>
      </c>
      <c r="P59" s="10">
        <f t="shared" si="10"/>
        <v>0</v>
      </c>
      <c r="Q59" s="17">
        <v>2.0000000000000018</v>
      </c>
      <c r="R59" s="18">
        <f t="shared" si="11"/>
        <v>2.0000000000000018</v>
      </c>
      <c r="S59" s="19">
        <f t="shared" si="12"/>
        <v>0</v>
      </c>
      <c r="T59" s="20">
        <f t="shared" si="13"/>
        <v>2.0000000000000018</v>
      </c>
    </row>
    <row r="60" spans="1:20" ht="17.399999999999999">
      <c r="A60" s="9">
        <v>1</v>
      </c>
      <c r="B60" s="8">
        <v>207</v>
      </c>
      <c r="C60" s="8">
        <v>721273803</v>
      </c>
      <c r="D60" s="45" t="s">
        <v>81</v>
      </c>
      <c r="E60" s="47"/>
      <c r="F60" s="10">
        <v>0</v>
      </c>
      <c r="G60" s="10">
        <v>0</v>
      </c>
      <c r="H60" s="50">
        <v>0</v>
      </c>
      <c r="I60" s="50">
        <v>0</v>
      </c>
      <c r="J60" s="50">
        <v>0</v>
      </c>
      <c r="K60" s="39" t="s">
        <v>30</v>
      </c>
      <c r="L60" s="11">
        <f t="shared" si="8"/>
        <v>0</v>
      </c>
      <c r="M60" s="10">
        <f t="shared" si="7"/>
        <v>0</v>
      </c>
      <c r="N60" s="10">
        <f t="shared" si="9"/>
        <v>0</v>
      </c>
      <c r="O60" s="10">
        <v>0</v>
      </c>
      <c r="P60" s="10">
        <f t="shared" si="10"/>
        <v>0</v>
      </c>
      <c r="Q60" s="17">
        <v>1.425</v>
      </c>
      <c r="R60" s="18">
        <f t="shared" si="11"/>
        <v>1.425</v>
      </c>
      <c r="S60" s="19">
        <f t="shared" si="12"/>
        <v>0</v>
      </c>
      <c r="T60" s="20">
        <f t="shared" si="13"/>
        <v>1.425</v>
      </c>
    </row>
    <row r="61" spans="1:20" ht="20.399999999999999">
      <c r="A61" s="9">
        <v>1</v>
      </c>
      <c r="B61" s="8">
        <v>213</v>
      </c>
      <c r="C61" s="8">
        <v>311361673</v>
      </c>
      <c r="D61" s="42" t="s">
        <v>55</v>
      </c>
      <c r="E61" s="2"/>
      <c r="F61" s="10">
        <v>0</v>
      </c>
      <c r="G61" s="10">
        <v>0</v>
      </c>
      <c r="H61" s="50">
        <v>0</v>
      </c>
      <c r="I61" s="50">
        <v>0</v>
      </c>
      <c r="J61" s="50">
        <v>0</v>
      </c>
      <c r="K61" s="39" t="s">
        <v>30</v>
      </c>
      <c r="L61" s="11">
        <f t="shared" si="8"/>
        <v>0</v>
      </c>
      <c r="M61" s="10">
        <f t="shared" si="7"/>
        <v>0</v>
      </c>
      <c r="N61" s="10">
        <f t="shared" si="9"/>
        <v>0</v>
      </c>
      <c r="O61" s="10">
        <v>0</v>
      </c>
      <c r="P61" s="10">
        <f t="shared" si="10"/>
        <v>0</v>
      </c>
      <c r="Q61" s="17">
        <v>1.2687499999999945</v>
      </c>
      <c r="R61" s="18">
        <f t="shared" si="11"/>
        <v>1.2687499999999945</v>
      </c>
      <c r="S61" s="19">
        <f t="shared" si="12"/>
        <v>0</v>
      </c>
      <c r="T61" s="20">
        <f t="shared" si="13"/>
        <v>1.2687499999999945</v>
      </c>
    </row>
    <row r="62" spans="1:20" ht="17.399999999999999">
      <c r="A62" s="9">
        <v>1</v>
      </c>
      <c r="B62" s="8">
        <v>242</v>
      </c>
      <c r="C62" s="8">
        <v>250098915</v>
      </c>
      <c r="D62" s="42" t="s">
        <v>131</v>
      </c>
      <c r="F62" s="10">
        <v>0</v>
      </c>
      <c r="G62" s="10">
        <v>0</v>
      </c>
      <c r="H62" s="50">
        <v>0</v>
      </c>
      <c r="I62" s="50">
        <v>0</v>
      </c>
      <c r="J62" s="50">
        <v>0</v>
      </c>
      <c r="K62" s="39" t="s">
        <v>30</v>
      </c>
      <c r="L62" s="11">
        <f t="shared" si="8"/>
        <v>0</v>
      </c>
      <c r="M62" s="10">
        <f t="shared" si="7"/>
        <v>0</v>
      </c>
      <c r="N62" s="10">
        <f t="shared" si="9"/>
        <v>0</v>
      </c>
      <c r="O62" s="10">
        <v>0</v>
      </c>
      <c r="P62" s="10">
        <f t="shared" si="10"/>
        <v>0</v>
      </c>
      <c r="Q62" s="17">
        <v>0.90625</v>
      </c>
      <c r="R62" s="18">
        <f t="shared" si="11"/>
        <v>0.90625</v>
      </c>
      <c r="S62" s="19">
        <f t="shared" si="12"/>
        <v>0</v>
      </c>
      <c r="T62" s="20">
        <f t="shared" si="13"/>
        <v>0.90625</v>
      </c>
    </row>
    <row r="63" spans="1:20" ht="17.399999999999999">
      <c r="A63" s="9">
        <v>1</v>
      </c>
      <c r="B63" s="8">
        <v>242</v>
      </c>
      <c r="C63" s="8">
        <v>1769984287</v>
      </c>
      <c r="D63" s="8" t="s">
        <v>132</v>
      </c>
      <c r="F63" s="10">
        <v>0</v>
      </c>
      <c r="G63" s="10">
        <v>0</v>
      </c>
      <c r="H63" s="50">
        <v>0</v>
      </c>
      <c r="I63" s="50">
        <v>0</v>
      </c>
      <c r="J63" s="50">
        <v>0</v>
      </c>
      <c r="K63" s="39" t="s">
        <v>30</v>
      </c>
      <c r="L63" s="11">
        <f t="shared" si="8"/>
        <v>0</v>
      </c>
      <c r="M63" s="10">
        <f t="shared" si="7"/>
        <v>0</v>
      </c>
      <c r="N63" s="10">
        <f t="shared" si="9"/>
        <v>0</v>
      </c>
      <c r="O63" s="10">
        <v>0</v>
      </c>
      <c r="P63" s="10">
        <f t="shared" si="10"/>
        <v>0</v>
      </c>
      <c r="Q63" s="17">
        <v>0.65000000000000036</v>
      </c>
      <c r="R63" s="18">
        <f t="shared" si="11"/>
        <v>0.65000000000000036</v>
      </c>
      <c r="S63" s="19">
        <f t="shared" si="12"/>
        <v>0</v>
      </c>
      <c r="T63" s="20">
        <f t="shared" si="13"/>
        <v>0.65000000000000036</v>
      </c>
    </row>
    <row r="64" spans="1:20" ht="17.399999999999999">
      <c r="A64" s="9">
        <v>1</v>
      </c>
      <c r="B64" s="8">
        <v>218</v>
      </c>
      <c r="C64" s="8">
        <v>1804880865</v>
      </c>
      <c r="D64" s="42" t="s">
        <v>92</v>
      </c>
      <c r="E64" s="47"/>
      <c r="F64" s="10">
        <v>0</v>
      </c>
      <c r="G64" s="10">
        <v>0</v>
      </c>
      <c r="H64" s="50">
        <v>0</v>
      </c>
      <c r="I64" s="50">
        <v>0</v>
      </c>
      <c r="J64" s="50">
        <v>0</v>
      </c>
      <c r="K64" s="39" t="s">
        <v>30</v>
      </c>
      <c r="L64" s="11">
        <f t="shared" si="8"/>
        <v>0</v>
      </c>
      <c r="M64" s="10">
        <f t="shared" si="7"/>
        <v>0</v>
      </c>
      <c r="N64" s="10">
        <f t="shared" si="9"/>
        <v>0</v>
      </c>
      <c r="O64" s="10">
        <v>0</v>
      </c>
      <c r="P64" s="10">
        <f t="shared" si="10"/>
        <v>0</v>
      </c>
      <c r="Q64" s="17">
        <v>0.11749999999999983</v>
      </c>
      <c r="R64" s="18">
        <f t="shared" si="11"/>
        <v>0.11749999999999983</v>
      </c>
      <c r="S64" s="19">
        <f t="shared" si="12"/>
        <v>0</v>
      </c>
      <c r="T64" s="20">
        <f t="shared" si="13"/>
        <v>0.11749999999999983</v>
      </c>
    </row>
    <row r="65" spans="1:23" ht="17.399999999999999">
      <c r="A65" s="9">
        <v>1</v>
      </c>
      <c r="B65" s="8">
        <v>217</v>
      </c>
      <c r="C65" s="8">
        <v>331155825</v>
      </c>
      <c r="D65" s="46" t="s">
        <v>89</v>
      </c>
      <c r="E65" s="2"/>
      <c r="F65" s="10">
        <v>0</v>
      </c>
      <c r="G65" s="10">
        <v>0</v>
      </c>
      <c r="H65" s="50">
        <v>0</v>
      </c>
      <c r="I65" s="50">
        <v>0</v>
      </c>
      <c r="J65" s="50">
        <v>0</v>
      </c>
      <c r="K65" s="39" t="s">
        <v>30</v>
      </c>
      <c r="L65" s="11">
        <f t="shared" si="8"/>
        <v>0</v>
      </c>
      <c r="M65" s="10">
        <f t="shared" si="7"/>
        <v>0</v>
      </c>
      <c r="N65" s="10">
        <f t="shared" si="9"/>
        <v>0</v>
      </c>
      <c r="O65" s="10">
        <v>0</v>
      </c>
      <c r="P65" s="10">
        <f t="shared" si="10"/>
        <v>0</v>
      </c>
      <c r="Q65" s="17">
        <v>-1.3124999999999984</v>
      </c>
      <c r="R65" s="18">
        <f t="shared" si="11"/>
        <v>-1.3124999999999984</v>
      </c>
      <c r="S65" s="19">
        <f t="shared" si="12"/>
        <v>0</v>
      </c>
      <c r="T65" s="20">
        <f t="shared" si="13"/>
        <v>-1.3124999999999984</v>
      </c>
    </row>
    <row r="66" spans="1:23" ht="17.399999999999999">
      <c r="A66" s="9">
        <v>1</v>
      </c>
      <c r="B66" s="8">
        <v>237</v>
      </c>
      <c r="C66" s="8">
        <v>1331532576</v>
      </c>
      <c r="D66" s="42" t="s">
        <v>119</v>
      </c>
      <c r="F66" s="10">
        <v>0</v>
      </c>
      <c r="G66" s="10">
        <v>0</v>
      </c>
      <c r="H66" s="50">
        <v>0</v>
      </c>
      <c r="I66" s="50">
        <v>0</v>
      </c>
      <c r="J66" s="50">
        <v>0</v>
      </c>
      <c r="K66" s="39" t="s">
        <v>30</v>
      </c>
      <c r="L66" s="11">
        <f t="shared" si="8"/>
        <v>0</v>
      </c>
      <c r="M66" s="10">
        <f t="shared" si="7"/>
        <v>0</v>
      </c>
      <c r="N66" s="10">
        <f t="shared" si="9"/>
        <v>0</v>
      </c>
      <c r="O66" s="10">
        <v>0</v>
      </c>
      <c r="P66" s="10">
        <f t="shared" si="10"/>
        <v>0</v>
      </c>
      <c r="Q66" s="17">
        <v>-2.5499999999999998</v>
      </c>
      <c r="R66" s="18">
        <f t="shared" si="11"/>
        <v>-2.5499999999999998</v>
      </c>
      <c r="S66" s="19">
        <f t="shared" si="12"/>
        <v>0</v>
      </c>
      <c r="T66" s="20">
        <f t="shared" si="13"/>
        <v>-2.5499999999999998</v>
      </c>
    </row>
    <row r="67" spans="1:23" ht="17.399999999999999">
      <c r="A67" s="9">
        <v>1</v>
      </c>
      <c r="B67" s="8">
        <v>228</v>
      </c>
      <c r="C67" s="8">
        <v>1287481910</v>
      </c>
      <c r="D67" s="42" t="s">
        <v>109</v>
      </c>
      <c r="E67" s="42"/>
      <c r="F67" s="10">
        <v>0</v>
      </c>
      <c r="G67" s="10">
        <v>0</v>
      </c>
      <c r="H67" s="50">
        <v>0</v>
      </c>
      <c r="I67" s="50">
        <v>0</v>
      </c>
      <c r="J67" s="50">
        <v>0</v>
      </c>
      <c r="K67" s="39" t="s">
        <v>30</v>
      </c>
      <c r="L67" s="11">
        <f t="shared" si="8"/>
        <v>0</v>
      </c>
      <c r="M67" s="10">
        <f t="shared" si="7"/>
        <v>0</v>
      </c>
      <c r="N67" s="10">
        <f t="shared" si="9"/>
        <v>0</v>
      </c>
      <c r="O67" s="10">
        <v>0</v>
      </c>
      <c r="P67" s="10">
        <f t="shared" si="10"/>
        <v>0</v>
      </c>
      <c r="Q67" s="17">
        <v>-4.1499999999999995</v>
      </c>
      <c r="R67" s="18">
        <f t="shared" si="11"/>
        <v>-4.1499999999999995</v>
      </c>
      <c r="S67" s="19">
        <f t="shared" si="12"/>
        <v>0</v>
      </c>
      <c r="T67" s="20">
        <f t="shared" si="13"/>
        <v>-4.1499999999999995</v>
      </c>
    </row>
    <row r="68" spans="1:23" ht="17.399999999999999">
      <c r="A68" s="9">
        <v>1</v>
      </c>
      <c r="B68" s="8">
        <v>235</v>
      </c>
      <c r="C68" s="8">
        <v>988684940</v>
      </c>
      <c r="D68" s="42" t="s">
        <v>116</v>
      </c>
      <c r="F68" s="10">
        <v>0</v>
      </c>
      <c r="G68" s="10">
        <v>0</v>
      </c>
      <c r="H68" s="50">
        <v>0</v>
      </c>
      <c r="I68" s="50">
        <v>0</v>
      </c>
      <c r="J68" s="50">
        <v>0</v>
      </c>
      <c r="K68" s="39" t="s">
        <v>30</v>
      </c>
      <c r="L68" s="11">
        <f t="shared" si="8"/>
        <v>0</v>
      </c>
      <c r="M68" s="10">
        <f t="shared" si="7"/>
        <v>0</v>
      </c>
      <c r="N68" s="10">
        <f t="shared" si="9"/>
        <v>0</v>
      </c>
      <c r="O68" s="10">
        <v>0</v>
      </c>
      <c r="P68" s="10">
        <f t="shared" si="10"/>
        <v>0</v>
      </c>
      <c r="Q68" s="17">
        <v>-7.125</v>
      </c>
      <c r="R68" s="18">
        <f t="shared" si="11"/>
        <v>-7.125</v>
      </c>
      <c r="S68" s="19">
        <f t="shared" si="12"/>
        <v>0</v>
      </c>
      <c r="T68" s="20">
        <f t="shared" si="13"/>
        <v>-7.125</v>
      </c>
    </row>
    <row r="69" spans="1:23" ht="17.399999999999999">
      <c r="A69" s="9">
        <v>1</v>
      </c>
      <c r="B69" s="8">
        <v>141</v>
      </c>
      <c r="C69" s="8">
        <v>1190305158</v>
      </c>
      <c r="D69" s="42" t="s">
        <v>44</v>
      </c>
      <c r="E69" s="44"/>
      <c r="F69" s="10">
        <v>0</v>
      </c>
      <c r="G69" s="10">
        <v>0</v>
      </c>
      <c r="H69" s="50">
        <v>0</v>
      </c>
      <c r="I69" s="50">
        <v>0</v>
      </c>
      <c r="J69" s="50">
        <v>0</v>
      </c>
      <c r="K69" s="39" t="s">
        <v>30</v>
      </c>
      <c r="L69" s="11">
        <f t="shared" si="8"/>
        <v>0</v>
      </c>
      <c r="M69" s="10">
        <f t="shared" si="7"/>
        <v>0</v>
      </c>
      <c r="N69" s="10">
        <f t="shared" si="9"/>
        <v>0</v>
      </c>
      <c r="O69" s="10">
        <v>0</v>
      </c>
      <c r="P69" s="10">
        <f t="shared" ref="P69:P70" si="14">SUM(M69+L69+O69+N69)</f>
        <v>0</v>
      </c>
      <c r="Q69" s="17">
        <v>-7.8937500000000043</v>
      </c>
      <c r="R69" s="18">
        <f t="shared" ref="R69:R70" si="15">P69+Q69</f>
        <v>-7.8937500000000043</v>
      </c>
      <c r="S69" s="19">
        <f t="shared" si="12"/>
        <v>0</v>
      </c>
      <c r="T69" s="20">
        <f t="shared" ref="T69:T70" si="16">R69-S69</f>
        <v>-7.8937500000000043</v>
      </c>
      <c r="U69" s="40"/>
      <c r="V69" s="40"/>
      <c r="W69" s="41"/>
    </row>
    <row r="70" spans="1:23" ht="17.399999999999999">
      <c r="A70" s="70">
        <v>1</v>
      </c>
      <c r="B70" s="8">
        <v>203</v>
      </c>
      <c r="C70" s="8">
        <v>382695365</v>
      </c>
      <c r="D70" s="42" t="s">
        <v>78</v>
      </c>
      <c r="E70" s="47"/>
      <c r="F70" s="10">
        <v>0</v>
      </c>
      <c r="G70" s="10">
        <v>0</v>
      </c>
      <c r="H70" s="50">
        <v>0</v>
      </c>
      <c r="I70" s="50">
        <v>0</v>
      </c>
      <c r="J70" s="50">
        <v>0</v>
      </c>
      <c r="K70" s="39" t="s">
        <v>30</v>
      </c>
      <c r="L70" s="11">
        <f t="shared" si="8"/>
        <v>0</v>
      </c>
      <c r="M70" s="10">
        <f t="shared" si="7"/>
        <v>0</v>
      </c>
      <c r="N70" s="10">
        <f t="shared" si="9"/>
        <v>0</v>
      </c>
      <c r="O70" s="10">
        <v>0</v>
      </c>
      <c r="P70" s="10">
        <f t="shared" si="14"/>
        <v>0</v>
      </c>
      <c r="Q70" s="17">
        <v>-16.90625</v>
      </c>
      <c r="R70" s="18">
        <f t="shared" si="15"/>
        <v>-16.90625</v>
      </c>
      <c r="S70" s="19">
        <f t="shared" si="12"/>
        <v>0</v>
      </c>
      <c r="T70" s="20">
        <f t="shared" si="16"/>
        <v>-16.90625</v>
      </c>
    </row>
    <row r="71" spans="1:23" ht="17.399999999999999">
      <c r="A71" s="70"/>
    </row>
  </sheetData>
  <autoFilter ref="A4:W70" xr:uid="{28593B8F-03E7-4BE1-B554-FC0AADC431B2}">
    <sortState xmlns:xlrd2="http://schemas.microsoft.com/office/spreadsheetml/2017/richdata2" ref="A5:W70">
      <sortCondition descending="1" ref="R4:R70"/>
    </sortState>
  </autoFilter>
  <mergeCells count="5">
    <mergeCell ref="B1:T1"/>
    <mergeCell ref="B2:T2"/>
    <mergeCell ref="B3:E3"/>
    <mergeCell ref="H3:J3"/>
    <mergeCell ref="K3:T3"/>
  </mergeCells>
  <conditionalFormatting sqref="O5:O70 F5:J70">
    <cfRule type="cellIs" dxfId="2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BBF88-CFBA-4986-9AF8-1332851C8E96}">
  <dimension ref="A1:AC71"/>
  <sheetViews>
    <sheetView topLeftCell="D29" zoomScale="85" zoomScaleNormal="85" workbookViewId="0">
      <selection activeCell="T5" sqref="T5:T70"/>
    </sheetView>
  </sheetViews>
  <sheetFormatPr defaultColWidth="9" defaultRowHeight="14.4"/>
  <cols>
    <col min="1" max="1" width="6.44140625" customWidth="1"/>
    <col min="2" max="2" width="6.6640625" style="4" customWidth="1"/>
    <col min="3" max="3" width="19.77734375" style="5" customWidth="1"/>
    <col min="4" max="4" width="21.21875" style="5" customWidth="1"/>
    <col min="5" max="5" width="18.33203125" style="4" customWidth="1"/>
    <col min="6" max="6" width="13.109375" style="4" customWidth="1"/>
    <col min="7" max="7" width="13.77734375" style="4" customWidth="1"/>
    <col min="8" max="8" width="5.77734375" style="4" customWidth="1"/>
    <col min="9" max="9" width="5.88671875" style="4" customWidth="1"/>
    <col min="10" max="10" width="5.77734375" style="4" customWidth="1"/>
    <col min="11" max="11" width="20" style="4" customWidth="1"/>
    <col min="12" max="12" width="9" style="4" customWidth="1"/>
    <col min="13" max="13" width="12.109375" style="4" customWidth="1"/>
    <col min="14" max="14" width="11.33203125" style="4" customWidth="1"/>
    <col min="15" max="15" width="10" style="4" customWidth="1"/>
    <col min="16" max="16" width="9" style="4" customWidth="1"/>
    <col min="17" max="17" width="12.88671875" style="4" customWidth="1"/>
    <col min="18" max="18" width="12" style="4" customWidth="1"/>
    <col min="19" max="19" width="9.21875" style="4" customWidth="1"/>
    <col min="20" max="20" width="12.6640625" style="4" customWidth="1"/>
    <col min="21" max="23" width="11.109375" style="21" customWidth="1"/>
    <col min="24" max="24" width="22.44140625" customWidth="1"/>
  </cols>
  <sheetData>
    <row r="1" spans="1:29" ht="36.6" customHeight="1">
      <c r="B1" s="99" t="str">
        <f>CONCATENATE("157区 活动中心",Y15,"年",Y16,"月",Y17,"日","分包贡献明细"," 统计：一二三")</f>
        <v>157区 活动中心2021年10月16日分包贡献明细 统计：一二三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62"/>
      <c r="V1" s="62"/>
      <c r="W1" s="62"/>
      <c r="X1" s="22" t="s">
        <v>12</v>
      </c>
      <c r="Y1" s="5">
        <v>67</v>
      </c>
      <c r="Z1" s="3"/>
      <c r="AA1" s="3"/>
      <c r="AB1" s="3"/>
      <c r="AC1" s="3"/>
    </row>
    <row r="2" spans="1:29" ht="137.4" customHeight="1">
      <c r="B2" s="101" t="s">
        <v>126</v>
      </c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63"/>
      <c r="V2" s="63"/>
      <c r="W2" s="63"/>
      <c r="X2" s="23" t="s">
        <v>0</v>
      </c>
      <c r="Y2" s="24" t="s">
        <v>13</v>
      </c>
      <c r="Z2" s="25" t="s">
        <v>14</v>
      </c>
      <c r="AA2" s="25" t="s">
        <v>15</v>
      </c>
      <c r="AB2" s="25" t="s">
        <v>56</v>
      </c>
      <c r="AC2" s="26" t="s">
        <v>16</v>
      </c>
    </row>
    <row r="3" spans="1:29" ht="20.399999999999999">
      <c r="B3" s="104" t="s">
        <v>20</v>
      </c>
      <c r="C3" s="104"/>
      <c r="D3" s="104"/>
      <c r="E3" s="104"/>
      <c r="F3" s="64" t="s">
        <v>17</v>
      </c>
      <c r="G3" s="65" t="s">
        <v>39</v>
      </c>
      <c r="H3" s="105" t="s">
        <v>99</v>
      </c>
      <c r="I3" s="105"/>
      <c r="J3" s="105"/>
      <c r="K3" s="106" t="s">
        <v>21</v>
      </c>
      <c r="L3" s="107"/>
      <c r="M3" s="107"/>
      <c r="N3" s="107"/>
      <c r="O3" s="107"/>
      <c r="P3" s="107"/>
      <c r="Q3" s="107"/>
      <c r="R3" s="107"/>
      <c r="S3" s="107"/>
      <c r="T3" s="108"/>
      <c r="U3" s="61"/>
      <c r="V3" s="61"/>
      <c r="W3" s="61"/>
      <c r="X3" s="27" t="s">
        <v>22</v>
      </c>
      <c r="Y3" s="28">
        <f>AC3/$Y$13</f>
        <v>11.875</v>
      </c>
      <c r="Z3" s="23">
        <v>5</v>
      </c>
      <c r="AA3" s="23">
        <v>7</v>
      </c>
      <c r="AB3" s="23">
        <v>20</v>
      </c>
      <c r="AC3" s="23">
        <v>1900</v>
      </c>
    </row>
    <row r="4" spans="1:29" ht="40.799999999999997">
      <c r="A4" s="75" t="s">
        <v>117</v>
      </c>
      <c r="B4" s="75" t="s">
        <v>2</v>
      </c>
      <c r="C4" s="60" t="s">
        <v>23</v>
      </c>
      <c r="D4" s="75" t="s">
        <v>3</v>
      </c>
      <c r="E4" s="75" t="s">
        <v>4</v>
      </c>
      <c r="F4" s="6" t="s">
        <v>40</v>
      </c>
      <c r="G4" s="7" t="s">
        <v>91</v>
      </c>
      <c r="H4" s="7" t="s">
        <v>100</v>
      </c>
      <c r="I4" s="7" t="s">
        <v>101</v>
      </c>
      <c r="J4" s="7" t="s">
        <v>102</v>
      </c>
      <c r="K4" s="6" t="s">
        <v>5</v>
      </c>
      <c r="L4" s="6" t="s">
        <v>24</v>
      </c>
      <c r="M4" s="7" t="s">
        <v>41</v>
      </c>
      <c r="N4" s="7" t="s">
        <v>104</v>
      </c>
      <c r="O4" s="7" t="s">
        <v>45</v>
      </c>
      <c r="P4" s="15" t="s">
        <v>25</v>
      </c>
      <c r="Q4" s="60" t="s">
        <v>26</v>
      </c>
      <c r="R4" s="16" t="s">
        <v>7</v>
      </c>
      <c r="S4" s="60" t="s">
        <v>6</v>
      </c>
      <c r="T4" s="60" t="s">
        <v>27</v>
      </c>
      <c r="U4" s="60" t="s">
        <v>18</v>
      </c>
      <c r="V4" s="60" t="s">
        <v>19</v>
      </c>
      <c r="W4" s="60" t="s">
        <v>1</v>
      </c>
      <c r="X4" s="29" t="s">
        <v>28</v>
      </c>
      <c r="Y4" s="28">
        <f>AC4/$Y$13</f>
        <v>9.6875</v>
      </c>
      <c r="Z4" s="23">
        <v>4</v>
      </c>
      <c r="AA4" s="23">
        <v>6</v>
      </c>
      <c r="AB4" s="23">
        <v>15</v>
      </c>
      <c r="AC4" s="23">
        <v>1550</v>
      </c>
    </row>
    <row r="5" spans="1:29" s="1" customFormat="1" ht="17.399999999999999">
      <c r="A5" s="9">
        <v>1</v>
      </c>
      <c r="B5" s="9">
        <v>231</v>
      </c>
      <c r="C5" s="8">
        <v>1725915293</v>
      </c>
      <c r="D5" s="42" t="s">
        <v>112</v>
      </c>
      <c r="E5" s="4"/>
      <c r="F5" s="10">
        <v>4</v>
      </c>
      <c r="G5" s="10">
        <v>1</v>
      </c>
      <c r="H5" s="50">
        <v>0</v>
      </c>
      <c r="I5" s="50">
        <v>0</v>
      </c>
      <c r="J5" s="50">
        <v>0</v>
      </c>
      <c r="K5" s="12" t="s">
        <v>53</v>
      </c>
      <c r="L5" s="11">
        <f t="shared" ref="L5:L36" si="0">F5+IF(F5&gt;2,(F5-2)*1,0)</f>
        <v>6</v>
      </c>
      <c r="M5" s="10">
        <f t="shared" ref="M5:M14" si="1">G5*$Y$14</f>
        <v>1.2</v>
      </c>
      <c r="N5" s="10">
        <f t="shared" ref="N5:N36" si="2">SUM(H5:J5)*$Y$18</f>
        <v>0</v>
      </c>
      <c r="O5" s="10">
        <v>0</v>
      </c>
      <c r="P5" s="10">
        <f t="shared" ref="P5:P36" si="3">SUM(M5+L5+O5+N5)</f>
        <v>7.2</v>
      </c>
      <c r="Q5" s="17">
        <v>24.768749999999997</v>
      </c>
      <c r="R5" s="18">
        <f t="shared" ref="R5:R36" si="4">P5+Q5</f>
        <v>31.968749999999996</v>
      </c>
      <c r="S5" s="19">
        <f t="shared" ref="S5:S36" si="5">VLOOKUP(K5,$X$3:$Y$10,2,FALSE)</f>
        <v>8.125</v>
      </c>
      <c r="T5" s="20">
        <f t="shared" ref="T5:T36" si="6">R5-S5</f>
        <v>23.843749999999996</v>
      </c>
      <c r="U5" s="4"/>
      <c r="V5" s="4"/>
      <c r="W5" s="4"/>
      <c r="X5" s="14" t="s">
        <v>29</v>
      </c>
      <c r="Y5" s="28">
        <f>AC5/$Y$13/4</f>
        <v>1.875</v>
      </c>
      <c r="Z5" s="30">
        <v>3</v>
      </c>
      <c r="AA5" s="30">
        <v>5</v>
      </c>
      <c r="AB5" s="30">
        <v>10</v>
      </c>
      <c r="AC5" s="30">
        <v>1200</v>
      </c>
    </row>
    <row r="6" spans="1:29" s="1" customFormat="1" ht="17.399999999999999">
      <c r="A6" s="9">
        <v>1</v>
      </c>
      <c r="B6" s="8">
        <v>208</v>
      </c>
      <c r="C6" s="8">
        <v>92129464</v>
      </c>
      <c r="D6" s="42" t="s">
        <v>82</v>
      </c>
      <c r="E6" s="47"/>
      <c r="F6" s="10">
        <v>4</v>
      </c>
      <c r="G6" s="10">
        <v>1</v>
      </c>
      <c r="H6" s="50">
        <v>0</v>
      </c>
      <c r="I6" s="50">
        <v>0</v>
      </c>
      <c r="J6" s="50">
        <v>0</v>
      </c>
      <c r="K6" s="12" t="s">
        <v>53</v>
      </c>
      <c r="L6" s="11">
        <f t="shared" si="0"/>
        <v>6</v>
      </c>
      <c r="M6" s="10">
        <f t="shared" si="1"/>
        <v>1.2</v>
      </c>
      <c r="N6" s="10">
        <f t="shared" si="2"/>
        <v>0</v>
      </c>
      <c r="O6" s="10">
        <v>0</v>
      </c>
      <c r="P6" s="10">
        <f t="shared" si="3"/>
        <v>7.2</v>
      </c>
      <c r="Q6" s="17">
        <v>24.549999999999997</v>
      </c>
      <c r="R6" s="18">
        <f t="shared" si="4"/>
        <v>31.749999999999996</v>
      </c>
      <c r="S6" s="19">
        <f t="shared" si="5"/>
        <v>8.125</v>
      </c>
      <c r="T6" s="20">
        <f t="shared" si="6"/>
        <v>23.624999999999996</v>
      </c>
      <c r="U6" s="4"/>
      <c r="V6" s="4"/>
      <c r="W6" s="4"/>
      <c r="X6" s="14"/>
      <c r="Y6" s="28"/>
      <c r="Z6" s="30"/>
      <c r="AA6" s="30"/>
      <c r="AB6" s="30"/>
      <c r="AC6" s="30"/>
    </row>
    <row r="7" spans="1:29" s="1" customFormat="1" ht="20.399999999999999">
      <c r="A7" s="9">
        <v>1</v>
      </c>
      <c r="B7" s="8">
        <v>221</v>
      </c>
      <c r="C7" s="8">
        <v>790956883</v>
      </c>
      <c r="D7" s="42" t="s">
        <v>96</v>
      </c>
      <c r="E7" s="42" t="s">
        <v>95</v>
      </c>
      <c r="F7" s="10">
        <v>4</v>
      </c>
      <c r="G7" s="10">
        <v>1</v>
      </c>
      <c r="H7" s="50">
        <v>0</v>
      </c>
      <c r="I7" s="50">
        <v>0</v>
      </c>
      <c r="J7" s="50">
        <v>0</v>
      </c>
      <c r="K7" s="12" t="s">
        <v>53</v>
      </c>
      <c r="L7" s="11">
        <f t="shared" si="0"/>
        <v>6</v>
      </c>
      <c r="M7" s="10">
        <f t="shared" si="1"/>
        <v>1.2</v>
      </c>
      <c r="N7" s="10">
        <f t="shared" si="2"/>
        <v>0</v>
      </c>
      <c r="O7" s="10">
        <v>0</v>
      </c>
      <c r="P7" s="10">
        <f t="shared" si="3"/>
        <v>7.2</v>
      </c>
      <c r="Q7" s="17">
        <v>24.506249999999994</v>
      </c>
      <c r="R7" s="18">
        <f t="shared" si="4"/>
        <v>31.706249999999994</v>
      </c>
      <c r="S7" s="19">
        <f t="shared" si="5"/>
        <v>8.125</v>
      </c>
      <c r="T7" s="20">
        <f t="shared" si="6"/>
        <v>23.581249999999994</v>
      </c>
      <c r="U7" s="4"/>
      <c r="V7" s="4"/>
      <c r="W7" s="4"/>
      <c r="X7" s="12" t="s">
        <v>53</v>
      </c>
      <c r="Y7" s="28">
        <f>AC7/$Y$13</f>
        <v>8.125</v>
      </c>
      <c r="Z7" s="30">
        <v>4</v>
      </c>
      <c r="AA7" s="30">
        <v>5</v>
      </c>
      <c r="AB7" s="30"/>
      <c r="AC7" s="30">
        <v>1300</v>
      </c>
    </row>
    <row r="8" spans="1:29" s="1" customFormat="1" ht="17.399999999999999">
      <c r="A8" s="9">
        <v>1</v>
      </c>
      <c r="B8" s="8">
        <v>225</v>
      </c>
      <c r="C8" s="8">
        <v>1963965829</v>
      </c>
      <c r="D8" s="42" t="s">
        <v>107</v>
      </c>
      <c r="E8" s="42"/>
      <c r="F8" s="10">
        <v>4</v>
      </c>
      <c r="G8" s="10">
        <v>1</v>
      </c>
      <c r="H8" s="50">
        <v>0</v>
      </c>
      <c r="I8" s="50">
        <v>0</v>
      </c>
      <c r="J8" s="50">
        <v>0</v>
      </c>
      <c r="K8" s="12" t="s">
        <v>53</v>
      </c>
      <c r="L8" s="11">
        <f t="shared" si="0"/>
        <v>6</v>
      </c>
      <c r="M8" s="10">
        <f t="shared" si="1"/>
        <v>1.2</v>
      </c>
      <c r="N8" s="10">
        <f t="shared" si="2"/>
        <v>0</v>
      </c>
      <c r="O8" s="10">
        <v>0</v>
      </c>
      <c r="P8" s="10">
        <f t="shared" si="3"/>
        <v>7.2</v>
      </c>
      <c r="Q8" s="17">
        <v>24.460736940298496</v>
      </c>
      <c r="R8" s="18">
        <f t="shared" si="4"/>
        <v>31.660736940298495</v>
      </c>
      <c r="S8" s="19">
        <f t="shared" si="5"/>
        <v>8.125</v>
      </c>
      <c r="T8" s="20">
        <f t="shared" si="6"/>
        <v>23.535736940298495</v>
      </c>
      <c r="U8" s="4"/>
      <c r="V8" s="4"/>
      <c r="W8" s="4"/>
      <c r="X8" s="13" t="s">
        <v>52</v>
      </c>
      <c r="Y8" s="28">
        <f>AC8/$Y$13</f>
        <v>6.25</v>
      </c>
      <c r="Z8" s="30">
        <v>3</v>
      </c>
      <c r="AA8" s="30">
        <v>4</v>
      </c>
      <c r="AB8" s="30"/>
      <c r="AC8" s="30">
        <v>1000</v>
      </c>
    </row>
    <row r="9" spans="1:29" s="1" customFormat="1" ht="17.399999999999999">
      <c r="A9" s="9">
        <v>1</v>
      </c>
      <c r="B9" s="8">
        <v>178</v>
      </c>
      <c r="C9" s="8">
        <v>1059185275</v>
      </c>
      <c r="D9" s="42" t="s">
        <v>66</v>
      </c>
      <c r="E9" s="47"/>
      <c r="F9" s="10">
        <v>4</v>
      </c>
      <c r="G9" s="10">
        <v>1</v>
      </c>
      <c r="H9" s="50">
        <v>0</v>
      </c>
      <c r="I9" s="50">
        <v>0</v>
      </c>
      <c r="J9" s="50">
        <v>0</v>
      </c>
      <c r="K9" s="12" t="s">
        <v>53</v>
      </c>
      <c r="L9" s="11">
        <f t="shared" si="0"/>
        <v>6</v>
      </c>
      <c r="M9" s="10">
        <f t="shared" si="1"/>
        <v>1.2</v>
      </c>
      <c r="N9" s="10">
        <f t="shared" si="2"/>
        <v>0</v>
      </c>
      <c r="O9" s="10">
        <v>0</v>
      </c>
      <c r="P9" s="10">
        <f t="shared" si="3"/>
        <v>7.2</v>
      </c>
      <c r="Q9" s="17">
        <v>24.412499999999994</v>
      </c>
      <c r="R9" s="18">
        <f t="shared" si="4"/>
        <v>31.612499999999994</v>
      </c>
      <c r="S9" s="19">
        <f t="shared" si="5"/>
        <v>8.125</v>
      </c>
      <c r="T9" s="20">
        <f t="shared" si="6"/>
        <v>23.487499999999994</v>
      </c>
      <c r="U9" s="4"/>
      <c r="V9" s="4"/>
      <c r="W9" s="4"/>
      <c r="X9" s="14" t="s">
        <v>53</v>
      </c>
      <c r="Y9" s="28">
        <f>AC9/$Y$13/4</f>
        <v>1.09375</v>
      </c>
      <c r="Z9" s="30">
        <v>2</v>
      </c>
      <c r="AA9" s="30">
        <v>3</v>
      </c>
      <c r="AB9" s="30"/>
      <c r="AC9" s="30">
        <v>700</v>
      </c>
    </row>
    <row r="10" spans="1:29" s="1" customFormat="1" ht="17.399999999999999">
      <c r="A10" s="9">
        <v>1</v>
      </c>
      <c r="B10" s="8">
        <v>182</v>
      </c>
      <c r="C10" s="8">
        <v>828260319</v>
      </c>
      <c r="D10" s="42" t="s">
        <v>134</v>
      </c>
      <c r="E10" s="42" t="s">
        <v>127</v>
      </c>
      <c r="F10" s="10">
        <v>4</v>
      </c>
      <c r="G10" s="10">
        <v>1</v>
      </c>
      <c r="H10" s="50">
        <v>0</v>
      </c>
      <c r="I10" s="50">
        <v>0</v>
      </c>
      <c r="J10" s="50">
        <v>0</v>
      </c>
      <c r="K10" s="12" t="s">
        <v>53</v>
      </c>
      <c r="L10" s="11">
        <f t="shared" si="0"/>
        <v>6</v>
      </c>
      <c r="M10" s="10">
        <f t="shared" si="1"/>
        <v>1.2</v>
      </c>
      <c r="N10" s="10">
        <f t="shared" si="2"/>
        <v>0</v>
      </c>
      <c r="O10" s="10">
        <v>0</v>
      </c>
      <c r="P10" s="10">
        <f t="shared" si="3"/>
        <v>7.2</v>
      </c>
      <c r="Q10" s="17">
        <v>23.606750000000019</v>
      </c>
      <c r="R10" s="18">
        <f t="shared" si="4"/>
        <v>30.806750000000019</v>
      </c>
      <c r="S10" s="19">
        <f t="shared" si="5"/>
        <v>8.125</v>
      </c>
      <c r="T10" s="20">
        <f t="shared" si="6"/>
        <v>22.681750000000019</v>
      </c>
      <c r="U10" s="4"/>
      <c r="V10" s="4"/>
      <c r="W10" s="4"/>
      <c r="X10" s="33" t="s">
        <v>30</v>
      </c>
      <c r="Y10" s="2">
        <v>0</v>
      </c>
      <c r="Z10" s="2"/>
      <c r="AA10" s="2"/>
      <c r="AB10" s="2"/>
      <c r="AC10" s="2"/>
    </row>
    <row r="11" spans="1:29" s="1" customFormat="1" ht="17.399999999999999">
      <c r="A11" s="9">
        <v>1</v>
      </c>
      <c r="B11" s="8">
        <v>128</v>
      </c>
      <c r="C11" s="8">
        <v>1214614935</v>
      </c>
      <c r="D11" s="42" t="s">
        <v>62</v>
      </c>
      <c r="E11" s="49" t="s">
        <v>43</v>
      </c>
      <c r="F11" s="10">
        <v>4</v>
      </c>
      <c r="G11" s="10">
        <v>1</v>
      </c>
      <c r="H11" s="50">
        <v>0</v>
      </c>
      <c r="I11" s="50">
        <v>0</v>
      </c>
      <c r="J11" s="50">
        <v>0</v>
      </c>
      <c r="K11" s="13" t="s">
        <v>52</v>
      </c>
      <c r="L11" s="11">
        <f t="shared" si="0"/>
        <v>6</v>
      </c>
      <c r="M11" s="10">
        <f t="shared" si="1"/>
        <v>1.2</v>
      </c>
      <c r="N11" s="10">
        <f t="shared" si="2"/>
        <v>0</v>
      </c>
      <c r="O11" s="10">
        <v>0</v>
      </c>
      <c r="P11" s="10">
        <f t="shared" si="3"/>
        <v>7.2</v>
      </c>
      <c r="Q11" s="17">
        <v>22.949499999999993</v>
      </c>
      <c r="R11" s="18">
        <f t="shared" si="4"/>
        <v>30.149499999999993</v>
      </c>
      <c r="S11" s="19">
        <f t="shared" si="5"/>
        <v>6.25</v>
      </c>
      <c r="T11" s="20">
        <f t="shared" si="6"/>
        <v>23.899499999999993</v>
      </c>
      <c r="U11" s="11"/>
      <c r="V11" s="11"/>
      <c r="W11" s="31"/>
      <c r="X11" s="34"/>
    </row>
    <row r="12" spans="1:29" s="1" customFormat="1" ht="17.399999999999999">
      <c r="A12" s="9">
        <v>1</v>
      </c>
      <c r="B12" s="8">
        <v>242</v>
      </c>
      <c r="C12" s="8">
        <v>1381736232</v>
      </c>
      <c r="D12" s="42" t="s">
        <v>125</v>
      </c>
      <c r="E12" s="4"/>
      <c r="F12" s="10">
        <v>3</v>
      </c>
      <c r="G12" s="10">
        <v>1</v>
      </c>
      <c r="H12" s="50">
        <v>0</v>
      </c>
      <c r="I12" s="50">
        <v>0</v>
      </c>
      <c r="J12" s="50">
        <v>0</v>
      </c>
      <c r="K12" s="13" t="s">
        <v>52</v>
      </c>
      <c r="L12" s="11">
        <f t="shared" si="0"/>
        <v>4</v>
      </c>
      <c r="M12" s="10">
        <f t="shared" si="1"/>
        <v>1.2</v>
      </c>
      <c r="N12" s="10">
        <f t="shared" si="2"/>
        <v>0</v>
      </c>
      <c r="O12" s="10">
        <v>0</v>
      </c>
      <c r="P12" s="10">
        <f t="shared" si="3"/>
        <v>5.2</v>
      </c>
      <c r="Q12" s="17">
        <v>24.431249999999991</v>
      </c>
      <c r="R12" s="18">
        <f t="shared" si="4"/>
        <v>29.631249999999991</v>
      </c>
      <c r="S12" s="19">
        <f t="shared" si="5"/>
        <v>6.25</v>
      </c>
      <c r="T12" s="20">
        <f t="shared" si="6"/>
        <v>23.381249999999991</v>
      </c>
      <c r="U12" s="4"/>
      <c r="V12" s="4"/>
      <c r="W12" s="4"/>
      <c r="X12" s="35" t="s">
        <v>32</v>
      </c>
      <c r="Y12" s="1">
        <v>15000</v>
      </c>
    </row>
    <row r="13" spans="1:29" s="2" customFormat="1" ht="17.399999999999999">
      <c r="A13" s="9">
        <v>1</v>
      </c>
      <c r="B13" s="8">
        <v>232</v>
      </c>
      <c r="C13" s="8">
        <v>1088909927</v>
      </c>
      <c r="D13" s="42" t="s">
        <v>113</v>
      </c>
      <c r="E13" s="4"/>
      <c r="F13" s="10">
        <v>3</v>
      </c>
      <c r="G13" s="10">
        <v>1</v>
      </c>
      <c r="H13" s="50">
        <v>0</v>
      </c>
      <c r="I13" s="50">
        <v>0</v>
      </c>
      <c r="J13" s="50">
        <v>0</v>
      </c>
      <c r="K13" s="13" t="s">
        <v>52</v>
      </c>
      <c r="L13" s="11">
        <f t="shared" si="0"/>
        <v>4</v>
      </c>
      <c r="M13" s="10">
        <f t="shared" si="1"/>
        <v>1.2</v>
      </c>
      <c r="N13" s="10">
        <f t="shared" si="2"/>
        <v>0</v>
      </c>
      <c r="O13" s="10">
        <v>0</v>
      </c>
      <c r="P13" s="10">
        <f t="shared" si="3"/>
        <v>5.2</v>
      </c>
      <c r="Q13" s="17">
        <v>23.931249999999999</v>
      </c>
      <c r="R13" s="18">
        <f t="shared" si="4"/>
        <v>29.131249999999998</v>
      </c>
      <c r="S13" s="19">
        <f t="shared" si="5"/>
        <v>6.25</v>
      </c>
      <c r="T13" s="20">
        <f t="shared" si="6"/>
        <v>22.881249999999998</v>
      </c>
      <c r="U13" s="4"/>
      <c r="V13" s="4"/>
      <c r="W13" s="4"/>
      <c r="X13" s="36" t="s">
        <v>33</v>
      </c>
      <c r="Y13" s="37">
        <v>160</v>
      </c>
      <c r="Z13" s="1"/>
      <c r="AA13" s="1"/>
      <c r="AB13" s="1"/>
      <c r="AC13" s="1"/>
    </row>
    <row r="14" spans="1:29" s="2" customFormat="1" ht="17.399999999999999">
      <c r="A14" s="9">
        <v>1</v>
      </c>
      <c r="B14" s="9">
        <v>46</v>
      </c>
      <c r="C14" s="8">
        <v>2109182835</v>
      </c>
      <c r="D14" s="42" t="s">
        <v>59</v>
      </c>
      <c r="E14" s="42" t="s">
        <v>10</v>
      </c>
      <c r="F14" s="10">
        <v>4</v>
      </c>
      <c r="G14" s="10">
        <v>1</v>
      </c>
      <c r="H14" s="50">
        <v>0</v>
      </c>
      <c r="I14" s="50">
        <v>0</v>
      </c>
      <c r="J14" s="50">
        <v>0</v>
      </c>
      <c r="K14" s="13" t="s">
        <v>52</v>
      </c>
      <c r="L14" s="11">
        <f t="shared" si="0"/>
        <v>6</v>
      </c>
      <c r="M14" s="10">
        <f t="shared" si="1"/>
        <v>1.2</v>
      </c>
      <c r="N14" s="10">
        <f t="shared" si="2"/>
        <v>0</v>
      </c>
      <c r="O14" s="10">
        <v>0</v>
      </c>
      <c r="P14" s="10">
        <f t="shared" si="3"/>
        <v>7.2</v>
      </c>
      <c r="Q14" s="17">
        <v>21.842500000000015</v>
      </c>
      <c r="R14" s="18">
        <f t="shared" si="4"/>
        <v>29.042500000000015</v>
      </c>
      <c r="S14" s="19">
        <f t="shared" si="5"/>
        <v>6.25</v>
      </c>
      <c r="T14" s="20">
        <f t="shared" si="6"/>
        <v>22.792500000000015</v>
      </c>
      <c r="U14" s="11"/>
      <c r="V14" s="11"/>
      <c r="W14" s="11"/>
      <c r="X14" s="38" t="s">
        <v>42</v>
      </c>
      <c r="Y14" s="37">
        <v>1.2</v>
      </c>
      <c r="Z14" s="1"/>
      <c r="AA14" s="1"/>
      <c r="AB14" s="1"/>
      <c r="AC14" s="1"/>
    </row>
    <row r="15" spans="1:29" s="2" customFormat="1" ht="20.399999999999999">
      <c r="A15" s="9">
        <v>1</v>
      </c>
      <c r="B15" s="9">
        <v>49</v>
      </c>
      <c r="C15" s="8">
        <v>311361673</v>
      </c>
      <c r="D15" s="43" t="s">
        <v>105</v>
      </c>
      <c r="E15" s="49" t="s">
        <v>11</v>
      </c>
      <c r="F15" s="10">
        <v>4</v>
      </c>
      <c r="G15" s="10">
        <v>1</v>
      </c>
      <c r="H15" s="50">
        <v>0</v>
      </c>
      <c r="I15" s="50">
        <v>0</v>
      </c>
      <c r="J15" s="50">
        <v>0</v>
      </c>
      <c r="K15" s="13" t="s">
        <v>52</v>
      </c>
      <c r="L15" s="11">
        <f t="shared" si="0"/>
        <v>6</v>
      </c>
      <c r="M15" s="10">
        <f>IF(G15&gt;0,1,0)*$Y$14</f>
        <v>1.2</v>
      </c>
      <c r="N15" s="10">
        <f t="shared" si="2"/>
        <v>0</v>
      </c>
      <c r="O15" s="10">
        <v>0</v>
      </c>
      <c r="P15" s="10">
        <f t="shared" si="3"/>
        <v>7.2</v>
      </c>
      <c r="Q15" s="17">
        <v>21.481249999999996</v>
      </c>
      <c r="R15" s="18">
        <f t="shared" si="4"/>
        <v>28.681249999999995</v>
      </c>
      <c r="S15" s="19">
        <f t="shared" si="5"/>
        <v>6.25</v>
      </c>
      <c r="T15" s="20">
        <f t="shared" si="6"/>
        <v>22.431249999999995</v>
      </c>
      <c r="U15" s="11"/>
      <c r="V15" s="11"/>
      <c r="W15" s="11"/>
      <c r="X15" s="1" t="s">
        <v>34</v>
      </c>
      <c r="Y15" s="37">
        <v>2021</v>
      </c>
      <c r="Z15" s="1"/>
      <c r="AA15" s="1"/>
      <c r="AB15" s="1"/>
      <c r="AC15" s="1"/>
    </row>
    <row r="16" spans="1:29" s="2" customFormat="1" ht="17.399999999999999">
      <c r="A16" s="9">
        <v>1</v>
      </c>
      <c r="B16" s="8">
        <v>118</v>
      </c>
      <c r="C16" s="8">
        <v>2018112397</v>
      </c>
      <c r="D16" s="42" t="s">
        <v>54</v>
      </c>
      <c r="E16" s="42" t="s">
        <v>47</v>
      </c>
      <c r="F16" s="10">
        <v>3</v>
      </c>
      <c r="G16" s="10">
        <v>1</v>
      </c>
      <c r="H16" s="50">
        <v>0</v>
      </c>
      <c r="I16" s="50">
        <v>0</v>
      </c>
      <c r="J16" s="50">
        <v>0</v>
      </c>
      <c r="K16" s="13" t="s">
        <v>52</v>
      </c>
      <c r="L16" s="11">
        <f t="shared" si="0"/>
        <v>4</v>
      </c>
      <c r="M16" s="10">
        <f t="shared" ref="M16:M47" si="7">G16*$Y$14</f>
        <v>1.2</v>
      </c>
      <c r="N16" s="10">
        <f t="shared" si="2"/>
        <v>0</v>
      </c>
      <c r="O16" s="10">
        <v>0</v>
      </c>
      <c r="P16" s="10">
        <f t="shared" si="3"/>
        <v>5.2</v>
      </c>
      <c r="Q16" s="17">
        <v>23.393749999999986</v>
      </c>
      <c r="R16" s="18">
        <f t="shared" si="4"/>
        <v>28.593749999999986</v>
      </c>
      <c r="S16" s="19">
        <f t="shared" si="5"/>
        <v>6.25</v>
      </c>
      <c r="T16" s="20">
        <f t="shared" si="6"/>
        <v>22.343749999999986</v>
      </c>
      <c r="U16" s="11"/>
      <c r="V16" s="11"/>
      <c r="W16" s="32"/>
      <c r="X16" s="1" t="s">
        <v>35</v>
      </c>
      <c r="Y16" s="37">
        <v>10</v>
      </c>
      <c r="Z16" s="1"/>
      <c r="AA16" s="1"/>
      <c r="AB16" s="1"/>
      <c r="AC16" s="1"/>
    </row>
    <row r="17" spans="1:29" s="2" customFormat="1" ht="17.399999999999999">
      <c r="A17" s="9">
        <v>1</v>
      </c>
      <c r="B17" s="8">
        <v>195</v>
      </c>
      <c r="C17" s="8">
        <v>1634663314</v>
      </c>
      <c r="D17" s="42" t="s">
        <v>73</v>
      </c>
      <c r="E17" s="47"/>
      <c r="F17" s="10">
        <v>3</v>
      </c>
      <c r="G17" s="10">
        <v>1</v>
      </c>
      <c r="H17" s="50">
        <v>0</v>
      </c>
      <c r="I17" s="50">
        <v>0</v>
      </c>
      <c r="J17" s="50">
        <v>0</v>
      </c>
      <c r="K17" s="14" t="s">
        <v>53</v>
      </c>
      <c r="L17" s="11">
        <f t="shared" si="0"/>
        <v>4</v>
      </c>
      <c r="M17" s="10">
        <f t="shared" si="7"/>
        <v>1.2</v>
      </c>
      <c r="N17" s="10">
        <f t="shared" si="2"/>
        <v>0</v>
      </c>
      <c r="O17" s="10">
        <v>0</v>
      </c>
      <c r="P17" s="10">
        <f t="shared" si="3"/>
        <v>5.2</v>
      </c>
      <c r="Q17" s="17">
        <v>21.705749999999988</v>
      </c>
      <c r="R17" s="18">
        <f t="shared" si="4"/>
        <v>26.905749999999987</v>
      </c>
      <c r="S17" s="19">
        <f t="shared" si="5"/>
        <v>8.125</v>
      </c>
      <c r="T17" s="20">
        <f t="shared" si="6"/>
        <v>18.780749999999987</v>
      </c>
      <c r="U17" s="4"/>
      <c r="V17" s="4"/>
      <c r="W17" s="4"/>
      <c r="X17" s="1" t="s">
        <v>36</v>
      </c>
      <c r="Y17" s="37">
        <v>16</v>
      </c>
      <c r="Z17" s="1"/>
      <c r="AA17" s="1"/>
      <c r="AB17" s="1"/>
      <c r="AC17" s="1"/>
    </row>
    <row r="18" spans="1:29" s="2" customFormat="1" ht="17.399999999999999">
      <c r="A18" s="9">
        <v>1</v>
      </c>
      <c r="B18" s="8">
        <v>226</v>
      </c>
      <c r="C18" s="8">
        <v>1238792963</v>
      </c>
      <c r="D18" s="42" t="s">
        <v>108</v>
      </c>
      <c r="E18" s="42"/>
      <c r="F18" s="10">
        <v>3</v>
      </c>
      <c r="G18" s="10">
        <v>1</v>
      </c>
      <c r="H18" s="50">
        <v>0</v>
      </c>
      <c r="I18" s="50">
        <v>0</v>
      </c>
      <c r="J18" s="50">
        <v>0</v>
      </c>
      <c r="K18" s="14" t="s">
        <v>53</v>
      </c>
      <c r="L18" s="11">
        <f t="shared" si="0"/>
        <v>4</v>
      </c>
      <c r="M18" s="10">
        <f t="shared" si="7"/>
        <v>1.2</v>
      </c>
      <c r="N18" s="10">
        <f t="shared" si="2"/>
        <v>0</v>
      </c>
      <c r="O18" s="10">
        <v>0</v>
      </c>
      <c r="P18" s="10">
        <f t="shared" si="3"/>
        <v>5.2</v>
      </c>
      <c r="Q18" s="17">
        <v>21.293749999999999</v>
      </c>
      <c r="R18" s="18">
        <f t="shared" si="4"/>
        <v>26.493749999999999</v>
      </c>
      <c r="S18" s="19">
        <f t="shared" si="5"/>
        <v>8.125</v>
      </c>
      <c r="T18" s="20">
        <f t="shared" si="6"/>
        <v>18.368749999999999</v>
      </c>
      <c r="U18" s="4"/>
      <c r="V18" s="4"/>
      <c r="W18" s="4"/>
      <c r="X18" s="51" t="s">
        <v>103</v>
      </c>
      <c r="Y18" s="37">
        <v>0.4</v>
      </c>
      <c r="Z18" s="1"/>
      <c r="AA18" s="1"/>
      <c r="AB18" s="1"/>
      <c r="AC18" s="1"/>
    </row>
    <row r="19" spans="1:29" s="2" customFormat="1" ht="17.399999999999999">
      <c r="A19" s="9">
        <v>1</v>
      </c>
      <c r="B19" s="8">
        <v>184</v>
      </c>
      <c r="C19" s="8">
        <v>1814130074</v>
      </c>
      <c r="D19" s="42" t="s">
        <v>67</v>
      </c>
      <c r="E19" s="47"/>
      <c r="F19" s="10">
        <v>2</v>
      </c>
      <c r="G19" s="10">
        <v>1</v>
      </c>
      <c r="H19" s="50">
        <v>0</v>
      </c>
      <c r="I19" s="50">
        <v>0</v>
      </c>
      <c r="J19" s="50">
        <v>0</v>
      </c>
      <c r="K19" s="14" t="s">
        <v>53</v>
      </c>
      <c r="L19" s="11">
        <f t="shared" si="0"/>
        <v>2</v>
      </c>
      <c r="M19" s="10">
        <f t="shared" si="7"/>
        <v>1.2</v>
      </c>
      <c r="N19" s="10">
        <f t="shared" si="2"/>
        <v>0</v>
      </c>
      <c r="O19" s="10">
        <v>0</v>
      </c>
      <c r="P19" s="10">
        <f t="shared" si="3"/>
        <v>3.2</v>
      </c>
      <c r="Q19" s="17">
        <v>22.668750000000021</v>
      </c>
      <c r="R19" s="18">
        <f t="shared" si="4"/>
        <v>25.86875000000002</v>
      </c>
      <c r="S19" s="19">
        <f t="shared" si="5"/>
        <v>8.125</v>
      </c>
      <c r="T19" s="20">
        <f t="shared" si="6"/>
        <v>17.74375000000002</v>
      </c>
      <c r="U19" s="4"/>
      <c r="V19" s="4"/>
      <c r="W19" s="4"/>
      <c r="X19" s="1"/>
      <c r="Y19" s="1"/>
      <c r="Z19" s="1"/>
      <c r="AA19" s="1"/>
      <c r="AB19" s="1"/>
      <c r="AC19" s="1"/>
    </row>
    <row r="20" spans="1:29" s="2" customFormat="1" ht="17.399999999999999">
      <c r="A20" s="9">
        <v>1</v>
      </c>
      <c r="B20" s="8">
        <v>167</v>
      </c>
      <c r="C20" s="8">
        <v>1173807161</v>
      </c>
      <c r="D20" s="42" t="s">
        <v>48</v>
      </c>
      <c r="E20" s="48"/>
      <c r="F20" s="10">
        <v>0</v>
      </c>
      <c r="G20" s="10">
        <v>0</v>
      </c>
      <c r="H20" s="50">
        <v>0</v>
      </c>
      <c r="I20" s="50">
        <v>0</v>
      </c>
      <c r="J20" s="50">
        <v>0</v>
      </c>
      <c r="K20" s="39" t="s">
        <v>30</v>
      </c>
      <c r="L20" s="11">
        <f t="shared" si="0"/>
        <v>0</v>
      </c>
      <c r="M20" s="10">
        <f t="shared" si="7"/>
        <v>0</v>
      </c>
      <c r="N20" s="10">
        <f t="shared" si="2"/>
        <v>0</v>
      </c>
      <c r="O20" s="10">
        <v>0</v>
      </c>
      <c r="P20" s="10">
        <f t="shared" si="3"/>
        <v>0</v>
      </c>
      <c r="Q20" s="17">
        <v>25.824999999999978</v>
      </c>
      <c r="R20" s="18">
        <f t="shared" si="4"/>
        <v>25.824999999999978</v>
      </c>
      <c r="S20" s="19">
        <f t="shared" si="5"/>
        <v>0</v>
      </c>
      <c r="T20" s="20">
        <f t="shared" si="6"/>
        <v>25.824999999999978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7.399999999999999">
      <c r="A21" s="9">
        <v>1</v>
      </c>
      <c r="B21" s="8">
        <v>238</v>
      </c>
      <c r="C21" s="8">
        <v>108179057</v>
      </c>
      <c r="D21" s="42" t="s">
        <v>120</v>
      </c>
      <c r="E21" s="4"/>
      <c r="F21" s="10">
        <v>4</v>
      </c>
      <c r="G21" s="10">
        <v>1</v>
      </c>
      <c r="H21" s="50">
        <v>0</v>
      </c>
      <c r="I21" s="50">
        <v>0</v>
      </c>
      <c r="J21" s="50">
        <v>0</v>
      </c>
      <c r="K21" s="14" t="s">
        <v>53</v>
      </c>
      <c r="L21" s="11">
        <f t="shared" si="0"/>
        <v>6</v>
      </c>
      <c r="M21" s="10">
        <f t="shared" si="7"/>
        <v>1.2</v>
      </c>
      <c r="N21" s="10">
        <f t="shared" si="2"/>
        <v>0</v>
      </c>
      <c r="O21" s="10">
        <v>0</v>
      </c>
      <c r="P21" s="10">
        <f t="shared" si="3"/>
        <v>7.2</v>
      </c>
      <c r="Q21" s="17">
        <v>18.474999999999987</v>
      </c>
      <c r="R21" s="18">
        <f t="shared" si="4"/>
        <v>25.674999999999986</v>
      </c>
      <c r="S21" s="19">
        <f t="shared" si="5"/>
        <v>8.125</v>
      </c>
      <c r="T21" s="20">
        <f t="shared" si="6"/>
        <v>17.549999999999986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7.399999999999999">
      <c r="A22" s="9">
        <v>1</v>
      </c>
      <c r="B22" s="8">
        <v>212</v>
      </c>
      <c r="C22" s="8">
        <v>2133045883</v>
      </c>
      <c r="D22" s="42" t="s">
        <v>84</v>
      </c>
      <c r="E22" s="47"/>
      <c r="F22" s="10">
        <v>4</v>
      </c>
      <c r="G22" s="10">
        <v>1</v>
      </c>
      <c r="H22" s="50">
        <v>0</v>
      </c>
      <c r="I22" s="50">
        <v>0</v>
      </c>
      <c r="J22" s="50">
        <v>0</v>
      </c>
      <c r="K22" s="14" t="s">
        <v>53</v>
      </c>
      <c r="L22" s="11">
        <f t="shared" si="0"/>
        <v>6</v>
      </c>
      <c r="M22" s="10">
        <f t="shared" si="7"/>
        <v>1.2</v>
      </c>
      <c r="N22" s="10">
        <f t="shared" si="2"/>
        <v>0</v>
      </c>
      <c r="O22" s="10">
        <v>0</v>
      </c>
      <c r="P22" s="10">
        <f t="shared" si="3"/>
        <v>7.2</v>
      </c>
      <c r="Q22" s="17">
        <v>18.043749999999985</v>
      </c>
      <c r="R22" s="18">
        <f t="shared" si="4"/>
        <v>25.243749999999984</v>
      </c>
      <c r="S22" s="19">
        <f t="shared" si="5"/>
        <v>8.125</v>
      </c>
      <c r="T22" s="20">
        <f t="shared" si="6"/>
        <v>17.118749999999984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7.399999999999999">
      <c r="A23" s="9">
        <v>1</v>
      </c>
      <c r="B23" s="8">
        <v>156</v>
      </c>
      <c r="C23" s="8">
        <v>1744610165</v>
      </c>
      <c r="D23" s="42" t="s">
        <v>135</v>
      </c>
      <c r="E23" s="42" t="s">
        <v>64</v>
      </c>
      <c r="F23" s="10">
        <v>4</v>
      </c>
      <c r="G23" s="10">
        <v>1</v>
      </c>
      <c r="H23" s="50">
        <v>0</v>
      </c>
      <c r="I23" s="50">
        <v>0</v>
      </c>
      <c r="J23" s="50">
        <v>0</v>
      </c>
      <c r="K23" s="14" t="s">
        <v>53</v>
      </c>
      <c r="L23" s="11">
        <f t="shared" si="0"/>
        <v>6</v>
      </c>
      <c r="M23" s="10">
        <f t="shared" si="7"/>
        <v>1.2</v>
      </c>
      <c r="N23" s="10">
        <f t="shared" si="2"/>
        <v>0</v>
      </c>
      <c r="O23" s="10">
        <v>0</v>
      </c>
      <c r="P23" s="10">
        <f t="shared" si="3"/>
        <v>7.2</v>
      </c>
      <c r="Q23" s="17">
        <v>17.886266129032244</v>
      </c>
      <c r="R23" s="18">
        <f t="shared" si="4"/>
        <v>25.086266129032243</v>
      </c>
      <c r="S23" s="19">
        <f t="shared" si="5"/>
        <v>8.125</v>
      </c>
      <c r="T23" s="20">
        <f t="shared" si="6"/>
        <v>16.961266129032243</v>
      </c>
      <c r="U23" s="4"/>
      <c r="V23" s="4"/>
      <c r="W23" s="4"/>
    </row>
    <row r="24" spans="1:29" s="1" customFormat="1" ht="17.399999999999999">
      <c r="A24" s="9">
        <v>1</v>
      </c>
      <c r="B24" s="8">
        <v>189</v>
      </c>
      <c r="C24" s="8">
        <v>522812489</v>
      </c>
      <c r="D24" s="42" t="s">
        <v>70</v>
      </c>
      <c r="E24" s="47"/>
      <c r="F24" s="10">
        <v>4</v>
      </c>
      <c r="G24" s="10">
        <v>1</v>
      </c>
      <c r="H24" s="50">
        <v>0</v>
      </c>
      <c r="I24" s="50">
        <v>0</v>
      </c>
      <c r="J24" s="50">
        <v>0</v>
      </c>
      <c r="K24" s="14" t="s">
        <v>53</v>
      </c>
      <c r="L24" s="11">
        <f t="shared" si="0"/>
        <v>6</v>
      </c>
      <c r="M24" s="10">
        <f t="shared" si="7"/>
        <v>1.2</v>
      </c>
      <c r="N24" s="10">
        <f t="shared" si="2"/>
        <v>0</v>
      </c>
      <c r="O24" s="10">
        <v>0</v>
      </c>
      <c r="P24" s="10">
        <f t="shared" si="3"/>
        <v>7.2</v>
      </c>
      <c r="Q24" s="17">
        <v>17.825000000000003</v>
      </c>
      <c r="R24" s="18">
        <f t="shared" si="4"/>
        <v>25.025000000000002</v>
      </c>
      <c r="S24" s="19">
        <f t="shared" si="5"/>
        <v>8.125</v>
      </c>
      <c r="T24" s="20">
        <f t="shared" si="6"/>
        <v>16.900000000000002</v>
      </c>
      <c r="U24" s="4"/>
      <c r="V24" s="4"/>
      <c r="W24" s="4"/>
    </row>
    <row r="25" spans="1:29" s="1" customFormat="1" ht="17.399999999999999">
      <c r="A25" s="9">
        <v>1</v>
      </c>
      <c r="B25" s="8">
        <v>202</v>
      </c>
      <c r="C25" s="8">
        <v>471245585</v>
      </c>
      <c r="D25" s="42" t="s">
        <v>77</v>
      </c>
      <c r="E25" s="47"/>
      <c r="F25" s="10">
        <v>3</v>
      </c>
      <c r="G25" s="10">
        <v>1</v>
      </c>
      <c r="H25" s="50">
        <v>0</v>
      </c>
      <c r="I25" s="50">
        <v>0</v>
      </c>
      <c r="J25" s="50">
        <v>0</v>
      </c>
      <c r="K25" s="14" t="s">
        <v>53</v>
      </c>
      <c r="L25" s="11">
        <f t="shared" si="0"/>
        <v>4</v>
      </c>
      <c r="M25" s="10">
        <f t="shared" si="7"/>
        <v>1.2</v>
      </c>
      <c r="N25" s="10">
        <f t="shared" si="2"/>
        <v>0</v>
      </c>
      <c r="O25" s="10">
        <v>0</v>
      </c>
      <c r="P25" s="10">
        <f t="shared" si="3"/>
        <v>5.2</v>
      </c>
      <c r="Q25" s="17">
        <v>19.42499999999999</v>
      </c>
      <c r="R25" s="18">
        <f t="shared" si="4"/>
        <v>24.624999999999989</v>
      </c>
      <c r="S25" s="19">
        <f t="shared" si="5"/>
        <v>8.125</v>
      </c>
      <c r="T25" s="20">
        <f t="shared" si="6"/>
        <v>16.499999999999989</v>
      </c>
      <c r="U25" s="4"/>
      <c r="V25" s="4"/>
      <c r="W25" s="4"/>
    </row>
    <row r="26" spans="1:29" s="1" customFormat="1" ht="18.75" customHeight="1">
      <c r="A26" s="9">
        <v>1</v>
      </c>
      <c r="B26" s="8">
        <v>224</v>
      </c>
      <c r="C26" s="8">
        <v>862562360</v>
      </c>
      <c r="D26" s="42" t="s">
        <v>129</v>
      </c>
      <c r="E26" s="42" t="s">
        <v>106</v>
      </c>
      <c r="F26" s="10">
        <v>4</v>
      </c>
      <c r="G26" s="10">
        <v>1</v>
      </c>
      <c r="H26" s="50">
        <v>0</v>
      </c>
      <c r="I26" s="50">
        <v>0</v>
      </c>
      <c r="J26" s="50">
        <v>0</v>
      </c>
      <c r="K26" s="14" t="s">
        <v>53</v>
      </c>
      <c r="L26" s="11">
        <f t="shared" si="0"/>
        <v>6</v>
      </c>
      <c r="M26" s="10">
        <f t="shared" si="7"/>
        <v>1.2</v>
      </c>
      <c r="N26" s="10">
        <f t="shared" si="2"/>
        <v>0</v>
      </c>
      <c r="O26" s="10">
        <v>0</v>
      </c>
      <c r="P26" s="10">
        <f t="shared" si="3"/>
        <v>7.2</v>
      </c>
      <c r="Q26" s="17">
        <v>17.385354477611941</v>
      </c>
      <c r="R26" s="18">
        <f t="shared" si="4"/>
        <v>24.58535447761194</v>
      </c>
      <c r="S26" s="19">
        <f t="shared" si="5"/>
        <v>8.125</v>
      </c>
      <c r="T26" s="20">
        <f t="shared" si="6"/>
        <v>16.46035447761194</v>
      </c>
      <c r="U26" s="4"/>
      <c r="V26" s="4"/>
      <c r="W26" s="4"/>
    </row>
    <row r="27" spans="1:29" s="1" customFormat="1" ht="17.399999999999999">
      <c r="A27" s="9">
        <v>1</v>
      </c>
      <c r="B27" s="8">
        <v>172</v>
      </c>
      <c r="C27" s="8">
        <v>724061220</v>
      </c>
      <c r="D27" s="42" t="s">
        <v>65</v>
      </c>
      <c r="E27" s="42" t="s">
        <v>50</v>
      </c>
      <c r="F27" s="10">
        <v>4</v>
      </c>
      <c r="G27" s="10">
        <v>1</v>
      </c>
      <c r="H27" s="50">
        <v>0</v>
      </c>
      <c r="I27" s="50">
        <v>0</v>
      </c>
      <c r="J27" s="50">
        <v>0</v>
      </c>
      <c r="K27" s="14" t="s">
        <v>53</v>
      </c>
      <c r="L27" s="11">
        <f t="shared" si="0"/>
        <v>6</v>
      </c>
      <c r="M27" s="10">
        <f t="shared" si="7"/>
        <v>1.2</v>
      </c>
      <c r="N27" s="10">
        <f t="shared" si="2"/>
        <v>0</v>
      </c>
      <c r="O27" s="10">
        <v>0</v>
      </c>
      <c r="P27" s="10">
        <f t="shared" si="3"/>
        <v>7.2</v>
      </c>
      <c r="Q27" s="17">
        <v>17.168749999999999</v>
      </c>
      <c r="R27" s="18">
        <f t="shared" si="4"/>
        <v>24.368749999999999</v>
      </c>
      <c r="S27" s="19">
        <f t="shared" si="5"/>
        <v>8.125</v>
      </c>
      <c r="T27" s="20">
        <f t="shared" si="6"/>
        <v>16.243749999999999</v>
      </c>
      <c r="U27" s="4"/>
      <c r="V27" s="4"/>
      <c r="W27" s="4"/>
    </row>
    <row r="28" spans="1:29" s="1" customFormat="1" ht="17.399999999999999">
      <c r="A28" s="9">
        <v>1</v>
      </c>
      <c r="B28" s="8">
        <v>116</v>
      </c>
      <c r="C28" s="8">
        <v>2122596917</v>
      </c>
      <c r="D28" s="42" t="s">
        <v>61</v>
      </c>
      <c r="E28" s="42" t="s">
        <v>37</v>
      </c>
      <c r="F28" s="10">
        <v>4</v>
      </c>
      <c r="G28" s="10">
        <v>1</v>
      </c>
      <c r="H28" s="50">
        <v>0</v>
      </c>
      <c r="I28" s="50">
        <v>0</v>
      </c>
      <c r="J28" s="50">
        <v>0</v>
      </c>
      <c r="K28" s="14" t="s">
        <v>53</v>
      </c>
      <c r="L28" s="11">
        <f t="shared" si="0"/>
        <v>6</v>
      </c>
      <c r="M28" s="10">
        <f t="shared" si="7"/>
        <v>1.2</v>
      </c>
      <c r="N28" s="10">
        <f t="shared" si="2"/>
        <v>0</v>
      </c>
      <c r="O28" s="10">
        <v>0</v>
      </c>
      <c r="P28" s="10">
        <f t="shared" si="3"/>
        <v>7.2</v>
      </c>
      <c r="Q28" s="17">
        <v>17.087499999999999</v>
      </c>
      <c r="R28" s="18">
        <f t="shared" si="4"/>
        <v>24.287499999999998</v>
      </c>
      <c r="S28" s="19">
        <f t="shared" si="5"/>
        <v>8.125</v>
      </c>
      <c r="T28" s="20">
        <f t="shared" si="6"/>
        <v>16.162499999999998</v>
      </c>
      <c r="U28" s="11"/>
      <c r="V28" s="11"/>
      <c r="W28" s="32"/>
    </row>
    <row r="29" spans="1:29" s="2" customFormat="1" ht="17.399999999999999">
      <c r="A29" s="9">
        <v>1</v>
      </c>
      <c r="B29" s="8">
        <v>215</v>
      </c>
      <c r="C29" s="8">
        <v>289805855</v>
      </c>
      <c r="D29" s="42" t="s">
        <v>87</v>
      </c>
      <c r="F29" s="10">
        <v>4</v>
      </c>
      <c r="G29" s="10">
        <v>1</v>
      </c>
      <c r="H29" s="50">
        <v>0</v>
      </c>
      <c r="I29" s="50">
        <v>0</v>
      </c>
      <c r="J29" s="50">
        <v>0</v>
      </c>
      <c r="K29" s="14" t="s">
        <v>53</v>
      </c>
      <c r="L29" s="11">
        <f t="shared" si="0"/>
        <v>6</v>
      </c>
      <c r="M29" s="10">
        <f t="shared" si="7"/>
        <v>1.2</v>
      </c>
      <c r="N29" s="10">
        <f t="shared" si="2"/>
        <v>0</v>
      </c>
      <c r="O29" s="10">
        <v>0</v>
      </c>
      <c r="P29" s="10">
        <f t="shared" si="3"/>
        <v>7.2</v>
      </c>
      <c r="Q29" s="17">
        <v>17.012999999999991</v>
      </c>
      <c r="R29" s="18">
        <f t="shared" si="4"/>
        <v>24.21299999999999</v>
      </c>
      <c r="S29" s="19">
        <f t="shared" si="5"/>
        <v>8.125</v>
      </c>
      <c r="T29" s="20">
        <f t="shared" si="6"/>
        <v>16.08799999999999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7.399999999999999">
      <c r="A30" s="9">
        <v>1</v>
      </c>
      <c r="B30" s="8">
        <v>216</v>
      </c>
      <c r="C30" s="8">
        <v>395700385</v>
      </c>
      <c r="D30" s="42" t="s">
        <v>88</v>
      </c>
      <c r="F30" s="10">
        <v>4</v>
      </c>
      <c r="G30" s="10">
        <v>1</v>
      </c>
      <c r="H30" s="50">
        <v>0</v>
      </c>
      <c r="I30" s="50">
        <v>0</v>
      </c>
      <c r="J30" s="50">
        <v>0</v>
      </c>
      <c r="K30" s="14" t="s">
        <v>53</v>
      </c>
      <c r="L30" s="11">
        <f t="shared" si="0"/>
        <v>6</v>
      </c>
      <c r="M30" s="10">
        <f t="shared" si="7"/>
        <v>1.2</v>
      </c>
      <c r="N30" s="10">
        <f t="shared" si="2"/>
        <v>0</v>
      </c>
      <c r="O30" s="10">
        <v>0</v>
      </c>
      <c r="P30" s="10">
        <f t="shared" si="3"/>
        <v>7.2</v>
      </c>
      <c r="Q30" s="17">
        <v>17.012701612903214</v>
      </c>
      <c r="R30" s="18">
        <f t="shared" si="4"/>
        <v>24.212701612903214</v>
      </c>
      <c r="S30" s="19">
        <f t="shared" si="5"/>
        <v>8.125</v>
      </c>
      <c r="T30" s="20">
        <f t="shared" si="6"/>
        <v>16.087701612903214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7.399999999999999">
      <c r="A31" s="9">
        <v>1</v>
      </c>
      <c r="B31" s="9">
        <v>26</v>
      </c>
      <c r="C31" s="8">
        <v>1754932067</v>
      </c>
      <c r="D31" s="42" t="s">
        <v>58</v>
      </c>
      <c r="E31" s="42" t="s">
        <v>9</v>
      </c>
      <c r="F31" s="10">
        <v>4</v>
      </c>
      <c r="G31" s="10">
        <v>1</v>
      </c>
      <c r="H31" s="50">
        <v>0</v>
      </c>
      <c r="I31" s="50">
        <v>0</v>
      </c>
      <c r="J31" s="50">
        <v>0</v>
      </c>
      <c r="K31" s="14" t="s">
        <v>53</v>
      </c>
      <c r="L31" s="11">
        <f t="shared" si="0"/>
        <v>6</v>
      </c>
      <c r="M31" s="10">
        <f t="shared" si="7"/>
        <v>1.2</v>
      </c>
      <c r="N31" s="10">
        <f t="shared" si="2"/>
        <v>0</v>
      </c>
      <c r="O31" s="10">
        <v>0</v>
      </c>
      <c r="P31" s="10">
        <f t="shared" si="3"/>
        <v>7.2</v>
      </c>
      <c r="Q31" s="17">
        <v>16.975000000000001</v>
      </c>
      <c r="R31" s="18">
        <f t="shared" si="4"/>
        <v>24.175000000000001</v>
      </c>
      <c r="S31" s="19">
        <f t="shared" si="5"/>
        <v>8.125</v>
      </c>
      <c r="T31" s="20">
        <f t="shared" si="6"/>
        <v>16.05</v>
      </c>
      <c r="U31" s="11"/>
      <c r="V31" s="11"/>
      <c r="W31" s="11"/>
      <c r="X31" s="1"/>
      <c r="Y31" s="1"/>
      <c r="Z31" s="1"/>
      <c r="AA31" s="1"/>
      <c r="AB31" s="1"/>
      <c r="AC31" s="1"/>
    </row>
    <row r="32" spans="1:29" s="2" customFormat="1" ht="17.399999999999999">
      <c r="A32" s="9">
        <v>1</v>
      </c>
      <c r="B32" s="8">
        <v>209</v>
      </c>
      <c r="C32" s="8">
        <v>1525950050</v>
      </c>
      <c r="D32" s="42" t="s">
        <v>85</v>
      </c>
      <c r="E32" s="42" t="s">
        <v>83</v>
      </c>
      <c r="F32" s="10">
        <v>3</v>
      </c>
      <c r="G32" s="10">
        <v>0</v>
      </c>
      <c r="H32" s="50">
        <v>0</v>
      </c>
      <c r="I32" s="50">
        <v>0</v>
      </c>
      <c r="J32" s="50">
        <v>0</v>
      </c>
      <c r="K32" s="14" t="s">
        <v>53</v>
      </c>
      <c r="L32" s="11">
        <f t="shared" si="0"/>
        <v>4</v>
      </c>
      <c r="M32" s="10">
        <f t="shared" si="7"/>
        <v>0</v>
      </c>
      <c r="N32" s="10">
        <f t="shared" si="2"/>
        <v>0</v>
      </c>
      <c r="O32" s="10">
        <v>0</v>
      </c>
      <c r="P32" s="10">
        <f t="shared" si="3"/>
        <v>4</v>
      </c>
      <c r="Q32" s="17">
        <v>19.54999999999999</v>
      </c>
      <c r="R32" s="18">
        <f t="shared" si="4"/>
        <v>23.54999999999999</v>
      </c>
      <c r="S32" s="19">
        <f t="shared" si="5"/>
        <v>8.125</v>
      </c>
      <c r="T32" s="20">
        <f t="shared" si="6"/>
        <v>15.42499999999999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7.399999999999999">
      <c r="A33" s="9">
        <v>1</v>
      </c>
      <c r="B33" s="8">
        <v>183</v>
      </c>
      <c r="C33" s="8">
        <v>1250030371</v>
      </c>
      <c r="D33" s="42" t="s">
        <v>130</v>
      </c>
      <c r="E33" s="42" t="s">
        <v>121</v>
      </c>
      <c r="F33" s="10">
        <v>4</v>
      </c>
      <c r="G33" s="10">
        <v>1</v>
      </c>
      <c r="H33" s="50">
        <v>0</v>
      </c>
      <c r="I33" s="50">
        <v>0</v>
      </c>
      <c r="J33" s="50">
        <v>0</v>
      </c>
      <c r="K33" s="14" t="s">
        <v>53</v>
      </c>
      <c r="L33" s="11">
        <f t="shared" si="0"/>
        <v>6</v>
      </c>
      <c r="M33" s="10">
        <f t="shared" si="7"/>
        <v>1.2</v>
      </c>
      <c r="N33" s="10">
        <f t="shared" si="2"/>
        <v>0</v>
      </c>
      <c r="O33" s="10">
        <v>0</v>
      </c>
      <c r="P33" s="10">
        <f t="shared" si="3"/>
        <v>7.2</v>
      </c>
      <c r="Q33" s="17">
        <v>16.018749999999997</v>
      </c>
      <c r="R33" s="18">
        <f t="shared" si="4"/>
        <v>23.218749999999996</v>
      </c>
      <c r="S33" s="19">
        <f t="shared" si="5"/>
        <v>8.125</v>
      </c>
      <c r="T33" s="20">
        <f t="shared" si="6"/>
        <v>15.093749999999996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7.399999999999999">
      <c r="A34" s="9">
        <v>1</v>
      </c>
      <c r="B34" s="8">
        <v>185</v>
      </c>
      <c r="C34" s="8">
        <v>30705222</v>
      </c>
      <c r="D34" s="42" t="s">
        <v>68</v>
      </c>
      <c r="E34" s="47"/>
      <c r="F34" s="10">
        <v>4</v>
      </c>
      <c r="G34" s="10">
        <v>0</v>
      </c>
      <c r="H34" s="50">
        <v>0</v>
      </c>
      <c r="I34" s="50">
        <v>0</v>
      </c>
      <c r="J34" s="50">
        <v>0</v>
      </c>
      <c r="K34" s="14" t="s">
        <v>53</v>
      </c>
      <c r="L34" s="11">
        <f t="shared" si="0"/>
        <v>6</v>
      </c>
      <c r="M34" s="10">
        <f t="shared" si="7"/>
        <v>0</v>
      </c>
      <c r="N34" s="10">
        <f t="shared" si="2"/>
        <v>0</v>
      </c>
      <c r="O34" s="10">
        <v>0</v>
      </c>
      <c r="P34" s="10">
        <f t="shared" si="3"/>
        <v>6</v>
      </c>
      <c r="Q34" s="17">
        <v>17.106249999999999</v>
      </c>
      <c r="R34" s="18">
        <f t="shared" si="4"/>
        <v>23.106249999999999</v>
      </c>
      <c r="S34" s="19">
        <f t="shared" si="5"/>
        <v>8.125</v>
      </c>
      <c r="T34" s="20">
        <f t="shared" si="6"/>
        <v>14.981249999999999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7.399999999999999">
      <c r="A35" s="9">
        <v>1</v>
      </c>
      <c r="B35" s="9">
        <v>230</v>
      </c>
      <c r="C35" s="8">
        <v>1076026693</v>
      </c>
      <c r="D35" s="42" t="s">
        <v>111</v>
      </c>
      <c r="E35" s="4"/>
      <c r="F35" s="10">
        <v>1</v>
      </c>
      <c r="G35" s="10">
        <v>1</v>
      </c>
      <c r="H35" s="50">
        <v>0</v>
      </c>
      <c r="I35" s="50">
        <v>0</v>
      </c>
      <c r="J35" s="50">
        <v>0</v>
      </c>
      <c r="K35" s="14" t="s">
        <v>53</v>
      </c>
      <c r="L35" s="11">
        <f t="shared" si="0"/>
        <v>1</v>
      </c>
      <c r="M35" s="10">
        <f t="shared" si="7"/>
        <v>1.2</v>
      </c>
      <c r="N35" s="10">
        <f t="shared" si="2"/>
        <v>0</v>
      </c>
      <c r="O35" s="10">
        <v>0</v>
      </c>
      <c r="P35" s="10">
        <f t="shared" si="3"/>
        <v>2.2000000000000002</v>
      </c>
      <c r="Q35" s="17">
        <v>20.199999999999996</v>
      </c>
      <c r="R35" s="18">
        <f t="shared" si="4"/>
        <v>22.399999999999995</v>
      </c>
      <c r="S35" s="19">
        <f t="shared" si="5"/>
        <v>8.125</v>
      </c>
      <c r="T35" s="20">
        <f t="shared" si="6"/>
        <v>14.274999999999995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7.399999999999999">
      <c r="A36" s="9">
        <v>1</v>
      </c>
      <c r="B36" s="8">
        <v>200</v>
      </c>
      <c r="C36" s="8">
        <v>967589156</v>
      </c>
      <c r="D36" s="42" t="s">
        <v>76</v>
      </c>
      <c r="E36" s="47"/>
      <c r="F36" s="10">
        <v>3</v>
      </c>
      <c r="G36" s="10">
        <v>1</v>
      </c>
      <c r="H36" s="50">
        <v>0</v>
      </c>
      <c r="I36" s="50">
        <v>0</v>
      </c>
      <c r="J36" s="50">
        <v>0</v>
      </c>
      <c r="K36" s="14" t="s">
        <v>53</v>
      </c>
      <c r="L36" s="11">
        <f t="shared" si="0"/>
        <v>4</v>
      </c>
      <c r="M36" s="10">
        <f t="shared" si="7"/>
        <v>1.2</v>
      </c>
      <c r="N36" s="10">
        <f t="shared" si="2"/>
        <v>0</v>
      </c>
      <c r="O36" s="10">
        <v>0</v>
      </c>
      <c r="P36" s="10">
        <f t="shared" si="3"/>
        <v>5.2</v>
      </c>
      <c r="Q36" s="17">
        <v>17.068750000000016</v>
      </c>
      <c r="R36" s="18">
        <f t="shared" si="4"/>
        <v>22.268750000000015</v>
      </c>
      <c r="S36" s="19">
        <f t="shared" si="5"/>
        <v>8.125</v>
      </c>
      <c r="T36" s="20">
        <f t="shared" si="6"/>
        <v>14.143750000000015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7.399999999999999">
      <c r="A37" s="9">
        <v>1</v>
      </c>
      <c r="B37" s="8">
        <v>110</v>
      </c>
      <c r="C37" s="8">
        <v>1968703358</v>
      </c>
      <c r="D37" s="42" t="s">
        <v>60</v>
      </c>
      <c r="E37" s="42" t="s">
        <v>38</v>
      </c>
      <c r="F37" s="10">
        <v>3</v>
      </c>
      <c r="G37" s="10">
        <v>1</v>
      </c>
      <c r="H37" s="50">
        <v>0</v>
      </c>
      <c r="I37" s="50">
        <v>0</v>
      </c>
      <c r="J37" s="50">
        <v>0</v>
      </c>
      <c r="K37" s="14" t="s">
        <v>53</v>
      </c>
      <c r="L37" s="11">
        <f t="shared" ref="L37:L70" si="8">F37+IF(F37&gt;2,(F37-2)*1,0)</f>
        <v>4</v>
      </c>
      <c r="M37" s="10">
        <f t="shared" si="7"/>
        <v>1.2</v>
      </c>
      <c r="N37" s="10">
        <f t="shared" ref="N37:N70" si="9">SUM(H37:J37)*$Y$18</f>
        <v>0</v>
      </c>
      <c r="O37" s="10">
        <v>0</v>
      </c>
      <c r="P37" s="10">
        <f t="shared" ref="P37:P68" si="10">SUM(M37+L37+O37+N37)</f>
        <v>5.2</v>
      </c>
      <c r="Q37" s="17">
        <v>17.062500000000014</v>
      </c>
      <c r="R37" s="18">
        <f t="shared" ref="R37:R68" si="11">P37+Q37</f>
        <v>22.262500000000014</v>
      </c>
      <c r="S37" s="19">
        <f t="shared" ref="S37:S70" si="12">VLOOKUP(K37,$X$3:$Y$10,2,FALSE)</f>
        <v>8.125</v>
      </c>
      <c r="T37" s="20">
        <f t="shared" ref="T37:T68" si="13">R37-S37</f>
        <v>14.137500000000014</v>
      </c>
      <c r="U37" s="11"/>
      <c r="V37" s="11"/>
      <c r="W37" s="17"/>
    </row>
    <row r="38" spans="1:29" s="2" customFormat="1" ht="17.399999999999999">
      <c r="A38" s="9">
        <v>1</v>
      </c>
      <c r="B38" s="8">
        <v>236</v>
      </c>
      <c r="C38" s="8">
        <v>1968448898</v>
      </c>
      <c r="D38" s="42" t="s">
        <v>118</v>
      </c>
      <c r="E38" s="4"/>
      <c r="F38" s="10">
        <v>2</v>
      </c>
      <c r="G38" s="10">
        <v>1</v>
      </c>
      <c r="H38" s="50">
        <v>0</v>
      </c>
      <c r="I38" s="50">
        <v>0</v>
      </c>
      <c r="J38" s="50">
        <v>0</v>
      </c>
      <c r="K38" s="14" t="s">
        <v>53</v>
      </c>
      <c r="L38" s="11">
        <f t="shared" si="8"/>
        <v>2</v>
      </c>
      <c r="M38" s="10">
        <f t="shared" si="7"/>
        <v>1.2</v>
      </c>
      <c r="N38" s="10">
        <f t="shared" si="9"/>
        <v>0</v>
      </c>
      <c r="O38" s="10">
        <v>0</v>
      </c>
      <c r="P38" s="10">
        <f t="shared" si="10"/>
        <v>3.2</v>
      </c>
      <c r="Q38" s="17">
        <v>18.70624999999999</v>
      </c>
      <c r="R38" s="18">
        <f t="shared" si="11"/>
        <v>21.906249999999989</v>
      </c>
      <c r="S38" s="19">
        <f t="shared" si="12"/>
        <v>8.125</v>
      </c>
      <c r="T38" s="20">
        <f t="shared" si="13"/>
        <v>13.781249999999989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7.399999999999999">
      <c r="A39" s="9">
        <v>1</v>
      </c>
      <c r="B39" s="9">
        <v>10</v>
      </c>
      <c r="C39" s="8">
        <v>2108977014</v>
      </c>
      <c r="D39" s="42" t="s">
        <v>57</v>
      </c>
      <c r="E39" s="42" t="s">
        <v>8</v>
      </c>
      <c r="F39" s="10">
        <v>0</v>
      </c>
      <c r="G39" s="10">
        <v>1</v>
      </c>
      <c r="H39" s="50">
        <v>0</v>
      </c>
      <c r="I39" s="50">
        <v>0</v>
      </c>
      <c r="J39" s="50">
        <v>0</v>
      </c>
      <c r="K39" s="39" t="s">
        <v>30</v>
      </c>
      <c r="L39" s="11">
        <f t="shared" si="8"/>
        <v>0</v>
      </c>
      <c r="M39" s="10">
        <f t="shared" si="7"/>
        <v>1.2</v>
      </c>
      <c r="N39" s="10">
        <f t="shared" si="9"/>
        <v>0</v>
      </c>
      <c r="O39" s="10">
        <v>0</v>
      </c>
      <c r="P39" s="10">
        <f t="shared" si="10"/>
        <v>1.2</v>
      </c>
      <c r="Q39" s="17">
        <v>20.700000000000014</v>
      </c>
      <c r="R39" s="18">
        <f t="shared" si="11"/>
        <v>21.900000000000013</v>
      </c>
      <c r="S39" s="19">
        <f t="shared" si="12"/>
        <v>0</v>
      </c>
      <c r="T39" s="20">
        <f t="shared" si="13"/>
        <v>21.900000000000013</v>
      </c>
      <c r="U39" s="11"/>
      <c r="V39" s="11"/>
      <c r="W39" s="11"/>
    </row>
    <row r="40" spans="1:29" ht="20.399999999999999">
      <c r="A40" s="9">
        <v>1</v>
      </c>
      <c r="B40" s="8">
        <v>229</v>
      </c>
      <c r="C40" s="8">
        <v>1598972736</v>
      </c>
      <c r="D40" s="42" t="s">
        <v>110</v>
      </c>
      <c r="E40" s="42"/>
      <c r="F40" s="10">
        <v>0</v>
      </c>
      <c r="G40" s="10">
        <v>0</v>
      </c>
      <c r="H40" s="50">
        <v>0</v>
      </c>
      <c r="I40" s="50">
        <v>0</v>
      </c>
      <c r="J40" s="50">
        <v>0</v>
      </c>
      <c r="K40" s="39" t="s">
        <v>30</v>
      </c>
      <c r="L40" s="11">
        <f t="shared" si="8"/>
        <v>0</v>
      </c>
      <c r="M40" s="10">
        <f t="shared" si="7"/>
        <v>0</v>
      </c>
      <c r="N40" s="10">
        <f t="shared" si="9"/>
        <v>0</v>
      </c>
      <c r="O40" s="10">
        <v>0</v>
      </c>
      <c r="P40" s="10">
        <f t="shared" si="10"/>
        <v>0</v>
      </c>
      <c r="Q40" s="17">
        <v>21.197089552238797</v>
      </c>
      <c r="R40" s="18">
        <f t="shared" si="11"/>
        <v>21.197089552238797</v>
      </c>
      <c r="S40" s="19">
        <f t="shared" si="12"/>
        <v>0</v>
      </c>
      <c r="T40" s="20">
        <f t="shared" si="13"/>
        <v>21.197089552238797</v>
      </c>
      <c r="U40" s="4"/>
      <c r="V40" s="4"/>
      <c r="W40" s="4"/>
    </row>
    <row r="41" spans="1:29" ht="17.399999999999999">
      <c r="A41" s="9">
        <v>1</v>
      </c>
      <c r="B41" s="8">
        <v>196</v>
      </c>
      <c r="C41" s="8">
        <v>1065641844</v>
      </c>
      <c r="D41" s="42" t="s">
        <v>74</v>
      </c>
      <c r="E41" s="47"/>
      <c r="F41" s="10">
        <v>0</v>
      </c>
      <c r="G41" s="10">
        <v>0</v>
      </c>
      <c r="H41" s="50">
        <v>0</v>
      </c>
      <c r="I41" s="50">
        <v>0</v>
      </c>
      <c r="J41" s="50">
        <v>0</v>
      </c>
      <c r="K41" s="39" t="s">
        <v>30</v>
      </c>
      <c r="L41" s="11">
        <f t="shared" si="8"/>
        <v>0</v>
      </c>
      <c r="M41" s="10">
        <f t="shared" si="7"/>
        <v>0</v>
      </c>
      <c r="N41" s="10">
        <f t="shared" si="9"/>
        <v>0</v>
      </c>
      <c r="O41" s="10">
        <v>0</v>
      </c>
      <c r="P41" s="10">
        <f t="shared" si="10"/>
        <v>0</v>
      </c>
      <c r="Q41" s="17">
        <v>21.062499999999993</v>
      </c>
      <c r="R41" s="18">
        <f t="shared" si="11"/>
        <v>21.062499999999993</v>
      </c>
      <c r="S41" s="19">
        <f t="shared" si="12"/>
        <v>0</v>
      </c>
      <c r="T41" s="20">
        <f t="shared" si="13"/>
        <v>21.062499999999993</v>
      </c>
      <c r="U41" s="4"/>
      <c r="V41" s="4"/>
      <c r="W41" s="4"/>
    </row>
    <row r="42" spans="1:29" ht="17.399999999999999">
      <c r="A42" s="9">
        <v>1</v>
      </c>
      <c r="B42" s="8">
        <v>174</v>
      </c>
      <c r="C42" s="8">
        <v>775720958</v>
      </c>
      <c r="D42" s="42" t="s">
        <v>79</v>
      </c>
      <c r="E42" s="42" t="s">
        <v>49</v>
      </c>
      <c r="F42" s="10">
        <v>2</v>
      </c>
      <c r="G42" s="10">
        <v>1</v>
      </c>
      <c r="H42" s="50">
        <v>0</v>
      </c>
      <c r="I42" s="50">
        <v>0</v>
      </c>
      <c r="J42" s="50">
        <v>0</v>
      </c>
      <c r="K42" s="14" t="s">
        <v>53</v>
      </c>
      <c r="L42" s="11">
        <f t="shared" si="8"/>
        <v>2</v>
      </c>
      <c r="M42" s="10">
        <f t="shared" si="7"/>
        <v>1.2</v>
      </c>
      <c r="N42" s="10">
        <f t="shared" si="9"/>
        <v>0</v>
      </c>
      <c r="O42" s="10">
        <v>0</v>
      </c>
      <c r="P42" s="10">
        <f t="shared" si="10"/>
        <v>3.2</v>
      </c>
      <c r="Q42" s="17">
        <v>17.374999999999982</v>
      </c>
      <c r="R42" s="18">
        <f t="shared" si="11"/>
        <v>20.574999999999982</v>
      </c>
      <c r="S42" s="19">
        <f t="shared" si="12"/>
        <v>8.125</v>
      </c>
      <c r="T42" s="20">
        <f t="shared" si="13"/>
        <v>12.449999999999982</v>
      </c>
      <c r="U42" s="4"/>
      <c r="V42" s="4"/>
      <c r="W42" s="4"/>
    </row>
    <row r="43" spans="1:29" ht="17.399999999999999">
      <c r="A43" s="9">
        <v>1</v>
      </c>
      <c r="B43" s="8">
        <v>234</v>
      </c>
      <c r="C43" s="8">
        <v>1333428907</v>
      </c>
      <c r="D43" s="42" t="s">
        <v>128</v>
      </c>
      <c r="E43" s="42" t="s">
        <v>115</v>
      </c>
      <c r="F43" s="10">
        <v>0</v>
      </c>
      <c r="G43" s="10">
        <v>0</v>
      </c>
      <c r="H43" s="50">
        <v>0</v>
      </c>
      <c r="I43" s="50">
        <v>0</v>
      </c>
      <c r="J43" s="50">
        <v>0</v>
      </c>
      <c r="K43" s="39" t="s">
        <v>30</v>
      </c>
      <c r="L43" s="11">
        <f t="shared" si="8"/>
        <v>0</v>
      </c>
      <c r="M43" s="10">
        <f t="shared" si="7"/>
        <v>0</v>
      </c>
      <c r="N43" s="10">
        <f t="shared" si="9"/>
        <v>0</v>
      </c>
      <c r="O43" s="10">
        <v>0</v>
      </c>
      <c r="P43" s="10">
        <f t="shared" si="10"/>
        <v>0</v>
      </c>
      <c r="Q43" s="17">
        <v>18.625</v>
      </c>
      <c r="R43" s="18">
        <f t="shared" si="11"/>
        <v>18.625</v>
      </c>
      <c r="S43" s="19">
        <f t="shared" si="12"/>
        <v>0</v>
      </c>
      <c r="T43" s="20">
        <f t="shared" si="13"/>
        <v>18.625</v>
      </c>
      <c r="U43" s="4"/>
      <c r="V43" s="4"/>
      <c r="W43" s="4"/>
    </row>
    <row r="44" spans="1:29" ht="17.399999999999999">
      <c r="A44" s="9">
        <v>1</v>
      </c>
      <c r="B44" s="9">
        <v>92</v>
      </c>
      <c r="C44" s="8">
        <v>1367873925</v>
      </c>
      <c r="D44" s="42" t="s">
        <v>80</v>
      </c>
      <c r="E44" s="42" t="s">
        <v>31</v>
      </c>
      <c r="F44" s="10">
        <v>2</v>
      </c>
      <c r="G44" s="10">
        <v>1</v>
      </c>
      <c r="H44" s="50">
        <v>0</v>
      </c>
      <c r="I44" s="50">
        <v>0</v>
      </c>
      <c r="J44" s="50">
        <v>0</v>
      </c>
      <c r="K44" s="14" t="s">
        <v>53</v>
      </c>
      <c r="L44" s="11">
        <f t="shared" si="8"/>
        <v>2</v>
      </c>
      <c r="M44" s="10">
        <f t="shared" si="7"/>
        <v>1.2</v>
      </c>
      <c r="N44" s="10">
        <f t="shared" si="9"/>
        <v>0</v>
      </c>
      <c r="O44" s="10">
        <v>0</v>
      </c>
      <c r="P44" s="10">
        <f t="shared" si="10"/>
        <v>3.2</v>
      </c>
      <c r="Q44" s="17">
        <v>15.356249999999992</v>
      </c>
      <c r="R44" s="18">
        <f t="shared" si="11"/>
        <v>18.556249999999991</v>
      </c>
      <c r="S44" s="19">
        <f t="shared" si="12"/>
        <v>8.125</v>
      </c>
      <c r="T44" s="20">
        <f t="shared" si="13"/>
        <v>10.431249999999991</v>
      </c>
      <c r="U44" s="11"/>
      <c r="V44" s="11"/>
      <c r="W44" s="31"/>
    </row>
    <row r="45" spans="1:29" ht="20.399999999999999">
      <c r="A45" s="9">
        <v>1</v>
      </c>
      <c r="B45" s="8">
        <v>214</v>
      </c>
      <c r="C45" s="8">
        <v>2130976604</v>
      </c>
      <c r="D45" s="42" t="s">
        <v>86</v>
      </c>
      <c r="E45" s="2"/>
      <c r="F45" s="10">
        <v>4</v>
      </c>
      <c r="G45" s="10">
        <v>1</v>
      </c>
      <c r="H45" s="50">
        <v>0</v>
      </c>
      <c r="I45" s="50">
        <v>0</v>
      </c>
      <c r="J45" s="50">
        <v>0</v>
      </c>
      <c r="K45" s="14" t="s">
        <v>53</v>
      </c>
      <c r="L45" s="11">
        <f t="shared" si="8"/>
        <v>6</v>
      </c>
      <c r="M45" s="10">
        <f t="shared" si="7"/>
        <v>1.2</v>
      </c>
      <c r="N45" s="10">
        <f t="shared" si="9"/>
        <v>0</v>
      </c>
      <c r="O45" s="10">
        <v>0</v>
      </c>
      <c r="P45" s="10">
        <f t="shared" si="10"/>
        <v>7.2</v>
      </c>
      <c r="Q45" s="17">
        <v>10.937499999999986</v>
      </c>
      <c r="R45" s="18">
        <f t="shared" si="11"/>
        <v>18.137499999999985</v>
      </c>
      <c r="S45" s="19">
        <f t="shared" si="12"/>
        <v>8.125</v>
      </c>
      <c r="T45" s="20">
        <f t="shared" si="13"/>
        <v>10.012499999999985</v>
      </c>
      <c r="U45" s="4"/>
      <c r="V45" s="4"/>
      <c r="W45" s="4"/>
    </row>
    <row r="46" spans="1:29" ht="17.399999999999999">
      <c r="A46" s="9">
        <v>1</v>
      </c>
      <c r="B46" s="8">
        <v>198</v>
      </c>
      <c r="C46" s="8">
        <v>723448640</v>
      </c>
      <c r="D46" s="42" t="s">
        <v>75</v>
      </c>
      <c r="E46" s="47"/>
      <c r="F46" s="10">
        <v>0</v>
      </c>
      <c r="G46" s="10">
        <v>0</v>
      </c>
      <c r="H46" s="50">
        <v>0</v>
      </c>
      <c r="I46" s="50">
        <v>0</v>
      </c>
      <c r="J46" s="50">
        <v>0</v>
      </c>
      <c r="K46" s="39" t="s">
        <v>30</v>
      </c>
      <c r="L46" s="11">
        <f t="shared" si="8"/>
        <v>0</v>
      </c>
      <c r="M46" s="10">
        <f t="shared" si="7"/>
        <v>0</v>
      </c>
      <c r="N46" s="10">
        <f t="shared" si="9"/>
        <v>0</v>
      </c>
      <c r="O46" s="10">
        <v>0</v>
      </c>
      <c r="P46" s="10">
        <f t="shared" si="10"/>
        <v>0</v>
      </c>
      <c r="Q46" s="17">
        <v>18.01874999999999</v>
      </c>
      <c r="R46" s="18">
        <f t="shared" si="11"/>
        <v>18.01874999999999</v>
      </c>
      <c r="S46" s="19">
        <f t="shared" si="12"/>
        <v>0</v>
      </c>
      <c r="T46" s="20">
        <f t="shared" si="13"/>
        <v>18.01874999999999</v>
      </c>
      <c r="U46" s="4"/>
      <c r="V46" s="4"/>
      <c r="W46" s="4"/>
    </row>
    <row r="47" spans="1:29" ht="17.399999999999999">
      <c r="A47" s="9">
        <v>1</v>
      </c>
      <c r="B47" s="8">
        <v>193</v>
      </c>
      <c r="C47" s="8">
        <v>2125731287</v>
      </c>
      <c r="D47" s="42" t="s">
        <v>72</v>
      </c>
      <c r="E47" s="47"/>
      <c r="F47" s="10">
        <v>0</v>
      </c>
      <c r="G47" s="10">
        <v>0</v>
      </c>
      <c r="H47" s="50">
        <v>0</v>
      </c>
      <c r="I47" s="50">
        <v>0</v>
      </c>
      <c r="J47" s="50">
        <v>0</v>
      </c>
      <c r="K47" s="39" t="s">
        <v>30</v>
      </c>
      <c r="L47" s="11">
        <f t="shared" si="8"/>
        <v>0</v>
      </c>
      <c r="M47" s="10">
        <f t="shared" si="7"/>
        <v>0</v>
      </c>
      <c r="N47" s="10">
        <f t="shared" si="9"/>
        <v>0</v>
      </c>
      <c r="O47" s="10">
        <v>0</v>
      </c>
      <c r="P47" s="10">
        <f t="shared" si="10"/>
        <v>0</v>
      </c>
      <c r="Q47" s="17">
        <v>17.812499999999996</v>
      </c>
      <c r="R47" s="18">
        <f t="shared" si="11"/>
        <v>17.812499999999996</v>
      </c>
      <c r="S47" s="19">
        <f t="shared" si="12"/>
        <v>0</v>
      </c>
      <c r="T47" s="20">
        <f t="shared" si="13"/>
        <v>17.812499999999996</v>
      </c>
      <c r="U47" s="4"/>
      <c r="V47" s="4"/>
      <c r="W47" s="4"/>
    </row>
    <row r="48" spans="1:29" ht="17.399999999999999">
      <c r="A48" s="9">
        <v>1</v>
      </c>
      <c r="B48" s="8">
        <v>241</v>
      </c>
      <c r="C48" s="8">
        <v>1136259669</v>
      </c>
      <c r="D48" s="42" t="s">
        <v>124</v>
      </c>
      <c r="F48" s="10">
        <v>0</v>
      </c>
      <c r="G48" s="10">
        <v>1</v>
      </c>
      <c r="H48" s="50">
        <v>0</v>
      </c>
      <c r="I48" s="50">
        <v>0</v>
      </c>
      <c r="J48" s="50">
        <v>0</v>
      </c>
      <c r="K48" s="39" t="s">
        <v>30</v>
      </c>
      <c r="L48" s="11">
        <f t="shared" si="8"/>
        <v>0</v>
      </c>
      <c r="M48" s="10">
        <f t="shared" ref="M48:M70" si="14">G48*$Y$14</f>
        <v>1.2</v>
      </c>
      <c r="N48" s="10">
        <f t="shared" si="9"/>
        <v>0</v>
      </c>
      <c r="O48" s="10">
        <v>0</v>
      </c>
      <c r="P48" s="10">
        <f t="shared" si="10"/>
        <v>1.2</v>
      </c>
      <c r="Q48" s="17">
        <v>16.118749999999988</v>
      </c>
      <c r="R48" s="18">
        <f t="shared" si="11"/>
        <v>17.318749999999987</v>
      </c>
      <c r="S48" s="19">
        <f t="shared" si="12"/>
        <v>0</v>
      </c>
      <c r="T48" s="20">
        <f t="shared" si="13"/>
        <v>17.318749999999987</v>
      </c>
    </row>
    <row r="49" spans="1:20" ht="17.399999999999999">
      <c r="A49" s="9">
        <v>1</v>
      </c>
      <c r="B49" s="8">
        <v>187</v>
      </c>
      <c r="C49" s="8">
        <v>1241038267</v>
      </c>
      <c r="D49" s="42" t="s">
        <v>69</v>
      </c>
      <c r="E49" s="47"/>
      <c r="F49" s="10">
        <v>0</v>
      </c>
      <c r="G49" s="10">
        <v>0</v>
      </c>
      <c r="H49" s="50">
        <v>0</v>
      </c>
      <c r="I49" s="50">
        <v>0</v>
      </c>
      <c r="J49" s="50">
        <v>0</v>
      </c>
      <c r="K49" s="39" t="s">
        <v>30</v>
      </c>
      <c r="L49" s="11">
        <f t="shared" si="8"/>
        <v>0</v>
      </c>
      <c r="M49" s="10">
        <f t="shared" si="14"/>
        <v>0</v>
      </c>
      <c r="N49" s="10">
        <f t="shared" si="9"/>
        <v>0</v>
      </c>
      <c r="O49" s="10">
        <v>0</v>
      </c>
      <c r="P49" s="10">
        <f t="shared" si="10"/>
        <v>0</v>
      </c>
      <c r="Q49" s="17">
        <v>16.318749999999987</v>
      </c>
      <c r="R49" s="18">
        <f t="shared" si="11"/>
        <v>16.318749999999987</v>
      </c>
      <c r="S49" s="19">
        <f t="shared" si="12"/>
        <v>0</v>
      </c>
      <c r="T49" s="20">
        <f t="shared" si="13"/>
        <v>16.318749999999987</v>
      </c>
    </row>
    <row r="50" spans="1:20" ht="17.399999999999999">
      <c r="A50" s="9">
        <v>1</v>
      </c>
      <c r="B50" s="8">
        <v>222</v>
      </c>
      <c r="C50" s="8">
        <v>1945277617</v>
      </c>
      <c r="D50" s="42" t="s">
        <v>97</v>
      </c>
      <c r="E50" s="42"/>
      <c r="F50" s="10">
        <v>0</v>
      </c>
      <c r="G50" s="10">
        <v>0</v>
      </c>
      <c r="H50" s="50">
        <v>0</v>
      </c>
      <c r="I50" s="50">
        <v>0</v>
      </c>
      <c r="J50" s="50">
        <v>0</v>
      </c>
      <c r="K50" s="39" t="s">
        <v>30</v>
      </c>
      <c r="L50" s="11">
        <f t="shared" si="8"/>
        <v>0</v>
      </c>
      <c r="M50" s="10">
        <f t="shared" si="14"/>
        <v>0</v>
      </c>
      <c r="N50" s="10">
        <f t="shared" si="9"/>
        <v>0</v>
      </c>
      <c r="O50" s="10">
        <v>0</v>
      </c>
      <c r="P50" s="10">
        <f t="shared" si="10"/>
        <v>0</v>
      </c>
      <c r="Q50" s="17">
        <v>15.637727649769573</v>
      </c>
      <c r="R50" s="18">
        <f t="shared" si="11"/>
        <v>15.637727649769573</v>
      </c>
      <c r="S50" s="19">
        <f t="shared" si="12"/>
        <v>0</v>
      </c>
      <c r="T50" s="20">
        <f t="shared" si="13"/>
        <v>15.637727649769573</v>
      </c>
    </row>
    <row r="51" spans="1:20" ht="17.399999999999999">
      <c r="A51" s="9">
        <v>1</v>
      </c>
      <c r="B51" s="8">
        <v>155</v>
      </c>
      <c r="C51" s="8">
        <v>1532576874</v>
      </c>
      <c r="D51" s="42" t="s">
        <v>63</v>
      </c>
      <c r="E51" s="42" t="s">
        <v>46</v>
      </c>
      <c r="F51" s="10">
        <v>0</v>
      </c>
      <c r="G51" s="10">
        <v>0</v>
      </c>
      <c r="H51" s="50">
        <v>0</v>
      </c>
      <c r="I51" s="50">
        <v>0</v>
      </c>
      <c r="J51" s="50">
        <v>0</v>
      </c>
      <c r="K51" s="39" t="s">
        <v>30</v>
      </c>
      <c r="L51" s="11">
        <f t="shared" si="8"/>
        <v>0</v>
      </c>
      <c r="M51" s="10">
        <f t="shared" si="14"/>
        <v>0</v>
      </c>
      <c r="N51" s="10">
        <f t="shared" si="9"/>
        <v>0</v>
      </c>
      <c r="O51" s="10">
        <v>0</v>
      </c>
      <c r="P51" s="10">
        <f t="shared" si="10"/>
        <v>0</v>
      </c>
      <c r="Q51" s="17">
        <v>15.212499999999999</v>
      </c>
      <c r="R51" s="18">
        <f t="shared" si="11"/>
        <v>15.212499999999999</v>
      </c>
      <c r="S51" s="19">
        <f t="shared" si="12"/>
        <v>0</v>
      </c>
      <c r="T51" s="20">
        <f t="shared" si="13"/>
        <v>15.212499999999999</v>
      </c>
    </row>
    <row r="52" spans="1:20" ht="17.399999999999999">
      <c r="A52" s="9">
        <v>1</v>
      </c>
      <c r="B52" s="8">
        <v>239</v>
      </c>
      <c r="C52" s="8">
        <v>416459640</v>
      </c>
      <c r="D52" s="42" t="s">
        <v>122</v>
      </c>
      <c r="F52" s="10">
        <v>0</v>
      </c>
      <c r="G52" s="10">
        <v>0</v>
      </c>
      <c r="H52" s="50">
        <v>0</v>
      </c>
      <c r="I52" s="50">
        <v>0</v>
      </c>
      <c r="J52" s="50">
        <v>0</v>
      </c>
      <c r="K52" s="39" t="s">
        <v>30</v>
      </c>
      <c r="L52" s="11">
        <f t="shared" si="8"/>
        <v>0</v>
      </c>
      <c r="M52" s="10">
        <f t="shared" si="14"/>
        <v>0</v>
      </c>
      <c r="N52" s="10">
        <f t="shared" si="9"/>
        <v>0</v>
      </c>
      <c r="O52" s="10">
        <v>0</v>
      </c>
      <c r="P52" s="10">
        <f t="shared" si="10"/>
        <v>0</v>
      </c>
      <c r="Q52" s="17">
        <v>13.668749999999999</v>
      </c>
      <c r="R52" s="18">
        <f t="shared" si="11"/>
        <v>13.668749999999999</v>
      </c>
      <c r="S52" s="19">
        <f t="shared" si="12"/>
        <v>0</v>
      </c>
      <c r="T52" s="20">
        <f t="shared" si="13"/>
        <v>13.668749999999999</v>
      </c>
    </row>
    <row r="53" spans="1:20" ht="17.399999999999999">
      <c r="A53" s="9">
        <v>1</v>
      </c>
      <c r="B53" s="8">
        <v>243</v>
      </c>
      <c r="D53" s="42" t="s">
        <v>133</v>
      </c>
      <c r="F53" s="10">
        <v>3</v>
      </c>
      <c r="G53" s="10">
        <v>1</v>
      </c>
      <c r="H53" s="50">
        <v>0</v>
      </c>
      <c r="I53" s="50">
        <v>0</v>
      </c>
      <c r="J53" s="50">
        <v>0</v>
      </c>
      <c r="K53" s="14" t="s">
        <v>53</v>
      </c>
      <c r="L53" s="11">
        <f t="shared" si="8"/>
        <v>4</v>
      </c>
      <c r="M53" s="10">
        <f t="shared" si="14"/>
        <v>1.2</v>
      </c>
      <c r="N53" s="10">
        <f t="shared" si="9"/>
        <v>0</v>
      </c>
      <c r="O53" s="10">
        <v>0</v>
      </c>
      <c r="P53" s="10">
        <f t="shared" si="10"/>
        <v>5.2</v>
      </c>
      <c r="Q53" s="17">
        <v>6.2312500000000028</v>
      </c>
      <c r="R53" s="18">
        <f t="shared" si="11"/>
        <v>11.431250000000002</v>
      </c>
      <c r="S53" s="19">
        <f t="shared" si="12"/>
        <v>8.125</v>
      </c>
      <c r="T53" s="20">
        <f t="shared" si="13"/>
        <v>3.3062500000000021</v>
      </c>
    </row>
    <row r="54" spans="1:20" ht="17.399999999999999">
      <c r="A54" s="9">
        <v>1</v>
      </c>
      <c r="B54" s="8">
        <v>223</v>
      </c>
      <c r="C54" s="8">
        <v>784792167</v>
      </c>
      <c r="D54" s="42" t="s">
        <v>98</v>
      </c>
      <c r="E54" s="42"/>
      <c r="F54" s="10">
        <v>0</v>
      </c>
      <c r="G54" s="10">
        <v>0</v>
      </c>
      <c r="H54" s="50">
        <v>0</v>
      </c>
      <c r="I54" s="50">
        <v>0</v>
      </c>
      <c r="J54" s="50">
        <v>0</v>
      </c>
      <c r="K54" s="39" t="s">
        <v>30</v>
      </c>
      <c r="L54" s="11">
        <f t="shared" si="8"/>
        <v>0</v>
      </c>
      <c r="M54" s="10">
        <f t="shared" si="14"/>
        <v>0</v>
      </c>
      <c r="N54" s="10">
        <f t="shared" si="9"/>
        <v>0</v>
      </c>
      <c r="O54" s="10">
        <v>0</v>
      </c>
      <c r="P54" s="10">
        <f t="shared" si="10"/>
        <v>0</v>
      </c>
      <c r="Q54" s="17">
        <v>10.624999999999996</v>
      </c>
      <c r="R54" s="18">
        <f t="shared" si="11"/>
        <v>10.624999999999996</v>
      </c>
      <c r="S54" s="19">
        <f t="shared" si="12"/>
        <v>0</v>
      </c>
      <c r="T54" s="20">
        <f t="shared" si="13"/>
        <v>10.624999999999996</v>
      </c>
    </row>
    <row r="55" spans="1:20" ht="17.399999999999999">
      <c r="A55" s="9">
        <v>1</v>
      </c>
      <c r="B55" s="8">
        <v>240</v>
      </c>
      <c r="C55" s="8">
        <v>289805855</v>
      </c>
      <c r="D55" s="42" t="s">
        <v>123</v>
      </c>
      <c r="F55" s="10">
        <v>4</v>
      </c>
      <c r="G55" s="10">
        <v>1</v>
      </c>
      <c r="H55" s="50">
        <v>0</v>
      </c>
      <c r="I55" s="50">
        <v>0</v>
      </c>
      <c r="J55" s="50">
        <v>0</v>
      </c>
      <c r="K55" s="14" t="s">
        <v>53</v>
      </c>
      <c r="L55" s="11">
        <f t="shared" si="8"/>
        <v>6</v>
      </c>
      <c r="M55" s="10">
        <f t="shared" si="14"/>
        <v>1.2</v>
      </c>
      <c r="N55" s="10">
        <f t="shared" si="9"/>
        <v>0</v>
      </c>
      <c r="O55" s="10">
        <v>0</v>
      </c>
      <c r="P55" s="10">
        <f t="shared" si="10"/>
        <v>7.2</v>
      </c>
      <c r="Q55" s="17">
        <v>2.4000000000000004</v>
      </c>
      <c r="R55" s="18">
        <f t="shared" si="11"/>
        <v>9.6000000000000014</v>
      </c>
      <c r="S55" s="19">
        <f t="shared" si="12"/>
        <v>8.125</v>
      </c>
      <c r="T55" s="20">
        <f t="shared" si="13"/>
        <v>1.4750000000000014</v>
      </c>
    </row>
    <row r="56" spans="1:20" ht="17.399999999999999">
      <c r="A56" s="9">
        <v>1</v>
      </c>
      <c r="B56" s="8">
        <v>219</v>
      </c>
      <c r="C56" s="8">
        <v>1128309198</v>
      </c>
      <c r="D56" s="42" t="s">
        <v>93</v>
      </c>
      <c r="E56" s="47"/>
      <c r="F56" s="10">
        <v>0</v>
      </c>
      <c r="G56" s="10">
        <v>0</v>
      </c>
      <c r="H56" s="50">
        <v>0</v>
      </c>
      <c r="I56" s="50">
        <v>0</v>
      </c>
      <c r="J56" s="50">
        <v>0</v>
      </c>
      <c r="K56" s="39" t="s">
        <v>30</v>
      </c>
      <c r="L56" s="11">
        <f t="shared" si="8"/>
        <v>0</v>
      </c>
      <c r="M56" s="10">
        <f t="shared" si="14"/>
        <v>0</v>
      </c>
      <c r="N56" s="10">
        <f t="shared" si="9"/>
        <v>0</v>
      </c>
      <c r="O56" s="10">
        <v>0</v>
      </c>
      <c r="P56" s="10">
        <f t="shared" si="10"/>
        <v>0</v>
      </c>
      <c r="Q56" s="17">
        <v>9.4499999999999957</v>
      </c>
      <c r="R56" s="18">
        <f t="shared" si="11"/>
        <v>9.4499999999999957</v>
      </c>
      <c r="S56" s="19">
        <f t="shared" si="12"/>
        <v>0</v>
      </c>
      <c r="T56" s="20">
        <f t="shared" si="13"/>
        <v>9.4499999999999957</v>
      </c>
    </row>
    <row r="57" spans="1:20" ht="17.399999999999999">
      <c r="A57" s="9">
        <v>1</v>
      </c>
      <c r="B57" s="8">
        <v>192</v>
      </c>
      <c r="C57" s="8">
        <v>1725281178</v>
      </c>
      <c r="D57" s="42" t="s">
        <v>71</v>
      </c>
      <c r="E57" s="47"/>
      <c r="F57" s="10">
        <v>0</v>
      </c>
      <c r="G57" s="10">
        <v>0</v>
      </c>
      <c r="H57" s="50">
        <v>0</v>
      </c>
      <c r="I57" s="50">
        <v>0</v>
      </c>
      <c r="J57" s="50">
        <v>0</v>
      </c>
      <c r="K57" s="39" t="s">
        <v>30</v>
      </c>
      <c r="L57" s="11">
        <f t="shared" si="8"/>
        <v>0</v>
      </c>
      <c r="M57" s="10">
        <f t="shared" si="14"/>
        <v>0</v>
      </c>
      <c r="N57" s="10">
        <f t="shared" si="9"/>
        <v>0</v>
      </c>
      <c r="O57" s="10">
        <v>0</v>
      </c>
      <c r="P57" s="10">
        <f t="shared" si="10"/>
        <v>0</v>
      </c>
      <c r="Q57" s="17">
        <v>3.1437499999999954</v>
      </c>
      <c r="R57" s="18">
        <f t="shared" si="11"/>
        <v>3.1437499999999954</v>
      </c>
      <c r="S57" s="19">
        <f t="shared" si="12"/>
        <v>0</v>
      </c>
      <c r="T57" s="20">
        <f t="shared" si="13"/>
        <v>3.1437499999999954</v>
      </c>
    </row>
    <row r="58" spans="1:20" ht="20.399999999999999">
      <c r="A58" s="9">
        <v>1</v>
      </c>
      <c r="B58" s="8">
        <v>220</v>
      </c>
      <c r="C58" s="8">
        <v>353335311</v>
      </c>
      <c r="D58" s="42" t="s">
        <v>94</v>
      </c>
      <c r="E58" s="44"/>
      <c r="F58" s="10">
        <v>0</v>
      </c>
      <c r="G58" s="10">
        <v>0</v>
      </c>
      <c r="H58" s="50">
        <v>0</v>
      </c>
      <c r="I58" s="50">
        <v>0</v>
      </c>
      <c r="J58" s="50">
        <v>0</v>
      </c>
      <c r="K58" s="39" t="s">
        <v>30</v>
      </c>
      <c r="L58" s="11">
        <f t="shared" si="8"/>
        <v>0</v>
      </c>
      <c r="M58" s="10">
        <f t="shared" si="14"/>
        <v>0</v>
      </c>
      <c r="N58" s="10">
        <f t="shared" si="9"/>
        <v>0</v>
      </c>
      <c r="O58" s="10">
        <v>0</v>
      </c>
      <c r="P58" s="10">
        <f t="shared" si="10"/>
        <v>0</v>
      </c>
      <c r="Q58" s="17">
        <v>2.0310546874999984</v>
      </c>
      <c r="R58" s="18">
        <f t="shared" si="11"/>
        <v>2.0310546874999984</v>
      </c>
      <c r="S58" s="19">
        <f t="shared" si="12"/>
        <v>0</v>
      </c>
      <c r="T58" s="20">
        <f t="shared" si="13"/>
        <v>2.0310546874999984</v>
      </c>
    </row>
    <row r="59" spans="1:20" ht="17.399999999999999">
      <c r="A59" s="9">
        <v>1</v>
      </c>
      <c r="B59" s="8">
        <v>233</v>
      </c>
      <c r="C59" s="8">
        <v>1963965829</v>
      </c>
      <c r="D59" s="42" t="s">
        <v>114</v>
      </c>
      <c r="F59" s="10">
        <v>0</v>
      </c>
      <c r="G59" s="10">
        <v>0</v>
      </c>
      <c r="H59" s="50">
        <v>0</v>
      </c>
      <c r="I59" s="50">
        <v>0</v>
      </c>
      <c r="J59" s="50">
        <v>0</v>
      </c>
      <c r="K59" s="39" t="s">
        <v>30</v>
      </c>
      <c r="L59" s="11">
        <f t="shared" si="8"/>
        <v>0</v>
      </c>
      <c r="M59" s="10">
        <f t="shared" si="14"/>
        <v>0</v>
      </c>
      <c r="N59" s="10">
        <f t="shared" si="9"/>
        <v>0</v>
      </c>
      <c r="O59" s="10">
        <v>0</v>
      </c>
      <c r="P59" s="10">
        <f t="shared" si="10"/>
        <v>0</v>
      </c>
      <c r="Q59" s="17">
        <v>2.0000000000000018</v>
      </c>
      <c r="R59" s="18">
        <f t="shared" si="11"/>
        <v>2.0000000000000018</v>
      </c>
      <c r="S59" s="19">
        <f t="shared" si="12"/>
        <v>0</v>
      </c>
      <c r="T59" s="20">
        <f t="shared" si="13"/>
        <v>2.0000000000000018</v>
      </c>
    </row>
    <row r="60" spans="1:20" ht="17.399999999999999">
      <c r="A60" s="9">
        <v>1</v>
      </c>
      <c r="B60" s="8">
        <v>207</v>
      </c>
      <c r="C60" s="8">
        <v>721273803</v>
      </c>
      <c r="D60" s="45" t="s">
        <v>81</v>
      </c>
      <c r="E60" s="47"/>
      <c r="F60" s="10">
        <v>0</v>
      </c>
      <c r="G60" s="10">
        <v>0</v>
      </c>
      <c r="H60" s="50">
        <v>0</v>
      </c>
      <c r="I60" s="50">
        <v>0</v>
      </c>
      <c r="J60" s="50">
        <v>0</v>
      </c>
      <c r="K60" s="39" t="s">
        <v>30</v>
      </c>
      <c r="L60" s="11">
        <f t="shared" si="8"/>
        <v>0</v>
      </c>
      <c r="M60" s="10">
        <f t="shared" si="14"/>
        <v>0</v>
      </c>
      <c r="N60" s="10">
        <f t="shared" si="9"/>
        <v>0</v>
      </c>
      <c r="O60" s="10">
        <v>0</v>
      </c>
      <c r="P60" s="10">
        <f t="shared" si="10"/>
        <v>0</v>
      </c>
      <c r="Q60" s="17">
        <v>1.425</v>
      </c>
      <c r="R60" s="18">
        <f t="shared" si="11"/>
        <v>1.425</v>
      </c>
      <c r="S60" s="19">
        <f t="shared" si="12"/>
        <v>0</v>
      </c>
      <c r="T60" s="20">
        <f t="shared" si="13"/>
        <v>1.425</v>
      </c>
    </row>
    <row r="61" spans="1:20" ht="20.399999999999999">
      <c r="A61" s="9">
        <v>1</v>
      </c>
      <c r="B61" s="8">
        <v>213</v>
      </c>
      <c r="C61" s="8">
        <v>311361673</v>
      </c>
      <c r="D61" s="42" t="s">
        <v>55</v>
      </c>
      <c r="E61" s="2"/>
      <c r="F61" s="10">
        <v>0</v>
      </c>
      <c r="G61" s="10">
        <v>0</v>
      </c>
      <c r="H61" s="50">
        <v>0</v>
      </c>
      <c r="I61" s="50">
        <v>0</v>
      </c>
      <c r="J61" s="50">
        <v>0</v>
      </c>
      <c r="K61" s="39" t="s">
        <v>30</v>
      </c>
      <c r="L61" s="11">
        <f t="shared" si="8"/>
        <v>0</v>
      </c>
      <c r="M61" s="10">
        <f t="shared" si="14"/>
        <v>0</v>
      </c>
      <c r="N61" s="10">
        <f t="shared" si="9"/>
        <v>0</v>
      </c>
      <c r="O61" s="10">
        <v>0</v>
      </c>
      <c r="P61" s="10">
        <f t="shared" si="10"/>
        <v>0</v>
      </c>
      <c r="Q61" s="17">
        <v>1.2687499999999945</v>
      </c>
      <c r="R61" s="18">
        <f t="shared" si="11"/>
        <v>1.2687499999999945</v>
      </c>
      <c r="S61" s="19">
        <f t="shared" si="12"/>
        <v>0</v>
      </c>
      <c r="T61" s="20">
        <f t="shared" si="13"/>
        <v>1.2687499999999945</v>
      </c>
    </row>
    <row r="62" spans="1:20" ht="17.399999999999999">
      <c r="A62" s="9">
        <v>1</v>
      </c>
      <c r="B62" s="8">
        <v>242</v>
      </c>
      <c r="C62" s="8">
        <v>250098915</v>
      </c>
      <c r="D62" s="42" t="s">
        <v>131</v>
      </c>
      <c r="F62" s="10">
        <v>0</v>
      </c>
      <c r="G62" s="10">
        <v>0</v>
      </c>
      <c r="H62" s="50">
        <v>0</v>
      </c>
      <c r="I62" s="50">
        <v>0</v>
      </c>
      <c r="J62" s="50">
        <v>0</v>
      </c>
      <c r="K62" s="39" t="s">
        <v>30</v>
      </c>
      <c r="L62" s="11">
        <f t="shared" si="8"/>
        <v>0</v>
      </c>
      <c r="M62" s="10">
        <f t="shared" si="14"/>
        <v>0</v>
      </c>
      <c r="N62" s="10">
        <f t="shared" si="9"/>
        <v>0</v>
      </c>
      <c r="O62" s="10">
        <v>0</v>
      </c>
      <c r="P62" s="10">
        <f t="shared" si="10"/>
        <v>0</v>
      </c>
      <c r="Q62" s="17">
        <v>0.90625</v>
      </c>
      <c r="R62" s="18">
        <f t="shared" si="11"/>
        <v>0.90625</v>
      </c>
      <c r="S62" s="19">
        <f t="shared" si="12"/>
        <v>0</v>
      </c>
      <c r="T62" s="20">
        <f t="shared" si="13"/>
        <v>0.90625</v>
      </c>
    </row>
    <row r="63" spans="1:20" ht="17.399999999999999">
      <c r="A63" s="9">
        <v>1</v>
      </c>
      <c r="B63" s="8">
        <v>242</v>
      </c>
      <c r="C63" s="8">
        <v>1769984287</v>
      </c>
      <c r="D63" s="8" t="s">
        <v>132</v>
      </c>
      <c r="F63" s="10">
        <v>0</v>
      </c>
      <c r="G63" s="10">
        <v>0</v>
      </c>
      <c r="H63" s="50">
        <v>0</v>
      </c>
      <c r="I63" s="50">
        <v>0</v>
      </c>
      <c r="J63" s="50">
        <v>0</v>
      </c>
      <c r="K63" s="39" t="s">
        <v>30</v>
      </c>
      <c r="L63" s="11">
        <f t="shared" si="8"/>
        <v>0</v>
      </c>
      <c r="M63" s="10">
        <f t="shared" si="14"/>
        <v>0</v>
      </c>
      <c r="N63" s="10">
        <f t="shared" si="9"/>
        <v>0</v>
      </c>
      <c r="O63" s="10">
        <v>0</v>
      </c>
      <c r="P63" s="10">
        <f t="shared" si="10"/>
        <v>0</v>
      </c>
      <c r="Q63" s="17">
        <v>0.65000000000000036</v>
      </c>
      <c r="R63" s="18">
        <f t="shared" si="11"/>
        <v>0.65000000000000036</v>
      </c>
      <c r="S63" s="19">
        <f t="shared" si="12"/>
        <v>0</v>
      </c>
      <c r="T63" s="20">
        <f t="shared" si="13"/>
        <v>0.65000000000000036</v>
      </c>
    </row>
    <row r="64" spans="1:20" ht="17.399999999999999">
      <c r="A64" s="9">
        <v>1</v>
      </c>
      <c r="B64" s="8">
        <v>218</v>
      </c>
      <c r="C64" s="8">
        <v>1804880865</v>
      </c>
      <c r="D64" s="42" t="s">
        <v>92</v>
      </c>
      <c r="E64" s="47"/>
      <c r="F64" s="10">
        <v>0</v>
      </c>
      <c r="G64" s="10">
        <v>0</v>
      </c>
      <c r="H64" s="50">
        <v>0</v>
      </c>
      <c r="I64" s="50">
        <v>0</v>
      </c>
      <c r="J64" s="50">
        <v>0</v>
      </c>
      <c r="K64" s="39" t="s">
        <v>30</v>
      </c>
      <c r="L64" s="11">
        <f t="shared" si="8"/>
        <v>0</v>
      </c>
      <c r="M64" s="10">
        <f t="shared" si="14"/>
        <v>0</v>
      </c>
      <c r="N64" s="10">
        <f t="shared" si="9"/>
        <v>0</v>
      </c>
      <c r="O64" s="10">
        <v>0</v>
      </c>
      <c r="P64" s="10">
        <f t="shared" si="10"/>
        <v>0</v>
      </c>
      <c r="Q64" s="17">
        <v>0.11749999999999983</v>
      </c>
      <c r="R64" s="18">
        <f t="shared" si="11"/>
        <v>0.11749999999999983</v>
      </c>
      <c r="S64" s="19">
        <f t="shared" si="12"/>
        <v>0</v>
      </c>
      <c r="T64" s="20">
        <f t="shared" si="13"/>
        <v>0.11749999999999983</v>
      </c>
    </row>
    <row r="65" spans="1:23" ht="17.399999999999999">
      <c r="A65" s="9">
        <v>1</v>
      </c>
      <c r="B65" s="8">
        <v>217</v>
      </c>
      <c r="C65" s="8">
        <v>331155825</v>
      </c>
      <c r="D65" s="46" t="s">
        <v>89</v>
      </c>
      <c r="E65" s="2"/>
      <c r="F65" s="10">
        <v>0</v>
      </c>
      <c r="G65" s="10">
        <v>0</v>
      </c>
      <c r="H65" s="50">
        <v>0</v>
      </c>
      <c r="I65" s="50">
        <v>0</v>
      </c>
      <c r="J65" s="50">
        <v>0</v>
      </c>
      <c r="K65" s="39" t="s">
        <v>30</v>
      </c>
      <c r="L65" s="11">
        <f t="shared" si="8"/>
        <v>0</v>
      </c>
      <c r="M65" s="10">
        <f t="shared" si="14"/>
        <v>0</v>
      </c>
      <c r="N65" s="10">
        <f t="shared" si="9"/>
        <v>0</v>
      </c>
      <c r="O65" s="10">
        <v>0</v>
      </c>
      <c r="P65" s="10">
        <f t="shared" si="10"/>
        <v>0</v>
      </c>
      <c r="Q65" s="17">
        <v>-1.3124999999999984</v>
      </c>
      <c r="R65" s="18">
        <f t="shared" si="11"/>
        <v>-1.3124999999999984</v>
      </c>
      <c r="S65" s="19">
        <f t="shared" si="12"/>
        <v>0</v>
      </c>
      <c r="T65" s="20">
        <f t="shared" si="13"/>
        <v>-1.3124999999999984</v>
      </c>
    </row>
    <row r="66" spans="1:23" ht="17.399999999999999">
      <c r="A66" s="9">
        <v>1</v>
      </c>
      <c r="B66" s="8">
        <v>237</v>
      </c>
      <c r="C66" s="8">
        <v>1331532576</v>
      </c>
      <c r="D66" s="42" t="s">
        <v>119</v>
      </c>
      <c r="F66" s="10">
        <v>0</v>
      </c>
      <c r="G66" s="10">
        <v>0</v>
      </c>
      <c r="H66" s="50">
        <v>0</v>
      </c>
      <c r="I66" s="50">
        <v>0</v>
      </c>
      <c r="J66" s="50">
        <v>0</v>
      </c>
      <c r="K66" s="39" t="s">
        <v>30</v>
      </c>
      <c r="L66" s="11">
        <f t="shared" si="8"/>
        <v>0</v>
      </c>
      <c r="M66" s="10">
        <f t="shared" si="14"/>
        <v>0</v>
      </c>
      <c r="N66" s="10">
        <f t="shared" si="9"/>
        <v>0</v>
      </c>
      <c r="O66" s="10">
        <v>0</v>
      </c>
      <c r="P66" s="10">
        <f t="shared" si="10"/>
        <v>0</v>
      </c>
      <c r="Q66" s="17">
        <v>-2.5499999999999998</v>
      </c>
      <c r="R66" s="18">
        <f t="shared" si="11"/>
        <v>-2.5499999999999998</v>
      </c>
      <c r="S66" s="19">
        <f t="shared" si="12"/>
        <v>0</v>
      </c>
      <c r="T66" s="20">
        <f t="shared" si="13"/>
        <v>-2.5499999999999998</v>
      </c>
    </row>
    <row r="67" spans="1:23" ht="17.399999999999999">
      <c r="A67" s="9">
        <v>1</v>
      </c>
      <c r="B67" s="8">
        <v>228</v>
      </c>
      <c r="C67" s="8">
        <v>1287481910</v>
      </c>
      <c r="D67" s="42" t="s">
        <v>109</v>
      </c>
      <c r="E67" s="42"/>
      <c r="F67" s="10">
        <v>0</v>
      </c>
      <c r="G67" s="10">
        <v>0</v>
      </c>
      <c r="H67" s="50">
        <v>0</v>
      </c>
      <c r="I67" s="50">
        <v>0</v>
      </c>
      <c r="J67" s="50">
        <v>0</v>
      </c>
      <c r="K67" s="39" t="s">
        <v>30</v>
      </c>
      <c r="L67" s="11">
        <f t="shared" si="8"/>
        <v>0</v>
      </c>
      <c r="M67" s="10">
        <f t="shared" si="14"/>
        <v>0</v>
      </c>
      <c r="N67" s="10">
        <f t="shared" si="9"/>
        <v>0</v>
      </c>
      <c r="O67" s="10">
        <v>0</v>
      </c>
      <c r="P67" s="10">
        <f t="shared" si="10"/>
        <v>0</v>
      </c>
      <c r="Q67" s="17">
        <v>-4.1499999999999995</v>
      </c>
      <c r="R67" s="18">
        <f t="shared" si="11"/>
        <v>-4.1499999999999995</v>
      </c>
      <c r="S67" s="19">
        <f t="shared" si="12"/>
        <v>0</v>
      </c>
      <c r="T67" s="20">
        <f t="shared" si="13"/>
        <v>-4.1499999999999995</v>
      </c>
    </row>
    <row r="68" spans="1:23" ht="17.399999999999999">
      <c r="A68" s="9">
        <v>1</v>
      </c>
      <c r="B68" s="8">
        <v>235</v>
      </c>
      <c r="C68" s="8">
        <v>988684940</v>
      </c>
      <c r="D68" s="42" t="s">
        <v>116</v>
      </c>
      <c r="F68" s="10">
        <v>0</v>
      </c>
      <c r="G68" s="10">
        <v>0</v>
      </c>
      <c r="H68" s="50">
        <v>0</v>
      </c>
      <c r="I68" s="50">
        <v>0</v>
      </c>
      <c r="J68" s="50">
        <v>0</v>
      </c>
      <c r="K68" s="39" t="s">
        <v>30</v>
      </c>
      <c r="L68" s="11">
        <f t="shared" si="8"/>
        <v>0</v>
      </c>
      <c r="M68" s="10">
        <f t="shared" si="14"/>
        <v>0</v>
      </c>
      <c r="N68" s="10">
        <f t="shared" si="9"/>
        <v>0</v>
      </c>
      <c r="O68" s="10">
        <v>0</v>
      </c>
      <c r="P68" s="10">
        <f t="shared" si="10"/>
        <v>0</v>
      </c>
      <c r="Q68" s="17">
        <v>-7.125</v>
      </c>
      <c r="R68" s="18">
        <f t="shared" si="11"/>
        <v>-7.125</v>
      </c>
      <c r="S68" s="19">
        <f t="shared" si="12"/>
        <v>0</v>
      </c>
      <c r="T68" s="20">
        <f t="shared" si="13"/>
        <v>-7.125</v>
      </c>
    </row>
    <row r="69" spans="1:23" ht="17.399999999999999">
      <c r="A69" s="9">
        <v>1</v>
      </c>
      <c r="B69" s="8">
        <v>141</v>
      </c>
      <c r="C69" s="8">
        <v>1190305158</v>
      </c>
      <c r="D69" s="42" t="s">
        <v>44</v>
      </c>
      <c r="E69" s="44"/>
      <c r="F69" s="10">
        <v>0</v>
      </c>
      <c r="G69" s="10">
        <v>0</v>
      </c>
      <c r="H69" s="50">
        <v>0</v>
      </c>
      <c r="I69" s="50">
        <v>0</v>
      </c>
      <c r="J69" s="50">
        <v>0</v>
      </c>
      <c r="K69" s="39" t="s">
        <v>30</v>
      </c>
      <c r="L69" s="11">
        <f t="shared" si="8"/>
        <v>0</v>
      </c>
      <c r="M69" s="10">
        <f t="shared" si="14"/>
        <v>0</v>
      </c>
      <c r="N69" s="10">
        <f t="shared" si="9"/>
        <v>0</v>
      </c>
      <c r="O69" s="10">
        <v>0</v>
      </c>
      <c r="P69" s="10">
        <f t="shared" ref="P69:P70" si="15">SUM(M69+L69+O69+N69)</f>
        <v>0</v>
      </c>
      <c r="Q69" s="17">
        <v>-7.8937500000000043</v>
      </c>
      <c r="R69" s="18">
        <f t="shared" ref="R69:R70" si="16">P69+Q69</f>
        <v>-7.8937500000000043</v>
      </c>
      <c r="S69" s="19">
        <f t="shared" si="12"/>
        <v>0</v>
      </c>
      <c r="T69" s="20">
        <f t="shared" ref="T69:T70" si="17">R69-S69</f>
        <v>-7.8937500000000043</v>
      </c>
      <c r="U69" s="40"/>
      <c r="V69" s="40"/>
      <c r="W69" s="41"/>
    </row>
    <row r="70" spans="1:23" ht="17.399999999999999">
      <c r="A70" s="70">
        <v>1</v>
      </c>
      <c r="B70" s="8">
        <v>203</v>
      </c>
      <c r="C70" s="8">
        <v>382695365</v>
      </c>
      <c r="D70" s="42" t="s">
        <v>78</v>
      </c>
      <c r="E70" s="47"/>
      <c r="F70" s="10">
        <v>0</v>
      </c>
      <c r="G70" s="10">
        <v>0</v>
      </c>
      <c r="H70" s="50">
        <v>0</v>
      </c>
      <c r="I70" s="50">
        <v>0</v>
      </c>
      <c r="J70" s="50">
        <v>0</v>
      </c>
      <c r="K70" s="39" t="s">
        <v>30</v>
      </c>
      <c r="L70" s="11">
        <f t="shared" si="8"/>
        <v>0</v>
      </c>
      <c r="M70" s="10">
        <f t="shared" si="14"/>
        <v>0</v>
      </c>
      <c r="N70" s="10">
        <f t="shared" si="9"/>
        <v>0</v>
      </c>
      <c r="O70" s="10">
        <v>0</v>
      </c>
      <c r="P70" s="10">
        <f t="shared" si="15"/>
        <v>0</v>
      </c>
      <c r="Q70" s="17">
        <v>-16.90625</v>
      </c>
      <c r="R70" s="18">
        <f t="shared" si="16"/>
        <v>-16.90625</v>
      </c>
      <c r="S70" s="19">
        <f t="shared" si="12"/>
        <v>0</v>
      </c>
      <c r="T70" s="20">
        <f t="shared" si="17"/>
        <v>-16.90625</v>
      </c>
    </row>
    <row r="71" spans="1:23" ht="17.399999999999999">
      <c r="A71" s="70"/>
    </row>
  </sheetData>
  <autoFilter ref="A4:W70" xr:uid="{28593B8F-03E7-4BE1-B554-FC0AADC431B2}">
    <sortState xmlns:xlrd2="http://schemas.microsoft.com/office/spreadsheetml/2017/richdata2" ref="A5:W70">
      <sortCondition descending="1" ref="R4:R70"/>
    </sortState>
  </autoFilter>
  <mergeCells count="5">
    <mergeCell ref="B1:T1"/>
    <mergeCell ref="B2:T2"/>
    <mergeCell ref="B3:E3"/>
    <mergeCell ref="H3:J3"/>
    <mergeCell ref="K3:T3"/>
  </mergeCells>
  <conditionalFormatting sqref="O5:O70 F5:J70">
    <cfRule type="cellIs" dxfId="19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B7FB4-3A6C-4975-97CF-F5F650C5E45B}">
  <dimension ref="A1:AC71"/>
  <sheetViews>
    <sheetView zoomScale="85" zoomScaleNormal="85" workbookViewId="0">
      <selection activeCell="A3" sqref="A3"/>
    </sheetView>
  </sheetViews>
  <sheetFormatPr defaultColWidth="9" defaultRowHeight="14.4"/>
  <cols>
    <col min="1" max="1" width="6.44140625" customWidth="1"/>
    <col min="2" max="2" width="6.6640625" style="4" customWidth="1"/>
    <col min="3" max="3" width="19.77734375" style="5" customWidth="1"/>
    <col min="4" max="4" width="21.21875" style="5" customWidth="1"/>
    <col min="5" max="5" width="18.33203125" style="4" customWidth="1"/>
    <col min="6" max="6" width="13.109375" style="4" customWidth="1"/>
    <col min="7" max="7" width="13.77734375" style="4" customWidth="1"/>
    <col min="8" max="8" width="5.77734375" style="4" customWidth="1"/>
    <col min="9" max="9" width="5.88671875" style="4" customWidth="1"/>
    <col min="10" max="10" width="5.77734375" style="4" customWidth="1"/>
    <col min="11" max="11" width="20" style="4" customWidth="1"/>
    <col min="12" max="12" width="9" style="4" customWidth="1"/>
    <col min="13" max="13" width="12.109375" style="4" customWidth="1"/>
    <col min="14" max="14" width="11.33203125" style="4" customWidth="1"/>
    <col min="15" max="15" width="10" style="4" customWidth="1"/>
    <col min="16" max="16" width="9" style="4" customWidth="1"/>
    <col min="17" max="17" width="12.88671875" style="4" customWidth="1"/>
    <col min="18" max="18" width="12" style="4" customWidth="1"/>
    <col min="19" max="19" width="9.21875" style="4" customWidth="1"/>
    <col min="20" max="20" width="12.6640625" style="4" customWidth="1"/>
    <col min="21" max="23" width="11.109375" style="21" customWidth="1"/>
    <col min="24" max="24" width="22.44140625" customWidth="1"/>
  </cols>
  <sheetData>
    <row r="1" spans="1:29" ht="36.6" customHeight="1">
      <c r="B1" s="99" t="str">
        <f>CONCATENATE("157区 活动中心",Y15,"年",Y16,"月",Y17,"日","分包贡献明细"," 统计：一二三")</f>
        <v>157区 活动中心2021年10月23日分包贡献明细 统计：一二三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62"/>
      <c r="V1" s="62"/>
      <c r="W1" s="62"/>
      <c r="X1" s="22" t="s">
        <v>12</v>
      </c>
      <c r="Y1" s="5">
        <v>67</v>
      </c>
      <c r="Z1" s="3"/>
      <c r="AA1" s="3"/>
      <c r="AB1" s="3"/>
      <c r="AC1" s="3"/>
    </row>
    <row r="2" spans="1:29" ht="137.4" customHeight="1">
      <c r="B2" s="101" t="s">
        <v>126</v>
      </c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63"/>
      <c r="V2" s="63"/>
      <c r="W2" s="63"/>
      <c r="X2" s="23" t="s">
        <v>0</v>
      </c>
      <c r="Y2" s="24" t="s">
        <v>13</v>
      </c>
      <c r="Z2" s="25" t="s">
        <v>14</v>
      </c>
      <c r="AA2" s="25" t="s">
        <v>15</v>
      </c>
      <c r="AB2" s="25" t="s">
        <v>56</v>
      </c>
      <c r="AC2" s="26" t="s">
        <v>16</v>
      </c>
    </row>
    <row r="3" spans="1:29" ht="20.399999999999999">
      <c r="A3">
        <f>COUNTIF(K:K,"a跨服传说礼包")</f>
        <v>7</v>
      </c>
      <c r="B3" s="104" t="s">
        <v>20</v>
      </c>
      <c r="C3" s="104"/>
      <c r="D3" s="104"/>
      <c r="E3" s="104"/>
      <c r="F3" s="64" t="s">
        <v>17</v>
      </c>
      <c r="G3" s="65" t="s">
        <v>39</v>
      </c>
      <c r="H3" s="105" t="s">
        <v>99</v>
      </c>
      <c r="I3" s="105"/>
      <c r="J3" s="105"/>
      <c r="K3" s="106" t="s">
        <v>21</v>
      </c>
      <c r="L3" s="107"/>
      <c r="M3" s="107"/>
      <c r="N3" s="107"/>
      <c r="O3" s="107"/>
      <c r="P3" s="107"/>
      <c r="Q3" s="107"/>
      <c r="R3" s="107"/>
      <c r="S3" s="107"/>
      <c r="T3" s="108"/>
      <c r="U3" s="61"/>
      <c r="V3" s="61"/>
      <c r="W3" s="61"/>
      <c r="X3" s="27" t="s">
        <v>22</v>
      </c>
      <c r="Y3" s="28">
        <f>AC3/$Y$13</f>
        <v>11.875</v>
      </c>
      <c r="Z3" s="23">
        <v>5</v>
      </c>
      <c r="AA3" s="23">
        <v>7</v>
      </c>
      <c r="AB3" s="23">
        <v>20</v>
      </c>
      <c r="AC3" s="23">
        <v>1900</v>
      </c>
    </row>
    <row r="4" spans="1:29" ht="40.799999999999997">
      <c r="A4" s="76" t="s">
        <v>117</v>
      </c>
      <c r="B4" s="76" t="s">
        <v>2</v>
      </c>
      <c r="C4" s="60" t="s">
        <v>23</v>
      </c>
      <c r="D4" s="76" t="s">
        <v>3</v>
      </c>
      <c r="E4" s="76" t="s">
        <v>4</v>
      </c>
      <c r="F4" s="6" t="s">
        <v>40</v>
      </c>
      <c r="G4" s="7" t="s">
        <v>91</v>
      </c>
      <c r="H4" s="7" t="s">
        <v>100</v>
      </c>
      <c r="I4" s="7" t="s">
        <v>101</v>
      </c>
      <c r="J4" s="7" t="s">
        <v>102</v>
      </c>
      <c r="K4" s="6" t="s">
        <v>5</v>
      </c>
      <c r="L4" s="6" t="s">
        <v>24</v>
      </c>
      <c r="M4" s="7" t="s">
        <v>41</v>
      </c>
      <c r="N4" s="7" t="s">
        <v>104</v>
      </c>
      <c r="O4" s="7" t="s">
        <v>45</v>
      </c>
      <c r="P4" s="15" t="s">
        <v>25</v>
      </c>
      <c r="Q4" s="60" t="s">
        <v>26</v>
      </c>
      <c r="R4" s="16" t="s">
        <v>7</v>
      </c>
      <c r="S4" s="60" t="s">
        <v>6</v>
      </c>
      <c r="T4" s="60" t="s">
        <v>27</v>
      </c>
      <c r="U4" s="60" t="s">
        <v>18</v>
      </c>
      <c r="V4" s="60" t="s">
        <v>19</v>
      </c>
      <c r="W4" s="60" t="s">
        <v>1</v>
      </c>
      <c r="X4" s="29" t="s">
        <v>28</v>
      </c>
      <c r="Y4" s="28">
        <f>AC4/$Y$13</f>
        <v>9.6875</v>
      </c>
      <c r="Z4" s="23">
        <v>4</v>
      </c>
      <c r="AA4" s="23">
        <v>6</v>
      </c>
      <c r="AB4" s="23">
        <v>15</v>
      </c>
      <c r="AC4" s="23">
        <v>1550</v>
      </c>
    </row>
    <row r="5" spans="1:29" s="1" customFormat="1" ht="17.399999999999999">
      <c r="A5" s="9">
        <v>1</v>
      </c>
      <c r="B5" s="8">
        <v>128</v>
      </c>
      <c r="C5" s="8">
        <v>1214614935</v>
      </c>
      <c r="D5" s="42" t="s">
        <v>62</v>
      </c>
      <c r="E5" s="49" t="s">
        <v>43</v>
      </c>
      <c r="F5" s="10">
        <v>3</v>
      </c>
      <c r="G5" s="10">
        <v>1</v>
      </c>
      <c r="H5" s="50">
        <v>0</v>
      </c>
      <c r="I5" s="50">
        <v>0</v>
      </c>
      <c r="J5" s="50">
        <v>0</v>
      </c>
      <c r="K5" s="27" t="s">
        <v>22</v>
      </c>
      <c r="L5" s="11">
        <f t="shared" ref="L5:L36" si="0">F5+IF(F5&gt;2,(F5-2)*1,0)</f>
        <v>4</v>
      </c>
      <c r="M5" s="10">
        <f t="shared" ref="M5:M13" si="1">G5*$Y$14</f>
        <v>1.2</v>
      </c>
      <c r="N5" s="10">
        <f t="shared" ref="N5:N36" si="2">SUM(H5:J5)*$Y$18</f>
        <v>0</v>
      </c>
      <c r="O5" s="10">
        <v>0</v>
      </c>
      <c r="P5" s="10">
        <f t="shared" ref="P5:P36" si="3">SUM(M5+L5+O5+N5)</f>
        <v>5.2</v>
      </c>
      <c r="Q5" s="17">
        <v>23.899499999999993</v>
      </c>
      <c r="R5" s="18">
        <f t="shared" ref="R5:R36" si="4">P5+Q5</f>
        <v>29.099499999999992</v>
      </c>
      <c r="S5" s="19">
        <f t="shared" ref="S5:S36" si="5">VLOOKUP(K5,$X$3:$Y$10,2,FALSE)</f>
        <v>11.875</v>
      </c>
      <c r="T5" s="20">
        <f t="shared" ref="T5:T36" si="6">R5-S5</f>
        <v>17.224499999999992</v>
      </c>
      <c r="U5" s="11"/>
      <c r="V5" s="11"/>
      <c r="W5" s="31"/>
      <c r="X5" s="14" t="s">
        <v>29</v>
      </c>
      <c r="Y5" s="28">
        <f>AC5/$Y$13/4</f>
        <v>1.875</v>
      </c>
      <c r="Z5" s="30">
        <v>3</v>
      </c>
      <c r="AA5" s="30">
        <v>5</v>
      </c>
      <c r="AB5" s="30">
        <v>10</v>
      </c>
      <c r="AC5" s="30">
        <v>1200</v>
      </c>
    </row>
    <row r="6" spans="1:29" s="1" customFormat="1" ht="17.399999999999999">
      <c r="A6" s="9">
        <v>1</v>
      </c>
      <c r="B6" s="9">
        <v>231</v>
      </c>
      <c r="C6" s="8">
        <v>1725915293</v>
      </c>
      <c r="D6" s="42" t="s">
        <v>112</v>
      </c>
      <c r="E6" s="4"/>
      <c r="F6" s="10">
        <v>3</v>
      </c>
      <c r="G6" s="10">
        <v>1</v>
      </c>
      <c r="H6" s="50">
        <v>0</v>
      </c>
      <c r="I6" s="50">
        <v>0</v>
      </c>
      <c r="J6" s="50">
        <v>0</v>
      </c>
      <c r="K6" s="27" t="s">
        <v>22</v>
      </c>
      <c r="L6" s="11">
        <f t="shared" si="0"/>
        <v>4</v>
      </c>
      <c r="M6" s="10">
        <f t="shared" si="1"/>
        <v>1.2</v>
      </c>
      <c r="N6" s="10">
        <f t="shared" si="2"/>
        <v>0</v>
      </c>
      <c r="O6" s="10">
        <v>0</v>
      </c>
      <c r="P6" s="10">
        <f t="shared" si="3"/>
        <v>5.2</v>
      </c>
      <c r="Q6" s="17">
        <v>23.843749999999996</v>
      </c>
      <c r="R6" s="18">
        <f t="shared" si="4"/>
        <v>29.043749999999996</v>
      </c>
      <c r="S6" s="19">
        <f t="shared" si="5"/>
        <v>11.875</v>
      </c>
      <c r="T6" s="20">
        <f t="shared" si="6"/>
        <v>17.168749999999996</v>
      </c>
      <c r="U6" s="4"/>
      <c r="V6" s="4"/>
      <c r="W6" s="4"/>
      <c r="X6" s="14"/>
      <c r="Y6" s="28"/>
      <c r="Z6" s="30"/>
      <c r="AA6" s="30"/>
      <c r="AB6" s="30"/>
      <c r="AC6" s="30"/>
    </row>
    <row r="7" spans="1:29" s="1" customFormat="1" ht="17.399999999999999">
      <c r="A7" s="9">
        <v>1</v>
      </c>
      <c r="B7" s="8">
        <v>208</v>
      </c>
      <c r="C7" s="8">
        <v>92129464</v>
      </c>
      <c r="D7" s="42" t="s">
        <v>82</v>
      </c>
      <c r="E7" s="47"/>
      <c r="F7" s="10">
        <v>3</v>
      </c>
      <c r="G7" s="10">
        <v>1</v>
      </c>
      <c r="H7" s="50">
        <v>0</v>
      </c>
      <c r="I7" s="50">
        <v>0</v>
      </c>
      <c r="J7" s="50">
        <v>0</v>
      </c>
      <c r="K7" s="27" t="s">
        <v>22</v>
      </c>
      <c r="L7" s="11">
        <f t="shared" si="0"/>
        <v>4</v>
      </c>
      <c r="M7" s="10">
        <f t="shared" si="1"/>
        <v>1.2</v>
      </c>
      <c r="N7" s="10">
        <f t="shared" si="2"/>
        <v>0</v>
      </c>
      <c r="O7" s="10">
        <v>0</v>
      </c>
      <c r="P7" s="10">
        <f t="shared" si="3"/>
        <v>5.2</v>
      </c>
      <c r="Q7" s="17">
        <v>23.624999999999996</v>
      </c>
      <c r="R7" s="18">
        <f t="shared" si="4"/>
        <v>28.824999999999996</v>
      </c>
      <c r="S7" s="19">
        <f t="shared" si="5"/>
        <v>11.875</v>
      </c>
      <c r="T7" s="20">
        <f t="shared" si="6"/>
        <v>16.949999999999996</v>
      </c>
      <c r="U7" s="4"/>
      <c r="V7" s="4"/>
      <c r="W7" s="4"/>
      <c r="X7" s="12" t="s">
        <v>53</v>
      </c>
      <c r="Y7" s="28">
        <f>AC7/$Y$13</f>
        <v>8.125</v>
      </c>
      <c r="Z7" s="30">
        <v>4</v>
      </c>
      <c r="AA7" s="30">
        <v>5</v>
      </c>
      <c r="AB7" s="30"/>
      <c r="AC7" s="30">
        <v>1300</v>
      </c>
    </row>
    <row r="8" spans="1:29" s="1" customFormat="1" ht="20.399999999999999">
      <c r="A8" s="9">
        <v>1</v>
      </c>
      <c r="B8" s="8">
        <v>221</v>
      </c>
      <c r="C8" s="8">
        <v>790956883</v>
      </c>
      <c r="D8" s="42" t="s">
        <v>96</v>
      </c>
      <c r="E8" s="42" t="s">
        <v>95</v>
      </c>
      <c r="F8" s="10">
        <v>3</v>
      </c>
      <c r="G8" s="10">
        <v>1</v>
      </c>
      <c r="H8" s="50">
        <v>0</v>
      </c>
      <c r="I8" s="50">
        <v>0</v>
      </c>
      <c r="J8" s="50">
        <v>0</v>
      </c>
      <c r="K8" s="27" t="s">
        <v>22</v>
      </c>
      <c r="L8" s="11">
        <f t="shared" si="0"/>
        <v>4</v>
      </c>
      <c r="M8" s="10">
        <f t="shared" si="1"/>
        <v>1.2</v>
      </c>
      <c r="N8" s="10">
        <f t="shared" si="2"/>
        <v>0</v>
      </c>
      <c r="O8" s="10">
        <v>0</v>
      </c>
      <c r="P8" s="10">
        <f t="shared" si="3"/>
        <v>5.2</v>
      </c>
      <c r="Q8" s="17">
        <v>23.581249999999994</v>
      </c>
      <c r="R8" s="18">
        <f t="shared" si="4"/>
        <v>28.781249999999993</v>
      </c>
      <c r="S8" s="19">
        <f t="shared" si="5"/>
        <v>11.875</v>
      </c>
      <c r="T8" s="20">
        <f t="shared" si="6"/>
        <v>16.906249999999993</v>
      </c>
      <c r="U8" s="4"/>
      <c r="V8" s="4"/>
      <c r="W8" s="4"/>
      <c r="X8" s="13" t="s">
        <v>52</v>
      </c>
      <c r="Y8" s="28">
        <f>AC8/$Y$13</f>
        <v>6.25</v>
      </c>
      <c r="Z8" s="30">
        <v>3</v>
      </c>
      <c r="AA8" s="30">
        <v>4</v>
      </c>
      <c r="AB8" s="30"/>
      <c r="AC8" s="30">
        <v>1000</v>
      </c>
    </row>
    <row r="9" spans="1:29" s="1" customFormat="1" ht="17.399999999999999">
      <c r="A9" s="9">
        <v>1</v>
      </c>
      <c r="B9" s="8">
        <v>178</v>
      </c>
      <c r="C9" s="8">
        <v>1059185275</v>
      </c>
      <c r="D9" s="42" t="s">
        <v>66</v>
      </c>
      <c r="E9" s="47"/>
      <c r="F9" s="10">
        <v>3</v>
      </c>
      <c r="G9" s="10">
        <v>1</v>
      </c>
      <c r="H9" s="50">
        <v>0</v>
      </c>
      <c r="I9" s="50">
        <v>0</v>
      </c>
      <c r="J9" s="50">
        <v>0</v>
      </c>
      <c r="K9" s="27" t="s">
        <v>22</v>
      </c>
      <c r="L9" s="11">
        <f t="shared" si="0"/>
        <v>4</v>
      </c>
      <c r="M9" s="10">
        <f t="shared" si="1"/>
        <v>1.2</v>
      </c>
      <c r="N9" s="10">
        <f t="shared" si="2"/>
        <v>0</v>
      </c>
      <c r="O9" s="10">
        <v>0</v>
      </c>
      <c r="P9" s="10">
        <f t="shared" si="3"/>
        <v>5.2</v>
      </c>
      <c r="Q9" s="17">
        <v>23.487499999999994</v>
      </c>
      <c r="R9" s="18">
        <f t="shared" si="4"/>
        <v>28.687499999999993</v>
      </c>
      <c r="S9" s="19">
        <f t="shared" si="5"/>
        <v>11.875</v>
      </c>
      <c r="T9" s="20">
        <f t="shared" si="6"/>
        <v>16.812499999999993</v>
      </c>
      <c r="U9" s="4"/>
      <c r="V9" s="4"/>
      <c r="W9" s="4"/>
      <c r="X9" s="14" t="s">
        <v>53</v>
      </c>
      <c r="Y9" s="28">
        <f>AC9/$Y$13/4</f>
        <v>1.09375</v>
      </c>
      <c r="Z9" s="30">
        <v>2</v>
      </c>
      <c r="AA9" s="30">
        <v>3</v>
      </c>
      <c r="AB9" s="30"/>
      <c r="AC9" s="30">
        <v>700</v>
      </c>
    </row>
    <row r="10" spans="1:29" s="1" customFormat="1" ht="17.399999999999999">
      <c r="A10" s="9">
        <v>1</v>
      </c>
      <c r="B10" s="8">
        <v>242</v>
      </c>
      <c r="C10" s="8">
        <v>1381736232</v>
      </c>
      <c r="D10" s="42" t="s">
        <v>125</v>
      </c>
      <c r="E10" s="4"/>
      <c r="F10" s="10">
        <v>3</v>
      </c>
      <c r="G10" s="10">
        <v>1</v>
      </c>
      <c r="H10" s="50">
        <v>0</v>
      </c>
      <c r="I10" s="50">
        <v>0</v>
      </c>
      <c r="J10" s="50">
        <v>0</v>
      </c>
      <c r="K10" s="27" t="s">
        <v>22</v>
      </c>
      <c r="L10" s="11">
        <f t="shared" si="0"/>
        <v>4</v>
      </c>
      <c r="M10" s="10">
        <f t="shared" si="1"/>
        <v>1.2</v>
      </c>
      <c r="N10" s="10">
        <f t="shared" si="2"/>
        <v>0</v>
      </c>
      <c r="O10" s="10">
        <v>0</v>
      </c>
      <c r="P10" s="10">
        <f t="shared" si="3"/>
        <v>5.2</v>
      </c>
      <c r="Q10" s="17">
        <v>23.381249999999991</v>
      </c>
      <c r="R10" s="18">
        <f t="shared" si="4"/>
        <v>28.58124999999999</v>
      </c>
      <c r="S10" s="19">
        <f t="shared" si="5"/>
        <v>11.875</v>
      </c>
      <c r="T10" s="20">
        <f t="shared" si="6"/>
        <v>16.70624999999999</v>
      </c>
      <c r="U10" s="4"/>
      <c r="V10" s="4"/>
      <c r="W10" s="4"/>
      <c r="X10" s="33" t="s">
        <v>30</v>
      </c>
      <c r="Y10" s="2">
        <v>0</v>
      </c>
      <c r="Z10" s="2"/>
      <c r="AA10" s="2"/>
      <c r="AB10" s="2"/>
      <c r="AC10" s="2"/>
    </row>
    <row r="11" spans="1:29" s="1" customFormat="1" ht="17.399999999999999">
      <c r="A11" s="9">
        <v>1</v>
      </c>
      <c r="B11" s="8">
        <v>232</v>
      </c>
      <c r="C11" s="8">
        <v>1088909927</v>
      </c>
      <c r="D11" s="42" t="s">
        <v>113</v>
      </c>
      <c r="E11" s="4"/>
      <c r="F11" s="10">
        <v>3</v>
      </c>
      <c r="G11" s="10">
        <v>1</v>
      </c>
      <c r="H11" s="50">
        <v>0</v>
      </c>
      <c r="I11" s="50">
        <v>0</v>
      </c>
      <c r="J11" s="50">
        <v>0</v>
      </c>
      <c r="K11" s="27" t="s">
        <v>22</v>
      </c>
      <c r="L11" s="11">
        <f t="shared" si="0"/>
        <v>4</v>
      </c>
      <c r="M11" s="10">
        <f t="shared" si="1"/>
        <v>1.2</v>
      </c>
      <c r="N11" s="10">
        <f t="shared" si="2"/>
        <v>0</v>
      </c>
      <c r="O11" s="10">
        <v>0</v>
      </c>
      <c r="P11" s="10">
        <f t="shared" si="3"/>
        <v>5.2</v>
      </c>
      <c r="Q11" s="17">
        <v>22.881249999999998</v>
      </c>
      <c r="R11" s="18">
        <f t="shared" si="4"/>
        <v>28.081249999999997</v>
      </c>
      <c r="S11" s="19">
        <f t="shared" si="5"/>
        <v>11.875</v>
      </c>
      <c r="T11" s="20">
        <f t="shared" si="6"/>
        <v>16.206249999999997</v>
      </c>
      <c r="U11" s="4"/>
      <c r="V11" s="4"/>
      <c r="W11" s="4"/>
      <c r="X11" s="34"/>
    </row>
    <row r="12" spans="1:29" s="1" customFormat="1" ht="17.399999999999999">
      <c r="A12" s="9">
        <v>1</v>
      </c>
      <c r="B12" s="9">
        <v>46</v>
      </c>
      <c r="C12" s="8">
        <v>2109182835</v>
      </c>
      <c r="D12" s="42" t="s">
        <v>59</v>
      </c>
      <c r="E12" s="42" t="s">
        <v>10</v>
      </c>
      <c r="F12" s="10">
        <v>3</v>
      </c>
      <c r="G12" s="10">
        <v>1</v>
      </c>
      <c r="H12" s="50">
        <v>0</v>
      </c>
      <c r="I12" s="50">
        <v>0</v>
      </c>
      <c r="J12" s="50">
        <v>0</v>
      </c>
      <c r="K12" s="29" t="s">
        <v>28</v>
      </c>
      <c r="L12" s="11">
        <f t="shared" si="0"/>
        <v>4</v>
      </c>
      <c r="M12" s="10">
        <f t="shared" si="1"/>
        <v>1.2</v>
      </c>
      <c r="N12" s="10">
        <f t="shared" si="2"/>
        <v>0</v>
      </c>
      <c r="O12" s="10">
        <v>0</v>
      </c>
      <c r="P12" s="10">
        <f t="shared" si="3"/>
        <v>5.2</v>
      </c>
      <c r="Q12" s="17">
        <v>22.792500000000015</v>
      </c>
      <c r="R12" s="18">
        <f t="shared" si="4"/>
        <v>27.992500000000014</v>
      </c>
      <c r="S12" s="19">
        <f t="shared" si="5"/>
        <v>9.6875</v>
      </c>
      <c r="T12" s="20">
        <f t="shared" si="6"/>
        <v>18.305000000000014</v>
      </c>
      <c r="U12" s="11"/>
      <c r="V12" s="11"/>
      <c r="W12" s="11"/>
      <c r="X12" s="35" t="s">
        <v>32</v>
      </c>
      <c r="Y12" s="1">
        <v>15000</v>
      </c>
    </row>
    <row r="13" spans="1:29" s="2" customFormat="1" ht="17.399999999999999">
      <c r="A13" s="9">
        <v>1</v>
      </c>
      <c r="B13" s="8">
        <v>182</v>
      </c>
      <c r="C13" s="8">
        <v>828260319</v>
      </c>
      <c r="D13" s="42" t="s">
        <v>134</v>
      </c>
      <c r="E13" s="42" t="s">
        <v>127</v>
      </c>
      <c r="F13" s="10">
        <v>3</v>
      </c>
      <c r="G13" s="10">
        <v>1</v>
      </c>
      <c r="H13" s="50">
        <v>0</v>
      </c>
      <c r="I13" s="50">
        <v>0</v>
      </c>
      <c r="J13" s="50">
        <v>0</v>
      </c>
      <c r="K13" s="29" t="s">
        <v>28</v>
      </c>
      <c r="L13" s="11">
        <f t="shared" si="0"/>
        <v>4</v>
      </c>
      <c r="M13" s="10">
        <f t="shared" si="1"/>
        <v>1.2</v>
      </c>
      <c r="N13" s="10">
        <f t="shared" si="2"/>
        <v>0</v>
      </c>
      <c r="O13" s="10">
        <v>0</v>
      </c>
      <c r="P13" s="10">
        <f t="shared" si="3"/>
        <v>5.2</v>
      </c>
      <c r="Q13" s="17">
        <v>22.681750000000019</v>
      </c>
      <c r="R13" s="18">
        <f t="shared" si="4"/>
        <v>27.881750000000018</v>
      </c>
      <c r="S13" s="19">
        <f t="shared" si="5"/>
        <v>9.6875</v>
      </c>
      <c r="T13" s="20">
        <f t="shared" si="6"/>
        <v>18.194250000000018</v>
      </c>
      <c r="U13" s="4"/>
      <c r="V13" s="4"/>
      <c r="W13" s="4"/>
      <c r="X13" s="36" t="s">
        <v>33</v>
      </c>
      <c r="Y13" s="37">
        <v>160</v>
      </c>
      <c r="Z13" s="1"/>
      <c r="AA13" s="1"/>
      <c r="AB13" s="1"/>
      <c r="AC13" s="1"/>
    </row>
    <row r="14" spans="1:29" s="2" customFormat="1" ht="20.399999999999999">
      <c r="A14" s="9">
        <v>1</v>
      </c>
      <c r="B14" s="9">
        <v>49</v>
      </c>
      <c r="C14" s="8">
        <v>311361673</v>
      </c>
      <c r="D14" s="43" t="s">
        <v>105</v>
      </c>
      <c r="E14" s="49" t="s">
        <v>11</v>
      </c>
      <c r="F14" s="10">
        <v>3</v>
      </c>
      <c r="G14" s="10">
        <v>1</v>
      </c>
      <c r="H14" s="50">
        <v>0</v>
      </c>
      <c r="I14" s="50">
        <v>0</v>
      </c>
      <c r="J14" s="50">
        <v>0</v>
      </c>
      <c r="K14" s="29" t="s">
        <v>28</v>
      </c>
      <c r="L14" s="11">
        <f t="shared" si="0"/>
        <v>4</v>
      </c>
      <c r="M14" s="10">
        <f>IF(G14&gt;0,1,0)*$Y$14</f>
        <v>1.2</v>
      </c>
      <c r="N14" s="10">
        <f t="shared" si="2"/>
        <v>0</v>
      </c>
      <c r="O14" s="10">
        <v>0</v>
      </c>
      <c r="P14" s="10">
        <f t="shared" si="3"/>
        <v>5.2</v>
      </c>
      <c r="Q14" s="17">
        <v>22.431249999999995</v>
      </c>
      <c r="R14" s="18">
        <f t="shared" si="4"/>
        <v>27.631249999999994</v>
      </c>
      <c r="S14" s="19">
        <f t="shared" si="5"/>
        <v>9.6875</v>
      </c>
      <c r="T14" s="20">
        <f t="shared" si="6"/>
        <v>17.943749999999994</v>
      </c>
      <c r="U14" s="11"/>
      <c r="V14" s="11"/>
      <c r="W14" s="11"/>
      <c r="X14" s="38" t="s">
        <v>42</v>
      </c>
      <c r="Y14" s="37">
        <v>1.2</v>
      </c>
      <c r="Z14" s="1"/>
      <c r="AA14" s="1"/>
      <c r="AB14" s="1"/>
      <c r="AC14" s="1"/>
    </row>
    <row r="15" spans="1:29" s="2" customFormat="1" ht="17.399999999999999">
      <c r="A15" s="9">
        <v>1</v>
      </c>
      <c r="B15" s="8">
        <v>167</v>
      </c>
      <c r="C15" s="8">
        <v>1173807161</v>
      </c>
      <c r="D15" s="42" t="s">
        <v>48</v>
      </c>
      <c r="E15" s="48"/>
      <c r="F15" s="10">
        <v>0</v>
      </c>
      <c r="G15" s="10">
        <v>0</v>
      </c>
      <c r="H15" s="50">
        <v>0</v>
      </c>
      <c r="I15" s="50">
        <v>0</v>
      </c>
      <c r="J15" s="50">
        <v>0</v>
      </c>
      <c r="K15" s="39" t="s">
        <v>30</v>
      </c>
      <c r="L15" s="11">
        <f t="shared" si="0"/>
        <v>0</v>
      </c>
      <c r="M15" s="10">
        <f t="shared" ref="M15:M46" si="7">G15*$Y$14</f>
        <v>0</v>
      </c>
      <c r="N15" s="10">
        <f t="shared" si="2"/>
        <v>0</v>
      </c>
      <c r="O15" s="10">
        <v>0</v>
      </c>
      <c r="P15" s="10">
        <f t="shared" si="3"/>
        <v>0</v>
      </c>
      <c r="Q15" s="17">
        <v>25.824999999999978</v>
      </c>
      <c r="R15" s="18">
        <f t="shared" si="4"/>
        <v>25.824999999999978</v>
      </c>
      <c r="S15" s="19">
        <f t="shared" si="5"/>
        <v>0</v>
      </c>
      <c r="T15" s="20">
        <f t="shared" si="6"/>
        <v>25.824999999999978</v>
      </c>
      <c r="U15" s="4"/>
      <c r="V15" s="4"/>
      <c r="W15" s="4"/>
      <c r="X15" s="1" t="s">
        <v>34</v>
      </c>
      <c r="Y15" s="37">
        <v>2021</v>
      </c>
      <c r="Z15" s="1"/>
      <c r="AA15" s="1"/>
      <c r="AB15" s="1"/>
      <c r="AC15" s="1"/>
    </row>
    <row r="16" spans="1:29" s="2" customFormat="1" ht="17.399999999999999">
      <c r="A16" s="9">
        <v>1</v>
      </c>
      <c r="B16" s="8">
        <v>118</v>
      </c>
      <c r="C16" s="8">
        <v>2018112397</v>
      </c>
      <c r="D16" s="42" t="s">
        <v>54</v>
      </c>
      <c r="E16" s="42" t="s">
        <v>47</v>
      </c>
      <c r="F16" s="10">
        <v>2</v>
      </c>
      <c r="G16" s="10">
        <v>1</v>
      </c>
      <c r="H16" s="50">
        <v>0</v>
      </c>
      <c r="I16" s="50">
        <v>0</v>
      </c>
      <c r="J16" s="50">
        <v>0</v>
      </c>
      <c r="K16" s="29" t="s">
        <v>28</v>
      </c>
      <c r="L16" s="11">
        <f t="shared" si="0"/>
        <v>2</v>
      </c>
      <c r="M16" s="10">
        <f t="shared" si="7"/>
        <v>1.2</v>
      </c>
      <c r="N16" s="10">
        <f t="shared" si="2"/>
        <v>0</v>
      </c>
      <c r="O16" s="10">
        <v>0</v>
      </c>
      <c r="P16" s="10">
        <f t="shared" si="3"/>
        <v>3.2</v>
      </c>
      <c r="Q16" s="17">
        <v>22.343749999999986</v>
      </c>
      <c r="R16" s="18">
        <f t="shared" si="4"/>
        <v>25.543749999999985</v>
      </c>
      <c r="S16" s="19">
        <f t="shared" si="5"/>
        <v>9.6875</v>
      </c>
      <c r="T16" s="20">
        <f t="shared" si="6"/>
        <v>15.856249999999985</v>
      </c>
      <c r="U16" s="11"/>
      <c r="V16" s="11"/>
      <c r="W16" s="32"/>
      <c r="X16" s="1" t="s">
        <v>35</v>
      </c>
      <c r="Y16" s="37">
        <v>10</v>
      </c>
      <c r="Z16" s="1"/>
      <c r="AA16" s="1"/>
      <c r="AB16" s="1"/>
      <c r="AC16" s="1"/>
    </row>
    <row r="17" spans="1:29" s="2" customFormat="1" ht="17.399999999999999">
      <c r="A17" s="9">
        <v>1</v>
      </c>
      <c r="B17" s="8">
        <v>225</v>
      </c>
      <c r="C17" s="8">
        <v>1963965829</v>
      </c>
      <c r="D17" s="42" t="s">
        <v>107</v>
      </c>
      <c r="E17" s="42"/>
      <c r="F17" s="10">
        <v>0</v>
      </c>
      <c r="G17" s="10">
        <v>1</v>
      </c>
      <c r="H17" s="50">
        <v>0</v>
      </c>
      <c r="I17" s="50">
        <v>0</v>
      </c>
      <c r="J17" s="50">
        <v>0</v>
      </c>
      <c r="K17" s="39" t="s">
        <v>30</v>
      </c>
      <c r="L17" s="11">
        <f t="shared" si="0"/>
        <v>0</v>
      </c>
      <c r="M17" s="10">
        <f t="shared" si="7"/>
        <v>1.2</v>
      </c>
      <c r="N17" s="10">
        <f t="shared" si="2"/>
        <v>0</v>
      </c>
      <c r="O17" s="10">
        <v>0</v>
      </c>
      <c r="P17" s="10">
        <f t="shared" si="3"/>
        <v>1.2</v>
      </c>
      <c r="Q17" s="17">
        <v>23.535736940298495</v>
      </c>
      <c r="R17" s="18">
        <f t="shared" si="4"/>
        <v>24.735736940298494</v>
      </c>
      <c r="S17" s="19">
        <f t="shared" si="5"/>
        <v>0</v>
      </c>
      <c r="T17" s="20">
        <f t="shared" si="6"/>
        <v>24.735736940298494</v>
      </c>
      <c r="U17" s="4"/>
      <c r="V17" s="4"/>
      <c r="W17" s="4"/>
      <c r="X17" s="1" t="s">
        <v>36</v>
      </c>
      <c r="Y17" s="37">
        <v>23</v>
      </c>
      <c r="Z17" s="1"/>
      <c r="AA17" s="1"/>
      <c r="AB17" s="1"/>
      <c r="AC17" s="1"/>
    </row>
    <row r="18" spans="1:29" s="2" customFormat="1" ht="17.399999999999999">
      <c r="A18" s="9">
        <v>1</v>
      </c>
      <c r="B18" s="9">
        <v>10</v>
      </c>
      <c r="C18" s="8">
        <v>2108977014</v>
      </c>
      <c r="D18" s="42" t="s">
        <v>57</v>
      </c>
      <c r="E18" s="42" t="s">
        <v>8</v>
      </c>
      <c r="F18" s="10">
        <v>1</v>
      </c>
      <c r="G18" s="10">
        <v>1</v>
      </c>
      <c r="H18" s="50">
        <v>0</v>
      </c>
      <c r="I18" s="50">
        <v>0</v>
      </c>
      <c r="J18" s="50">
        <v>0</v>
      </c>
      <c r="K18" s="29" t="s">
        <v>28</v>
      </c>
      <c r="L18" s="11">
        <f t="shared" si="0"/>
        <v>1</v>
      </c>
      <c r="M18" s="10">
        <f t="shared" si="7"/>
        <v>1.2</v>
      </c>
      <c r="N18" s="10">
        <f t="shared" si="2"/>
        <v>0</v>
      </c>
      <c r="O18" s="10">
        <v>0</v>
      </c>
      <c r="P18" s="10">
        <f t="shared" si="3"/>
        <v>2.2000000000000002</v>
      </c>
      <c r="Q18" s="17">
        <v>21.900000000000013</v>
      </c>
      <c r="R18" s="18">
        <f t="shared" si="4"/>
        <v>24.100000000000012</v>
      </c>
      <c r="S18" s="19">
        <f t="shared" si="5"/>
        <v>9.6875</v>
      </c>
      <c r="T18" s="20">
        <f t="shared" si="6"/>
        <v>14.412500000000012</v>
      </c>
      <c r="U18" s="11"/>
      <c r="V18" s="11"/>
      <c r="W18" s="11"/>
      <c r="X18" s="51" t="s">
        <v>103</v>
      </c>
      <c r="Y18" s="37">
        <v>0.4</v>
      </c>
      <c r="Z18" s="1"/>
      <c r="AA18" s="1"/>
      <c r="AB18" s="1"/>
      <c r="AC18" s="1"/>
    </row>
    <row r="19" spans="1:29" s="2" customFormat="1" ht="17.399999999999999">
      <c r="A19" s="9">
        <v>1</v>
      </c>
      <c r="B19" s="8">
        <v>184</v>
      </c>
      <c r="C19" s="8">
        <v>1814130074</v>
      </c>
      <c r="D19" s="42" t="s">
        <v>67</v>
      </c>
      <c r="E19" s="47"/>
      <c r="F19" s="10">
        <v>3</v>
      </c>
      <c r="G19" s="10">
        <v>1</v>
      </c>
      <c r="H19" s="50">
        <v>0</v>
      </c>
      <c r="I19" s="50">
        <v>0</v>
      </c>
      <c r="J19" s="50">
        <v>0</v>
      </c>
      <c r="K19" s="29" t="s">
        <v>28</v>
      </c>
      <c r="L19" s="11">
        <f t="shared" si="0"/>
        <v>4</v>
      </c>
      <c r="M19" s="10">
        <f t="shared" si="7"/>
        <v>1.2</v>
      </c>
      <c r="N19" s="10">
        <f t="shared" si="2"/>
        <v>0</v>
      </c>
      <c r="O19" s="10">
        <v>0</v>
      </c>
      <c r="P19" s="10">
        <f t="shared" si="3"/>
        <v>5.2</v>
      </c>
      <c r="Q19" s="17">
        <v>17.74375000000002</v>
      </c>
      <c r="R19" s="18">
        <f t="shared" si="4"/>
        <v>22.943750000000019</v>
      </c>
      <c r="S19" s="19">
        <f t="shared" si="5"/>
        <v>9.6875</v>
      </c>
      <c r="T19" s="20">
        <f t="shared" si="6"/>
        <v>13.256250000000019</v>
      </c>
      <c r="U19" s="4"/>
      <c r="V19" s="4"/>
      <c r="W19" s="4"/>
      <c r="X19" s="1"/>
      <c r="Y19" s="1"/>
      <c r="Z19" s="1"/>
      <c r="AA19" s="1"/>
      <c r="AB19" s="1"/>
      <c r="AC19" s="1"/>
    </row>
    <row r="20" spans="1:29" s="2" customFormat="1" ht="17.399999999999999">
      <c r="A20" s="9">
        <v>1</v>
      </c>
      <c r="B20" s="8">
        <v>212</v>
      </c>
      <c r="C20" s="8">
        <v>2133045883</v>
      </c>
      <c r="D20" s="42" t="s">
        <v>84</v>
      </c>
      <c r="E20" s="47"/>
      <c r="F20" s="10">
        <v>3</v>
      </c>
      <c r="G20" s="10">
        <v>1</v>
      </c>
      <c r="H20" s="50">
        <v>0</v>
      </c>
      <c r="I20" s="50">
        <v>0</v>
      </c>
      <c r="J20" s="50">
        <v>0</v>
      </c>
      <c r="K20" s="29" t="s">
        <v>28</v>
      </c>
      <c r="L20" s="11">
        <f t="shared" si="0"/>
        <v>4</v>
      </c>
      <c r="M20" s="10">
        <f t="shared" si="7"/>
        <v>1.2</v>
      </c>
      <c r="N20" s="10">
        <f t="shared" si="2"/>
        <v>0</v>
      </c>
      <c r="O20" s="10">
        <v>0</v>
      </c>
      <c r="P20" s="10">
        <f t="shared" si="3"/>
        <v>5.2</v>
      </c>
      <c r="Q20" s="17">
        <v>17.118749999999984</v>
      </c>
      <c r="R20" s="18">
        <f t="shared" si="4"/>
        <v>22.318749999999984</v>
      </c>
      <c r="S20" s="19">
        <f t="shared" si="5"/>
        <v>9.6875</v>
      </c>
      <c r="T20" s="20">
        <f t="shared" si="6"/>
        <v>12.631249999999984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7.399999999999999">
      <c r="A21" s="9">
        <v>1</v>
      </c>
      <c r="B21" s="8">
        <v>156</v>
      </c>
      <c r="C21" s="8">
        <v>1744610165</v>
      </c>
      <c r="D21" s="42" t="s">
        <v>135</v>
      </c>
      <c r="E21" s="42" t="s">
        <v>64</v>
      </c>
      <c r="F21" s="10">
        <v>3</v>
      </c>
      <c r="G21" s="10">
        <v>1</v>
      </c>
      <c r="H21" s="50">
        <v>0</v>
      </c>
      <c r="I21" s="50">
        <v>0</v>
      </c>
      <c r="J21" s="50">
        <v>0</v>
      </c>
      <c r="K21" s="14" t="s">
        <v>29</v>
      </c>
      <c r="L21" s="11">
        <f t="shared" si="0"/>
        <v>4</v>
      </c>
      <c r="M21" s="10">
        <f t="shared" si="7"/>
        <v>1.2</v>
      </c>
      <c r="N21" s="10">
        <f t="shared" si="2"/>
        <v>0</v>
      </c>
      <c r="O21" s="10">
        <v>0</v>
      </c>
      <c r="P21" s="10">
        <f t="shared" si="3"/>
        <v>5.2</v>
      </c>
      <c r="Q21" s="17">
        <v>16.961266129032243</v>
      </c>
      <c r="R21" s="18">
        <f t="shared" si="4"/>
        <v>22.161266129032242</v>
      </c>
      <c r="S21" s="19">
        <f t="shared" si="5"/>
        <v>1.875</v>
      </c>
      <c r="T21" s="20">
        <f t="shared" si="6"/>
        <v>20.286266129032242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7.399999999999999">
      <c r="A22" s="9">
        <v>1</v>
      </c>
      <c r="B22" s="8">
        <v>189</v>
      </c>
      <c r="C22" s="8">
        <v>522812489</v>
      </c>
      <c r="D22" s="42" t="s">
        <v>70</v>
      </c>
      <c r="E22" s="47"/>
      <c r="F22" s="10">
        <v>3</v>
      </c>
      <c r="G22" s="10">
        <v>1</v>
      </c>
      <c r="H22" s="50">
        <v>0</v>
      </c>
      <c r="I22" s="50">
        <v>0</v>
      </c>
      <c r="J22" s="50">
        <v>0</v>
      </c>
      <c r="K22" s="14" t="s">
        <v>29</v>
      </c>
      <c r="L22" s="11">
        <f t="shared" si="0"/>
        <v>4</v>
      </c>
      <c r="M22" s="10">
        <f t="shared" si="7"/>
        <v>1.2</v>
      </c>
      <c r="N22" s="10">
        <f t="shared" si="2"/>
        <v>0</v>
      </c>
      <c r="O22" s="10">
        <v>0</v>
      </c>
      <c r="P22" s="10">
        <f t="shared" si="3"/>
        <v>5.2</v>
      </c>
      <c r="Q22" s="17">
        <v>16.900000000000002</v>
      </c>
      <c r="R22" s="18">
        <f t="shared" si="4"/>
        <v>22.1</v>
      </c>
      <c r="S22" s="19">
        <f t="shared" si="5"/>
        <v>1.875</v>
      </c>
      <c r="T22" s="20">
        <f t="shared" si="6"/>
        <v>20.225000000000001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7.399999999999999">
      <c r="A23" s="9">
        <v>1</v>
      </c>
      <c r="B23" s="8">
        <v>202</v>
      </c>
      <c r="C23" s="8">
        <v>471245585</v>
      </c>
      <c r="D23" s="42" t="s">
        <v>77</v>
      </c>
      <c r="E23" s="47"/>
      <c r="F23" s="10">
        <v>3</v>
      </c>
      <c r="G23" s="10">
        <v>1</v>
      </c>
      <c r="H23" s="50">
        <v>0</v>
      </c>
      <c r="I23" s="50">
        <v>0</v>
      </c>
      <c r="J23" s="50">
        <v>0</v>
      </c>
      <c r="K23" s="14" t="s">
        <v>29</v>
      </c>
      <c r="L23" s="11">
        <f t="shared" si="0"/>
        <v>4</v>
      </c>
      <c r="M23" s="10">
        <f t="shared" si="7"/>
        <v>1.2</v>
      </c>
      <c r="N23" s="10">
        <f t="shared" si="2"/>
        <v>0</v>
      </c>
      <c r="O23" s="10">
        <v>0</v>
      </c>
      <c r="P23" s="10">
        <f t="shared" si="3"/>
        <v>5.2</v>
      </c>
      <c r="Q23" s="17">
        <v>16.499999999999989</v>
      </c>
      <c r="R23" s="18">
        <f t="shared" si="4"/>
        <v>21.699999999999989</v>
      </c>
      <c r="S23" s="19">
        <f t="shared" si="5"/>
        <v>1.875</v>
      </c>
      <c r="T23" s="20">
        <f t="shared" si="6"/>
        <v>19.824999999999989</v>
      </c>
      <c r="U23" s="4"/>
      <c r="V23" s="4"/>
      <c r="W23" s="4"/>
    </row>
    <row r="24" spans="1:29" s="1" customFormat="1" ht="17.399999999999999">
      <c r="A24" s="9">
        <v>1</v>
      </c>
      <c r="B24" s="8">
        <v>224</v>
      </c>
      <c r="C24" s="8">
        <v>862562360</v>
      </c>
      <c r="D24" s="42" t="s">
        <v>129</v>
      </c>
      <c r="E24" s="42" t="s">
        <v>106</v>
      </c>
      <c r="F24" s="10">
        <v>3</v>
      </c>
      <c r="G24" s="10">
        <v>1</v>
      </c>
      <c r="H24" s="50">
        <v>0</v>
      </c>
      <c r="I24" s="50">
        <v>0</v>
      </c>
      <c r="J24" s="50">
        <v>0</v>
      </c>
      <c r="K24" s="14" t="s">
        <v>29</v>
      </c>
      <c r="L24" s="11">
        <f t="shared" si="0"/>
        <v>4</v>
      </c>
      <c r="M24" s="10">
        <f t="shared" si="7"/>
        <v>1.2</v>
      </c>
      <c r="N24" s="10">
        <f t="shared" si="2"/>
        <v>0</v>
      </c>
      <c r="O24" s="10">
        <v>0</v>
      </c>
      <c r="P24" s="10">
        <f t="shared" si="3"/>
        <v>5.2</v>
      </c>
      <c r="Q24" s="17">
        <v>16.46035447761194</v>
      </c>
      <c r="R24" s="18">
        <f t="shared" si="4"/>
        <v>21.660354477611939</v>
      </c>
      <c r="S24" s="19">
        <f t="shared" si="5"/>
        <v>1.875</v>
      </c>
      <c r="T24" s="20">
        <f t="shared" si="6"/>
        <v>19.785354477611939</v>
      </c>
      <c r="U24" s="4"/>
      <c r="V24" s="4"/>
      <c r="W24" s="4"/>
    </row>
    <row r="25" spans="1:29" s="1" customFormat="1" ht="17.399999999999999">
      <c r="A25" s="9">
        <v>1</v>
      </c>
      <c r="B25" s="8">
        <v>172</v>
      </c>
      <c r="C25" s="8">
        <v>724061220</v>
      </c>
      <c r="D25" s="42" t="s">
        <v>65</v>
      </c>
      <c r="E25" s="42" t="s">
        <v>50</v>
      </c>
      <c r="F25" s="10">
        <v>3</v>
      </c>
      <c r="G25" s="10">
        <v>1</v>
      </c>
      <c r="H25" s="50">
        <v>0</v>
      </c>
      <c r="I25" s="50">
        <v>0</v>
      </c>
      <c r="J25" s="50">
        <v>0</v>
      </c>
      <c r="K25" s="14" t="s">
        <v>29</v>
      </c>
      <c r="L25" s="11">
        <f t="shared" si="0"/>
        <v>4</v>
      </c>
      <c r="M25" s="10">
        <f t="shared" si="7"/>
        <v>1.2</v>
      </c>
      <c r="N25" s="10">
        <f t="shared" si="2"/>
        <v>0</v>
      </c>
      <c r="O25" s="10">
        <v>0</v>
      </c>
      <c r="P25" s="10">
        <f t="shared" si="3"/>
        <v>5.2</v>
      </c>
      <c r="Q25" s="17">
        <v>16.243749999999999</v>
      </c>
      <c r="R25" s="18">
        <f t="shared" si="4"/>
        <v>21.443749999999998</v>
      </c>
      <c r="S25" s="19">
        <f t="shared" si="5"/>
        <v>1.875</v>
      </c>
      <c r="T25" s="20">
        <f t="shared" si="6"/>
        <v>19.568749999999998</v>
      </c>
      <c r="U25" s="4"/>
      <c r="V25" s="4"/>
      <c r="W25" s="4"/>
    </row>
    <row r="26" spans="1:29" s="1" customFormat="1" ht="18.75" customHeight="1">
      <c r="A26" s="9">
        <v>1</v>
      </c>
      <c r="B26" s="8">
        <v>215</v>
      </c>
      <c r="C26" s="8">
        <v>289805855</v>
      </c>
      <c r="D26" s="42" t="s">
        <v>87</v>
      </c>
      <c r="E26" s="2"/>
      <c r="F26" s="10">
        <v>3</v>
      </c>
      <c r="G26" s="10">
        <v>1</v>
      </c>
      <c r="H26" s="50">
        <v>0</v>
      </c>
      <c r="I26" s="50">
        <v>0</v>
      </c>
      <c r="J26" s="50">
        <v>0</v>
      </c>
      <c r="K26" s="14" t="s">
        <v>29</v>
      </c>
      <c r="L26" s="11">
        <f t="shared" si="0"/>
        <v>4</v>
      </c>
      <c r="M26" s="10">
        <f t="shared" si="7"/>
        <v>1.2</v>
      </c>
      <c r="N26" s="10">
        <f t="shared" si="2"/>
        <v>0</v>
      </c>
      <c r="O26" s="10">
        <v>0</v>
      </c>
      <c r="P26" s="10">
        <f t="shared" si="3"/>
        <v>5.2</v>
      </c>
      <c r="Q26" s="17">
        <v>16.08799999999999</v>
      </c>
      <c r="R26" s="18">
        <f t="shared" si="4"/>
        <v>21.28799999999999</v>
      </c>
      <c r="S26" s="19">
        <f t="shared" si="5"/>
        <v>1.875</v>
      </c>
      <c r="T26" s="20">
        <f t="shared" si="6"/>
        <v>19.41299999999999</v>
      </c>
      <c r="U26" s="4"/>
      <c r="V26" s="4"/>
      <c r="W26" s="4"/>
    </row>
    <row r="27" spans="1:29" s="1" customFormat="1" ht="17.399999999999999">
      <c r="A27" s="9">
        <v>1</v>
      </c>
      <c r="B27" s="8">
        <v>216</v>
      </c>
      <c r="C27" s="8">
        <v>395700385</v>
      </c>
      <c r="D27" s="42" t="s">
        <v>88</v>
      </c>
      <c r="E27" s="2"/>
      <c r="F27" s="10">
        <v>3</v>
      </c>
      <c r="G27" s="10">
        <v>1</v>
      </c>
      <c r="H27" s="50">
        <v>0</v>
      </c>
      <c r="I27" s="50">
        <v>0</v>
      </c>
      <c r="J27" s="50">
        <v>0</v>
      </c>
      <c r="K27" s="14" t="s">
        <v>29</v>
      </c>
      <c r="L27" s="11">
        <f t="shared" si="0"/>
        <v>4</v>
      </c>
      <c r="M27" s="10">
        <f t="shared" si="7"/>
        <v>1.2</v>
      </c>
      <c r="N27" s="10">
        <f t="shared" si="2"/>
        <v>0</v>
      </c>
      <c r="O27" s="10">
        <v>0</v>
      </c>
      <c r="P27" s="10">
        <f t="shared" si="3"/>
        <v>5.2</v>
      </c>
      <c r="Q27" s="17">
        <v>16.087701612903214</v>
      </c>
      <c r="R27" s="18">
        <f t="shared" si="4"/>
        <v>21.287701612903213</v>
      </c>
      <c r="S27" s="19">
        <f t="shared" si="5"/>
        <v>1.875</v>
      </c>
      <c r="T27" s="20">
        <f t="shared" si="6"/>
        <v>19.412701612903213</v>
      </c>
      <c r="U27" s="4"/>
      <c r="V27" s="4"/>
      <c r="W27" s="4"/>
    </row>
    <row r="28" spans="1:29" s="1" customFormat="1" ht="17.399999999999999">
      <c r="A28" s="9">
        <v>1</v>
      </c>
      <c r="B28" s="9">
        <v>26</v>
      </c>
      <c r="C28" s="8">
        <v>1754932067</v>
      </c>
      <c r="D28" s="42" t="s">
        <v>58</v>
      </c>
      <c r="E28" s="42" t="s">
        <v>9</v>
      </c>
      <c r="F28" s="10">
        <v>3</v>
      </c>
      <c r="G28" s="10">
        <v>1</v>
      </c>
      <c r="H28" s="50">
        <v>0</v>
      </c>
      <c r="I28" s="50">
        <v>0</v>
      </c>
      <c r="J28" s="50">
        <v>0</v>
      </c>
      <c r="K28" s="14" t="s">
        <v>29</v>
      </c>
      <c r="L28" s="11">
        <f t="shared" si="0"/>
        <v>4</v>
      </c>
      <c r="M28" s="10">
        <f t="shared" si="7"/>
        <v>1.2</v>
      </c>
      <c r="N28" s="10">
        <f t="shared" si="2"/>
        <v>0</v>
      </c>
      <c r="O28" s="10">
        <v>0</v>
      </c>
      <c r="P28" s="10">
        <f t="shared" si="3"/>
        <v>5.2</v>
      </c>
      <c r="Q28" s="17">
        <v>16.05</v>
      </c>
      <c r="R28" s="18">
        <f t="shared" si="4"/>
        <v>21.25</v>
      </c>
      <c r="S28" s="19">
        <f t="shared" si="5"/>
        <v>1.875</v>
      </c>
      <c r="T28" s="20">
        <f t="shared" si="6"/>
        <v>19.375</v>
      </c>
      <c r="U28" s="11"/>
      <c r="V28" s="11"/>
      <c r="W28" s="11"/>
    </row>
    <row r="29" spans="1:29" s="2" customFormat="1" ht="20.399999999999999">
      <c r="A29" s="9">
        <v>1</v>
      </c>
      <c r="B29" s="8">
        <v>229</v>
      </c>
      <c r="C29" s="8">
        <v>1598972736</v>
      </c>
      <c r="D29" s="42" t="s">
        <v>110</v>
      </c>
      <c r="E29" s="42"/>
      <c r="F29" s="10">
        <v>0</v>
      </c>
      <c r="G29" s="10">
        <v>0</v>
      </c>
      <c r="H29" s="50">
        <v>0</v>
      </c>
      <c r="I29" s="50">
        <v>0</v>
      </c>
      <c r="J29" s="50">
        <v>0</v>
      </c>
      <c r="K29" s="39" t="s">
        <v>30</v>
      </c>
      <c r="L29" s="11">
        <f t="shared" si="0"/>
        <v>0</v>
      </c>
      <c r="M29" s="10">
        <f t="shared" si="7"/>
        <v>0</v>
      </c>
      <c r="N29" s="10">
        <f t="shared" si="2"/>
        <v>0</v>
      </c>
      <c r="O29" s="10">
        <v>0</v>
      </c>
      <c r="P29" s="10">
        <f t="shared" si="3"/>
        <v>0</v>
      </c>
      <c r="Q29" s="17">
        <v>21.197089552238797</v>
      </c>
      <c r="R29" s="18">
        <f t="shared" si="4"/>
        <v>21.197089552238797</v>
      </c>
      <c r="S29" s="19">
        <f t="shared" si="5"/>
        <v>0</v>
      </c>
      <c r="T29" s="20">
        <f t="shared" si="6"/>
        <v>21.197089552238797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7.399999999999999">
      <c r="A30" s="9">
        <v>1</v>
      </c>
      <c r="B30" s="8">
        <v>196</v>
      </c>
      <c r="C30" s="8">
        <v>1065641844</v>
      </c>
      <c r="D30" s="42" t="s">
        <v>74</v>
      </c>
      <c r="E30" s="47"/>
      <c r="F30" s="10">
        <v>0</v>
      </c>
      <c r="G30" s="10">
        <v>0</v>
      </c>
      <c r="H30" s="50">
        <v>0</v>
      </c>
      <c r="I30" s="50">
        <v>0</v>
      </c>
      <c r="J30" s="50">
        <v>0</v>
      </c>
      <c r="K30" s="39" t="s">
        <v>30</v>
      </c>
      <c r="L30" s="11">
        <f t="shared" si="0"/>
        <v>0</v>
      </c>
      <c r="M30" s="10">
        <f t="shared" si="7"/>
        <v>0</v>
      </c>
      <c r="N30" s="10">
        <f t="shared" si="2"/>
        <v>0</v>
      </c>
      <c r="O30" s="10">
        <v>0</v>
      </c>
      <c r="P30" s="10">
        <f t="shared" si="3"/>
        <v>0</v>
      </c>
      <c r="Q30" s="17">
        <v>21.062499999999993</v>
      </c>
      <c r="R30" s="18">
        <f t="shared" si="4"/>
        <v>21.062499999999993</v>
      </c>
      <c r="S30" s="19">
        <f t="shared" si="5"/>
        <v>0</v>
      </c>
      <c r="T30" s="20">
        <f t="shared" si="6"/>
        <v>21.062499999999993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7.399999999999999">
      <c r="A31" s="9">
        <v>1</v>
      </c>
      <c r="B31" s="8">
        <v>195</v>
      </c>
      <c r="C31" s="8">
        <v>1634663314</v>
      </c>
      <c r="D31" s="42" t="s">
        <v>73</v>
      </c>
      <c r="E31" s="47"/>
      <c r="F31" s="10">
        <v>1</v>
      </c>
      <c r="G31" s="10">
        <v>1</v>
      </c>
      <c r="H31" s="50">
        <v>0</v>
      </c>
      <c r="I31" s="50">
        <v>0</v>
      </c>
      <c r="J31" s="50">
        <v>0</v>
      </c>
      <c r="K31" s="14" t="s">
        <v>29</v>
      </c>
      <c r="L31" s="11">
        <f t="shared" si="0"/>
        <v>1</v>
      </c>
      <c r="M31" s="10">
        <f t="shared" si="7"/>
        <v>1.2</v>
      </c>
      <c r="N31" s="10">
        <f t="shared" si="2"/>
        <v>0</v>
      </c>
      <c r="O31" s="10">
        <v>0</v>
      </c>
      <c r="P31" s="10">
        <f t="shared" si="3"/>
        <v>2.2000000000000002</v>
      </c>
      <c r="Q31" s="17">
        <v>18.780749999999987</v>
      </c>
      <c r="R31" s="18">
        <f t="shared" si="4"/>
        <v>20.980749999999986</v>
      </c>
      <c r="S31" s="19">
        <f t="shared" si="5"/>
        <v>1.875</v>
      </c>
      <c r="T31" s="20">
        <f t="shared" si="6"/>
        <v>19.105749999999986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7.399999999999999">
      <c r="A32" s="9">
        <v>1</v>
      </c>
      <c r="B32" s="8">
        <v>209</v>
      </c>
      <c r="C32" s="8">
        <v>1525950050</v>
      </c>
      <c r="D32" s="42" t="s">
        <v>85</v>
      </c>
      <c r="E32" s="42" t="s">
        <v>83</v>
      </c>
      <c r="F32" s="10">
        <v>3</v>
      </c>
      <c r="G32" s="10">
        <v>1</v>
      </c>
      <c r="H32" s="50">
        <v>0</v>
      </c>
      <c r="I32" s="50">
        <v>0</v>
      </c>
      <c r="J32" s="50">
        <v>0</v>
      </c>
      <c r="K32" s="14" t="s">
        <v>29</v>
      </c>
      <c r="L32" s="11">
        <f t="shared" si="0"/>
        <v>4</v>
      </c>
      <c r="M32" s="10">
        <f t="shared" si="7"/>
        <v>1.2</v>
      </c>
      <c r="N32" s="10">
        <f t="shared" si="2"/>
        <v>0</v>
      </c>
      <c r="O32" s="10">
        <v>0</v>
      </c>
      <c r="P32" s="10">
        <f t="shared" si="3"/>
        <v>5.2</v>
      </c>
      <c r="Q32" s="17">
        <v>15.42499999999999</v>
      </c>
      <c r="R32" s="18">
        <f t="shared" si="4"/>
        <v>20.624999999999989</v>
      </c>
      <c r="S32" s="19">
        <f t="shared" si="5"/>
        <v>1.875</v>
      </c>
      <c r="T32" s="20">
        <f t="shared" si="6"/>
        <v>18.749999999999989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7.399999999999999">
      <c r="A33" s="9">
        <v>1</v>
      </c>
      <c r="B33" s="8">
        <v>185</v>
      </c>
      <c r="C33" s="8">
        <v>30705222</v>
      </c>
      <c r="D33" s="42" t="s">
        <v>68</v>
      </c>
      <c r="E33" s="47"/>
      <c r="F33" s="10">
        <v>3</v>
      </c>
      <c r="G33" s="10">
        <v>1</v>
      </c>
      <c r="H33" s="50">
        <v>0</v>
      </c>
      <c r="I33" s="50">
        <v>0</v>
      </c>
      <c r="J33" s="50">
        <v>0</v>
      </c>
      <c r="K33" s="14" t="s">
        <v>29</v>
      </c>
      <c r="L33" s="11">
        <f t="shared" si="0"/>
        <v>4</v>
      </c>
      <c r="M33" s="10">
        <f t="shared" si="7"/>
        <v>1.2</v>
      </c>
      <c r="N33" s="10">
        <f t="shared" si="2"/>
        <v>0</v>
      </c>
      <c r="O33" s="10">
        <v>0</v>
      </c>
      <c r="P33" s="10">
        <f t="shared" si="3"/>
        <v>5.2</v>
      </c>
      <c r="Q33" s="17">
        <v>14.981249999999999</v>
      </c>
      <c r="R33" s="18">
        <f t="shared" si="4"/>
        <v>20.181249999999999</v>
      </c>
      <c r="S33" s="19">
        <f t="shared" si="5"/>
        <v>1.875</v>
      </c>
      <c r="T33" s="20">
        <f t="shared" si="6"/>
        <v>18.306249999999999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7.399999999999999">
      <c r="A34" s="9">
        <v>1</v>
      </c>
      <c r="B34" s="8">
        <v>238</v>
      </c>
      <c r="C34" s="8">
        <v>108179057</v>
      </c>
      <c r="D34" s="42" t="s">
        <v>120</v>
      </c>
      <c r="E34" s="4"/>
      <c r="F34" s="10">
        <v>2</v>
      </c>
      <c r="G34" s="10">
        <v>0</v>
      </c>
      <c r="H34" s="50">
        <v>0</v>
      </c>
      <c r="I34" s="50">
        <v>0</v>
      </c>
      <c r="J34" s="50">
        <v>0</v>
      </c>
      <c r="K34" s="14" t="s">
        <v>29</v>
      </c>
      <c r="L34" s="11">
        <f t="shared" si="0"/>
        <v>2</v>
      </c>
      <c r="M34" s="10">
        <f t="shared" si="7"/>
        <v>0</v>
      </c>
      <c r="N34" s="10">
        <f t="shared" si="2"/>
        <v>0</v>
      </c>
      <c r="O34" s="10">
        <v>0</v>
      </c>
      <c r="P34" s="10">
        <f t="shared" si="3"/>
        <v>2</v>
      </c>
      <c r="Q34" s="17">
        <v>17.549999999999986</v>
      </c>
      <c r="R34" s="18">
        <f t="shared" si="4"/>
        <v>19.549999999999986</v>
      </c>
      <c r="S34" s="19">
        <f t="shared" si="5"/>
        <v>1.875</v>
      </c>
      <c r="T34" s="20">
        <f t="shared" si="6"/>
        <v>17.674999999999986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7.399999999999999">
      <c r="A35" s="9">
        <v>1</v>
      </c>
      <c r="B35" s="8">
        <v>234</v>
      </c>
      <c r="C35" s="8">
        <v>1333428907</v>
      </c>
      <c r="D35" s="42" t="s">
        <v>128</v>
      </c>
      <c r="E35" s="42" t="s">
        <v>115</v>
      </c>
      <c r="F35" s="10">
        <v>0</v>
      </c>
      <c r="G35" s="10">
        <v>0</v>
      </c>
      <c r="H35" s="50">
        <v>0</v>
      </c>
      <c r="I35" s="50">
        <v>0</v>
      </c>
      <c r="J35" s="50">
        <v>0</v>
      </c>
      <c r="K35" s="39" t="s">
        <v>30</v>
      </c>
      <c r="L35" s="11">
        <f t="shared" si="0"/>
        <v>0</v>
      </c>
      <c r="M35" s="10">
        <f t="shared" si="7"/>
        <v>0</v>
      </c>
      <c r="N35" s="10">
        <f t="shared" si="2"/>
        <v>0</v>
      </c>
      <c r="O35" s="10">
        <v>0</v>
      </c>
      <c r="P35" s="10">
        <f t="shared" si="3"/>
        <v>0</v>
      </c>
      <c r="Q35" s="17">
        <v>18.625</v>
      </c>
      <c r="R35" s="18">
        <f t="shared" si="4"/>
        <v>18.625</v>
      </c>
      <c r="S35" s="19">
        <f t="shared" si="5"/>
        <v>0</v>
      </c>
      <c r="T35" s="20">
        <f t="shared" si="6"/>
        <v>18.625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7.399999999999999">
      <c r="A36" s="9">
        <v>1</v>
      </c>
      <c r="B36" s="8">
        <v>241</v>
      </c>
      <c r="C36" s="8">
        <v>1136259669</v>
      </c>
      <c r="D36" s="42" t="s">
        <v>124</v>
      </c>
      <c r="E36" s="4"/>
      <c r="F36" s="10">
        <v>0</v>
      </c>
      <c r="G36" s="10">
        <v>1</v>
      </c>
      <c r="H36" s="50">
        <v>0</v>
      </c>
      <c r="I36" s="50">
        <v>0</v>
      </c>
      <c r="J36" s="50">
        <v>0</v>
      </c>
      <c r="K36" s="39" t="s">
        <v>30</v>
      </c>
      <c r="L36" s="11">
        <f t="shared" si="0"/>
        <v>0</v>
      </c>
      <c r="M36" s="10">
        <f t="shared" si="7"/>
        <v>1.2</v>
      </c>
      <c r="N36" s="10">
        <f t="shared" si="2"/>
        <v>0</v>
      </c>
      <c r="O36" s="10">
        <v>0</v>
      </c>
      <c r="P36" s="10">
        <f t="shared" si="3"/>
        <v>1.2</v>
      </c>
      <c r="Q36" s="17">
        <v>17.318749999999987</v>
      </c>
      <c r="R36" s="18">
        <f t="shared" si="4"/>
        <v>18.518749999999986</v>
      </c>
      <c r="S36" s="19">
        <f t="shared" si="5"/>
        <v>0</v>
      </c>
      <c r="T36" s="20">
        <f t="shared" si="6"/>
        <v>18.518749999999986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7.399999999999999">
      <c r="A37" s="9">
        <v>1</v>
      </c>
      <c r="B37" s="8">
        <v>226</v>
      </c>
      <c r="C37" s="8">
        <v>1238792963</v>
      </c>
      <c r="D37" s="42" t="s">
        <v>108</v>
      </c>
      <c r="E37" s="42"/>
      <c r="F37" s="10">
        <v>0</v>
      </c>
      <c r="G37" s="10">
        <v>0</v>
      </c>
      <c r="H37" s="50">
        <v>0</v>
      </c>
      <c r="I37" s="50">
        <v>0</v>
      </c>
      <c r="J37" s="50">
        <v>0</v>
      </c>
      <c r="K37" s="39" t="s">
        <v>30</v>
      </c>
      <c r="L37" s="11">
        <f t="shared" ref="L37:L70" si="8">F37+IF(F37&gt;2,(F37-2)*1,0)</f>
        <v>0</v>
      </c>
      <c r="M37" s="10">
        <f t="shared" si="7"/>
        <v>0</v>
      </c>
      <c r="N37" s="10">
        <f t="shared" ref="N37:N70" si="9">SUM(H37:J37)*$Y$18</f>
        <v>0</v>
      </c>
      <c r="O37" s="10">
        <v>0</v>
      </c>
      <c r="P37" s="10">
        <f t="shared" ref="P37:P68" si="10">SUM(M37+L37+O37+N37)</f>
        <v>0</v>
      </c>
      <c r="Q37" s="17">
        <v>18.368749999999999</v>
      </c>
      <c r="R37" s="18">
        <f t="shared" ref="R37:R68" si="11">P37+Q37</f>
        <v>18.368749999999999</v>
      </c>
      <c r="S37" s="19">
        <f t="shared" ref="S37:S70" si="12">VLOOKUP(K37,$X$3:$Y$10,2,FALSE)</f>
        <v>0</v>
      </c>
      <c r="T37" s="20">
        <f t="shared" ref="T37:T68" si="13">R37-S37</f>
        <v>18.368749999999999</v>
      </c>
      <c r="U37" s="4"/>
      <c r="V37" s="4"/>
      <c r="W37" s="4"/>
    </row>
    <row r="38" spans="1:29" s="2" customFormat="1" ht="17.399999999999999">
      <c r="A38" s="9">
        <v>1</v>
      </c>
      <c r="B38" s="8">
        <v>183</v>
      </c>
      <c r="C38" s="8">
        <v>1250030371</v>
      </c>
      <c r="D38" s="42" t="s">
        <v>130</v>
      </c>
      <c r="E38" s="42" t="s">
        <v>121</v>
      </c>
      <c r="F38" s="10">
        <v>2</v>
      </c>
      <c r="G38" s="10">
        <v>1</v>
      </c>
      <c r="H38" s="50">
        <v>0</v>
      </c>
      <c r="I38" s="50">
        <v>0</v>
      </c>
      <c r="J38" s="50">
        <v>0</v>
      </c>
      <c r="K38" s="14" t="s">
        <v>29</v>
      </c>
      <c r="L38" s="11">
        <f t="shared" si="8"/>
        <v>2</v>
      </c>
      <c r="M38" s="10">
        <f t="shared" si="7"/>
        <v>1.2</v>
      </c>
      <c r="N38" s="10">
        <f t="shared" si="9"/>
        <v>0</v>
      </c>
      <c r="O38" s="10">
        <v>0</v>
      </c>
      <c r="P38" s="10">
        <f t="shared" si="10"/>
        <v>3.2</v>
      </c>
      <c r="Q38" s="17">
        <v>15.093749999999996</v>
      </c>
      <c r="R38" s="18">
        <f t="shared" si="11"/>
        <v>18.293749999999996</v>
      </c>
      <c r="S38" s="19">
        <f t="shared" si="12"/>
        <v>1.875</v>
      </c>
      <c r="T38" s="20">
        <f t="shared" si="13"/>
        <v>16.418749999999996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7.399999999999999">
      <c r="A39" s="9">
        <v>1</v>
      </c>
      <c r="B39" s="8">
        <v>198</v>
      </c>
      <c r="C39" s="8">
        <v>723448640</v>
      </c>
      <c r="D39" s="42" t="s">
        <v>75</v>
      </c>
      <c r="E39" s="47"/>
      <c r="F39" s="10">
        <v>0</v>
      </c>
      <c r="G39" s="10">
        <v>0</v>
      </c>
      <c r="H39" s="50">
        <v>0</v>
      </c>
      <c r="I39" s="50">
        <v>0</v>
      </c>
      <c r="J39" s="50">
        <v>0</v>
      </c>
      <c r="K39" s="39" t="s">
        <v>30</v>
      </c>
      <c r="L39" s="11">
        <f t="shared" si="8"/>
        <v>0</v>
      </c>
      <c r="M39" s="10">
        <f t="shared" si="7"/>
        <v>0</v>
      </c>
      <c r="N39" s="10">
        <f t="shared" si="9"/>
        <v>0</v>
      </c>
      <c r="O39" s="10">
        <v>0</v>
      </c>
      <c r="P39" s="10">
        <f t="shared" si="10"/>
        <v>0</v>
      </c>
      <c r="Q39" s="17">
        <v>18.01874999999999</v>
      </c>
      <c r="R39" s="18">
        <f t="shared" si="11"/>
        <v>18.01874999999999</v>
      </c>
      <c r="S39" s="19">
        <f t="shared" si="12"/>
        <v>0</v>
      </c>
      <c r="T39" s="20">
        <f t="shared" si="13"/>
        <v>18.01874999999999</v>
      </c>
      <c r="U39" s="4"/>
      <c r="V39" s="4"/>
      <c r="W39" s="4"/>
    </row>
    <row r="40" spans="1:29" ht="17.399999999999999">
      <c r="A40" s="9">
        <v>1</v>
      </c>
      <c r="B40" s="8">
        <v>193</v>
      </c>
      <c r="C40" s="8">
        <v>2125731287</v>
      </c>
      <c r="D40" s="42" t="s">
        <v>72</v>
      </c>
      <c r="E40" s="47"/>
      <c r="F40" s="10">
        <v>0</v>
      </c>
      <c r="G40" s="10">
        <v>0</v>
      </c>
      <c r="H40" s="50">
        <v>0</v>
      </c>
      <c r="I40" s="50">
        <v>0</v>
      </c>
      <c r="J40" s="50">
        <v>0</v>
      </c>
      <c r="K40" s="39" t="s">
        <v>30</v>
      </c>
      <c r="L40" s="11">
        <f t="shared" si="8"/>
        <v>0</v>
      </c>
      <c r="M40" s="10">
        <f t="shared" si="7"/>
        <v>0</v>
      </c>
      <c r="N40" s="10">
        <f t="shared" si="9"/>
        <v>0</v>
      </c>
      <c r="O40" s="10">
        <v>0</v>
      </c>
      <c r="P40" s="10">
        <f t="shared" si="10"/>
        <v>0</v>
      </c>
      <c r="Q40" s="17">
        <v>17.812499999999996</v>
      </c>
      <c r="R40" s="18">
        <f t="shared" si="11"/>
        <v>17.812499999999996</v>
      </c>
      <c r="S40" s="19">
        <f t="shared" si="12"/>
        <v>0</v>
      </c>
      <c r="T40" s="20">
        <f t="shared" si="13"/>
        <v>17.812499999999996</v>
      </c>
      <c r="U40" s="4"/>
      <c r="V40" s="4"/>
      <c r="W40" s="4"/>
    </row>
    <row r="41" spans="1:29" ht="17.399999999999999">
      <c r="A41" s="9">
        <v>1</v>
      </c>
      <c r="B41" s="9">
        <v>230</v>
      </c>
      <c r="C41" s="8">
        <v>1076026693</v>
      </c>
      <c r="D41" s="42" t="s">
        <v>111</v>
      </c>
      <c r="F41" s="10">
        <v>2</v>
      </c>
      <c r="G41" s="10">
        <v>1</v>
      </c>
      <c r="H41" s="50">
        <v>0</v>
      </c>
      <c r="I41" s="50">
        <v>0</v>
      </c>
      <c r="J41" s="50">
        <v>0</v>
      </c>
      <c r="K41" s="14" t="s">
        <v>29</v>
      </c>
      <c r="L41" s="11">
        <f t="shared" si="8"/>
        <v>2</v>
      </c>
      <c r="M41" s="10">
        <f t="shared" si="7"/>
        <v>1.2</v>
      </c>
      <c r="N41" s="10">
        <f t="shared" si="9"/>
        <v>0</v>
      </c>
      <c r="O41" s="10">
        <v>0</v>
      </c>
      <c r="P41" s="10">
        <f t="shared" si="10"/>
        <v>3.2</v>
      </c>
      <c r="Q41" s="17">
        <v>14.274999999999995</v>
      </c>
      <c r="R41" s="18">
        <f t="shared" si="11"/>
        <v>17.474999999999994</v>
      </c>
      <c r="S41" s="19">
        <f t="shared" si="12"/>
        <v>1.875</v>
      </c>
      <c r="T41" s="20">
        <f t="shared" si="13"/>
        <v>15.599999999999994</v>
      </c>
      <c r="U41" s="4"/>
      <c r="V41" s="4"/>
      <c r="W41" s="4"/>
    </row>
    <row r="42" spans="1:29" ht="17.399999999999999">
      <c r="A42" s="9">
        <v>1</v>
      </c>
      <c r="B42" s="8">
        <v>116</v>
      </c>
      <c r="C42" s="8">
        <v>2122596917</v>
      </c>
      <c r="D42" s="42" t="s">
        <v>61</v>
      </c>
      <c r="E42" s="42" t="s">
        <v>37</v>
      </c>
      <c r="F42" s="10">
        <v>0</v>
      </c>
      <c r="G42" s="10">
        <v>1</v>
      </c>
      <c r="H42" s="50">
        <v>0</v>
      </c>
      <c r="I42" s="50">
        <v>0</v>
      </c>
      <c r="J42" s="50">
        <v>0</v>
      </c>
      <c r="K42" s="39" t="s">
        <v>30</v>
      </c>
      <c r="L42" s="11">
        <f t="shared" si="8"/>
        <v>0</v>
      </c>
      <c r="M42" s="10">
        <f t="shared" si="7"/>
        <v>1.2</v>
      </c>
      <c r="N42" s="10">
        <f t="shared" si="9"/>
        <v>0</v>
      </c>
      <c r="O42" s="10">
        <v>0</v>
      </c>
      <c r="P42" s="10">
        <f t="shared" si="10"/>
        <v>1.2</v>
      </c>
      <c r="Q42" s="17">
        <v>16.162499999999998</v>
      </c>
      <c r="R42" s="18">
        <f t="shared" si="11"/>
        <v>17.362499999999997</v>
      </c>
      <c r="S42" s="19">
        <f t="shared" si="12"/>
        <v>0</v>
      </c>
      <c r="T42" s="20">
        <f t="shared" si="13"/>
        <v>17.362499999999997</v>
      </c>
      <c r="U42" s="11"/>
      <c r="V42" s="11"/>
      <c r="W42" s="32"/>
    </row>
    <row r="43" spans="1:29" ht="17.399999999999999">
      <c r="A43" s="9">
        <v>1</v>
      </c>
      <c r="B43" s="8">
        <v>200</v>
      </c>
      <c r="C43" s="8">
        <v>967589156</v>
      </c>
      <c r="D43" s="42" t="s">
        <v>76</v>
      </c>
      <c r="E43" s="47"/>
      <c r="F43" s="10">
        <v>2</v>
      </c>
      <c r="G43" s="10">
        <v>1</v>
      </c>
      <c r="H43" s="50">
        <v>0</v>
      </c>
      <c r="I43" s="50">
        <v>0</v>
      </c>
      <c r="J43" s="50">
        <v>0</v>
      </c>
      <c r="K43" s="14" t="s">
        <v>29</v>
      </c>
      <c r="L43" s="11">
        <f t="shared" si="8"/>
        <v>2</v>
      </c>
      <c r="M43" s="10">
        <f t="shared" si="7"/>
        <v>1.2</v>
      </c>
      <c r="N43" s="10">
        <f t="shared" si="9"/>
        <v>0</v>
      </c>
      <c r="O43" s="10">
        <v>0</v>
      </c>
      <c r="P43" s="10">
        <f t="shared" si="10"/>
        <v>3.2</v>
      </c>
      <c r="Q43" s="17">
        <v>14.143750000000015</v>
      </c>
      <c r="R43" s="18">
        <f t="shared" si="11"/>
        <v>17.343750000000014</v>
      </c>
      <c r="S43" s="19">
        <f t="shared" si="12"/>
        <v>1.875</v>
      </c>
      <c r="T43" s="20">
        <f t="shared" si="13"/>
        <v>15.468750000000014</v>
      </c>
      <c r="U43" s="4"/>
      <c r="V43" s="4"/>
      <c r="W43" s="4"/>
    </row>
    <row r="44" spans="1:29" ht="17.399999999999999">
      <c r="A44" s="9">
        <v>1</v>
      </c>
      <c r="B44" s="8">
        <v>236</v>
      </c>
      <c r="C44" s="8">
        <v>1968448898</v>
      </c>
      <c r="D44" s="42" t="s">
        <v>118</v>
      </c>
      <c r="F44" s="10">
        <v>2</v>
      </c>
      <c r="G44" s="10">
        <v>1</v>
      </c>
      <c r="H44" s="50">
        <v>0</v>
      </c>
      <c r="I44" s="50">
        <v>0</v>
      </c>
      <c r="J44" s="50">
        <v>0</v>
      </c>
      <c r="K44" s="14" t="s">
        <v>29</v>
      </c>
      <c r="L44" s="11">
        <f t="shared" si="8"/>
        <v>2</v>
      </c>
      <c r="M44" s="10">
        <f t="shared" si="7"/>
        <v>1.2</v>
      </c>
      <c r="N44" s="10">
        <f t="shared" si="9"/>
        <v>0</v>
      </c>
      <c r="O44" s="10">
        <v>0</v>
      </c>
      <c r="P44" s="10">
        <f t="shared" si="10"/>
        <v>3.2</v>
      </c>
      <c r="Q44" s="17">
        <v>13.781249999999989</v>
      </c>
      <c r="R44" s="18">
        <f t="shared" si="11"/>
        <v>16.981249999999989</v>
      </c>
      <c r="S44" s="19">
        <f t="shared" si="12"/>
        <v>1.875</v>
      </c>
      <c r="T44" s="20">
        <f t="shared" si="13"/>
        <v>15.106249999999989</v>
      </c>
      <c r="U44" s="4"/>
      <c r="V44" s="4"/>
      <c r="W44" s="4"/>
    </row>
    <row r="45" spans="1:29" ht="17.399999999999999">
      <c r="A45" s="9">
        <v>1</v>
      </c>
      <c r="B45" s="8">
        <v>187</v>
      </c>
      <c r="C45" s="8">
        <v>1241038267</v>
      </c>
      <c r="D45" s="42" t="s">
        <v>69</v>
      </c>
      <c r="E45" s="47"/>
      <c r="F45" s="10">
        <v>0</v>
      </c>
      <c r="G45" s="10">
        <v>0</v>
      </c>
      <c r="H45" s="50">
        <v>0</v>
      </c>
      <c r="I45" s="50">
        <v>0</v>
      </c>
      <c r="J45" s="50">
        <v>0</v>
      </c>
      <c r="K45" s="39" t="s">
        <v>30</v>
      </c>
      <c r="L45" s="11">
        <f t="shared" si="8"/>
        <v>0</v>
      </c>
      <c r="M45" s="10">
        <f t="shared" si="7"/>
        <v>0</v>
      </c>
      <c r="N45" s="10">
        <f t="shared" si="9"/>
        <v>0</v>
      </c>
      <c r="O45" s="10">
        <v>0</v>
      </c>
      <c r="P45" s="10">
        <f t="shared" si="10"/>
        <v>0</v>
      </c>
      <c r="Q45" s="17">
        <v>16.318749999999987</v>
      </c>
      <c r="R45" s="18">
        <f t="shared" si="11"/>
        <v>16.318749999999987</v>
      </c>
      <c r="S45" s="19">
        <f t="shared" si="12"/>
        <v>0</v>
      </c>
      <c r="T45" s="20">
        <f t="shared" si="13"/>
        <v>16.318749999999987</v>
      </c>
      <c r="U45" s="4"/>
      <c r="V45" s="4"/>
      <c r="W45" s="4"/>
    </row>
    <row r="46" spans="1:29" ht="17.399999999999999">
      <c r="A46" s="9">
        <v>1</v>
      </c>
      <c r="B46" s="8">
        <v>174</v>
      </c>
      <c r="C46" s="8">
        <v>775720958</v>
      </c>
      <c r="D46" s="42" t="s">
        <v>79</v>
      </c>
      <c r="E46" s="42" t="s">
        <v>49</v>
      </c>
      <c r="F46" s="10">
        <v>2</v>
      </c>
      <c r="G46" s="10">
        <v>1</v>
      </c>
      <c r="H46" s="50">
        <v>0</v>
      </c>
      <c r="I46" s="50">
        <v>0</v>
      </c>
      <c r="J46" s="50">
        <v>0</v>
      </c>
      <c r="K46" s="14" t="s">
        <v>29</v>
      </c>
      <c r="L46" s="11">
        <f t="shared" si="8"/>
        <v>2</v>
      </c>
      <c r="M46" s="10">
        <f t="shared" si="7"/>
        <v>1.2</v>
      </c>
      <c r="N46" s="10">
        <f t="shared" si="9"/>
        <v>0</v>
      </c>
      <c r="O46" s="10">
        <v>0</v>
      </c>
      <c r="P46" s="10">
        <f t="shared" si="10"/>
        <v>3.2</v>
      </c>
      <c r="Q46" s="17">
        <v>12.449999999999982</v>
      </c>
      <c r="R46" s="18">
        <f t="shared" si="11"/>
        <v>15.649999999999981</v>
      </c>
      <c r="S46" s="19">
        <f t="shared" si="12"/>
        <v>1.875</v>
      </c>
      <c r="T46" s="20">
        <f t="shared" si="13"/>
        <v>13.774999999999981</v>
      </c>
      <c r="U46" s="4"/>
      <c r="V46" s="4"/>
      <c r="W46" s="4"/>
    </row>
    <row r="47" spans="1:29" ht="17.399999999999999">
      <c r="A47" s="9">
        <v>1</v>
      </c>
      <c r="B47" s="8">
        <v>222</v>
      </c>
      <c r="C47" s="8">
        <v>1945277617</v>
      </c>
      <c r="D47" s="42" t="s">
        <v>97</v>
      </c>
      <c r="E47" s="42"/>
      <c r="F47" s="10">
        <v>0</v>
      </c>
      <c r="G47" s="10">
        <v>0</v>
      </c>
      <c r="H47" s="50">
        <v>0</v>
      </c>
      <c r="I47" s="50">
        <v>0</v>
      </c>
      <c r="J47" s="50">
        <v>0</v>
      </c>
      <c r="K47" s="39" t="s">
        <v>30</v>
      </c>
      <c r="L47" s="11">
        <f t="shared" si="8"/>
        <v>0</v>
      </c>
      <c r="M47" s="10">
        <f t="shared" ref="M47:M70" si="14">G47*$Y$14</f>
        <v>0</v>
      </c>
      <c r="N47" s="10">
        <f t="shared" si="9"/>
        <v>0</v>
      </c>
      <c r="O47" s="10">
        <v>0</v>
      </c>
      <c r="P47" s="10">
        <f t="shared" si="10"/>
        <v>0</v>
      </c>
      <c r="Q47" s="17">
        <v>15.637727649769573</v>
      </c>
      <c r="R47" s="18">
        <f t="shared" si="11"/>
        <v>15.637727649769573</v>
      </c>
      <c r="S47" s="19">
        <f t="shared" si="12"/>
        <v>0</v>
      </c>
      <c r="T47" s="20">
        <f t="shared" si="13"/>
        <v>15.637727649769573</v>
      </c>
      <c r="U47" s="4"/>
      <c r="V47" s="4"/>
      <c r="W47" s="4"/>
    </row>
    <row r="48" spans="1:29" ht="17.399999999999999">
      <c r="A48" s="9">
        <v>1</v>
      </c>
      <c r="B48" s="8">
        <v>110</v>
      </c>
      <c r="C48" s="8">
        <v>1968703358</v>
      </c>
      <c r="D48" s="42" t="s">
        <v>60</v>
      </c>
      <c r="E48" s="42" t="s">
        <v>38</v>
      </c>
      <c r="F48" s="10">
        <v>0</v>
      </c>
      <c r="G48" s="10">
        <v>1</v>
      </c>
      <c r="H48" s="50">
        <v>0</v>
      </c>
      <c r="I48" s="50">
        <v>0</v>
      </c>
      <c r="J48" s="50">
        <v>0</v>
      </c>
      <c r="K48" s="39" t="s">
        <v>30</v>
      </c>
      <c r="L48" s="11">
        <f t="shared" si="8"/>
        <v>0</v>
      </c>
      <c r="M48" s="10">
        <f t="shared" si="14"/>
        <v>1.2</v>
      </c>
      <c r="N48" s="10">
        <f t="shared" si="9"/>
        <v>0</v>
      </c>
      <c r="O48" s="10">
        <v>0</v>
      </c>
      <c r="P48" s="10">
        <f t="shared" si="10"/>
        <v>1.2</v>
      </c>
      <c r="Q48" s="17">
        <v>14.137500000000014</v>
      </c>
      <c r="R48" s="18">
        <f t="shared" si="11"/>
        <v>15.337500000000013</v>
      </c>
      <c r="S48" s="19">
        <f t="shared" si="12"/>
        <v>0</v>
      </c>
      <c r="T48" s="20">
        <f t="shared" si="13"/>
        <v>15.337500000000013</v>
      </c>
      <c r="U48" s="40"/>
      <c r="V48" s="40"/>
      <c r="W48" s="78"/>
    </row>
    <row r="49" spans="1:23" ht="17.399999999999999">
      <c r="A49" s="9">
        <v>1</v>
      </c>
      <c r="B49" s="8">
        <v>155</v>
      </c>
      <c r="C49" s="8">
        <v>1532576874</v>
      </c>
      <c r="D49" s="42" t="s">
        <v>63</v>
      </c>
      <c r="E49" s="42" t="s">
        <v>46</v>
      </c>
      <c r="F49" s="10">
        <v>0</v>
      </c>
      <c r="G49" s="10">
        <v>0</v>
      </c>
      <c r="H49" s="50">
        <v>0</v>
      </c>
      <c r="I49" s="50">
        <v>0</v>
      </c>
      <c r="J49" s="50">
        <v>0</v>
      </c>
      <c r="K49" s="39" t="s">
        <v>30</v>
      </c>
      <c r="L49" s="11">
        <f t="shared" si="8"/>
        <v>0</v>
      </c>
      <c r="M49" s="10">
        <f t="shared" si="14"/>
        <v>0</v>
      </c>
      <c r="N49" s="10">
        <f t="shared" si="9"/>
        <v>0</v>
      </c>
      <c r="O49" s="10">
        <v>0</v>
      </c>
      <c r="P49" s="10">
        <f t="shared" si="10"/>
        <v>0</v>
      </c>
      <c r="Q49" s="17">
        <v>15.212499999999999</v>
      </c>
      <c r="R49" s="18">
        <f t="shared" si="11"/>
        <v>15.212499999999999</v>
      </c>
      <c r="S49" s="19">
        <f t="shared" si="12"/>
        <v>0</v>
      </c>
      <c r="T49" s="20">
        <f t="shared" si="13"/>
        <v>15.212499999999999</v>
      </c>
    </row>
    <row r="50" spans="1:23" ht="20.399999999999999">
      <c r="A50" s="9">
        <v>1</v>
      </c>
      <c r="B50" s="8">
        <v>214</v>
      </c>
      <c r="C50" s="8">
        <v>2130976604</v>
      </c>
      <c r="D50" s="42" t="s">
        <v>86</v>
      </c>
      <c r="E50" s="2"/>
      <c r="F50" s="10">
        <v>3</v>
      </c>
      <c r="G50" s="10">
        <v>1</v>
      </c>
      <c r="H50" s="50">
        <v>0</v>
      </c>
      <c r="I50" s="50">
        <v>0</v>
      </c>
      <c r="J50" s="50">
        <v>0</v>
      </c>
      <c r="K50" s="14" t="s">
        <v>29</v>
      </c>
      <c r="L50" s="11">
        <f t="shared" si="8"/>
        <v>4</v>
      </c>
      <c r="M50" s="10">
        <f t="shared" si="14"/>
        <v>1.2</v>
      </c>
      <c r="N50" s="10">
        <f t="shared" si="9"/>
        <v>0</v>
      </c>
      <c r="O50" s="10">
        <v>0</v>
      </c>
      <c r="P50" s="10">
        <f t="shared" si="10"/>
        <v>5.2</v>
      </c>
      <c r="Q50" s="17">
        <v>10.012499999999985</v>
      </c>
      <c r="R50" s="18">
        <f t="shared" si="11"/>
        <v>15.212499999999984</v>
      </c>
      <c r="S50" s="19">
        <f t="shared" si="12"/>
        <v>1.875</v>
      </c>
      <c r="T50" s="20">
        <f t="shared" si="13"/>
        <v>13.337499999999984</v>
      </c>
    </row>
    <row r="51" spans="1:23" ht="17.399999999999999">
      <c r="A51" s="9">
        <v>1</v>
      </c>
      <c r="B51" s="8">
        <v>239</v>
      </c>
      <c r="C51" s="8">
        <v>416459640</v>
      </c>
      <c r="D51" s="42" t="s">
        <v>122</v>
      </c>
      <c r="F51" s="10">
        <v>0</v>
      </c>
      <c r="G51" s="10">
        <v>0</v>
      </c>
      <c r="H51" s="50">
        <v>0</v>
      </c>
      <c r="I51" s="50">
        <v>0</v>
      </c>
      <c r="J51" s="50">
        <v>0</v>
      </c>
      <c r="K51" s="39" t="s">
        <v>30</v>
      </c>
      <c r="L51" s="11">
        <f t="shared" si="8"/>
        <v>0</v>
      </c>
      <c r="M51" s="10">
        <f t="shared" si="14"/>
        <v>0</v>
      </c>
      <c r="N51" s="10">
        <f t="shared" si="9"/>
        <v>0</v>
      </c>
      <c r="O51" s="10">
        <v>0</v>
      </c>
      <c r="P51" s="10">
        <f t="shared" si="10"/>
        <v>0</v>
      </c>
      <c r="Q51" s="17">
        <v>13.668749999999999</v>
      </c>
      <c r="R51" s="18">
        <f t="shared" si="11"/>
        <v>13.668749999999999</v>
      </c>
      <c r="S51" s="19">
        <f t="shared" si="12"/>
        <v>0</v>
      </c>
      <c r="T51" s="20">
        <f t="shared" si="13"/>
        <v>13.668749999999999</v>
      </c>
    </row>
    <row r="52" spans="1:23" ht="17.399999999999999">
      <c r="A52" s="9">
        <v>1</v>
      </c>
      <c r="B52" s="9">
        <v>92</v>
      </c>
      <c r="C52" s="8">
        <v>1367873925</v>
      </c>
      <c r="D52" s="42" t="s">
        <v>80</v>
      </c>
      <c r="E52" s="42" t="s">
        <v>31</v>
      </c>
      <c r="F52" s="10">
        <v>2</v>
      </c>
      <c r="G52" s="10">
        <v>1</v>
      </c>
      <c r="H52" s="50">
        <v>0</v>
      </c>
      <c r="I52" s="50">
        <v>0</v>
      </c>
      <c r="J52" s="50">
        <v>0</v>
      </c>
      <c r="K52" s="14" t="s">
        <v>29</v>
      </c>
      <c r="L52" s="11">
        <f t="shared" si="8"/>
        <v>2</v>
      </c>
      <c r="M52" s="10">
        <f t="shared" si="14"/>
        <v>1.2</v>
      </c>
      <c r="N52" s="10">
        <f t="shared" si="9"/>
        <v>0</v>
      </c>
      <c r="O52" s="10">
        <v>0</v>
      </c>
      <c r="P52" s="10">
        <f t="shared" si="10"/>
        <v>3.2</v>
      </c>
      <c r="Q52" s="17">
        <v>10.431249999999991</v>
      </c>
      <c r="R52" s="18">
        <f t="shared" si="11"/>
        <v>13.631249999999991</v>
      </c>
      <c r="S52" s="19">
        <f t="shared" si="12"/>
        <v>1.875</v>
      </c>
      <c r="T52" s="20">
        <f t="shared" si="13"/>
        <v>11.756249999999991</v>
      </c>
      <c r="U52" s="40"/>
      <c r="V52" s="40"/>
      <c r="W52" s="41"/>
    </row>
    <row r="53" spans="1:23" ht="17.399999999999999">
      <c r="A53" s="9">
        <v>1</v>
      </c>
      <c r="B53" s="8">
        <v>223</v>
      </c>
      <c r="C53" s="8">
        <v>784792167</v>
      </c>
      <c r="D53" s="42" t="s">
        <v>98</v>
      </c>
      <c r="E53" s="42"/>
      <c r="F53" s="10">
        <v>0</v>
      </c>
      <c r="G53" s="10">
        <v>0</v>
      </c>
      <c r="H53" s="50">
        <v>0</v>
      </c>
      <c r="I53" s="50">
        <v>0</v>
      </c>
      <c r="J53" s="50">
        <v>0</v>
      </c>
      <c r="K53" s="39" t="s">
        <v>30</v>
      </c>
      <c r="L53" s="11">
        <f t="shared" si="8"/>
        <v>0</v>
      </c>
      <c r="M53" s="10">
        <f t="shared" si="14"/>
        <v>0</v>
      </c>
      <c r="N53" s="10">
        <f t="shared" si="9"/>
        <v>0</v>
      </c>
      <c r="O53" s="10">
        <v>0</v>
      </c>
      <c r="P53" s="10">
        <f t="shared" si="10"/>
        <v>0</v>
      </c>
      <c r="Q53" s="17">
        <v>10.624999999999996</v>
      </c>
      <c r="R53" s="18">
        <f t="shared" si="11"/>
        <v>10.624999999999996</v>
      </c>
      <c r="S53" s="19">
        <f t="shared" si="12"/>
        <v>0</v>
      </c>
      <c r="T53" s="20">
        <f t="shared" si="13"/>
        <v>10.624999999999996</v>
      </c>
    </row>
    <row r="54" spans="1:23" ht="17.399999999999999">
      <c r="A54" s="9">
        <v>1</v>
      </c>
      <c r="B54" s="8">
        <v>219</v>
      </c>
      <c r="C54" s="8">
        <v>1128309198</v>
      </c>
      <c r="D54" s="42" t="s">
        <v>93</v>
      </c>
      <c r="E54" s="47"/>
      <c r="F54" s="10">
        <v>0</v>
      </c>
      <c r="G54" s="10">
        <v>0</v>
      </c>
      <c r="H54" s="50">
        <v>0</v>
      </c>
      <c r="I54" s="50">
        <v>0</v>
      </c>
      <c r="J54" s="50">
        <v>0</v>
      </c>
      <c r="K54" s="39" t="s">
        <v>30</v>
      </c>
      <c r="L54" s="11">
        <f t="shared" si="8"/>
        <v>0</v>
      </c>
      <c r="M54" s="10">
        <f t="shared" si="14"/>
        <v>0</v>
      </c>
      <c r="N54" s="10">
        <f t="shared" si="9"/>
        <v>0</v>
      </c>
      <c r="O54" s="10">
        <v>0</v>
      </c>
      <c r="P54" s="10">
        <f t="shared" si="10"/>
        <v>0</v>
      </c>
      <c r="Q54" s="17">
        <v>9.4499999999999957</v>
      </c>
      <c r="R54" s="18">
        <f t="shared" si="11"/>
        <v>9.4499999999999957</v>
      </c>
      <c r="S54" s="19">
        <f t="shared" si="12"/>
        <v>0</v>
      </c>
      <c r="T54" s="20">
        <f t="shared" si="13"/>
        <v>9.4499999999999957</v>
      </c>
    </row>
    <row r="55" spans="1:23" ht="17.399999999999999">
      <c r="A55" s="9">
        <v>1</v>
      </c>
      <c r="B55" s="8">
        <v>243</v>
      </c>
      <c r="D55" s="42" t="s">
        <v>133</v>
      </c>
      <c r="F55" s="10">
        <v>3</v>
      </c>
      <c r="G55" s="10">
        <v>1</v>
      </c>
      <c r="H55" s="50">
        <v>0</v>
      </c>
      <c r="I55" s="50">
        <v>0</v>
      </c>
      <c r="J55" s="50">
        <v>0</v>
      </c>
      <c r="K55" s="14" t="s">
        <v>29</v>
      </c>
      <c r="L55" s="11">
        <f t="shared" si="8"/>
        <v>4</v>
      </c>
      <c r="M55" s="10">
        <f t="shared" si="14"/>
        <v>1.2</v>
      </c>
      <c r="N55" s="10">
        <f t="shared" si="9"/>
        <v>0</v>
      </c>
      <c r="O55" s="10">
        <v>0</v>
      </c>
      <c r="P55" s="10">
        <f t="shared" si="10"/>
        <v>5.2</v>
      </c>
      <c r="Q55" s="17">
        <v>3.3062500000000021</v>
      </c>
      <c r="R55" s="18">
        <f t="shared" si="11"/>
        <v>8.5062500000000014</v>
      </c>
      <c r="S55" s="19">
        <f t="shared" si="12"/>
        <v>1.875</v>
      </c>
      <c r="T55" s="20">
        <f t="shared" si="13"/>
        <v>6.6312500000000014</v>
      </c>
    </row>
    <row r="56" spans="1:23" ht="17.399999999999999">
      <c r="A56" s="9">
        <v>1</v>
      </c>
      <c r="B56" s="8">
        <v>240</v>
      </c>
      <c r="C56" s="8">
        <v>289805855</v>
      </c>
      <c r="D56" s="42" t="s">
        <v>123</v>
      </c>
      <c r="F56" s="10">
        <v>3</v>
      </c>
      <c r="G56" s="10">
        <v>1</v>
      </c>
      <c r="H56" s="50">
        <v>0</v>
      </c>
      <c r="I56" s="50">
        <v>0</v>
      </c>
      <c r="J56" s="50">
        <v>0</v>
      </c>
      <c r="K56" s="14" t="s">
        <v>29</v>
      </c>
      <c r="L56" s="11">
        <f t="shared" si="8"/>
        <v>4</v>
      </c>
      <c r="M56" s="10">
        <f t="shared" si="14"/>
        <v>1.2</v>
      </c>
      <c r="N56" s="10">
        <f t="shared" si="9"/>
        <v>0</v>
      </c>
      <c r="O56" s="10">
        <v>0</v>
      </c>
      <c r="P56" s="10">
        <f t="shared" si="10"/>
        <v>5.2</v>
      </c>
      <c r="Q56" s="17">
        <v>1.4750000000000014</v>
      </c>
      <c r="R56" s="18">
        <f t="shared" si="11"/>
        <v>6.6750000000000016</v>
      </c>
      <c r="S56" s="19">
        <f t="shared" si="12"/>
        <v>1.875</v>
      </c>
      <c r="T56" s="20">
        <f t="shared" si="13"/>
        <v>4.8000000000000016</v>
      </c>
    </row>
    <row r="57" spans="1:23" ht="17.399999999999999">
      <c r="A57" s="9">
        <v>1</v>
      </c>
      <c r="B57" s="8">
        <v>192</v>
      </c>
      <c r="C57" s="8">
        <v>1725281178</v>
      </c>
      <c r="D57" s="42" t="s">
        <v>71</v>
      </c>
      <c r="E57" s="47"/>
      <c r="F57" s="10">
        <v>0</v>
      </c>
      <c r="G57" s="10">
        <v>0</v>
      </c>
      <c r="H57" s="50">
        <v>0</v>
      </c>
      <c r="I57" s="50">
        <v>0</v>
      </c>
      <c r="J57" s="50">
        <v>0</v>
      </c>
      <c r="K57" s="39" t="s">
        <v>30</v>
      </c>
      <c r="L57" s="11">
        <f t="shared" si="8"/>
        <v>0</v>
      </c>
      <c r="M57" s="10">
        <f t="shared" si="14"/>
        <v>0</v>
      </c>
      <c r="N57" s="10">
        <f t="shared" si="9"/>
        <v>0</v>
      </c>
      <c r="O57" s="10">
        <v>0</v>
      </c>
      <c r="P57" s="10">
        <f t="shared" si="10"/>
        <v>0</v>
      </c>
      <c r="Q57" s="17">
        <v>3.1437499999999954</v>
      </c>
      <c r="R57" s="18">
        <f t="shared" si="11"/>
        <v>3.1437499999999954</v>
      </c>
      <c r="S57" s="19">
        <f t="shared" si="12"/>
        <v>0</v>
      </c>
      <c r="T57" s="20">
        <f t="shared" si="13"/>
        <v>3.1437499999999954</v>
      </c>
    </row>
    <row r="58" spans="1:23" ht="20.399999999999999">
      <c r="A58" s="9">
        <v>1</v>
      </c>
      <c r="B58" s="8">
        <v>220</v>
      </c>
      <c r="C58" s="8">
        <v>353335311</v>
      </c>
      <c r="D58" s="42" t="s">
        <v>94</v>
      </c>
      <c r="E58" s="44"/>
      <c r="F58" s="10">
        <v>0</v>
      </c>
      <c r="G58" s="10">
        <v>0</v>
      </c>
      <c r="H58" s="50">
        <v>0</v>
      </c>
      <c r="I58" s="50">
        <v>0</v>
      </c>
      <c r="J58" s="50">
        <v>0</v>
      </c>
      <c r="K58" s="39" t="s">
        <v>30</v>
      </c>
      <c r="L58" s="11">
        <f t="shared" si="8"/>
        <v>0</v>
      </c>
      <c r="M58" s="10">
        <f t="shared" si="14"/>
        <v>0</v>
      </c>
      <c r="N58" s="10">
        <f t="shared" si="9"/>
        <v>0</v>
      </c>
      <c r="O58" s="10">
        <v>0</v>
      </c>
      <c r="P58" s="10">
        <f t="shared" si="10"/>
        <v>0</v>
      </c>
      <c r="Q58" s="17">
        <v>2.0310546874999984</v>
      </c>
      <c r="R58" s="18">
        <f t="shared" si="11"/>
        <v>2.0310546874999984</v>
      </c>
      <c r="S58" s="19">
        <f t="shared" si="12"/>
        <v>0</v>
      </c>
      <c r="T58" s="20">
        <f t="shared" si="13"/>
        <v>2.0310546874999984</v>
      </c>
    </row>
    <row r="59" spans="1:23" ht="17.399999999999999">
      <c r="A59" s="9">
        <v>1</v>
      </c>
      <c r="B59" s="8">
        <v>233</v>
      </c>
      <c r="C59" s="8">
        <v>1963965829</v>
      </c>
      <c r="D59" s="42" t="s">
        <v>114</v>
      </c>
      <c r="F59" s="10">
        <v>0</v>
      </c>
      <c r="G59" s="10">
        <v>0</v>
      </c>
      <c r="H59" s="50">
        <v>0</v>
      </c>
      <c r="I59" s="50">
        <v>0</v>
      </c>
      <c r="J59" s="50">
        <v>0</v>
      </c>
      <c r="K59" s="39" t="s">
        <v>30</v>
      </c>
      <c r="L59" s="11">
        <f t="shared" si="8"/>
        <v>0</v>
      </c>
      <c r="M59" s="10">
        <f t="shared" si="14"/>
        <v>0</v>
      </c>
      <c r="N59" s="10">
        <f t="shared" si="9"/>
        <v>0</v>
      </c>
      <c r="O59" s="10">
        <v>0</v>
      </c>
      <c r="P59" s="10">
        <f t="shared" si="10"/>
        <v>0</v>
      </c>
      <c r="Q59" s="17">
        <v>2.0000000000000018</v>
      </c>
      <c r="R59" s="18">
        <f t="shared" si="11"/>
        <v>2.0000000000000018</v>
      </c>
      <c r="S59" s="19">
        <f t="shared" si="12"/>
        <v>0</v>
      </c>
      <c r="T59" s="20">
        <f t="shared" si="13"/>
        <v>2.0000000000000018</v>
      </c>
    </row>
    <row r="60" spans="1:23" ht="17.399999999999999">
      <c r="A60" s="9">
        <v>1</v>
      </c>
      <c r="B60" s="8">
        <v>207</v>
      </c>
      <c r="C60" s="8">
        <v>721273803</v>
      </c>
      <c r="D60" s="45" t="s">
        <v>81</v>
      </c>
      <c r="E60" s="47"/>
      <c r="F60" s="10">
        <v>0</v>
      </c>
      <c r="G60" s="10">
        <v>0</v>
      </c>
      <c r="H60" s="50">
        <v>0</v>
      </c>
      <c r="I60" s="50">
        <v>0</v>
      </c>
      <c r="J60" s="50">
        <v>0</v>
      </c>
      <c r="K60" s="39" t="s">
        <v>30</v>
      </c>
      <c r="L60" s="11">
        <f t="shared" si="8"/>
        <v>0</v>
      </c>
      <c r="M60" s="10">
        <f t="shared" si="14"/>
        <v>0</v>
      </c>
      <c r="N60" s="10">
        <f t="shared" si="9"/>
        <v>0</v>
      </c>
      <c r="O60" s="10">
        <v>0</v>
      </c>
      <c r="P60" s="10">
        <f t="shared" si="10"/>
        <v>0</v>
      </c>
      <c r="Q60" s="17">
        <v>1.425</v>
      </c>
      <c r="R60" s="18">
        <f t="shared" si="11"/>
        <v>1.425</v>
      </c>
      <c r="S60" s="19">
        <f t="shared" si="12"/>
        <v>0</v>
      </c>
      <c r="T60" s="20">
        <f t="shared" si="13"/>
        <v>1.425</v>
      </c>
    </row>
    <row r="61" spans="1:23" ht="20.399999999999999">
      <c r="A61" s="9">
        <v>1</v>
      </c>
      <c r="B61" s="8">
        <v>213</v>
      </c>
      <c r="C61" s="8">
        <v>311361673</v>
      </c>
      <c r="D61" s="42" t="s">
        <v>55</v>
      </c>
      <c r="E61" s="2"/>
      <c r="F61" s="10">
        <v>0</v>
      </c>
      <c r="G61" s="10">
        <v>0</v>
      </c>
      <c r="H61" s="50">
        <v>0</v>
      </c>
      <c r="I61" s="50">
        <v>0</v>
      </c>
      <c r="J61" s="50">
        <v>0</v>
      </c>
      <c r="K61" s="39" t="s">
        <v>30</v>
      </c>
      <c r="L61" s="11">
        <f t="shared" si="8"/>
        <v>0</v>
      </c>
      <c r="M61" s="10">
        <f t="shared" si="14"/>
        <v>0</v>
      </c>
      <c r="N61" s="10">
        <f t="shared" si="9"/>
        <v>0</v>
      </c>
      <c r="O61" s="10">
        <v>0</v>
      </c>
      <c r="P61" s="10">
        <f t="shared" si="10"/>
        <v>0</v>
      </c>
      <c r="Q61" s="17">
        <v>1.2687499999999945</v>
      </c>
      <c r="R61" s="18">
        <f t="shared" si="11"/>
        <v>1.2687499999999945</v>
      </c>
      <c r="S61" s="19">
        <f t="shared" si="12"/>
        <v>0</v>
      </c>
      <c r="T61" s="20">
        <f t="shared" si="13"/>
        <v>1.2687499999999945</v>
      </c>
    </row>
    <row r="62" spans="1:23" ht="17.399999999999999">
      <c r="A62" s="9">
        <v>1</v>
      </c>
      <c r="B62" s="8">
        <v>242</v>
      </c>
      <c r="C62" s="8">
        <v>250098915</v>
      </c>
      <c r="D62" s="42" t="s">
        <v>131</v>
      </c>
      <c r="F62" s="10">
        <v>0</v>
      </c>
      <c r="G62" s="10">
        <v>0</v>
      </c>
      <c r="H62" s="50">
        <v>0</v>
      </c>
      <c r="I62" s="50">
        <v>0</v>
      </c>
      <c r="J62" s="50">
        <v>0</v>
      </c>
      <c r="K62" s="39" t="s">
        <v>30</v>
      </c>
      <c r="L62" s="11">
        <f t="shared" si="8"/>
        <v>0</v>
      </c>
      <c r="M62" s="10">
        <f t="shared" si="14"/>
        <v>0</v>
      </c>
      <c r="N62" s="10">
        <f t="shared" si="9"/>
        <v>0</v>
      </c>
      <c r="O62" s="10">
        <v>0</v>
      </c>
      <c r="P62" s="10">
        <f t="shared" si="10"/>
        <v>0</v>
      </c>
      <c r="Q62" s="17">
        <v>0.90625</v>
      </c>
      <c r="R62" s="18">
        <f t="shared" si="11"/>
        <v>0.90625</v>
      </c>
      <c r="S62" s="19">
        <f t="shared" si="12"/>
        <v>0</v>
      </c>
      <c r="T62" s="20">
        <f t="shared" si="13"/>
        <v>0.90625</v>
      </c>
    </row>
    <row r="63" spans="1:23" ht="17.399999999999999">
      <c r="A63" s="9">
        <v>1</v>
      </c>
      <c r="B63" s="8">
        <v>242</v>
      </c>
      <c r="C63" s="8">
        <v>1769984287</v>
      </c>
      <c r="D63" s="8" t="s">
        <v>132</v>
      </c>
      <c r="F63" s="10">
        <v>0</v>
      </c>
      <c r="G63" s="10">
        <v>0</v>
      </c>
      <c r="H63" s="50">
        <v>0</v>
      </c>
      <c r="I63" s="50">
        <v>0</v>
      </c>
      <c r="J63" s="50">
        <v>0</v>
      </c>
      <c r="K63" s="39" t="s">
        <v>30</v>
      </c>
      <c r="L63" s="11">
        <f t="shared" si="8"/>
        <v>0</v>
      </c>
      <c r="M63" s="10">
        <f t="shared" si="14"/>
        <v>0</v>
      </c>
      <c r="N63" s="10">
        <f t="shared" si="9"/>
        <v>0</v>
      </c>
      <c r="O63" s="10">
        <v>0</v>
      </c>
      <c r="P63" s="10">
        <f t="shared" si="10"/>
        <v>0</v>
      </c>
      <c r="Q63" s="17">
        <v>0.65000000000000036</v>
      </c>
      <c r="R63" s="18">
        <f t="shared" si="11"/>
        <v>0.65000000000000036</v>
      </c>
      <c r="S63" s="19">
        <f t="shared" si="12"/>
        <v>0</v>
      </c>
      <c r="T63" s="20">
        <f t="shared" si="13"/>
        <v>0.65000000000000036</v>
      </c>
    </row>
    <row r="64" spans="1:23" ht="17.399999999999999">
      <c r="A64" s="9">
        <v>1</v>
      </c>
      <c r="B64" s="8">
        <v>218</v>
      </c>
      <c r="C64" s="8">
        <v>1804880865</v>
      </c>
      <c r="D64" s="42" t="s">
        <v>92</v>
      </c>
      <c r="E64" s="47"/>
      <c r="F64" s="10">
        <v>0</v>
      </c>
      <c r="G64" s="10">
        <v>0</v>
      </c>
      <c r="H64" s="50">
        <v>0</v>
      </c>
      <c r="I64" s="50">
        <v>0</v>
      </c>
      <c r="J64" s="50">
        <v>0</v>
      </c>
      <c r="K64" s="39" t="s">
        <v>30</v>
      </c>
      <c r="L64" s="11">
        <f t="shared" si="8"/>
        <v>0</v>
      </c>
      <c r="M64" s="10">
        <f t="shared" si="14"/>
        <v>0</v>
      </c>
      <c r="N64" s="10">
        <f t="shared" si="9"/>
        <v>0</v>
      </c>
      <c r="O64" s="10">
        <v>0</v>
      </c>
      <c r="P64" s="10">
        <f t="shared" si="10"/>
        <v>0</v>
      </c>
      <c r="Q64" s="17">
        <v>0.11749999999999983</v>
      </c>
      <c r="R64" s="18">
        <f t="shared" si="11"/>
        <v>0.11749999999999983</v>
      </c>
      <c r="S64" s="19">
        <f t="shared" si="12"/>
        <v>0</v>
      </c>
      <c r="T64" s="20">
        <f t="shared" si="13"/>
        <v>0.11749999999999983</v>
      </c>
    </row>
    <row r="65" spans="1:23" ht="17.399999999999999">
      <c r="A65" s="9">
        <v>1</v>
      </c>
      <c r="B65" s="8">
        <v>217</v>
      </c>
      <c r="C65" s="8">
        <v>331155825</v>
      </c>
      <c r="D65" s="46" t="s">
        <v>89</v>
      </c>
      <c r="E65" s="2"/>
      <c r="F65" s="10">
        <v>0</v>
      </c>
      <c r="G65" s="10">
        <v>0</v>
      </c>
      <c r="H65" s="50">
        <v>0</v>
      </c>
      <c r="I65" s="50">
        <v>0</v>
      </c>
      <c r="J65" s="50">
        <v>0</v>
      </c>
      <c r="K65" s="39" t="s">
        <v>30</v>
      </c>
      <c r="L65" s="11">
        <f t="shared" si="8"/>
        <v>0</v>
      </c>
      <c r="M65" s="10">
        <f t="shared" si="14"/>
        <v>0</v>
      </c>
      <c r="N65" s="10">
        <f t="shared" si="9"/>
        <v>0</v>
      </c>
      <c r="O65" s="10">
        <v>0</v>
      </c>
      <c r="P65" s="10">
        <f t="shared" si="10"/>
        <v>0</v>
      </c>
      <c r="Q65" s="17">
        <v>-1.3124999999999984</v>
      </c>
      <c r="R65" s="18">
        <f t="shared" si="11"/>
        <v>-1.3124999999999984</v>
      </c>
      <c r="S65" s="19">
        <f t="shared" si="12"/>
        <v>0</v>
      </c>
      <c r="T65" s="20">
        <f t="shared" si="13"/>
        <v>-1.3124999999999984</v>
      </c>
    </row>
    <row r="66" spans="1:23" ht="17.399999999999999">
      <c r="A66" s="9">
        <v>1</v>
      </c>
      <c r="B66" s="8">
        <v>237</v>
      </c>
      <c r="C66" s="8">
        <v>1331532576</v>
      </c>
      <c r="D66" s="42" t="s">
        <v>119</v>
      </c>
      <c r="F66" s="10">
        <v>0</v>
      </c>
      <c r="G66" s="10">
        <v>0</v>
      </c>
      <c r="H66" s="50">
        <v>0</v>
      </c>
      <c r="I66" s="50">
        <v>0</v>
      </c>
      <c r="J66" s="50">
        <v>0</v>
      </c>
      <c r="K66" s="39" t="s">
        <v>30</v>
      </c>
      <c r="L66" s="11">
        <f t="shared" si="8"/>
        <v>0</v>
      </c>
      <c r="M66" s="10">
        <f t="shared" si="14"/>
        <v>0</v>
      </c>
      <c r="N66" s="10">
        <f t="shared" si="9"/>
        <v>0</v>
      </c>
      <c r="O66" s="10">
        <v>0</v>
      </c>
      <c r="P66" s="10">
        <f t="shared" si="10"/>
        <v>0</v>
      </c>
      <c r="Q66" s="17">
        <v>-2.5499999999999998</v>
      </c>
      <c r="R66" s="18">
        <f t="shared" si="11"/>
        <v>-2.5499999999999998</v>
      </c>
      <c r="S66" s="19">
        <f t="shared" si="12"/>
        <v>0</v>
      </c>
      <c r="T66" s="20">
        <f t="shared" si="13"/>
        <v>-2.5499999999999998</v>
      </c>
    </row>
    <row r="67" spans="1:23" ht="17.399999999999999">
      <c r="A67" s="9">
        <v>1</v>
      </c>
      <c r="B67" s="8">
        <v>228</v>
      </c>
      <c r="C67" s="8">
        <v>1287481910</v>
      </c>
      <c r="D67" s="42" t="s">
        <v>109</v>
      </c>
      <c r="E67" s="42"/>
      <c r="F67" s="10">
        <v>0</v>
      </c>
      <c r="G67" s="10">
        <v>0</v>
      </c>
      <c r="H67" s="50">
        <v>0</v>
      </c>
      <c r="I67" s="50">
        <v>0</v>
      </c>
      <c r="J67" s="50">
        <v>0</v>
      </c>
      <c r="K67" s="39" t="s">
        <v>30</v>
      </c>
      <c r="L67" s="11">
        <f t="shared" si="8"/>
        <v>0</v>
      </c>
      <c r="M67" s="10">
        <f t="shared" si="14"/>
        <v>0</v>
      </c>
      <c r="N67" s="10">
        <f t="shared" si="9"/>
        <v>0</v>
      </c>
      <c r="O67" s="10">
        <v>0</v>
      </c>
      <c r="P67" s="10">
        <f t="shared" si="10"/>
        <v>0</v>
      </c>
      <c r="Q67" s="17">
        <v>-4.1499999999999995</v>
      </c>
      <c r="R67" s="18">
        <f t="shared" si="11"/>
        <v>-4.1499999999999995</v>
      </c>
      <c r="S67" s="19">
        <f t="shared" si="12"/>
        <v>0</v>
      </c>
      <c r="T67" s="20">
        <f t="shared" si="13"/>
        <v>-4.1499999999999995</v>
      </c>
    </row>
    <row r="68" spans="1:23" ht="17.399999999999999">
      <c r="A68" s="9">
        <v>1</v>
      </c>
      <c r="B68" s="8">
        <v>235</v>
      </c>
      <c r="C68" s="8">
        <v>988684940</v>
      </c>
      <c r="D68" s="42" t="s">
        <v>116</v>
      </c>
      <c r="F68" s="10">
        <v>0</v>
      </c>
      <c r="G68" s="10">
        <v>0</v>
      </c>
      <c r="H68" s="50">
        <v>0</v>
      </c>
      <c r="I68" s="50">
        <v>0</v>
      </c>
      <c r="J68" s="50">
        <v>0</v>
      </c>
      <c r="K68" s="39" t="s">
        <v>30</v>
      </c>
      <c r="L68" s="11">
        <f t="shared" si="8"/>
        <v>0</v>
      </c>
      <c r="M68" s="10">
        <f t="shared" si="14"/>
        <v>0</v>
      </c>
      <c r="N68" s="10">
        <f t="shared" si="9"/>
        <v>0</v>
      </c>
      <c r="O68" s="10">
        <v>0</v>
      </c>
      <c r="P68" s="10">
        <f t="shared" si="10"/>
        <v>0</v>
      </c>
      <c r="Q68" s="17">
        <v>-7.125</v>
      </c>
      <c r="R68" s="18">
        <f t="shared" si="11"/>
        <v>-7.125</v>
      </c>
      <c r="S68" s="19">
        <f t="shared" si="12"/>
        <v>0</v>
      </c>
      <c r="T68" s="20">
        <f t="shared" si="13"/>
        <v>-7.125</v>
      </c>
    </row>
    <row r="69" spans="1:23" ht="17.399999999999999">
      <c r="A69" s="9">
        <v>1</v>
      </c>
      <c r="B69" s="8">
        <v>141</v>
      </c>
      <c r="C69" s="8">
        <v>1190305158</v>
      </c>
      <c r="D69" s="42" t="s">
        <v>44</v>
      </c>
      <c r="E69" s="44"/>
      <c r="F69" s="10">
        <v>0</v>
      </c>
      <c r="G69" s="10">
        <v>0</v>
      </c>
      <c r="H69" s="50">
        <v>0</v>
      </c>
      <c r="I69" s="50">
        <v>0</v>
      </c>
      <c r="J69" s="50">
        <v>0</v>
      </c>
      <c r="K69" s="39" t="s">
        <v>30</v>
      </c>
      <c r="L69" s="11">
        <f t="shared" si="8"/>
        <v>0</v>
      </c>
      <c r="M69" s="10">
        <f t="shared" si="14"/>
        <v>0</v>
      </c>
      <c r="N69" s="10">
        <f t="shared" si="9"/>
        <v>0</v>
      </c>
      <c r="O69" s="10">
        <v>0</v>
      </c>
      <c r="P69" s="10">
        <f t="shared" ref="P69:P70" si="15">SUM(M69+L69+O69+N69)</f>
        <v>0</v>
      </c>
      <c r="Q69" s="17">
        <v>-7.8937500000000043</v>
      </c>
      <c r="R69" s="18">
        <f t="shared" ref="R69:R70" si="16">P69+Q69</f>
        <v>-7.8937500000000043</v>
      </c>
      <c r="S69" s="19">
        <f t="shared" si="12"/>
        <v>0</v>
      </c>
      <c r="T69" s="20">
        <f t="shared" ref="T69:T70" si="17">R69-S69</f>
        <v>-7.8937500000000043</v>
      </c>
      <c r="U69" s="40"/>
      <c r="V69" s="40"/>
      <c r="W69" s="41"/>
    </row>
    <row r="70" spans="1:23" ht="17.399999999999999">
      <c r="A70" s="70">
        <v>1</v>
      </c>
      <c r="B70" s="8">
        <v>203</v>
      </c>
      <c r="C70" s="8">
        <v>382695365</v>
      </c>
      <c r="D70" s="42" t="s">
        <v>78</v>
      </c>
      <c r="E70" s="47"/>
      <c r="F70" s="10">
        <v>0</v>
      </c>
      <c r="G70" s="10">
        <v>0</v>
      </c>
      <c r="H70" s="50">
        <v>0</v>
      </c>
      <c r="I70" s="50">
        <v>0</v>
      </c>
      <c r="J70" s="50">
        <v>0</v>
      </c>
      <c r="K70" s="39" t="s">
        <v>30</v>
      </c>
      <c r="L70" s="11">
        <f t="shared" si="8"/>
        <v>0</v>
      </c>
      <c r="M70" s="10">
        <f t="shared" si="14"/>
        <v>0</v>
      </c>
      <c r="N70" s="10">
        <f t="shared" si="9"/>
        <v>0</v>
      </c>
      <c r="O70" s="10">
        <v>0</v>
      </c>
      <c r="P70" s="10">
        <f t="shared" si="15"/>
        <v>0</v>
      </c>
      <c r="Q70" s="17">
        <v>-16.90625</v>
      </c>
      <c r="R70" s="18">
        <f t="shared" si="16"/>
        <v>-16.90625</v>
      </c>
      <c r="S70" s="19">
        <f t="shared" si="12"/>
        <v>0</v>
      </c>
      <c r="T70" s="20">
        <f t="shared" si="17"/>
        <v>-16.90625</v>
      </c>
    </row>
    <row r="71" spans="1:23" ht="17.399999999999999">
      <c r="A71" s="70"/>
    </row>
  </sheetData>
  <autoFilter ref="A4:W70" xr:uid="{28593B8F-03E7-4BE1-B554-FC0AADC431B2}">
    <sortState xmlns:xlrd2="http://schemas.microsoft.com/office/spreadsheetml/2017/richdata2" ref="A5:W70">
      <sortCondition descending="1" ref="R4:R70"/>
    </sortState>
  </autoFilter>
  <mergeCells count="5">
    <mergeCell ref="B1:T1"/>
    <mergeCell ref="B2:T2"/>
    <mergeCell ref="B3:E3"/>
    <mergeCell ref="H3:J3"/>
    <mergeCell ref="K3:T3"/>
  </mergeCells>
  <conditionalFormatting sqref="O5:O70 F5:J70">
    <cfRule type="cellIs" dxfId="18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388C-AAA2-4672-846C-35ADDED434D0}">
  <dimension ref="A1:AC71"/>
  <sheetViews>
    <sheetView topLeftCell="A28" zoomScale="85" zoomScaleNormal="85" workbookViewId="0">
      <selection activeCell="T5" sqref="T5:T70"/>
    </sheetView>
  </sheetViews>
  <sheetFormatPr defaultColWidth="9" defaultRowHeight="14.4"/>
  <cols>
    <col min="1" max="1" width="6.44140625" customWidth="1"/>
    <col min="2" max="2" width="6.6640625" style="4" customWidth="1"/>
    <col min="3" max="3" width="19.77734375" style="5" customWidth="1"/>
    <col min="4" max="4" width="21.21875" style="5" customWidth="1"/>
    <col min="5" max="5" width="18.33203125" style="4" customWidth="1"/>
    <col min="6" max="6" width="13.109375" style="4" customWidth="1"/>
    <col min="7" max="7" width="13.77734375" style="4" customWidth="1"/>
    <col min="8" max="8" width="5.77734375" style="4" customWidth="1"/>
    <col min="9" max="9" width="5.88671875" style="4" customWidth="1"/>
    <col min="10" max="10" width="5.77734375" style="4" customWidth="1"/>
    <col min="11" max="11" width="20" style="4" customWidth="1"/>
    <col min="12" max="12" width="9" style="4" customWidth="1"/>
    <col min="13" max="13" width="12.109375" style="4" customWidth="1"/>
    <col min="14" max="14" width="11.33203125" style="4" customWidth="1"/>
    <col min="15" max="15" width="10" style="4" customWidth="1"/>
    <col min="16" max="16" width="9" style="4" customWidth="1"/>
    <col min="17" max="17" width="12.88671875" style="4" customWidth="1"/>
    <col min="18" max="18" width="12" style="4" customWidth="1"/>
    <col min="19" max="19" width="9.21875" style="4" customWidth="1"/>
    <col min="20" max="20" width="12.6640625" style="4" customWidth="1"/>
    <col min="21" max="23" width="11.109375" style="21" customWidth="1"/>
    <col min="24" max="24" width="22.44140625" customWidth="1"/>
  </cols>
  <sheetData>
    <row r="1" spans="1:29" ht="36.6" customHeight="1">
      <c r="B1" s="99" t="str">
        <f>CONCATENATE("157区 活动中心",Y15,"年",Y16,"月",Y17,"日","分包贡献明细"," 统计：一二三")</f>
        <v>157区 活动中心2021年10月30日分包贡献明细 统计：一二三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62"/>
      <c r="V1" s="62"/>
      <c r="W1" s="62"/>
      <c r="X1" s="22" t="s">
        <v>12</v>
      </c>
      <c r="Y1" s="5">
        <v>67</v>
      </c>
      <c r="Z1" s="3"/>
      <c r="AA1" s="3"/>
      <c r="AB1" s="3"/>
      <c r="AC1" s="3"/>
    </row>
    <row r="2" spans="1:29" ht="137.4" customHeight="1">
      <c r="B2" s="101" t="s">
        <v>126</v>
      </c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63"/>
      <c r="V2" s="63"/>
      <c r="W2" s="63"/>
      <c r="X2" s="23" t="s">
        <v>0</v>
      </c>
      <c r="Y2" s="24" t="s">
        <v>13</v>
      </c>
      <c r="Z2" s="25" t="s">
        <v>14</v>
      </c>
      <c r="AA2" s="25" t="s">
        <v>15</v>
      </c>
      <c r="AB2" s="25" t="s">
        <v>56</v>
      </c>
      <c r="AC2" s="26" t="s">
        <v>16</v>
      </c>
    </row>
    <row r="3" spans="1:29" ht="20.399999999999999">
      <c r="B3" s="104" t="s">
        <v>20</v>
      </c>
      <c r="C3" s="104"/>
      <c r="D3" s="104"/>
      <c r="E3" s="104"/>
      <c r="F3" s="64" t="s">
        <v>17</v>
      </c>
      <c r="G3" s="65" t="s">
        <v>39</v>
      </c>
      <c r="H3" s="105" t="s">
        <v>99</v>
      </c>
      <c r="I3" s="105"/>
      <c r="J3" s="105"/>
      <c r="K3" s="106" t="s">
        <v>21</v>
      </c>
      <c r="L3" s="107"/>
      <c r="M3" s="107"/>
      <c r="N3" s="107"/>
      <c r="O3" s="107"/>
      <c r="P3" s="107"/>
      <c r="Q3" s="107"/>
      <c r="R3" s="107"/>
      <c r="S3" s="107"/>
      <c r="T3" s="108"/>
      <c r="U3" s="61"/>
      <c r="V3" s="61"/>
      <c r="W3" s="61"/>
      <c r="X3" s="27" t="s">
        <v>22</v>
      </c>
      <c r="Y3" s="28">
        <f>AC3/$Y$13</f>
        <v>11.875</v>
      </c>
      <c r="Z3" s="23">
        <v>5</v>
      </c>
      <c r="AA3" s="23">
        <v>7</v>
      </c>
      <c r="AB3" s="23">
        <v>20</v>
      </c>
      <c r="AC3" s="23">
        <v>1900</v>
      </c>
    </row>
    <row r="4" spans="1:29" ht="40.799999999999997">
      <c r="A4" s="77" t="s">
        <v>117</v>
      </c>
      <c r="B4" s="77" t="s">
        <v>2</v>
      </c>
      <c r="C4" s="60" t="s">
        <v>23</v>
      </c>
      <c r="D4" s="77" t="s">
        <v>3</v>
      </c>
      <c r="E4" s="77" t="s">
        <v>4</v>
      </c>
      <c r="F4" s="6" t="s">
        <v>40</v>
      </c>
      <c r="G4" s="7" t="s">
        <v>91</v>
      </c>
      <c r="H4" s="7" t="s">
        <v>100</v>
      </c>
      <c r="I4" s="7" t="s">
        <v>101</v>
      </c>
      <c r="J4" s="7" t="s">
        <v>102</v>
      </c>
      <c r="K4" s="6" t="s">
        <v>5</v>
      </c>
      <c r="L4" s="6" t="s">
        <v>24</v>
      </c>
      <c r="M4" s="7" t="s">
        <v>41</v>
      </c>
      <c r="N4" s="7" t="s">
        <v>104</v>
      </c>
      <c r="O4" s="7" t="s">
        <v>45</v>
      </c>
      <c r="P4" s="15" t="s">
        <v>25</v>
      </c>
      <c r="Q4" s="60" t="s">
        <v>26</v>
      </c>
      <c r="R4" s="16" t="s">
        <v>7</v>
      </c>
      <c r="S4" s="60" t="s">
        <v>6</v>
      </c>
      <c r="T4" s="60" t="s">
        <v>27</v>
      </c>
      <c r="U4" s="60" t="s">
        <v>18</v>
      </c>
      <c r="V4" s="60" t="s">
        <v>19</v>
      </c>
      <c r="W4" s="60" t="s">
        <v>1</v>
      </c>
      <c r="X4" s="29" t="s">
        <v>28</v>
      </c>
      <c r="Y4" s="28">
        <f>AC4/$Y$13</f>
        <v>9.6875</v>
      </c>
      <c r="Z4" s="23">
        <v>4</v>
      </c>
      <c r="AA4" s="23">
        <v>6</v>
      </c>
      <c r="AB4" s="23">
        <v>15</v>
      </c>
      <c r="AC4" s="23">
        <v>1550</v>
      </c>
    </row>
    <row r="5" spans="1:29" s="1" customFormat="1" ht="17.399999999999999">
      <c r="A5" s="9">
        <v>1</v>
      </c>
      <c r="B5" s="8">
        <v>225</v>
      </c>
      <c r="C5" s="8">
        <v>1963965829</v>
      </c>
      <c r="D5" s="42" t="s">
        <v>107</v>
      </c>
      <c r="E5" s="42"/>
      <c r="F5" s="10">
        <v>4</v>
      </c>
      <c r="G5" s="10">
        <v>1</v>
      </c>
      <c r="H5" s="50">
        <v>0</v>
      </c>
      <c r="I5" s="50">
        <v>0</v>
      </c>
      <c r="J5" s="50">
        <v>0</v>
      </c>
      <c r="K5" s="12" t="s">
        <v>53</v>
      </c>
      <c r="L5" s="11">
        <f t="shared" ref="L5:L36" si="0">F5+IF(F5&gt;2,(F5-2)*1,0)</f>
        <v>6</v>
      </c>
      <c r="M5" s="10">
        <f t="shared" ref="M5:M15" si="1">G5*$Y$14</f>
        <v>1.2</v>
      </c>
      <c r="N5" s="10">
        <f t="shared" ref="N5:N36" si="2">SUM(H5:J5)*$Y$18</f>
        <v>0</v>
      </c>
      <c r="O5" s="10">
        <v>0</v>
      </c>
      <c r="P5" s="10">
        <f t="shared" ref="P5:P36" si="3">SUM(M5+L5+O5+N5)</f>
        <v>7.2</v>
      </c>
      <c r="Q5" s="17">
        <v>24.735736940298494</v>
      </c>
      <c r="R5" s="18">
        <f t="shared" ref="R5:R36" si="4">P5+Q5</f>
        <v>31.935736940298494</v>
      </c>
      <c r="S5" s="19">
        <f t="shared" ref="S5:S36" si="5">VLOOKUP(K5,$X$3:$Y$10,2,FALSE)</f>
        <v>8.125</v>
      </c>
      <c r="T5" s="20">
        <f t="shared" ref="T5:T36" si="6">R5-S5</f>
        <v>23.810736940298494</v>
      </c>
      <c r="U5" s="4"/>
      <c r="V5" s="4"/>
      <c r="W5" s="4"/>
      <c r="X5" s="14" t="s">
        <v>29</v>
      </c>
      <c r="Y5" s="28">
        <f>AC5/$Y$13/4</f>
        <v>1.875</v>
      </c>
      <c r="Z5" s="30">
        <v>3</v>
      </c>
      <c r="AA5" s="30">
        <v>5</v>
      </c>
      <c r="AB5" s="30">
        <v>10</v>
      </c>
      <c r="AC5" s="30">
        <v>1200</v>
      </c>
    </row>
    <row r="6" spans="1:29" s="1" customFormat="1" ht="17.399999999999999">
      <c r="A6" s="9">
        <v>1</v>
      </c>
      <c r="B6" s="8">
        <v>156</v>
      </c>
      <c r="C6" s="8">
        <v>1744610165</v>
      </c>
      <c r="D6" s="42" t="s">
        <v>135</v>
      </c>
      <c r="E6" s="42" t="s">
        <v>64</v>
      </c>
      <c r="F6" s="10">
        <v>4</v>
      </c>
      <c r="G6" s="10">
        <v>1</v>
      </c>
      <c r="H6" s="50">
        <v>0</v>
      </c>
      <c r="I6" s="50">
        <v>0</v>
      </c>
      <c r="J6" s="50">
        <v>0</v>
      </c>
      <c r="K6" s="12" t="s">
        <v>53</v>
      </c>
      <c r="L6" s="11">
        <f t="shared" si="0"/>
        <v>6</v>
      </c>
      <c r="M6" s="10">
        <f t="shared" si="1"/>
        <v>1.2</v>
      </c>
      <c r="N6" s="10">
        <f t="shared" si="2"/>
        <v>0</v>
      </c>
      <c r="O6" s="10">
        <v>0</v>
      </c>
      <c r="P6" s="10">
        <f t="shared" si="3"/>
        <v>7.2</v>
      </c>
      <c r="Q6" s="17">
        <v>20.286266129032242</v>
      </c>
      <c r="R6" s="18">
        <f t="shared" si="4"/>
        <v>27.486266129032241</v>
      </c>
      <c r="S6" s="19">
        <f t="shared" si="5"/>
        <v>8.125</v>
      </c>
      <c r="T6" s="20">
        <f t="shared" si="6"/>
        <v>19.361266129032241</v>
      </c>
      <c r="U6" s="4"/>
      <c r="V6" s="4"/>
      <c r="W6" s="4"/>
      <c r="X6" s="14"/>
      <c r="Y6" s="28"/>
      <c r="Z6" s="30"/>
      <c r="AA6" s="30"/>
      <c r="AB6" s="30"/>
      <c r="AC6" s="30"/>
    </row>
    <row r="7" spans="1:29" s="1" customFormat="1" ht="17.399999999999999">
      <c r="A7" s="9">
        <v>1</v>
      </c>
      <c r="B7" s="8">
        <v>224</v>
      </c>
      <c r="C7" s="8">
        <v>862562360</v>
      </c>
      <c r="D7" s="42" t="s">
        <v>129</v>
      </c>
      <c r="E7" s="42" t="s">
        <v>106</v>
      </c>
      <c r="F7" s="10">
        <v>4</v>
      </c>
      <c r="G7" s="10">
        <v>1</v>
      </c>
      <c r="H7" s="50">
        <v>0</v>
      </c>
      <c r="I7" s="50">
        <v>0</v>
      </c>
      <c r="J7" s="50">
        <v>0</v>
      </c>
      <c r="K7" s="12" t="s">
        <v>53</v>
      </c>
      <c r="L7" s="11">
        <f t="shared" si="0"/>
        <v>6</v>
      </c>
      <c r="M7" s="10">
        <f t="shared" si="1"/>
        <v>1.2</v>
      </c>
      <c r="N7" s="10">
        <f t="shared" si="2"/>
        <v>0</v>
      </c>
      <c r="O7" s="10">
        <v>0</v>
      </c>
      <c r="P7" s="10">
        <f t="shared" si="3"/>
        <v>7.2</v>
      </c>
      <c r="Q7" s="17">
        <v>19.785354477611939</v>
      </c>
      <c r="R7" s="18">
        <f t="shared" si="4"/>
        <v>26.985354477611939</v>
      </c>
      <c r="S7" s="19">
        <f t="shared" si="5"/>
        <v>8.125</v>
      </c>
      <c r="T7" s="20">
        <f t="shared" si="6"/>
        <v>18.860354477611939</v>
      </c>
      <c r="U7" s="4"/>
      <c r="V7" s="4"/>
      <c r="W7" s="4"/>
      <c r="X7" s="12" t="s">
        <v>53</v>
      </c>
      <c r="Y7" s="28">
        <f>AC7/$Y$13</f>
        <v>8.125</v>
      </c>
      <c r="Z7" s="30">
        <v>4</v>
      </c>
      <c r="AA7" s="30">
        <v>5</v>
      </c>
      <c r="AB7" s="30"/>
      <c r="AC7" s="30">
        <v>1300</v>
      </c>
    </row>
    <row r="8" spans="1:29" s="1" customFormat="1" ht="17.399999999999999">
      <c r="A8" s="9">
        <v>1</v>
      </c>
      <c r="B8" s="8">
        <v>215</v>
      </c>
      <c r="C8" s="8">
        <v>289805855</v>
      </c>
      <c r="D8" s="42" t="s">
        <v>87</v>
      </c>
      <c r="E8" s="2"/>
      <c r="F8" s="10">
        <v>4</v>
      </c>
      <c r="G8" s="10">
        <v>1</v>
      </c>
      <c r="H8" s="50">
        <v>0</v>
      </c>
      <c r="I8" s="50">
        <v>0</v>
      </c>
      <c r="J8" s="50">
        <v>0</v>
      </c>
      <c r="K8" s="12" t="s">
        <v>53</v>
      </c>
      <c r="L8" s="11">
        <f t="shared" si="0"/>
        <v>6</v>
      </c>
      <c r="M8" s="10">
        <f t="shared" si="1"/>
        <v>1.2</v>
      </c>
      <c r="N8" s="10">
        <f t="shared" si="2"/>
        <v>0</v>
      </c>
      <c r="O8" s="10">
        <v>0</v>
      </c>
      <c r="P8" s="10">
        <f t="shared" si="3"/>
        <v>7.2</v>
      </c>
      <c r="Q8" s="17">
        <v>19.41299999999999</v>
      </c>
      <c r="R8" s="18">
        <f t="shared" si="4"/>
        <v>26.612999999999989</v>
      </c>
      <c r="S8" s="19">
        <f t="shared" si="5"/>
        <v>8.125</v>
      </c>
      <c r="T8" s="20">
        <f t="shared" si="6"/>
        <v>18.487999999999989</v>
      </c>
      <c r="U8" s="4"/>
      <c r="V8" s="4"/>
      <c r="W8" s="4"/>
      <c r="X8" s="13" t="s">
        <v>52</v>
      </c>
      <c r="Y8" s="28">
        <f>AC8/$Y$13</f>
        <v>6.25</v>
      </c>
      <c r="Z8" s="30">
        <v>3</v>
      </c>
      <c r="AA8" s="30">
        <v>4</v>
      </c>
      <c r="AB8" s="30"/>
      <c r="AC8" s="30">
        <v>1000</v>
      </c>
    </row>
    <row r="9" spans="1:29" s="1" customFormat="1" ht="17.399999999999999">
      <c r="A9" s="9">
        <v>1</v>
      </c>
      <c r="B9" s="8">
        <v>216</v>
      </c>
      <c r="C9" s="8">
        <v>395700385</v>
      </c>
      <c r="D9" s="42" t="s">
        <v>88</v>
      </c>
      <c r="E9" s="2"/>
      <c r="F9" s="10">
        <v>4</v>
      </c>
      <c r="G9" s="10">
        <v>1</v>
      </c>
      <c r="H9" s="50">
        <v>0</v>
      </c>
      <c r="I9" s="50">
        <v>0</v>
      </c>
      <c r="J9" s="50">
        <v>0</v>
      </c>
      <c r="K9" s="12" t="s">
        <v>53</v>
      </c>
      <c r="L9" s="11">
        <f t="shared" si="0"/>
        <v>6</v>
      </c>
      <c r="M9" s="10">
        <f t="shared" si="1"/>
        <v>1.2</v>
      </c>
      <c r="N9" s="10">
        <f t="shared" si="2"/>
        <v>0</v>
      </c>
      <c r="O9" s="10">
        <v>0</v>
      </c>
      <c r="P9" s="10">
        <f t="shared" si="3"/>
        <v>7.2</v>
      </c>
      <c r="Q9" s="17">
        <v>19.412701612903213</v>
      </c>
      <c r="R9" s="18">
        <f t="shared" si="4"/>
        <v>26.612701612903212</v>
      </c>
      <c r="S9" s="19">
        <f t="shared" si="5"/>
        <v>8.125</v>
      </c>
      <c r="T9" s="20">
        <f t="shared" si="6"/>
        <v>18.487701612903212</v>
      </c>
      <c r="U9" s="4"/>
      <c r="V9" s="4"/>
      <c r="W9" s="4"/>
      <c r="X9" s="14" t="s">
        <v>53</v>
      </c>
      <c r="Y9" s="28">
        <f>AC9/$Y$13/4</f>
        <v>1.09375</v>
      </c>
      <c r="Z9" s="30">
        <v>2</v>
      </c>
      <c r="AA9" s="30">
        <v>3</v>
      </c>
      <c r="AB9" s="30"/>
      <c r="AC9" s="30">
        <v>700</v>
      </c>
    </row>
    <row r="10" spans="1:29" s="1" customFormat="1" ht="17.399999999999999">
      <c r="A10" s="9">
        <v>1</v>
      </c>
      <c r="B10" s="9">
        <v>26</v>
      </c>
      <c r="C10" s="8">
        <v>1754932067</v>
      </c>
      <c r="D10" s="42" t="s">
        <v>58</v>
      </c>
      <c r="E10" s="42" t="s">
        <v>9</v>
      </c>
      <c r="F10" s="10">
        <v>4</v>
      </c>
      <c r="G10" s="10">
        <v>1</v>
      </c>
      <c r="H10" s="50">
        <v>0</v>
      </c>
      <c r="I10" s="50">
        <v>0</v>
      </c>
      <c r="J10" s="50">
        <v>0</v>
      </c>
      <c r="K10" s="12" t="s">
        <v>53</v>
      </c>
      <c r="L10" s="11">
        <f t="shared" si="0"/>
        <v>6</v>
      </c>
      <c r="M10" s="10">
        <f t="shared" si="1"/>
        <v>1.2</v>
      </c>
      <c r="N10" s="10">
        <f t="shared" si="2"/>
        <v>0</v>
      </c>
      <c r="O10" s="10">
        <v>0</v>
      </c>
      <c r="P10" s="10">
        <f t="shared" si="3"/>
        <v>7.2</v>
      </c>
      <c r="Q10" s="17">
        <v>19.375</v>
      </c>
      <c r="R10" s="18">
        <f t="shared" si="4"/>
        <v>26.574999999999999</v>
      </c>
      <c r="S10" s="19">
        <f t="shared" si="5"/>
        <v>8.125</v>
      </c>
      <c r="T10" s="20">
        <f t="shared" si="6"/>
        <v>18.45</v>
      </c>
      <c r="U10" s="11"/>
      <c r="V10" s="11"/>
      <c r="W10" s="11"/>
      <c r="X10" s="33" t="s">
        <v>30</v>
      </c>
      <c r="Y10" s="2">
        <v>0</v>
      </c>
      <c r="Z10" s="2"/>
      <c r="AA10" s="2"/>
      <c r="AB10" s="2"/>
      <c r="AC10" s="2"/>
    </row>
    <row r="11" spans="1:29" s="1" customFormat="1" ht="17.399999999999999">
      <c r="A11" s="9">
        <v>1</v>
      </c>
      <c r="B11" s="8">
        <v>209</v>
      </c>
      <c r="C11" s="8">
        <v>1525950050</v>
      </c>
      <c r="D11" s="42" t="s">
        <v>85</v>
      </c>
      <c r="E11" s="42" t="s">
        <v>83</v>
      </c>
      <c r="F11" s="10">
        <v>4</v>
      </c>
      <c r="G11" s="10">
        <v>1</v>
      </c>
      <c r="H11" s="50">
        <v>0</v>
      </c>
      <c r="I11" s="50">
        <v>0</v>
      </c>
      <c r="J11" s="50">
        <v>0</v>
      </c>
      <c r="K11" s="12" t="s">
        <v>53</v>
      </c>
      <c r="L11" s="11">
        <f t="shared" si="0"/>
        <v>6</v>
      </c>
      <c r="M11" s="10">
        <f t="shared" si="1"/>
        <v>1.2</v>
      </c>
      <c r="N11" s="10">
        <f t="shared" si="2"/>
        <v>0</v>
      </c>
      <c r="O11" s="10">
        <v>0</v>
      </c>
      <c r="P11" s="10">
        <f t="shared" si="3"/>
        <v>7.2</v>
      </c>
      <c r="Q11" s="17">
        <v>18.749999999999989</v>
      </c>
      <c r="R11" s="18">
        <f t="shared" si="4"/>
        <v>25.949999999999989</v>
      </c>
      <c r="S11" s="19">
        <f t="shared" si="5"/>
        <v>8.125</v>
      </c>
      <c r="T11" s="20">
        <f t="shared" si="6"/>
        <v>17.824999999999989</v>
      </c>
      <c r="U11" s="4"/>
      <c r="V11" s="4"/>
      <c r="W11" s="4"/>
      <c r="X11" s="34"/>
    </row>
    <row r="12" spans="1:29" s="1" customFormat="1" ht="17.399999999999999">
      <c r="A12" s="9">
        <v>1</v>
      </c>
      <c r="B12" s="8">
        <v>167</v>
      </c>
      <c r="C12" s="8">
        <v>1173807161</v>
      </c>
      <c r="D12" s="42" t="s">
        <v>48</v>
      </c>
      <c r="E12" s="48"/>
      <c r="F12" s="10">
        <v>0</v>
      </c>
      <c r="G12" s="10">
        <v>0</v>
      </c>
      <c r="H12" s="50">
        <v>0</v>
      </c>
      <c r="I12" s="50">
        <v>0</v>
      </c>
      <c r="J12" s="50">
        <v>0</v>
      </c>
      <c r="K12" s="39" t="s">
        <v>30</v>
      </c>
      <c r="L12" s="11">
        <f t="shared" si="0"/>
        <v>0</v>
      </c>
      <c r="M12" s="10">
        <f t="shared" si="1"/>
        <v>0</v>
      </c>
      <c r="N12" s="10">
        <f t="shared" si="2"/>
        <v>0</v>
      </c>
      <c r="O12" s="10">
        <v>0</v>
      </c>
      <c r="P12" s="10">
        <f t="shared" si="3"/>
        <v>0</v>
      </c>
      <c r="Q12" s="17">
        <v>25.824999999999978</v>
      </c>
      <c r="R12" s="18">
        <f t="shared" si="4"/>
        <v>25.824999999999978</v>
      </c>
      <c r="S12" s="19">
        <f t="shared" si="5"/>
        <v>0</v>
      </c>
      <c r="T12" s="20">
        <f t="shared" si="6"/>
        <v>25.824999999999978</v>
      </c>
      <c r="U12" s="4"/>
      <c r="V12" s="4"/>
      <c r="W12" s="4"/>
      <c r="X12" s="35" t="s">
        <v>32</v>
      </c>
      <c r="Y12" s="1">
        <v>15000</v>
      </c>
    </row>
    <row r="13" spans="1:29" s="2" customFormat="1" ht="17.399999999999999">
      <c r="A13" s="9">
        <v>1</v>
      </c>
      <c r="B13" s="8">
        <v>172</v>
      </c>
      <c r="C13" s="8">
        <v>724061220</v>
      </c>
      <c r="D13" s="42" t="s">
        <v>65</v>
      </c>
      <c r="E13" s="42" t="s">
        <v>50</v>
      </c>
      <c r="F13" s="10">
        <v>4</v>
      </c>
      <c r="G13" s="10">
        <v>0</v>
      </c>
      <c r="H13" s="50">
        <v>0</v>
      </c>
      <c r="I13" s="50">
        <v>0</v>
      </c>
      <c r="J13" s="50">
        <v>0</v>
      </c>
      <c r="K13" s="13" t="s">
        <v>52</v>
      </c>
      <c r="L13" s="11">
        <f t="shared" si="0"/>
        <v>6</v>
      </c>
      <c r="M13" s="10">
        <f t="shared" si="1"/>
        <v>0</v>
      </c>
      <c r="N13" s="10">
        <f t="shared" si="2"/>
        <v>0</v>
      </c>
      <c r="O13" s="10">
        <v>0</v>
      </c>
      <c r="P13" s="10">
        <f t="shared" si="3"/>
        <v>6</v>
      </c>
      <c r="Q13" s="17">
        <v>19.568749999999998</v>
      </c>
      <c r="R13" s="18">
        <f t="shared" si="4"/>
        <v>25.568749999999998</v>
      </c>
      <c r="S13" s="19">
        <f t="shared" si="5"/>
        <v>6.25</v>
      </c>
      <c r="T13" s="20">
        <f t="shared" si="6"/>
        <v>19.318749999999998</v>
      </c>
      <c r="U13" s="4"/>
      <c r="V13" s="4"/>
      <c r="W13" s="4"/>
      <c r="X13" s="36" t="s">
        <v>33</v>
      </c>
      <c r="Y13" s="37">
        <v>160</v>
      </c>
      <c r="Z13" s="1"/>
      <c r="AA13" s="1"/>
      <c r="AB13" s="1"/>
      <c r="AC13" s="1"/>
    </row>
    <row r="14" spans="1:29" s="2" customFormat="1" ht="17.399999999999999">
      <c r="A14" s="9">
        <v>1</v>
      </c>
      <c r="B14" s="8">
        <v>185</v>
      </c>
      <c r="C14" s="8">
        <v>30705222</v>
      </c>
      <c r="D14" s="42" t="s">
        <v>68</v>
      </c>
      <c r="E14" s="47"/>
      <c r="F14" s="10">
        <v>4</v>
      </c>
      <c r="G14" s="10">
        <v>1</v>
      </c>
      <c r="H14" s="50">
        <v>0</v>
      </c>
      <c r="I14" s="50">
        <v>0</v>
      </c>
      <c r="J14" s="50">
        <v>0</v>
      </c>
      <c r="K14" s="13" t="s">
        <v>52</v>
      </c>
      <c r="L14" s="11">
        <f t="shared" si="0"/>
        <v>6</v>
      </c>
      <c r="M14" s="10">
        <f t="shared" si="1"/>
        <v>1.2</v>
      </c>
      <c r="N14" s="10">
        <f t="shared" si="2"/>
        <v>0</v>
      </c>
      <c r="O14" s="10">
        <v>0</v>
      </c>
      <c r="P14" s="10">
        <f t="shared" si="3"/>
        <v>7.2</v>
      </c>
      <c r="Q14" s="17">
        <v>18.306249999999999</v>
      </c>
      <c r="R14" s="18">
        <f t="shared" si="4"/>
        <v>25.506249999999998</v>
      </c>
      <c r="S14" s="19">
        <f t="shared" si="5"/>
        <v>6.25</v>
      </c>
      <c r="T14" s="20">
        <f t="shared" si="6"/>
        <v>19.256249999999998</v>
      </c>
      <c r="U14" s="4"/>
      <c r="V14" s="4"/>
      <c r="W14" s="4"/>
      <c r="X14" s="38" t="s">
        <v>42</v>
      </c>
      <c r="Y14" s="37">
        <v>1.2</v>
      </c>
      <c r="Z14" s="1"/>
      <c r="AA14" s="1"/>
      <c r="AB14" s="1"/>
      <c r="AC14" s="1"/>
    </row>
    <row r="15" spans="1:29" s="2" customFormat="1" ht="17.399999999999999">
      <c r="A15" s="9">
        <v>1</v>
      </c>
      <c r="B15" s="8">
        <v>182</v>
      </c>
      <c r="C15" s="8">
        <v>828260319</v>
      </c>
      <c r="D15" s="42" t="s">
        <v>134</v>
      </c>
      <c r="E15" s="42" t="s">
        <v>127</v>
      </c>
      <c r="F15" s="10">
        <v>4</v>
      </c>
      <c r="G15" s="10">
        <v>1</v>
      </c>
      <c r="H15" s="50">
        <v>0</v>
      </c>
      <c r="I15" s="50">
        <v>0</v>
      </c>
      <c r="J15" s="50">
        <v>0</v>
      </c>
      <c r="K15" s="13" t="s">
        <v>52</v>
      </c>
      <c r="L15" s="11">
        <f t="shared" si="0"/>
        <v>6</v>
      </c>
      <c r="M15" s="10">
        <f t="shared" si="1"/>
        <v>1.2</v>
      </c>
      <c r="N15" s="10">
        <f t="shared" si="2"/>
        <v>0</v>
      </c>
      <c r="O15" s="10">
        <v>0</v>
      </c>
      <c r="P15" s="10">
        <f t="shared" si="3"/>
        <v>7.2</v>
      </c>
      <c r="Q15" s="17">
        <v>18.194250000000018</v>
      </c>
      <c r="R15" s="18">
        <f t="shared" si="4"/>
        <v>25.394250000000017</v>
      </c>
      <c r="S15" s="19">
        <f t="shared" si="5"/>
        <v>6.25</v>
      </c>
      <c r="T15" s="20">
        <f t="shared" si="6"/>
        <v>19.144250000000017</v>
      </c>
      <c r="U15" s="4"/>
      <c r="V15" s="4"/>
      <c r="W15" s="4"/>
      <c r="X15" s="1" t="s">
        <v>34</v>
      </c>
      <c r="Y15" s="37">
        <v>2021</v>
      </c>
      <c r="Z15" s="1"/>
      <c r="AA15" s="1"/>
      <c r="AB15" s="1"/>
      <c r="AC15" s="1"/>
    </row>
    <row r="16" spans="1:29" s="2" customFormat="1" ht="20.399999999999999">
      <c r="A16" s="9">
        <v>1</v>
      </c>
      <c r="B16" s="9">
        <v>49</v>
      </c>
      <c r="C16" s="8">
        <v>311361673</v>
      </c>
      <c r="D16" s="43" t="s">
        <v>105</v>
      </c>
      <c r="E16" s="49" t="s">
        <v>11</v>
      </c>
      <c r="F16" s="10">
        <v>4</v>
      </c>
      <c r="G16" s="10">
        <v>1</v>
      </c>
      <c r="H16" s="50">
        <v>0</v>
      </c>
      <c r="I16" s="50">
        <v>0</v>
      </c>
      <c r="J16" s="50">
        <v>0</v>
      </c>
      <c r="K16" s="13" t="s">
        <v>52</v>
      </c>
      <c r="L16" s="11">
        <f t="shared" si="0"/>
        <v>6</v>
      </c>
      <c r="M16" s="10">
        <f>IF(G16&gt;0,1,0)*$Y$14</f>
        <v>1.2</v>
      </c>
      <c r="N16" s="10">
        <f t="shared" si="2"/>
        <v>0</v>
      </c>
      <c r="O16" s="10">
        <v>0</v>
      </c>
      <c r="P16" s="10">
        <f t="shared" si="3"/>
        <v>7.2</v>
      </c>
      <c r="Q16" s="17">
        <v>17.943749999999994</v>
      </c>
      <c r="R16" s="18">
        <f t="shared" si="4"/>
        <v>25.143749999999994</v>
      </c>
      <c r="S16" s="19">
        <f t="shared" si="5"/>
        <v>6.25</v>
      </c>
      <c r="T16" s="20">
        <f t="shared" si="6"/>
        <v>18.893749999999994</v>
      </c>
      <c r="U16" s="11"/>
      <c r="V16" s="11"/>
      <c r="W16" s="11"/>
      <c r="X16" s="1" t="s">
        <v>35</v>
      </c>
      <c r="Y16" s="37">
        <v>10</v>
      </c>
      <c r="Z16" s="1"/>
      <c r="AA16" s="1"/>
      <c r="AB16" s="1"/>
      <c r="AC16" s="1"/>
    </row>
    <row r="17" spans="1:29" s="2" customFormat="1" ht="17.399999999999999">
      <c r="A17" s="9">
        <v>1</v>
      </c>
      <c r="B17" s="8">
        <v>202</v>
      </c>
      <c r="C17" s="8">
        <v>471245585</v>
      </c>
      <c r="D17" s="42" t="s">
        <v>77</v>
      </c>
      <c r="E17" s="47"/>
      <c r="F17" s="10">
        <v>3</v>
      </c>
      <c r="G17" s="10">
        <v>1</v>
      </c>
      <c r="H17" s="50">
        <v>0</v>
      </c>
      <c r="I17" s="50">
        <v>0</v>
      </c>
      <c r="J17" s="50">
        <v>0</v>
      </c>
      <c r="K17" s="13" t="s">
        <v>52</v>
      </c>
      <c r="L17" s="11">
        <f t="shared" si="0"/>
        <v>4</v>
      </c>
      <c r="M17" s="10">
        <f t="shared" ref="M17:M48" si="7">G17*$Y$14</f>
        <v>1.2</v>
      </c>
      <c r="N17" s="10">
        <f t="shared" si="2"/>
        <v>0</v>
      </c>
      <c r="O17" s="10">
        <v>0</v>
      </c>
      <c r="P17" s="10">
        <f t="shared" si="3"/>
        <v>5.2</v>
      </c>
      <c r="Q17" s="17">
        <v>19.824999999999989</v>
      </c>
      <c r="R17" s="18">
        <f t="shared" si="4"/>
        <v>25.024999999999988</v>
      </c>
      <c r="S17" s="19">
        <f t="shared" si="5"/>
        <v>6.25</v>
      </c>
      <c r="T17" s="20">
        <f t="shared" si="6"/>
        <v>18.774999999999988</v>
      </c>
      <c r="U17" s="4"/>
      <c r="V17" s="4"/>
      <c r="W17" s="4"/>
      <c r="X17" s="1" t="s">
        <v>36</v>
      </c>
      <c r="Y17" s="37">
        <v>30</v>
      </c>
      <c r="Z17" s="1"/>
      <c r="AA17" s="1"/>
      <c r="AB17" s="1"/>
      <c r="AC17" s="1"/>
    </row>
    <row r="18" spans="1:29" s="2" customFormat="1" ht="17.399999999999999">
      <c r="A18" s="9">
        <v>1</v>
      </c>
      <c r="B18" s="8">
        <v>238</v>
      </c>
      <c r="C18" s="8">
        <v>108179057</v>
      </c>
      <c r="D18" s="42" t="s">
        <v>120</v>
      </c>
      <c r="E18" s="4"/>
      <c r="F18" s="10">
        <v>4</v>
      </c>
      <c r="G18" s="10">
        <v>1</v>
      </c>
      <c r="H18" s="50">
        <v>0</v>
      </c>
      <c r="I18" s="50">
        <v>0</v>
      </c>
      <c r="J18" s="50">
        <v>0</v>
      </c>
      <c r="K18" s="13" t="s">
        <v>52</v>
      </c>
      <c r="L18" s="11">
        <f t="shared" si="0"/>
        <v>6</v>
      </c>
      <c r="M18" s="10">
        <f t="shared" si="7"/>
        <v>1.2</v>
      </c>
      <c r="N18" s="10">
        <f t="shared" si="2"/>
        <v>0</v>
      </c>
      <c r="O18" s="10">
        <v>0</v>
      </c>
      <c r="P18" s="10">
        <f t="shared" si="3"/>
        <v>7.2</v>
      </c>
      <c r="Q18" s="17">
        <v>17.674999999999986</v>
      </c>
      <c r="R18" s="18">
        <f t="shared" si="4"/>
        <v>24.874999999999986</v>
      </c>
      <c r="S18" s="19">
        <f t="shared" si="5"/>
        <v>6.25</v>
      </c>
      <c r="T18" s="20">
        <f t="shared" si="6"/>
        <v>18.624999999999986</v>
      </c>
      <c r="U18" s="4"/>
      <c r="V18" s="4"/>
      <c r="W18" s="4"/>
      <c r="X18" s="51" t="s">
        <v>103</v>
      </c>
      <c r="Y18" s="37">
        <v>0.4</v>
      </c>
      <c r="Z18" s="1"/>
      <c r="AA18" s="1"/>
      <c r="AB18" s="1"/>
      <c r="AC18" s="1"/>
    </row>
    <row r="19" spans="1:29" s="2" customFormat="1" ht="17.399999999999999">
      <c r="A19" s="9">
        <v>1</v>
      </c>
      <c r="B19" s="8">
        <v>116</v>
      </c>
      <c r="C19" s="8">
        <v>2122596917</v>
      </c>
      <c r="D19" s="42" t="s">
        <v>61</v>
      </c>
      <c r="E19" s="42" t="s">
        <v>37</v>
      </c>
      <c r="F19" s="10">
        <v>4</v>
      </c>
      <c r="G19" s="10">
        <v>1</v>
      </c>
      <c r="H19" s="50">
        <v>0</v>
      </c>
      <c r="I19" s="50">
        <v>0</v>
      </c>
      <c r="J19" s="50">
        <v>0</v>
      </c>
      <c r="K19" s="13" t="s">
        <v>52</v>
      </c>
      <c r="L19" s="11">
        <f t="shared" si="0"/>
        <v>6</v>
      </c>
      <c r="M19" s="10">
        <f t="shared" si="7"/>
        <v>1.2</v>
      </c>
      <c r="N19" s="10">
        <f t="shared" si="2"/>
        <v>0</v>
      </c>
      <c r="O19" s="10">
        <v>0</v>
      </c>
      <c r="P19" s="10">
        <f t="shared" si="3"/>
        <v>7.2</v>
      </c>
      <c r="Q19" s="17">
        <v>17.362499999999997</v>
      </c>
      <c r="R19" s="18">
        <f t="shared" si="4"/>
        <v>24.562499999999996</v>
      </c>
      <c r="S19" s="19">
        <f t="shared" si="5"/>
        <v>6.25</v>
      </c>
      <c r="T19" s="20">
        <f t="shared" si="6"/>
        <v>18.312499999999996</v>
      </c>
      <c r="U19" s="11"/>
      <c r="V19" s="11"/>
      <c r="W19" s="32"/>
      <c r="X19" s="1"/>
      <c r="Y19" s="1"/>
      <c r="Z19" s="1"/>
      <c r="AA19" s="1"/>
      <c r="AB19" s="1"/>
      <c r="AC19" s="1"/>
    </row>
    <row r="20" spans="1:29" s="2" customFormat="1" ht="17.399999999999999">
      <c r="A20" s="9">
        <v>1</v>
      </c>
      <c r="B20" s="8">
        <v>128</v>
      </c>
      <c r="C20" s="8">
        <v>1214614935</v>
      </c>
      <c r="D20" s="42" t="s">
        <v>62</v>
      </c>
      <c r="E20" s="49" t="s">
        <v>43</v>
      </c>
      <c r="F20" s="10">
        <v>4</v>
      </c>
      <c r="G20" s="10">
        <v>1</v>
      </c>
      <c r="H20" s="50">
        <v>0</v>
      </c>
      <c r="I20" s="50">
        <v>0</v>
      </c>
      <c r="J20" s="50">
        <v>0</v>
      </c>
      <c r="K20" s="14" t="s">
        <v>53</v>
      </c>
      <c r="L20" s="11">
        <f t="shared" si="0"/>
        <v>6</v>
      </c>
      <c r="M20" s="10">
        <f t="shared" si="7"/>
        <v>1.2</v>
      </c>
      <c r="N20" s="10">
        <f t="shared" si="2"/>
        <v>0</v>
      </c>
      <c r="O20" s="10">
        <v>0</v>
      </c>
      <c r="P20" s="10">
        <f t="shared" si="3"/>
        <v>7.2</v>
      </c>
      <c r="Q20" s="17">
        <v>17.224499999999992</v>
      </c>
      <c r="R20" s="18">
        <f t="shared" si="4"/>
        <v>24.424499999999991</v>
      </c>
      <c r="S20" s="19">
        <f t="shared" si="5"/>
        <v>8.125</v>
      </c>
      <c r="T20" s="20">
        <f t="shared" si="6"/>
        <v>16.299499999999991</v>
      </c>
      <c r="U20" s="11"/>
      <c r="V20" s="11"/>
      <c r="W20" s="31"/>
      <c r="X20" s="1"/>
      <c r="Y20" s="1"/>
      <c r="Z20" s="1"/>
      <c r="AA20" s="1"/>
      <c r="AB20" s="1"/>
      <c r="AC20" s="1"/>
    </row>
    <row r="21" spans="1:29" s="2" customFormat="1" ht="17.399999999999999">
      <c r="A21" s="9">
        <v>1</v>
      </c>
      <c r="B21" s="9">
        <v>231</v>
      </c>
      <c r="C21" s="8">
        <v>1725915293</v>
      </c>
      <c r="D21" s="42" t="s">
        <v>112</v>
      </c>
      <c r="E21" s="4"/>
      <c r="F21" s="10">
        <v>4</v>
      </c>
      <c r="G21" s="10">
        <v>1</v>
      </c>
      <c r="H21" s="50">
        <v>0</v>
      </c>
      <c r="I21" s="50">
        <v>0</v>
      </c>
      <c r="J21" s="50">
        <v>0</v>
      </c>
      <c r="K21" s="14" t="s">
        <v>53</v>
      </c>
      <c r="L21" s="11">
        <f t="shared" si="0"/>
        <v>6</v>
      </c>
      <c r="M21" s="10">
        <f t="shared" si="7"/>
        <v>1.2</v>
      </c>
      <c r="N21" s="10">
        <f t="shared" si="2"/>
        <v>0</v>
      </c>
      <c r="O21" s="10">
        <v>0</v>
      </c>
      <c r="P21" s="10">
        <f t="shared" si="3"/>
        <v>7.2</v>
      </c>
      <c r="Q21" s="17">
        <v>17.168749999999996</v>
      </c>
      <c r="R21" s="18">
        <f t="shared" si="4"/>
        <v>24.368749999999995</v>
      </c>
      <c r="S21" s="19">
        <f t="shared" si="5"/>
        <v>8.125</v>
      </c>
      <c r="T21" s="20">
        <f t="shared" si="6"/>
        <v>16.243749999999995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7.399999999999999">
      <c r="A22" s="9">
        <v>1</v>
      </c>
      <c r="B22" s="8">
        <v>208</v>
      </c>
      <c r="C22" s="8">
        <v>92129464</v>
      </c>
      <c r="D22" s="42" t="s">
        <v>82</v>
      </c>
      <c r="E22" s="47"/>
      <c r="F22" s="10">
        <v>4</v>
      </c>
      <c r="G22" s="10">
        <v>1</v>
      </c>
      <c r="H22" s="50">
        <v>0</v>
      </c>
      <c r="I22" s="50">
        <v>0</v>
      </c>
      <c r="J22" s="50">
        <v>0</v>
      </c>
      <c r="K22" s="14" t="s">
        <v>53</v>
      </c>
      <c r="L22" s="11">
        <f t="shared" si="0"/>
        <v>6</v>
      </c>
      <c r="M22" s="10">
        <f t="shared" si="7"/>
        <v>1.2</v>
      </c>
      <c r="N22" s="10">
        <f t="shared" si="2"/>
        <v>0</v>
      </c>
      <c r="O22" s="10">
        <v>0</v>
      </c>
      <c r="P22" s="10">
        <f t="shared" si="3"/>
        <v>7.2</v>
      </c>
      <c r="Q22" s="17">
        <v>16.949999999999996</v>
      </c>
      <c r="R22" s="18">
        <f t="shared" si="4"/>
        <v>24.149999999999995</v>
      </c>
      <c r="S22" s="19">
        <f t="shared" si="5"/>
        <v>8.125</v>
      </c>
      <c r="T22" s="20">
        <f t="shared" si="6"/>
        <v>16.024999999999995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20.399999999999999">
      <c r="A23" s="9">
        <v>1</v>
      </c>
      <c r="B23" s="8">
        <v>221</v>
      </c>
      <c r="C23" s="8">
        <v>790956883</v>
      </c>
      <c r="D23" s="42" t="s">
        <v>96</v>
      </c>
      <c r="E23" s="42" t="s">
        <v>95</v>
      </c>
      <c r="F23" s="10">
        <v>4</v>
      </c>
      <c r="G23" s="10">
        <v>1</v>
      </c>
      <c r="H23" s="50">
        <v>0</v>
      </c>
      <c r="I23" s="50">
        <v>0</v>
      </c>
      <c r="J23" s="50">
        <v>0</v>
      </c>
      <c r="K23" s="14" t="s">
        <v>53</v>
      </c>
      <c r="L23" s="11">
        <f t="shared" si="0"/>
        <v>6</v>
      </c>
      <c r="M23" s="10">
        <f t="shared" si="7"/>
        <v>1.2</v>
      </c>
      <c r="N23" s="10">
        <f t="shared" si="2"/>
        <v>0</v>
      </c>
      <c r="O23" s="10">
        <v>0</v>
      </c>
      <c r="P23" s="10">
        <f t="shared" si="3"/>
        <v>7.2</v>
      </c>
      <c r="Q23" s="17">
        <v>16.906249999999993</v>
      </c>
      <c r="R23" s="18">
        <f t="shared" si="4"/>
        <v>24.106249999999992</v>
      </c>
      <c r="S23" s="19">
        <f t="shared" si="5"/>
        <v>8.125</v>
      </c>
      <c r="T23" s="20">
        <f t="shared" si="6"/>
        <v>15.981249999999992</v>
      </c>
      <c r="U23" s="4"/>
      <c r="V23" s="4"/>
      <c r="W23" s="4"/>
    </row>
    <row r="24" spans="1:29" s="1" customFormat="1" ht="17.399999999999999">
      <c r="A24" s="9">
        <v>1</v>
      </c>
      <c r="B24" s="8">
        <v>242</v>
      </c>
      <c r="C24" s="8">
        <v>1381736232</v>
      </c>
      <c r="D24" s="42" t="s">
        <v>125</v>
      </c>
      <c r="E24" s="4"/>
      <c r="F24" s="10">
        <v>4</v>
      </c>
      <c r="G24" s="10">
        <v>1</v>
      </c>
      <c r="H24" s="50">
        <v>0</v>
      </c>
      <c r="I24" s="50">
        <v>0</v>
      </c>
      <c r="J24" s="50">
        <v>0</v>
      </c>
      <c r="K24" s="14" t="s">
        <v>53</v>
      </c>
      <c r="L24" s="11">
        <f t="shared" si="0"/>
        <v>6</v>
      </c>
      <c r="M24" s="10">
        <f t="shared" si="7"/>
        <v>1.2</v>
      </c>
      <c r="N24" s="10">
        <f t="shared" si="2"/>
        <v>0</v>
      </c>
      <c r="O24" s="10">
        <v>0</v>
      </c>
      <c r="P24" s="10">
        <f t="shared" si="3"/>
        <v>7.2</v>
      </c>
      <c r="Q24" s="17">
        <v>16.70624999999999</v>
      </c>
      <c r="R24" s="18">
        <f t="shared" si="4"/>
        <v>23.906249999999989</v>
      </c>
      <c r="S24" s="19">
        <f t="shared" si="5"/>
        <v>8.125</v>
      </c>
      <c r="T24" s="20">
        <f t="shared" si="6"/>
        <v>15.781249999999989</v>
      </c>
      <c r="U24" s="4"/>
      <c r="V24" s="4"/>
      <c r="W24" s="4"/>
    </row>
    <row r="25" spans="1:29" s="1" customFormat="1" ht="17.399999999999999">
      <c r="A25" s="9">
        <v>1</v>
      </c>
      <c r="B25" s="8">
        <v>183</v>
      </c>
      <c r="C25" s="8">
        <v>1250030371</v>
      </c>
      <c r="D25" s="42" t="s">
        <v>130</v>
      </c>
      <c r="E25" s="42" t="s">
        <v>121</v>
      </c>
      <c r="F25" s="10">
        <v>4</v>
      </c>
      <c r="G25" s="10">
        <v>1</v>
      </c>
      <c r="H25" s="50">
        <v>0</v>
      </c>
      <c r="I25" s="50">
        <v>0</v>
      </c>
      <c r="J25" s="50">
        <v>0</v>
      </c>
      <c r="K25" s="14" t="s">
        <v>53</v>
      </c>
      <c r="L25" s="11">
        <f t="shared" si="0"/>
        <v>6</v>
      </c>
      <c r="M25" s="10">
        <f t="shared" si="7"/>
        <v>1.2</v>
      </c>
      <c r="N25" s="10">
        <f t="shared" si="2"/>
        <v>0</v>
      </c>
      <c r="O25" s="10">
        <v>0</v>
      </c>
      <c r="P25" s="10">
        <f t="shared" si="3"/>
        <v>7.2</v>
      </c>
      <c r="Q25" s="17">
        <v>16.418749999999996</v>
      </c>
      <c r="R25" s="18">
        <f t="shared" si="4"/>
        <v>23.618749999999995</v>
      </c>
      <c r="S25" s="19">
        <f t="shared" si="5"/>
        <v>8.125</v>
      </c>
      <c r="T25" s="20">
        <f t="shared" si="6"/>
        <v>15.493749999999995</v>
      </c>
      <c r="U25" s="4"/>
      <c r="V25" s="4"/>
      <c r="W25" s="4"/>
    </row>
    <row r="26" spans="1:29" s="1" customFormat="1" ht="18.75" customHeight="1">
      <c r="A26" s="9">
        <v>1</v>
      </c>
      <c r="B26" s="9">
        <v>46</v>
      </c>
      <c r="C26" s="8">
        <v>2109182835</v>
      </c>
      <c r="D26" s="42" t="s">
        <v>59</v>
      </c>
      <c r="E26" s="42" t="s">
        <v>10</v>
      </c>
      <c r="F26" s="10">
        <v>3</v>
      </c>
      <c r="G26" s="10">
        <v>1</v>
      </c>
      <c r="H26" s="50">
        <v>0</v>
      </c>
      <c r="I26" s="50">
        <v>0</v>
      </c>
      <c r="J26" s="50">
        <v>0</v>
      </c>
      <c r="K26" s="14" t="s">
        <v>53</v>
      </c>
      <c r="L26" s="11">
        <f t="shared" si="0"/>
        <v>4</v>
      </c>
      <c r="M26" s="10">
        <f t="shared" si="7"/>
        <v>1.2</v>
      </c>
      <c r="N26" s="10">
        <f t="shared" si="2"/>
        <v>0</v>
      </c>
      <c r="O26" s="10">
        <v>0</v>
      </c>
      <c r="P26" s="10">
        <f t="shared" si="3"/>
        <v>5.2</v>
      </c>
      <c r="Q26" s="17">
        <v>18.305000000000014</v>
      </c>
      <c r="R26" s="18">
        <f t="shared" si="4"/>
        <v>23.505000000000013</v>
      </c>
      <c r="S26" s="19">
        <f t="shared" si="5"/>
        <v>8.125</v>
      </c>
      <c r="T26" s="20">
        <f t="shared" si="6"/>
        <v>15.380000000000013</v>
      </c>
      <c r="U26" s="11"/>
      <c r="V26" s="11"/>
      <c r="W26" s="11"/>
    </row>
    <row r="27" spans="1:29" s="1" customFormat="1" ht="17.399999999999999">
      <c r="A27" s="9">
        <v>1</v>
      </c>
      <c r="B27" s="8">
        <v>189</v>
      </c>
      <c r="C27" s="8">
        <v>522812489</v>
      </c>
      <c r="D27" s="42" t="s">
        <v>70</v>
      </c>
      <c r="E27" s="47"/>
      <c r="F27" s="10">
        <v>2</v>
      </c>
      <c r="G27" s="10">
        <v>1</v>
      </c>
      <c r="H27" s="50">
        <v>0</v>
      </c>
      <c r="I27" s="50">
        <v>0</v>
      </c>
      <c r="J27" s="50">
        <v>0</v>
      </c>
      <c r="K27" s="14" t="s">
        <v>53</v>
      </c>
      <c r="L27" s="11">
        <f t="shared" si="0"/>
        <v>2</v>
      </c>
      <c r="M27" s="10">
        <f t="shared" si="7"/>
        <v>1.2</v>
      </c>
      <c r="N27" s="10">
        <f t="shared" si="2"/>
        <v>0</v>
      </c>
      <c r="O27" s="10">
        <v>0</v>
      </c>
      <c r="P27" s="10">
        <f t="shared" si="3"/>
        <v>3.2</v>
      </c>
      <c r="Q27" s="17">
        <v>20.225000000000001</v>
      </c>
      <c r="R27" s="18">
        <f t="shared" si="4"/>
        <v>23.425000000000001</v>
      </c>
      <c r="S27" s="19">
        <f t="shared" si="5"/>
        <v>8.125</v>
      </c>
      <c r="T27" s="20">
        <f t="shared" si="6"/>
        <v>15.3</v>
      </c>
      <c r="U27" s="4"/>
      <c r="V27" s="4"/>
      <c r="W27" s="4"/>
    </row>
    <row r="28" spans="1:29" s="1" customFormat="1" ht="17.399999999999999">
      <c r="A28" s="9">
        <v>1</v>
      </c>
      <c r="B28" s="8">
        <v>232</v>
      </c>
      <c r="C28" s="8">
        <v>1088909927</v>
      </c>
      <c r="D28" s="42" t="s">
        <v>113</v>
      </c>
      <c r="E28" s="4"/>
      <c r="F28" s="10">
        <v>4</v>
      </c>
      <c r="G28" s="10">
        <v>1</v>
      </c>
      <c r="H28" s="50">
        <v>0</v>
      </c>
      <c r="I28" s="50">
        <v>0</v>
      </c>
      <c r="J28" s="50">
        <v>0</v>
      </c>
      <c r="K28" s="14" t="s">
        <v>53</v>
      </c>
      <c r="L28" s="11">
        <f t="shared" si="0"/>
        <v>6</v>
      </c>
      <c r="M28" s="10">
        <f t="shared" si="7"/>
        <v>1.2</v>
      </c>
      <c r="N28" s="10">
        <f t="shared" si="2"/>
        <v>0</v>
      </c>
      <c r="O28" s="10">
        <v>0</v>
      </c>
      <c r="P28" s="10">
        <f t="shared" si="3"/>
        <v>7.2</v>
      </c>
      <c r="Q28" s="17">
        <v>16.206249999999997</v>
      </c>
      <c r="R28" s="18">
        <f t="shared" si="4"/>
        <v>23.406249999999996</v>
      </c>
      <c r="S28" s="19">
        <f t="shared" si="5"/>
        <v>8.125</v>
      </c>
      <c r="T28" s="20">
        <f t="shared" si="6"/>
        <v>15.281249999999996</v>
      </c>
      <c r="U28" s="4"/>
      <c r="V28" s="4"/>
      <c r="W28" s="4"/>
    </row>
    <row r="29" spans="1:29" s="2" customFormat="1" ht="17.399999999999999">
      <c r="A29" s="9">
        <v>1</v>
      </c>
      <c r="B29" s="8">
        <v>118</v>
      </c>
      <c r="C29" s="8">
        <v>2018112397</v>
      </c>
      <c r="D29" s="42" t="s">
        <v>54</v>
      </c>
      <c r="E29" s="42" t="s">
        <v>47</v>
      </c>
      <c r="F29" s="10">
        <v>4</v>
      </c>
      <c r="G29" s="10">
        <v>1</v>
      </c>
      <c r="H29" s="50">
        <v>0</v>
      </c>
      <c r="I29" s="50">
        <v>0</v>
      </c>
      <c r="J29" s="50">
        <v>0</v>
      </c>
      <c r="K29" s="14" t="s">
        <v>53</v>
      </c>
      <c r="L29" s="11">
        <f t="shared" si="0"/>
        <v>6</v>
      </c>
      <c r="M29" s="10">
        <f t="shared" si="7"/>
        <v>1.2</v>
      </c>
      <c r="N29" s="10">
        <f t="shared" si="2"/>
        <v>0</v>
      </c>
      <c r="O29" s="10">
        <v>0</v>
      </c>
      <c r="P29" s="10">
        <f t="shared" si="3"/>
        <v>7.2</v>
      </c>
      <c r="Q29" s="17">
        <v>15.856249999999985</v>
      </c>
      <c r="R29" s="18">
        <f t="shared" si="4"/>
        <v>23.056249999999984</v>
      </c>
      <c r="S29" s="19">
        <f t="shared" si="5"/>
        <v>8.125</v>
      </c>
      <c r="T29" s="20">
        <f t="shared" si="6"/>
        <v>14.931249999999984</v>
      </c>
      <c r="U29" s="11"/>
      <c r="V29" s="11"/>
      <c r="W29" s="32"/>
      <c r="X29" s="1"/>
      <c r="Y29" s="1"/>
      <c r="Z29" s="1"/>
      <c r="AA29" s="1"/>
      <c r="AB29" s="1"/>
      <c r="AC29" s="1"/>
    </row>
    <row r="30" spans="1:29" s="2" customFormat="1" ht="17.399999999999999">
      <c r="A30" s="9">
        <v>1</v>
      </c>
      <c r="B30" s="8">
        <v>195</v>
      </c>
      <c r="C30" s="8">
        <v>1634663314</v>
      </c>
      <c r="D30" s="42" t="s">
        <v>73</v>
      </c>
      <c r="E30" s="47"/>
      <c r="F30" s="10">
        <v>2</v>
      </c>
      <c r="G30" s="10">
        <v>1</v>
      </c>
      <c r="H30" s="50">
        <v>0</v>
      </c>
      <c r="I30" s="50">
        <v>0</v>
      </c>
      <c r="J30" s="50">
        <v>0</v>
      </c>
      <c r="K30" s="14" t="s">
        <v>53</v>
      </c>
      <c r="L30" s="11">
        <f t="shared" si="0"/>
        <v>2</v>
      </c>
      <c r="M30" s="10">
        <f t="shared" si="7"/>
        <v>1.2</v>
      </c>
      <c r="N30" s="10">
        <f t="shared" si="2"/>
        <v>0</v>
      </c>
      <c r="O30" s="10">
        <v>0</v>
      </c>
      <c r="P30" s="10">
        <f t="shared" si="3"/>
        <v>3.2</v>
      </c>
      <c r="Q30" s="17">
        <v>19.105749999999986</v>
      </c>
      <c r="R30" s="18">
        <f t="shared" si="4"/>
        <v>22.305749999999986</v>
      </c>
      <c r="S30" s="19">
        <f t="shared" si="5"/>
        <v>8.125</v>
      </c>
      <c r="T30" s="20">
        <f t="shared" si="6"/>
        <v>14.180749999999986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20.399999999999999">
      <c r="A31" s="9">
        <v>1</v>
      </c>
      <c r="B31" s="8">
        <v>229</v>
      </c>
      <c r="C31" s="8">
        <v>1598972736</v>
      </c>
      <c r="D31" s="42" t="s">
        <v>110</v>
      </c>
      <c r="E31" s="42"/>
      <c r="F31" s="10">
        <v>0</v>
      </c>
      <c r="G31" s="10">
        <v>0</v>
      </c>
      <c r="H31" s="50">
        <v>0</v>
      </c>
      <c r="I31" s="50">
        <v>0</v>
      </c>
      <c r="J31" s="50">
        <v>0</v>
      </c>
      <c r="K31" s="39" t="s">
        <v>30</v>
      </c>
      <c r="L31" s="11">
        <f t="shared" si="0"/>
        <v>0</v>
      </c>
      <c r="M31" s="10">
        <f t="shared" si="7"/>
        <v>0</v>
      </c>
      <c r="N31" s="10">
        <f t="shared" si="2"/>
        <v>0</v>
      </c>
      <c r="O31" s="10">
        <v>0</v>
      </c>
      <c r="P31" s="10">
        <f t="shared" si="3"/>
        <v>0</v>
      </c>
      <c r="Q31" s="17">
        <v>21.197089552238797</v>
      </c>
      <c r="R31" s="18">
        <f t="shared" si="4"/>
        <v>21.197089552238797</v>
      </c>
      <c r="S31" s="19">
        <f t="shared" si="5"/>
        <v>0</v>
      </c>
      <c r="T31" s="20">
        <f t="shared" si="6"/>
        <v>21.197089552238797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7.399999999999999">
      <c r="A32" s="9">
        <v>1</v>
      </c>
      <c r="B32" s="8">
        <v>196</v>
      </c>
      <c r="C32" s="8">
        <v>1065641844</v>
      </c>
      <c r="D32" s="42" t="s">
        <v>74</v>
      </c>
      <c r="E32" s="47"/>
      <c r="F32" s="10">
        <v>0</v>
      </c>
      <c r="G32" s="10">
        <v>0</v>
      </c>
      <c r="H32" s="50">
        <v>0</v>
      </c>
      <c r="I32" s="50">
        <v>0</v>
      </c>
      <c r="J32" s="50">
        <v>0</v>
      </c>
      <c r="K32" s="39" t="s">
        <v>30</v>
      </c>
      <c r="L32" s="11">
        <f t="shared" si="0"/>
        <v>0</v>
      </c>
      <c r="M32" s="10">
        <f t="shared" si="7"/>
        <v>0</v>
      </c>
      <c r="N32" s="10">
        <f t="shared" si="2"/>
        <v>0</v>
      </c>
      <c r="O32" s="10">
        <v>0</v>
      </c>
      <c r="P32" s="10">
        <f t="shared" si="3"/>
        <v>0</v>
      </c>
      <c r="Q32" s="17">
        <v>21.062499999999993</v>
      </c>
      <c r="R32" s="18">
        <f t="shared" si="4"/>
        <v>21.062499999999993</v>
      </c>
      <c r="S32" s="19">
        <f t="shared" si="5"/>
        <v>0</v>
      </c>
      <c r="T32" s="20">
        <f t="shared" si="6"/>
        <v>21.062499999999993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20.399999999999999">
      <c r="A33" s="9">
        <v>1</v>
      </c>
      <c r="B33" s="8">
        <v>214</v>
      </c>
      <c r="C33" s="8">
        <v>2130976604</v>
      </c>
      <c r="D33" s="42" t="s">
        <v>86</v>
      </c>
      <c r="F33" s="10">
        <v>4</v>
      </c>
      <c r="G33" s="10">
        <v>1</v>
      </c>
      <c r="H33" s="50">
        <v>0</v>
      </c>
      <c r="I33" s="50">
        <v>0</v>
      </c>
      <c r="J33" s="50">
        <v>0</v>
      </c>
      <c r="K33" s="14" t="s">
        <v>53</v>
      </c>
      <c r="L33" s="11">
        <f t="shared" si="0"/>
        <v>6</v>
      </c>
      <c r="M33" s="10">
        <f t="shared" si="7"/>
        <v>1.2</v>
      </c>
      <c r="N33" s="10">
        <f t="shared" si="2"/>
        <v>0</v>
      </c>
      <c r="O33" s="10">
        <v>0</v>
      </c>
      <c r="P33" s="10">
        <f t="shared" si="3"/>
        <v>7.2</v>
      </c>
      <c r="Q33" s="17">
        <v>13.337499999999984</v>
      </c>
      <c r="R33" s="18">
        <f t="shared" si="4"/>
        <v>20.537499999999984</v>
      </c>
      <c r="S33" s="19">
        <f t="shared" si="5"/>
        <v>8.125</v>
      </c>
      <c r="T33" s="20">
        <f t="shared" si="6"/>
        <v>12.412499999999984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7.399999999999999">
      <c r="A34" s="9">
        <v>1</v>
      </c>
      <c r="B34" s="8">
        <v>236</v>
      </c>
      <c r="C34" s="8">
        <v>1968448898</v>
      </c>
      <c r="D34" s="42" t="s">
        <v>118</v>
      </c>
      <c r="E34" s="4"/>
      <c r="F34" s="10">
        <v>3</v>
      </c>
      <c r="G34" s="10">
        <v>1</v>
      </c>
      <c r="H34" s="50">
        <v>0</v>
      </c>
      <c r="I34" s="50">
        <v>0</v>
      </c>
      <c r="J34" s="50">
        <v>0</v>
      </c>
      <c r="K34" s="14" t="s">
        <v>53</v>
      </c>
      <c r="L34" s="11">
        <f t="shared" si="0"/>
        <v>4</v>
      </c>
      <c r="M34" s="10">
        <f t="shared" si="7"/>
        <v>1.2</v>
      </c>
      <c r="N34" s="10">
        <f t="shared" si="2"/>
        <v>0</v>
      </c>
      <c r="O34" s="10">
        <v>0</v>
      </c>
      <c r="P34" s="10">
        <f t="shared" si="3"/>
        <v>5.2</v>
      </c>
      <c r="Q34" s="17">
        <v>15.106249999999989</v>
      </c>
      <c r="R34" s="18">
        <f t="shared" si="4"/>
        <v>20.306249999999988</v>
      </c>
      <c r="S34" s="19">
        <f t="shared" si="5"/>
        <v>8.125</v>
      </c>
      <c r="T34" s="20">
        <f t="shared" si="6"/>
        <v>12.181249999999988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7.399999999999999">
      <c r="A35" s="9">
        <v>1</v>
      </c>
      <c r="B35" s="8">
        <v>178</v>
      </c>
      <c r="C35" s="8">
        <v>1059185275</v>
      </c>
      <c r="D35" s="42" t="s">
        <v>66</v>
      </c>
      <c r="E35" s="47"/>
      <c r="F35" s="10">
        <v>2</v>
      </c>
      <c r="G35" s="10">
        <v>1</v>
      </c>
      <c r="H35" s="50">
        <v>0</v>
      </c>
      <c r="I35" s="50">
        <v>0</v>
      </c>
      <c r="J35" s="50">
        <v>0</v>
      </c>
      <c r="K35" s="14" t="s">
        <v>53</v>
      </c>
      <c r="L35" s="11">
        <f t="shared" si="0"/>
        <v>2</v>
      </c>
      <c r="M35" s="10">
        <f t="shared" si="7"/>
        <v>1.2</v>
      </c>
      <c r="N35" s="10">
        <f t="shared" si="2"/>
        <v>0</v>
      </c>
      <c r="O35" s="10">
        <v>0</v>
      </c>
      <c r="P35" s="10">
        <f t="shared" si="3"/>
        <v>3.2</v>
      </c>
      <c r="Q35" s="17">
        <v>16.812499999999993</v>
      </c>
      <c r="R35" s="18">
        <f t="shared" si="4"/>
        <v>20.012499999999992</v>
      </c>
      <c r="S35" s="19">
        <f t="shared" si="5"/>
        <v>8.125</v>
      </c>
      <c r="T35" s="20">
        <f t="shared" si="6"/>
        <v>11.887499999999992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7.399999999999999">
      <c r="A36" s="9">
        <v>1</v>
      </c>
      <c r="B36" s="8">
        <v>241</v>
      </c>
      <c r="C36" s="8">
        <v>1136259669</v>
      </c>
      <c r="D36" s="42" t="s">
        <v>124</v>
      </c>
      <c r="E36" s="4"/>
      <c r="F36" s="10">
        <v>0</v>
      </c>
      <c r="G36" s="10">
        <v>1</v>
      </c>
      <c r="H36" s="50">
        <v>0</v>
      </c>
      <c r="I36" s="50">
        <v>0</v>
      </c>
      <c r="J36" s="50">
        <v>0</v>
      </c>
      <c r="K36" s="39" t="s">
        <v>30</v>
      </c>
      <c r="L36" s="11">
        <f t="shared" si="0"/>
        <v>0</v>
      </c>
      <c r="M36" s="10">
        <f t="shared" si="7"/>
        <v>1.2</v>
      </c>
      <c r="N36" s="10">
        <f t="shared" si="2"/>
        <v>0</v>
      </c>
      <c r="O36" s="10">
        <v>0</v>
      </c>
      <c r="P36" s="10">
        <f t="shared" si="3"/>
        <v>1.2</v>
      </c>
      <c r="Q36" s="17">
        <v>18.518749999999986</v>
      </c>
      <c r="R36" s="18">
        <f t="shared" si="4"/>
        <v>19.718749999999986</v>
      </c>
      <c r="S36" s="19">
        <f t="shared" si="5"/>
        <v>0</v>
      </c>
      <c r="T36" s="20">
        <f t="shared" si="6"/>
        <v>19.718749999999986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7.399999999999999">
      <c r="A37" s="9">
        <v>1</v>
      </c>
      <c r="B37" s="8">
        <v>174</v>
      </c>
      <c r="C37" s="8">
        <v>775720958</v>
      </c>
      <c r="D37" s="42" t="s">
        <v>79</v>
      </c>
      <c r="E37" s="42" t="s">
        <v>49</v>
      </c>
      <c r="F37" s="10">
        <v>3</v>
      </c>
      <c r="G37" s="10">
        <v>1</v>
      </c>
      <c r="H37" s="50">
        <v>0</v>
      </c>
      <c r="I37" s="50">
        <v>0</v>
      </c>
      <c r="J37" s="50">
        <v>0</v>
      </c>
      <c r="K37" s="14" t="s">
        <v>53</v>
      </c>
      <c r="L37" s="11">
        <f t="shared" ref="L37:L70" si="8">F37+IF(F37&gt;2,(F37-2)*1,0)</f>
        <v>4</v>
      </c>
      <c r="M37" s="10">
        <f t="shared" si="7"/>
        <v>1.2</v>
      </c>
      <c r="N37" s="10">
        <f t="shared" ref="N37:N70" si="9">SUM(H37:J37)*$Y$18</f>
        <v>0</v>
      </c>
      <c r="O37" s="10">
        <v>0</v>
      </c>
      <c r="P37" s="10">
        <f t="shared" ref="P37:P68" si="10">SUM(M37+L37+O37+N37)</f>
        <v>5.2</v>
      </c>
      <c r="Q37" s="17">
        <v>13.774999999999981</v>
      </c>
      <c r="R37" s="18">
        <f t="shared" ref="R37:R68" si="11">P37+Q37</f>
        <v>18.97499999999998</v>
      </c>
      <c r="S37" s="19">
        <f t="shared" ref="S37:S70" si="12">VLOOKUP(K37,$X$3:$Y$10,2,FALSE)</f>
        <v>8.125</v>
      </c>
      <c r="T37" s="20">
        <f t="shared" ref="T37:T68" si="13">R37-S37</f>
        <v>10.84999999999998</v>
      </c>
      <c r="U37" s="4"/>
      <c r="V37" s="4"/>
      <c r="W37" s="4"/>
    </row>
    <row r="38" spans="1:29" s="2" customFormat="1" ht="17.399999999999999">
      <c r="A38" s="9">
        <v>1</v>
      </c>
      <c r="B38" s="9">
        <v>92</v>
      </c>
      <c r="C38" s="8">
        <v>1367873925</v>
      </c>
      <c r="D38" s="42" t="s">
        <v>80</v>
      </c>
      <c r="E38" s="42" t="s">
        <v>31</v>
      </c>
      <c r="F38" s="10">
        <v>4</v>
      </c>
      <c r="G38" s="10">
        <v>1</v>
      </c>
      <c r="H38" s="50">
        <v>0</v>
      </c>
      <c r="I38" s="50">
        <v>0</v>
      </c>
      <c r="J38" s="50">
        <v>0</v>
      </c>
      <c r="K38" s="14" t="s">
        <v>53</v>
      </c>
      <c r="L38" s="11">
        <f t="shared" si="8"/>
        <v>6</v>
      </c>
      <c r="M38" s="10">
        <f t="shared" si="7"/>
        <v>1.2</v>
      </c>
      <c r="N38" s="10">
        <f t="shared" si="9"/>
        <v>0</v>
      </c>
      <c r="O38" s="10">
        <v>0</v>
      </c>
      <c r="P38" s="10">
        <f t="shared" si="10"/>
        <v>7.2</v>
      </c>
      <c r="Q38" s="17">
        <v>11.756249999999991</v>
      </c>
      <c r="R38" s="18">
        <f t="shared" si="11"/>
        <v>18.95624999999999</v>
      </c>
      <c r="S38" s="19">
        <f t="shared" si="12"/>
        <v>8.125</v>
      </c>
      <c r="T38" s="20">
        <f t="shared" si="13"/>
        <v>10.83124999999999</v>
      </c>
      <c r="U38" s="11"/>
      <c r="V38" s="11"/>
      <c r="W38" s="31"/>
      <c r="X38" s="1"/>
      <c r="Y38" s="1"/>
      <c r="Z38" s="1"/>
      <c r="AA38" s="1"/>
      <c r="AB38" s="1"/>
      <c r="AC38" s="1"/>
    </row>
    <row r="39" spans="1:29" s="3" customFormat="1" ht="17.399999999999999">
      <c r="A39" s="9">
        <v>1</v>
      </c>
      <c r="B39" s="8">
        <v>234</v>
      </c>
      <c r="C39" s="8">
        <v>1333428907</v>
      </c>
      <c r="D39" s="42" t="s">
        <v>128</v>
      </c>
      <c r="E39" s="42" t="s">
        <v>115</v>
      </c>
      <c r="F39" s="10">
        <v>0</v>
      </c>
      <c r="G39" s="10">
        <v>0</v>
      </c>
      <c r="H39" s="50">
        <v>0</v>
      </c>
      <c r="I39" s="50">
        <v>0</v>
      </c>
      <c r="J39" s="50">
        <v>0</v>
      </c>
      <c r="K39" s="39" t="s">
        <v>30</v>
      </c>
      <c r="L39" s="11">
        <f t="shared" si="8"/>
        <v>0</v>
      </c>
      <c r="M39" s="10">
        <f t="shared" si="7"/>
        <v>0</v>
      </c>
      <c r="N39" s="10">
        <f t="shared" si="9"/>
        <v>0</v>
      </c>
      <c r="O39" s="10">
        <v>0</v>
      </c>
      <c r="P39" s="10">
        <f t="shared" si="10"/>
        <v>0</v>
      </c>
      <c r="Q39" s="17">
        <v>18.625</v>
      </c>
      <c r="R39" s="18">
        <f t="shared" si="11"/>
        <v>18.625</v>
      </c>
      <c r="S39" s="19">
        <f t="shared" si="12"/>
        <v>0</v>
      </c>
      <c r="T39" s="20">
        <f t="shared" si="13"/>
        <v>18.625</v>
      </c>
      <c r="U39" s="4"/>
      <c r="V39" s="4"/>
      <c r="W39" s="4"/>
    </row>
    <row r="40" spans="1:29" ht="17.399999999999999">
      <c r="A40" s="9">
        <v>1</v>
      </c>
      <c r="B40" s="8">
        <v>184</v>
      </c>
      <c r="C40" s="8">
        <v>1814130074</v>
      </c>
      <c r="D40" s="42" t="s">
        <v>67</v>
      </c>
      <c r="E40" s="47"/>
      <c r="F40" s="10">
        <v>3</v>
      </c>
      <c r="G40" s="10">
        <v>1</v>
      </c>
      <c r="H40" s="50">
        <v>0</v>
      </c>
      <c r="I40" s="50">
        <v>0</v>
      </c>
      <c r="J40" s="50">
        <v>0</v>
      </c>
      <c r="K40" s="14" t="s">
        <v>53</v>
      </c>
      <c r="L40" s="11">
        <f t="shared" si="8"/>
        <v>4</v>
      </c>
      <c r="M40" s="10">
        <f t="shared" si="7"/>
        <v>1.2</v>
      </c>
      <c r="N40" s="10">
        <f t="shared" si="9"/>
        <v>0</v>
      </c>
      <c r="O40" s="10">
        <v>0</v>
      </c>
      <c r="P40" s="10">
        <f t="shared" si="10"/>
        <v>5.2</v>
      </c>
      <c r="Q40" s="17">
        <v>13.256250000000019</v>
      </c>
      <c r="R40" s="18">
        <f t="shared" si="11"/>
        <v>18.456250000000018</v>
      </c>
      <c r="S40" s="19">
        <f t="shared" si="12"/>
        <v>8.125</v>
      </c>
      <c r="T40" s="20">
        <f t="shared" si="13"/>
        <v>10.331250000000018</v>
      </c>
      <c r="U40" s="4"/>
      <c r="V40" s="4"/>
      <c r="W40" s="4"/>
    </row>
    <row r="41" spans="1:29" ht="17.399999999999999">
      <c r="A41" s="9">
        <v>1</v>
      </c>
      <c r="B41" s="8">
        <v>226</v>
      </c>
      <c r="C41" s="8">
        <v>1238792963</v>
      </c>
      <c r="D41" s="42" t="s">
        <v>108</v>
      </c>
      <c r="E41" s="42"/>
      <c r="F41" s="10">
        <v>0</v>
      </c>
      <c r="G41" s="10">
        <v>0</v>
      </c>
      <c r="H41" s="50">
        <v>0</v>
      </c>
      <c r="I41" s="50">
        <v>0</v>
      </c>
      <c r="J41" s="50">
        <v>0</v>
      </c>
      <c r="K41" s="39" t="s">
        <v>30</v>
      </c>
      <c r="L41" s="11">
        <f t="shared" si="8"/>
        <v>0</v>
      </c>
      <c r="M41" s="10">
        <f t="shared" si="7"/>
        <v>0</v>
      </c>
      <c r="N41" s="10">
        <f t="shared" si="9"/>
        <v>0</v>
      </c>
      <c r="O41" s="10">
        <v>0</v>
      </c>
      <c r="P41" s="10">
        <f t="shared" si="10"/>
        <v>0</v>
      </c>
      <c r="Q41" s="17">
        <v>18.368749999999999</v>
      </c>
      <c r="R41" s="18">
        <f t="shared" si="11"/>
        <v>18.368749999999999</v>
      </c>
      <c r="S41" s="19">
        <f t="shared" si="12"/>
        <v>0</v>
      </c>
      <c r="T41" s="20">
        <f t="shared" si="13"/>
        <v>18.368749999999999</v>
      </c>
      <c r="U41" s="4"/>
      <c r="V41" s="4"/>
      <c r="W41" s="4"/>
    </row>
    <row r="42" spans="1:29" ht="17.399999999999999">
      <c r="A42" s="9">
        <v>1</v>
      </c>
      <c r="B42" s="8">
        <v>198</v>
      </c>
      <c r="C42" s="8">
        <v>723448640</v>
      </c>
      <c r="D42" s="42" t="s">
        <v>75</v>
      </c>
      <c r="E42" s="47"/>
      <c r="F42" s="10">
        <v>0</v>
      </c>
      <c r="G42" s="10">
        <v>0</v>
      </c>
      <c r="H42" s="50">
        <v>0</v>
      </c>
      <c r="I42" s="50">
        <v>0</v>
      </c>
      <c r="J42" s="50">
        <v>0</v>
      </c>
      <c r="K42" s="39" t="s">
        <v>30</v>
      </c>
      <c r="L42" s="11">
        <f t="shared" si="8"/>
        <v>0</v>
      </c>
      <c r="M42" s="10">
        <f t="shared" si="7"/>
        <v>0</v>
      </c>
      <c r="N42" s="10">
        <f t="shared" si="9"/>
        <v>0</v>
      </c>
      <c r="O42" s="10">
        <v>0</v>
      </c>
      <c r="P42" s="10">
        <f t="shared" si="10"/>
        <v>0</v>
      </c>
      <c r="Q42" s="17">
        <v>18.01874999999999</v>
      </c>
      <c r="R42" s="18">
        <f t="shared" si="11"/>
        <v>18.01874999999999</v>
      </c>
      <c r="S42" s="19">
        <f t="shared" si="12"/>
        <v>0</v>
      </c>
      <c r="T42" s="20">
        <f t="shared" si="13"/>
        <v>18.01874999999999</v>
      </c>
      <c r="U42" s="4"/>
      <c r="V42" s="4"/>
      <c r="W42" s="4"/>
    </row>
    <row r="43" spans="1:29" ht="17.399999999999999">
      <c r="A43" s="9">
        <v>1</v>
      </c>
      <c r="B43" s="8">
        <v>212</v>
      </c>
      <c r="C43" s="8">
        <v>2133045883</v>
      </c>
      <c r="D43" s="42" t="s">
        <v>84</v>
      </c>
      <c r="E43" s="47"/>
      <c r="F43" s="10">
        <v>3</v>
      </c>
      <c r="G43" s="10">
        <v>1</v>
      </c>
      <c r="H43" s="50">
        <v>0</v>
      </c>
      <c r="I43" s="50">
        <v>0</v>
      </c>
      <c r="J43" s="50">
        <v>0</v>
      </c>
      <c r="K43" s="14" t="s">
        <v>53</v>
      </c>
      <c r="L43" s="11">
        <f t="shared" si="8"/>
        <v>4</v>
      </c>
      <c r="M43" s="10">
        <f t="shared" si="7"/>
        <v>1.2</v>
      </c>
      <c r="N43" s="10">
        <f t="shared" si="9"/>
        <v>0</v>
      </c>
      <c r="O43" s="10">
        <v>0</v>
      </c>
      <c r="P43" s="10">
        <f t="shared" si="10"/>
        <v>5.2</v>
      </c>
      <c r="Q43" s="17">
        <v>12.631249999999984</v>
      </c>
      <c r="R43" s="18">
        <f t="shared" si="11"/>
        <v>17.831249999999983</v>
      </c>
      <c r="S43" s="19">
        <f t="shared" si="12"/>
        <v>8.125</v>
      </c>
      <c r="T43" s="20">
        <f t="shared" si="13"/>
        <v>9.7062499999999829</v>
      </c>
      <c r="U43" s="4"/>
      <c r="V43" s="4"/>
      <c r="W43" s="4"/>
    </row>
    <row r="44" spans="1:29" ht="17.399999999999999">
      <c r="A44" s="9">
        <v>1</v>
      </c>
      <c r="B44" s="8">
        <v>193</v>
      </c>
      <c r="C44" s="8">
        <v>2125731287</v>
      </c>
      <c r="D44" s="42" t="s">
        <v>72</v>
      </c>
      <c r="E44" s="47"/>
      <c r="F44" s="10">
        <v>0</v>
      </c>
      <c r="G44" s="10">
        <v>0</v>
      </c>
      <c r="H44" s="50">
        <v>0</v>
      </c>
      <c r="I44" s="50">
        <v>0</v>
      </c>
      <c r="J44" s="50">
        <v>0</v>
      </c>
      <c r="K44" s="39" t="s">
        <v>30</v>
      </c>
      <c r="L44" s="11">
        <f t="shared" si="8"/>
        <v>0</v>
      </c>
      <c r="M44" s="10">
        <f t="shared" si="7"/>
        <v>0</v>
      </c>
      <c r="N44" s="10">
        <f t="shared" si="9"/>
        <v>0</v>
      </c>
      <c r="O44" s="10">
        <v>0</v>
      </c>
      <c r="P44" s="10">
        <f t="shared" si="10"/>
        <v>0</v>
      </c>
      <c r="Q44" s="17">
        <v>17.812499999999996</v>
      </c>
      <c r="R44" s="18">
        <f t="shared" si="11"/>
        <v>17.812499999999996</v>
      </c>
      <c r="S44" s="19">
        <f t="shared" si="12"/>
        <v>0</v>
      </c>
      <c r="T44" s="20">
        <f t="shared" si="13"/>
        <v>17.812499999999996</v>
      </c>
      <c r="U44" s="4"/>
      <c r="V44" s="4"/>
      <c r="W44" s="4"/>
    </row>
    <row r="45" spans="1:29" ht="17.399999999999999">
      <c r="A45" s="9">
        <v>1</v>
      </c>
      <c r="B45" s="9">
        <v>230</v>
      </c>
      <c r="C45" s="8">
        <v>1076026693</v>
      </c>
      <c r="D45" s="42" t="s">
        <v>111</v>
      </c>
      <c r="F45" s="10">
        <v>1</v>
      </c>
      <c r="G45" s="10">
        <v>1</v>
      </c>
      <c r="H45" s="50">
        <v>0</v>
      </c>
      <c r="I45" s="50">
        <v>0</v>
      </c>
      <c r="J45" s="50">
        <v>0</v>
      </c>
      <c r="K45" s="14" t="s">
        <v>53</v>
      </c>
      <c r="L45" s="11">
        <f t="shared" si="8"/>
        <v>1</v>
      </c>
      <c r="M45" s="10">
        <f t="shared" si="7"/>
        <v>1.2</v>
      </c>
      <c r="N45" s="10">
        <f t="shared" si="9"/>
        <v>0</v>
      </c>
      <c r="O45" s="10">
        <v>0</v>
      </c>
      <c r="P45" s="10">
        <f t="shared" si="10"/>
        <v>2.2000000000000002</v>
      </c>
      <c r="Q45" s="17">
        <v>15.599999999999994</v>
      </c>
      <c r="R45" s="18">
        <f t="shared" si="11"/>
        <v>17.799999999999994</v>
      </c>
      <c r="S45" s="19">
        <f t="shared" si="12"/>
        <v>8.125</v>
      </c>
      <c r="T45" s="20">
        <f t="shared" si="13"/>
        <v>9.6749999999999936</v>
      </c>
      <c r="U45" s="4"/>
      <c r="V45" s="4"/>
      <c r="W45" s="4"/>
    </row>
    <row r="46" spans="1:29" ht="17.399999999999999">
      <c r="A46" s="9">
        <v>1</v>
      </c>
      <c r="B46" s="8">
        <v>200</v>
      </c>
      <c r="C46" s="8">
        <v>967589156</v>
      </c>
      <c r="D46" s="42" t="s">
        <v>76</v>
      </c>
      <c r="E46" s="47"/>
      <c r="F46" s="10">
        <v>1</v>
      </c>
      <c r="G46" s="10">
        <v>1</v>
      </c>
      <c r="H46" s="50">
        <v>0</v>
      </c>
      <c r="I46" s="50">
        <v>0</v>
      </c>
      <c r="J46" s="50">
        <v>0</v>
      </c>
      <c r="K46" s="14" t="s">
        <v>53</v>
      </c>
      <c r="L46" s="11">
        <f t="shared" si="8"/>
        <v>1</v>
      </c>
      <c r="M46" s="10">
        <f t="shared" si="7"/>
        <v>1.2</v>
      </c>
      <c r="N46" s="10">
        <f t="shared" si="9"/>
        <v>0</v>
      </c>
      <c r="O46" s="10">
        <v>0</v>
      </c>
      <c r="P46" s="10">
        <f t="shared" si="10"/>
        <v>2.2000000000000002</v>
      </c>
      <c r="Q46" s="17">
        <v>15.468750000000014</v>
      </c>
      <c r="R46" s="18">
        <f t="shared" si="11"/>
        <v>17.668750000000014</v>
      </c>
      <c r="S46" s="19">
        <f t="shared" si="12"/>
        <v>8.125</v>
      </c>
      <c r="T46" s="20">
        <f t="shared" si="13"/>
        <v>9.5437500000000135</v>
      </c>
      <c r="U46" s="4"/>
      <c r="V46" s="4"/>
      <c r="W46" s="4"/>
    </row>
    <row r="47" spans="1:29" ht="17.399999999999999">
      <c r="A47" s="9">
        <v>1</v>
      </c>
      <c r="B47" s="9">
        <v>10</v>
      </c>
      <c r="C47" s="8">
        <v>2108977014</v>
      </c>
      <c r="D47" s="42" t="s">
        <v>57</v>
      </c>
      <c r="E47" s="42" t="s">
        <v>8</v>
      </c>
      <c r="F47" s="10">
        <v>2</v>
      </c>
      <c r="G47" s="10">
        <v>1</v>
      </c>
      <c r="H47" s="50">
        <v>0</v>
      </c>
      <c r="I47" s="50">
        <v>0</v>
      </c>
      <c r="J47" s="50">
        <v>0</v>
      </c>
      <c r="K47" s="14" t="s">
        <v>53</v>
      </c>
      <c r="L47" s="11">
        <f t="shared" si="8"/>
        <v>2</v>
      </c>
      <c r="M47" s="10">
        <f t="shared" si="7"/>
        <v>1.2</v>
      </c>
      <c r="N47" s="10">
        <f t="shared" si="9"/>
        <v>0</v>
      </c>
      <c r="O47" s="10">
        <v>0</v>
      </c>
      <c r="P47" s="10">
        <f t="shared" si="10"/>
        <v>3.2</v>
      </c>
      <c r="Q47" s="17">
        <v>14.412500000000012</v>
      </c>
      <c r="R47" s="18">
        <f t="shared" si="11"/>
        <v>17.612500000000011</v>
      </c>
      <c r="S47" s="19">
        <f t="shared" si="12"/>
        <v>8.125</v>
      </c>
      <c r="T47" s="20">
        <f t="shared" si="13"/>
        <v>9.4875000000000114</v>
      </c>
      <c r="U47" s="11"/>
      <c r="V47" s="11"/>
      <c r="W47" s="11"/>
    </row>
    <row r="48" spans="1:29" ht="17.399999999999999">
      <c r="A48" s="9">
        <v>1</v>
      </c>
      <c r="B48" s="8">
        <v>187</v>
      </c>
      <c r="C48" s="8">
        <v>1241038267</v>
      </c>
      <c r="D48" s="42" t="s">
        <v>69</v>
      </c>
      <c r="E48" s="47"/>
      <c r="F48" s="10">
        <v>0</v>
      </c>
      <c r="G48" s="10">
        <v>0</v>
      </c>
      <c r="H48" s="50">
        <v>0</v>
      </c>
      <c r="I48" s="50">
        <v>0</v>
      </c>
      <c r="J48" s="50">
        <v>0</v>
      </c>
      <c r="K48" s="39" t="s">
        <v>30</v>
      </c>
      <c r="L48" s="11">
        <f t="shared" si="8"/>
        <v>0</v>
      </c>
      <c r="M48" s="10">
        <f t="shared" si="7"/>
        <v>0</v>
      </c>
      <c r="N48" s="10">
        <f t="shared" si="9"/>
        <v>0</v>
      </c>
      <c r="O48" s="10">
        <v>0</v>
      </c>
      <c r="P48" s="10">
        <f t="shared" si="10"/>
        <v>0</v>
      </c>
      <c r="Q48" s="17">
        <v>16.318749999999987</v>
      </c>
      <c r="R48" s="18">
        <f t="shared" si="11"/>
        <v>16.318749999999987</v>
      </c>
      <c r="S48" s="19">
        <f t="shared" si="12"/>
        <v>0</v>
      </c>
      <c r="T48" s="20">
        <f t="shared" si="13"/>
        <v>16.318749999999987</v>
      </c>
    </row>
    <row r="49" spans="1:23" ht="17.399999999999999">
      <c r="A49" s="9">
        <v>1</v>
      </c>
      <c r="B49" s="8">
        <v>222</v>
      </c>
      <c r="C49" s="8">
        <v>1945277617</v>
      </c>
      <c r="D49" s="42" t="s">
        <v>97</v>
      </c>
      <c r="E49" s="42"/>
      <c r="F49" s="10">
        <v>0</v>
      </c>
      <c r="G49" s="10">
        <v>0</v>
      </c>
      <c r="H49" s="50">
        <v>0</v>
      </c>
      <c r="I49" s="50">
        <v>0</v>
      </c>
      <c r="J49" s="50">
        <v>0</v>
      </c>
      <c r="K49" s="39" t="s">
        <v>30</v>
      </c>
      <c r="L49" s="11">
        <f t="shared" si="8"/>
        <v>0</v>
      </c>
      <c r="M49" s="10">
        <f t="shared" ref="M49:M70" si="14">G49*$Y$14</f>
        <v>0</v>
      </c>
      <c r="N49" s="10">
        <f t="shared" si="9"/>
        <v>0</v>
      </c>
      <c r="O49" s="10">
        <v>0</v>
      </c>
      <c r="P49" s="10">
        <f t="shared" si="10"/>
        <v>0</v>
      </c>
      <c r="Q49" s="17">
        <v>15.637727649769573</v>
      </c>
      <c r="R49" s="18">
        <f t="shared" si="11"/>
        <v>15.637727649769573</v>
      </c>
      <c r="S49" s="19">
        <f t="shared" si="12"/>
        <v>0</v>
      </c>
      <c r="T49" s="20">
        <f t="shared" si="13"/>
        <v>15.637727649769573</v>
      </c>
    </row>
    <row r="50" spans="1:23" ht="17.399999999999999">
      <c r="A50" s="9">
        <v>1</v>
      </c>
      <c r="B50" s="8">
        <v>110</v>
      </c>
      <c r="C50" s="8">
        <v>1968703358</v>
      </c>
      <c r="D50" s="42" t="s">
        <v>60</v>
      </c>
      <c r="E50" s="42" t="s">
        <v>38</v>
      </c>
      <c r="F50" s="10">
        <v>0</v>
      </c>
      <c r="G50" s="10">
        <v>0</v>
      </c>
      <c r="H50" s="50">
        <v>0</v>
      </c>
      <c r="I50" s="50">
        <v>0</v>
      </c>
      <c r="J50" s="50">
        <v>0</v>
      </c>
      <c r="K50" s="39" t="s">
        <v>30</v>
      </c>
      <c r="L50" s="11">
        <f t="shared" si="8"/>
        <v>0</v>
      </c>
      <c r="M50" s="10">
        <f t="shared" si="14"/>
        <v>0</v>
      </c>
      <c r="N50" s="10">
        <f t="shared" si="9"/>
        <v>0</v>
      </c>
      <c r="O50" s="10">
        <v>0</v>
      </c>
      <c r="P50" s="10">
        <f t="shared" si="10"/>
        <v>0</v>
      </c>
      <c r="Q50" s="17">
        <v>15.337500000000013</v>
      </c>
      <c r="R50" s="18">
        <f t="shared" si="11"/>
        <v>15.337500000000013</v>
      </c>
      <c r="S50" s="19">
        <f t="shared" si="12"/>
        <v>0</v>
      </c>
      <c r="T50" s="20">
        <f t="shared" si="13"/>
        <v>15.337500000000013</v>
      </c>
      <c r="U50" s="40"/>
      <c r="V50" s="40"/>
      <c r="W50" s="78"/>
    </row>
    <row r="51" spans="1:23" ht="17.399999999999999">
      <c r="A51" s="9">
        <v>1</v>
      </c>
      <c r="B51" s="8">
        <v>155</v>
      </c>
      <c r="C51" s="8">
        <v>1532576874</v>
      </c>
      <c r="D51" s="42" t="s">
        <v>63</v>
      </c>
      <c r="E51" s="42" t="s">
        <v>46</v>
      </c>
      <c r="F51" s="10">
        <v>0</v>
      </c>
      <c r="G51" s="10">
        <v>0</v>
      </c>
      <c r="H51" s="50">
        <v>0</v>
      </c>
      <c r="I51" s="50">
        <v>0</v>
      </c>
      <c r="J51" s="50">
        <v>0</v>
      </c>
      <c r="K51" s="39" t="s">
        <v>30</v>
      </c>
      <c r="L51" s="11">
        <f t="shared" si="8"/>
        <v>0</v>
      </c>
      <c r="M51" s="10">
        <f t="shared" si="14"/>
        <v>0</v>
      </c>
      <c r="N51" s="10">
        <f t="shared" si="9"/>
        <v>0</v>
      </c>
      <c r="O51" s="10">
        <v>0</v>
      </c>
      <c r="P51" s="10">
        <f t="shared" si="10"/>
        <v>0</v>
      </c>
      <c r="Q51" s="17">
        <v>15.212499999999999</v>
      </c>
      <c r="R51" s="18">
        <f t="shared" si="11"/>
        <v>15.212499999999999</v>
      </c>
      <c r="S51" s="19">
        <f t="shared" si="12"/>
        <v>0</v>
      </c>
      <c r="T51" s="20">
        <f t="shared" si="13"/>
        <v>15.212499999999999</v>
      </c>
    </row>
    <row r="52" spans="1:23" ht="17.399999999999999">
      <c r="A52" s="9">
        <v>1</v>
      </c>
      <c r="B52" s="8">
        <v>239</v>
      </c>
      <c r="C52" s="8">
        <v>416459640</v>
      </c>
      <c r="D52" s="42" t="s">
        <v>122</v>
      </c>
      <c r="F52" s="10">
        <v>0</v>
      </c>
      <c r="G52" s="10">
        <v>0</v>
      </c>
      <c r="H52" s="50">
        <v>0</v>
      </c>
      <c r="I52" s="50">
        <v>0</v>
      </c>
      <c r="J52" s="50">
        <v>0</v>
      </c>
      <c r="K52" s="39" t="s">
        <v>30</v>
      </c>
      <c r="L52" s="11">
        <f t="shared" si="8"/>
        <v>0</v>
      </c>
      <c r="M52" s="10">
        <f t="shared" si="14"/>
        <v>0</v>
      </c>
      <c r="N52" s="10">
        <f t="shared" si="9"/>
        <v>0</v>
      </c>
      <c r="O52" s="10">
        <v>0</v>
      </c>
      <c r="P52" s="10">
        <f t="shared" si="10"/>
        <v>0</v>
      </c>
      <c r="Q52" s="17">
        <v>13.668749999999999</v>
      </c>
      <c r="R52" s="18">
        <f t="shared" si="11"/>
        <v>13.668749999999999</v>
      </c>
      <c r="S52" s="19">
        <f t="shared" si="12"/>
        <v>0</v>
      </c>
      <c r="T52" s="20">
        <f t="shared" si="13"/>
        <v>13.668749999999999</v>
      </c>
    </row>
    <row r="53" spans="1:23" ht="17.399999999999999">
      <c r="A53" s="9">
        <v>1</v>
      </c>
      <c r="B53" s="8">
        <v>240</v>
      </c>
      <c r="C53" s="8">
        <v>289805855</v>
      </c>
      <c r="D53" s="42" t="s">
        <v>123</v>
      </c>
      <c r="F53" s="10">
        <v>4</v>
      </c>
      <c r="G53" s="10">
        <v>1</v>
      </c>
      <c r="H53" s="50">
        <v>0</v>
      </c>
      <c r="I53" s="50">
        <v>0</v>
      </c>
      <c r="J53" s="50">
        <v>0</v>
      </c>
      <c r="K53" s="14" t="s">
        <v>53</v>
      </c>
      <c r="L53" s="11">
        <f t="shared" si="8"/>
        <v>6</v>
      </c>
      <c r="M53" s="10">
        <f t="shared" si="14"/>
        <v>1.2</v>
      </c>
      <c r="N53" s="10">
        <f t="shared" si="9"/>
        <v>0</v>
      </c>
      <c r="O53" s="10">
        <v>0</v>
      </c>
      <c r="P53" s="10">
        <f t="shared" si="10"/>
        <v>7.2</v>
      </c>
      <c r="Q53" s="17">
        <v>4.8000000000000016</v>
      </c>
      <c r="R53" s="18">
        <f t="shared" si="11"/>
        <v>12.000000000000002</v>
      </c>
      <c r="S53" s="19">
        <f t="shared" si="12"/>
        <v>8.125</v>
      </c>
      <c r="T53" s="20">
        <f t="shared" si="13"/>
        <v>3.8750000000000018</v>
      </c>
    </row>
    <row r="54" spans="1:23" ht="17.399999999999999">
      <c r="A54" s="9">
        <v>1</v>
      </c>
      <c r="B54" s="8">
        <v>243</v>
      </c>
      <c r="D54" s="42" t="s">
        <v>133</v>
      </c>
      <c r="F54" s="10">
        <v>3</v>
      </c>
      <c r="G54" s="10">
        <v>1</v>
      </c>
      <c r="H54" s="50">
        <v>0</v>
      </c>
      <c r="I54" s="50">
        <v>0</v>
      </c>
      <c r="J54" s="50">
        <v>0</v>
      </c>
      <c r="K54" s="14" t="s">
        <v>53</v>
      </c>
      <c r="L54" s="11">
        <f t="shared" si="8"/>
        <v>4</v>
      </c>
      <c r="M54" s="10">
        <f t="shared" si="14"/>
        <v>1.2</v>
      </c>
      <c r="N54" s="10">
        <f t="shared" si="9"/>
        <v>0</v>
      </c>
      <c r="O54" s="10">
        <v>0</v>
      </c>
      <c r="P54" s="10">
        <f t="shared" si="10"/>
        <v>5.2</v>
      </c>
      <c r="Q54" s="17">
        <v>6.6312500000000014</v>
      </c>
      <c r="R54" s="18">
        <f t="shared" si="11"/>
        <v>11.831250000000001</v>
      </c>
      <c r="S54" s="19">
        <f t="shared" si="12"/>
        <v>8.125</v>
      </c>
      <c r="T54" s="20">
        <f t="shared" si="13"/>
        <v>3.7062500000000007</v>
      </c>
    </row>
    <row r="55" spans="1:23" ht="17.399999999999999">
      <c r="A55" s="9">
        <v>1</v>
      </c>
      <c r="B55" s="8">
        <v>223</v>
      </c>
      <c r="C55" s="8">
        <v>784792167</v>
      </c>
      <c r="D55" s="42" t="s">
        <v>98</v>
      </c>
      <c r="E55" s="42"/>
      <c r="F55" s="10">
        <v>0</v>
      </c>
      <c r="G55" s="10">
        <v>0</v>
      </c>
      <c r="H55" s="50">
        <v>0</v>
      </c>
      <c r="I55" s="50">
        <v>0</v>
      </c>
      <c r="J55" s="50">
        <v>0</v>
      </c>
      <c r="K55" s="39" t="s">
        <v>30</v>
      </c>
      <c r="L55" s="11">
        <f t="shared" si="8"/>
        <v>0</v>
      </c>
      <c r="M55" s="10">
        <f t="shared" si="14"/>
        <v>0</v>
      </c>
      <c r="N55" s="10">
        <f t="shared" si="9"/>
        <v>0</v>
      </c>
      <c r="O55" s="10">
        <v>0</v>
      </c>
      <c r="P55" s="10">
        <f t="shared" si="10"/>
        <v>0</v>
      </c>
      <c r="Q55" s="17">
        <v>10.624999999999996</v>
      </c>
      <c r="R55" s="18">
        <f t="shared" si="11"/>
        <v>10.624999999999996</v>
      </c>
      <c r="S55" s="19">
        <f t="shared" si="12"/>
        <v>0</v>
      </c>
      <c r="T55" s="20">
        <f t="shared" si="13"/>
        <v>10.624999999999996</v>
      </c>
    </row>
    <row r="56" spans="1:23" ht="17.399999999999999">
      <c r="A56" s="9">
        <v>1</v>
      </c>
      <c r="B56" s="8">
        <v>219</v>
      </c>
      <c r="C56" s="8">
        <v>1128309198</v>
      </c>
      <c r="D56" s="42" t="s">
        <v>93</v>
      </c>
      <c r="E56" s="47"/>
      <c r="F56" s="10">
        <v>0</v>
      </c>
      <c r="G56" s="10">
        <v>0</v>
      </c>
      <c r="H56" s="50">
        <v>0</v>
      </c>
      <c r="I56" s="50">
        <v>0</v>
      </c>
      <c r="J56" s="50">
        <v>0</v>
      </c>
      <c r="K56" s="39" t="s">
        <v>30</v>
      </c>
      <c r="L56" s="11">
        <f t="shared" si="8"/>
        <v>0</v>
      </c>
      <c r="M56" s="10">
        <f t="shared" si="14"/>
        <v>0</v>
      </c>
      <c r="N56" s="10">
        <f t="shared" si="9"/>
        <v>0</v>
      </c>
      <c r="O56" s="10">
        <v>0</v>
      </c>
      <c r="P56" s="10">
        <f t="shared" si="10"/>
        <v>0</v>
      </c>
      <c r="Q56" s="17">
        <v>9.4499999999999957</v>
      </c>
      <c r="R56" s="18">
        <f t="shared" si="11"/>
        <v>9.4499999999999957</v>
      </c>
      <c r="S56" s="19">
        <f t="shared" si="12"/>
        <v>0</v>
      </c>
      <c r="T56" s="20">
        <f t="shared" si="13"/>
        <v>9.4499999999999957</v>
      </c>
    </row>
    <row r="57" spans="1:23" ht="17.399999999999999">
      <c r="A57" s="9">
        <v>1</v>
      </c>
      <c r="B57" s="8">
        <v>192</v>
      </c>
      <c r="C57" s="8">
        <v>1725281178</v>
      </c>
      <c r="D57" s="42" t="s">
        <v>71</v>
      </c>
      <c r="E57" s="47"/>
      <c r="F57" s="10">
        <v>0</v>
      </c>
      <c r="G57" s="10">
        <v>0</v>
      </c>
      <c r="H57" s="50">
        <v>0</v>
      </c>
      <c r="I57" s="50">
        <v>0</v>
      </c>
      <c r="J57" s="50">
        <v>0</v>
      </c>
      <c r="K57" s="39" t="s">
        <v>30</v>
      </c>
      <c r="L57" s="11">
        <f t="shared" si="8"/>
        <v>0</v>
      </c>
      <c r="M57" s="10">
        <f t="shared" si="14"/>
        <v>0</v>
      </c>
      <c r="N57" s="10">
        <f t="shared" si="9"/>
        <v>0</v>
      </c>
      <c r="O57" s="10">
        <v>0</v>
      </c>
      <c r="P57" s="10">
        <f t="shared" si="10"/>
        <v>0</v>
      </c>
      <c r="Q57" s="17">
        <v>3.1437499999999954</v>
      </c>
      <c r="R57" s="18">
        <f t="shared" si="11"/>
        <v>3.1437499999999954</v>
      </c>
      <c r="S57" s="19">
        <f t="shared" si="12"/>
        <v>0</v>
      </c>
      <c r="T57" s="20">
        <f t="shared" si="13"/>
        <v>3.1437499999999954</v>
      </c>
    </row>
    <row r="58" spans="1:23" ht="20.399999999999999">
      <c r="A58" s="9">
        <v>1</v>
      </c>
      <c r="B58" s="8">
        <v>220</v>
      </c>
      <c r="C58" s="8">
        <v>353335311</v>
      </c>
      <c r="D58" s="42" t="s">
        <v>94</v>
      </c>
      <c r="E58" s="44"/>
      <c r="F58" s="10">
        <v>0</v>
      </c>
      <c r="G58" s="10">
        <v>0</v>
      </c>
      <c r="H58" s="50">
        <v>0</v>
      </c>
      <c r="I58" s="50">
        <v>0</v>
      </c>
      <c r="J58" s="50">
        <v>0</v>
      </c>
      <c r="K58" s="39" t="s">
        <v>30</v>
      </c>
      <c r="L58" s="11">
        <f t="shared" si="8"/>
        <v>0</v>
      </c>
      <c r="M58" s="10">
        <f t="shared" si="14"/>
        <v>0</v>
      </c>
      <c r="N58" s="10">
        <f t="shared" si="9"/>
        <v>0</v>
      </c>
      <c r="O58" s="10">
        <v>0</v>
      </c>
      <c r="P58" s="10">
        <f t="shared" si="10"/>
        <v>0</v>
      </c>
      <c r="Q58" s="17">
        <v>2.0310546874999984</v>
      </c>
      <c r="R58" s="18">
        <f t="shared" si="11"/>
        <v>2.0310546874999984</v>
      </c>
      <c r="S58" s="19">
        <f t="shared" si="12"/>
        <v>0</v>
      </c>
      <c r="T58" s="20">
        <f t="shared" si="13"/>
        <v>2.0310546874999984</v>
      </c>
    </row>
    <row r="59" spans="1:23" ht="17.399999999999999">
      <c r="A59" s="9">
        <v>1</v>
      </c>
      <c r="B59" s="8">
        <v>233</v>
      </c>
      <c r="C59" s="8">
        <v>1963965829</v>
      </c>
      <c r="D59" s="42" t="s">
        <v>114</v>
      </c>
      <c r="F59" s="10">
        <v>0</v>
      </c>
      <c r="G59" s="10">
        <v>0</v>
      </c>
      <c r="H59" s="50">
        <v>0</v>
      </c>
      <c r="I59" s="50">
        <v>0</v>
      </c>
      <c r="J59" s="50">
        <v>0</v>
      </c>
      <c r="K59" s="39" t="s">
        <v>30</v>
      </c>
      <c r="L59" s="11">
        <f t="shared" si="8"/>
        <v>0</v>
      </c>
      <c r="M59" s="10">
        <f t="shared" si="14"/>
        <v>0</v>
      </c>
      <c r="N59" s="10">
        <f t="shared" si="9"/>
        <v>0</v>
      </c>
      <c r="O59" s="10">
        <v>0</v>
      </c>
      <c r="P59" s="10">
        <f t="shared" si="10"/>
        <v>0</v>
      </c>
      <c r="Q59" s="17">
        <v>2.0000000000000018</v>
      </c>
      <c r="R59" s="18">
        <f t="shared" si="11"/>
        <v>2.0000000000000018</v>
      </c>
      <c r="S59" s="19">
        <f t="shared" si="12"/>
        <v>0</v>
      </c>
      <c r="T59" s="20">
        <f t="shared" si="13"/>
        <v>2.0000000000000018</v>
      </c>
    </row>
    <row r="60" spans="1:23" ht="17.399999999999999">
      <c r="A60" s="9">
        <v>1</v>
      </c>
      <c r="B60" s="8">
        <v>207</v>
      </c>
      <c r="C60" s="8">
        <v>721273803</v>
      </c>
      <c r="D60" s="45" t="s">
        <v>81</v>
      </c>
      <c r="E60" s="47"/>
      <c r="F60" s="10">
        <v>0</v>
      </c>
      <c r="G60" s="10">
        <v>0</v>
      </c>
      <c r="H60" s="50">
        <v>0</v>
      </c>
      <c r="I60" s="50">
        <v>0</v>
      </c>
      <c r="J60" s="50">
        <v>0</v>
      </c>
      <c r="K60" s="39" t="s">
        <v>30</v>
      </c>
      <c r="L60" s="11">
        <f t="shared" si="8"/>
        <v>0</v>
      </c>
      <c r="M60" s="10">
        <f t="shared" si="14"/>
        <v>0</v>
      </c>
      <c r="N60" s="10">
        <f t="shared" si="9"/>
        <v>0</v>
      </c>
      <c r="O60" s="10">
        <v>0</v>
      </c>
      <c r="P60" s="10">
        <f t="shared" si="10"/>
        <v>0</v>
      </c>
      <c r="Q60" s="17">
        <v>1.425</v>
      </c>
      <c r="R60" s="18">
        <f t="shared" si="11"/>
        <v>1.425</v>
      </c>
      <c r="S60" s="19">
        <f t="shared" si="12"/>
        <v>0</v>
      </c>
      <c r="T60" s="20">
        <f t="shared" si="13"/>
        <v>1.425</v>
      </c>
    </row>
    <row r="61" spans="1:23" ht="20.399999999999999">
      <c r="A61" s="9">
        <v>1</v>
      </c>
      <c r="B61" s="8">
        <v>213</v>
      </c>
      <c r="C61" s="8">
        <v>311361673</v>
      </c>
      <c r="D61" s="42" t="s">
        <v>55</v>
      </c>
      <c r="E61" s="2"/>
      <c r="F61" s="10">
        <v>0</v>
      </c>
      <c r="G61" s="10">
        <v>0</v>
      </c>
      <c r="H61" s="50">
        <v>0</v>
      </c>
      <c r="I61" s="50">
        <v>0</v>
      </c>
      <c r="J61" s="50">
        <v>0</v>
      </c>
      <c r="K61" s="39" t="s">
        <v>30</v>
      </c>
      <c r="L61" s="11">
        <f t="shared" si="8"/>
        <v>0</v>
      </c>
      <c r="M61" s="10">
        <f t="shared" si="14"/>
        <v>0</v>
      </c>
      <c r="N61" s="10">
        <f t="shared" si="9"/>
        <v>0</v>
      </c>
      <c r="O61" s="10">
        <v>0</v>
      </c>
      <c r="P61" s="10">
        <f t="shared" si="10"/>
        <v>0</v>
      </c>
      <c r="Q61" s="17">
        <v>1.2687499999999945</v>
      </c>
      <c r="R61" s="18">
        <f t="shared" si="11"/>
        <v>1.2687499999999945</v>
      </c>
      <c r="S61" s="19">
        <f t="shared" si="12"/>
        <v>0</v>
      </c>
      <c r="T61" s="20">
        <f t="shared" si="13"/>
        <v>1.2687499999999945</v>
      </c>
    </row>
    <row r="62" spans="1:23" ht="17.399999999999999">
      <c r="A62" s="9">
        <v>1</v>
      </c>
      <c r="B62" s="8">
        <v>242</v>
      </c>
      <c r="C62" s="8">
        <v>250098915</v>
      </c>
      <c r="D62" s="42" t="s">
        <v>131</v>
      </c>
      <c r="F62" s="10">
        <v>0</v>
      </c>
      <c r="G62" s="10">
        <v>0</v>
      </c>
      <c r="H62" s="50">
        <v>0</v>
      </c>
      <c r="I62" s="50">
        <v>0</v>
      </c>
      <c r="J62" s="50">
        <v>0</v>
      </c>
      <c r="K62" s="39" t="s">
        <v>30</v>
      </c>
      <c r="L62" s="11">
        <f t="shared" si="8"/>
        <v>0</v>
      </c>
      <c r="M62" s="10">
        <f t="shared" si="14"/>
        <v>0</v>
      </c>
      <c r="N62" s="10">
        <f t="shared" si="9"/>
        <v>0</v>
      </c>
      <c r="O62" s="10">
        <v>0</v>
      </c>
      <c r="P62" s="10">
        <f t="shared" si="10"/>
        <v>0</v>
      </c>
      <c r="Q62" s="17">
        <v>0.90625</v>
      </c>
      <c r="R62" s="18">
        <f t="shared" si="11"/>
        <v>0.90625</v>
      </c>
      <c r="S62" s="19">
        <f t="shared" si="12"/>
        <v>0</v>
      </c>
      <c r="T62" s="20">
        <f t="shared" si="13"/>
        <v>0.90625</v>
      </c>
    </row>
    <row r="63" spans="1:23" ht="17.399999999999999">
      <c r="A63" s="9">
        <v>1</v>
      </c>
      <c r="B63" s="8">
        <v>242</v>
      </c>
      <c r="C63" s="8">
        <v>1769984287</v>
      </c>
      <c r="D63" s="8" t="s">
        <v>132</v>
      </c>
      <c r="F63" s="10">
        <v>0</v>
      </c>
      <c r="G63" s="10">
        <v>0</v>
      </c>
      <c r="H63" s="50">
        <v>0</v>
      </c>
      <c r="I63" s="50">
        <v>0</v>
      </c>
      <c r="J63" s="50">
        <v>0</v>
      </c>
      <c r="K63" s="39" t="s">
        <v>30</v>
      </c>
      <c r="L63" s="11">
        <f t="shared" si="8"/>
        <v>0</v>
      </c>
      <c r="M63" s="10">
        <f t="shared" si="14"/>
        <v>0</v>
      </c>
      <c r="N63" s="10">
        <f t="shared" si="9"/>
        <v>0</v>
      </c>
      <c r="O63" s="10">
        <v>0</v>
      </c>
      <c r="P63" s="10">
        <f t="shared" si="10"/>
        <v>0</v>
      </c>
      <c r="Q63" s="17">
        <v>0.65000000000000036</v>
      </c>
      <c r="R63" s="18">
        <f t="shared" si="11"/>
        <v>0.65000000000000036</v>
      </c>
      <c r="S63" s="19">
        <f t="shared" si="12"/>
        <v>0</v>
      </c>
      <c r="T63" s="20">
        <f t="shared" si="13"/>
        <v>0.65000000000000036</v>
      </c>
    </row>
    <row r="64" spans="1:23" ht="17.399999999999999">
      <c r="A64" s="9">
        <v>1</v>
      </c>
      <c r="B64" s="8">
        <v>218</v>
      </c>
      <c r="C64" s="8">
        <v>1804880865</v>
      </c>
      <c r="D64" s="42" t="s">
        <v>92</v>
      </c>
      <c r="E64" s="47"/>
      <c r="F64" s="10">
        <v>0</v>
      </c>
      <c r="G64" s="10">
        <v>0</v>
      </c>
      <c r="H64" s="50">
        <v>0</v>
      </c>
      <c r="I64" s="50">
        <v>0</v>
      </c>
      <c r="J64" s="50">
        <v>0</v>
      </c>
      <c r="K64" s="39" t="s">
        <v>30</v>
      </c>
      <c r="L64" s="11">
        <f t="shared" si="8"/>
        <v>0</v>
      </c>
      <c r="M64" s="10">
        <f t="shared" si="14"/>
        <v>0</v>
      </c>
      <c r="N64" s="10">
        <f t="shared" si="9"/>
        <v>0</v>
      </c>
      <c r="O64" s="10">
        <v>0</v>
      </c>
      <c r="P64" s="10">
        <f t="shared" si="10"/>
        <v>0</v>
      </c>
      <c r="Q64" s="17">
        <v>0.11749999999999983</v>
      </c>
      <c r="R64" s="18">
        <f t="shared" si="11"/>
        <v>0.11749999999999983</v>
      </c>
      <c r="S64" s="19">
        <f t="shared" si="12"/>
        <v>0</v>
      </c>
      <c r="T64" s="20">
        <f t="shared" si="13"/>
        <v>0.11749999999999983</v>
      </c>
    </row>
    <row r="65" spans="1:23" ht="17.399999999999999">
      <c r="A65" s="9">
        <v>1</v>
      </c>
      <c r="B65" s="8">
        <v>217</v>
      </c>
      <c r="C65" s="8">
        <v>331155825</v>
      </c>
      <c r="D65" s="46" t="s">
        <v>89</v>
      </c>
      <c r="E65" s="2"/>
      <c r="F65" s="10">
        <v>0</v>
      </c>
      <c r="G65" s="10">
        <v>0</v>
      </c>
      <c r="H65" s="50">
        <v>0</v>
      </c>
      <c r="I65" s="50">
        <v>0</v>
      </c>
      <c r="J65" s="50">
        <v>0</v>
      </c>
      <c r="K65" s="39" t="s">
        <v>30</v>
      </c>
      <c r="L65" s="11">
        <f t="shared" si="8"/>
        <v>0</v>
      </c>
      <c r="M65" s="10">
        <f t="shared" si="14"/>
        <v>0</v>
      </c>
      <c r="N65" s="10">
        <f t="shared" si="9"/>
        <v>0</v>
      </c>
      <c r="O65" s="10">
        <v>0</v>
      </c>
      <c r="P65" s="10">
        <f t="shared" si="10"/>
        <v>0</v>
      </c>
      <c r="Q65" s="17">
        <v>-1.3124999999999984</v>
      </c>
      <c r="R65" s="18">
        <f t="shared" si="11"/>
        <v>-1.3124999999999984</v>
      </c>
      <c r="S65" s="19">
        <f t="shared" si="12"/>
        <v>0</v>
      </c>
      <c r="T65" s="20">
        <f t="shared" si="13"/>
        <v>-1.3124999999999984</v>
      </c>
    </row>
    <row r="66" spans="1:23" ht="17.399999999999999">
      <c r="A66" s="9">
        <v>1</v>
      </c>
      <c r="B66" s="8">
        <v>237</v>
      </c>
      <c r="C66" s="8">
        <v>1331532576</v>
      </c>
      <c r="D66" s="42" t="s">
        <v>119</v>
      </c>
      <c r="F66" s="10">
        <v>0</v>
      </c>
      <c r="G66" s="10">
        <v>0</v>
      </c>
      <c r="H66" s="50">
        <v>0</v>
      </c>
      <c r="I66" s="50">
        <v>0</v>
      </c>
      <c r="J66" s="50">
        <v>0</v>
      </c>
      <c r="K66" s="39" t="s">
        <v>30</v>
      </c>
      <c r="L66" s="11">
        <f t="shared" si="8"/>
        <v>0</v>
      </c>
      <c r="M66" s="10">
        <f t="shared" si="14"/>
        <v>0</v>
      </c>
      <c r="N66" s="10">
        <f t="shared" si="9"/>
        <v>0</v>
      </c>
      <c r="O66" s="10">
        <v>0</v>
      </c>
      <c r="P66" s="10">
        <f t="shared" si="10"/>
        <v>0</v>
      </c>
      <c r="Q66" s="17">
        <v>-2.5499999999999998</v>
      </c>
      <c r="R66" s="18">
        <f t="shared" si="11"/>
        <v>-2.5499999999999998</v>
      </c>
      <c r="S66" s="19">
        <f t="shared" si="12"/>
        <v>0</v>
      </c>
      <c r="T66" s="20">
        <f t="shared" si="13"/>
        <v>-2.5499999999999998</v>
      </c>
    </row>
    <row r="67" spans="1:23" ht="17.399999999999999">
      <c r="A67" s="9">
        <v>1</v>
      </c>
      <c r="B67" s="8">
        <v>228</v>
      </c>
      <c r="C67" s="8">
        <v>1287481910</v>
      </c>
      <c r="D67" s="42" t="s">
        <v>109</v>
      </c>
      <c r="E67" s="42"/>
      <c r="F67" s="10">
        <v>0</v>
      </c>
      <c r="G67" s="10">
        <v>0</v>
      </c>
      <c r="H67" s="50">
        <v>0</v>
      </c>
      <c r="I67" s="50">
        <v>0</v>
      </c>
      <c r="J67" s="50">
        <v>0</v>
      </c>
      <c r="K67" s="39" t="s">
        <v>30</v>
      </c>
      <c r="L67" s="11">
        <f t="shared" si="8"/>
        <v>0</v>
      </c>
      <c r="M67" s="10">
        <f t="shared" si="14"/>
        <v>0</v>
      </c>
      <c r="N67" s="10">
        <f t="shared" si="9"/>
        <v>0</v>
      </c>
      <c r="O67" s="10">
        <v>0</v>
      </c>
      <c r="P67" s="10">
        <f t="shared" si="10"/>
        <v>0</v>
      </c>
      <c r="Q67" s="17">
        <v>-4.1499999999999995</v>
      </c>
      <c r="R67" s="18">
        <f t="shared" si="11"/>
        <v>-4.1499999999999995</v>
      </c>
      <c r="S67" s="19">
        <f t="shared" si="12"/>
        <v>0</v>
      </c>
      <c r="T67" s="20">
        <f t="shared" si="13"/>
        <v>-4.1499999999999995</v>
      </c>
    </row>
    <row r="68" spans="1:23" ht="17.399999999999999">
      <c r="A68" s="9">
        <v>1</v>
      </c>
      <c r="B68" s="8">
        <v>235</v>
      </c>
      <c r="C68" s="8">
        <v>988684940</v>
      </c>
      <c r="D68" s="42" t="s">
        <v>116</v>
      </c>
      <c r="F68" s="10">
        <v>0</v>
      </c>
      <c r="G68" s="10">
        <v>0</v>
      </c>
      <c r="H68" s="50">
        <v>0</v>
      </c>
      <c r="I68" s="50">
        <v>0</v>
      </c>
      <c r="J68" s="50">
        <v>0</v>
      </c>
      <c r="K68" s="39" t="s">
        <v>30</v>
      </c>
      <c r="L68" s="11">
        <f t="shared" si="8"/>
        <v>0</v>
      </c>
      <c r="M68" s="10">
        <f t="shared" si="14"/>
        <v>0</v>
      </c>
      <c r="N68" s="10">
        <f t="shared" si="9"/>
        <v>0</v>
      </c>
      <c r="O68" s="10">
        <v>0</v>
      </c>
      <c r="P68" s="10">
        <f t="shared" si="10"/>
        <v>0</v>
      </c>
      <c r="Q68" s="17">
        <v>-7.125</v>
      </c>
      <c r="R68" s="18">
        <f t="shared" si="11"/>
        <v>-7.125</v>
      </c>
      <c r="S68" s="19">
        <f t="shared" si="12"/>
        <v>0</v>
      </c>
      <c r="T68" s="20">
        <f t="shared" si="13"/>
        <v>-7.125</v>
      </c>
    </row>
    <row r="69" spans="1:23" ht="17.399999999999999">
      <c r="A69" s="9">
        <v>1</v>
      </c>
      <c r="B69" s="8">
        <v>141</v>
      </c>
      <c r="C69" s="8">
        <v>1190305158</v>
      </c>
      <c r="D69" s="42" t="s">
        <v>44</v>
      </c>
      <c r="E69" s="44"/>
      <c r="F69" s="10">
        <v>0</v>
      </c>
      <c r="G69" s="10">
        <v>0</v>
      </c>
      <c r="H69" s="50">
        <v>0</v>
      </c>
      <c r="I69" s="50">
        <v>0</v>
      </c>
      <c r="J69" s="50">
        <v>0</v>
      </c>
      <c r="K69" s="39" t="s">
        <v>30</v>
      </c>
      <c r="L69" s="11">
        <f t="shared" si="8"/>
        <v>0</v>
      </c>
      <c r="M69" s="10">
        <f t="shared" si="14"/>
        <v>0</v>
      </c>
      <c r="N69" s="10">
        <f t="shared" si="9"/>
        <v>0</v>
      </c>
      <c r="O69" s="10">
        <v>0</v>
      </c>
      <c r="P69" s="10">
        <f t="shared" ref="P69:P70" si="15">SUM(M69+L69+O69+N69)</f>
        <v>0</v>
      </c>
      <c r="Q69" s="17">
        <v>-7.8937500000000043</v>
      </c>
      <c r="R69" s="18">
        <f t="shared" ref="R69:R70" si="16">P69+Q69</f>
        <v>-7.8937500000000043</v>
      </c>
      <c r="S69" s="19">
        <f t="shared" si="12"/>
        <v>0</v>
      </c>
      <c r="T69" s="20">
        <f t="shared" ref="T69:T70" si="17">R69-S69</f>
        <v>-7.8937500000000043</v>
      </c>
      <c r="U69" s="40"/>
      <c r="V69" s="40"/>
      <c r="W69" s="41"/>
    </row>
    <row r="70" spans="1:23" ht="17.399999999999999">
      <c r="A70" s="70">
        <v>1</v>
      </c>
      <c r="B70" s="8">
        <v>203</v>
      </c>
      <c r="C70" s="8">
        <v>382695365</v>
      </c>
      <c r="D70" s="42" t="s">
        <v>78</v>
      </c>
      <c r="E70" s="47"/>
      <c r="F70" s="10">
        <v>0</v>
      </c>
      <c r="G70" s="10">
        <v>0</v>
      </c>
      <c r="H70" s="50">
        <v>0</v>
      </c>
      <c r="I70" s="50">
        <v>0</v>
      </c>
      <c r="J70" s="50">
        <v>0</v>
      </c>
      <c r="K70" s="39" t="s">
        <v>30</v>
      </c>
      <c r="L70" s="11">
        <f t="shared" si="8"/>
        <v>0</v>
      </c>
      <c r="M70" s="10">
        <f t="shared" si="14"/>
        <v>0</v>
      </c>
      <c r="N70" s="10">
        <f t="shared" si="9"/>
        <v>0</v>
      </c>
      <c r="O70" s="10">
        <v>0</v>
      </c>
      <c r="P70" s="10">
        <f t="shared" si="15"/>
        <v>0</v>
      </c>
      <c r="Q70" s="17">
        <v>-16.90625</v>
      </c>
      <c r="R70" s="18">
        <f t="shared" si="16"/>
        <v>-16.90625</v>
      </c>
      <c r="S70" s="19">
        <f t="shared" si="12"/>
        <v>0</v>
      </c>
      <c r="T70" s="20">
        <f t="shared" si="17"/>
        <v>-16.90625</v>
      </c>
    </row>
    <row r="71" spans="1:23" ht="17.399999999999999">
      <c r="A71" s="70"/>
    </row>
  </sheetData>
  <autoFilter ref="A4:W70" xr:uid="{28593B8F-03E7-4BE1-B554-FC0AADC431B2}">
    <sortState xmlns:xlrd2="http://schemas.microsoft.com/office/spreadsheetml/2017/richdata2" ref="A5:W70">
      <sortCondition descending="1" ref="R4:R70"/>
    </sortState>
  </autoFilter>
  <mergeCells count="5">
    <mergeCell ref="B1:T1"/>
    <mergeCell ref="B2:T2"/>
    <mergeCell ref="B3:E3"/>
    <mergeCell ref="H3:J3"/>
    <mergeCell ref="K3:T3"/>
  </mergeCells>
  <conditionalFormatting sqref="O5:O70 F5:J70">
    <cfRule type="cellIs" dxfId="17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A66B4-69AD-417E-A883-E4EBEE157BAD}">
  <dimension ref="A1:AC71"/>
  <sheetViews>
    <sheetView zoomScale="85" zoomScaleNormal="85" workbookViewId="0">
      <selection activeCell="A3" sqref="A3"/>
    </sheetView>
  </sheetViews>
  <sheetFormatPr defaultColWidth="9" defaultRowHeight="14.4"/>
  <cols>
    <col min="1" max="1" width="6.44140625" customWidth="1"/>
    <col min="2" max="2" width="6.6640625" style="4" customWidth="1"/>
    <col min="3" max="3" width="19.77734375" style="5" customWidth="1"/>
    <col min="4" max="4" width="21.21875" style="5" customWidth="1"/>
    <col min="5" max="5" width="18.33203125" style="4" customWidth="1"/>
    <col min="6" max="6" width="13.109375" style="4" customWidth="1"/>
    <col min="7" max="7" width="13.77734375" style="4" customWidth="1"/>
    <col min="8" max="8" width="5.77734375" style="4" customWidth="1"/>
    <col min="9" max="9" width="5.88671875" style="4" customWidth="1"/>
    <col min="10" max="10" width="5.77734375" style="4" customWidth="1"/>
    <col min="11" max="11" width="20" style="4" customWidth="1"/>
    <col min="12" max="12" width="9" style="4" customWidth="1"/>
    <col min="13" max="13" width="12.109375" style="4" customWidth="1"/>
    <col min="14" max="14" width="11.33203125" style="4" customWidth="1"/>
    <col min="15" max="15" width="10" style="4" customWidth="1"/>
    <col min="16" max="16" width="9" style="4" customWidth="1"/>
    <col min="17" max="17" width="12.88671875" style="4" customWidth="1"/>
    <col min="18" max="18" width="12" style="4" customWidth="1"/>
    <col min="19" max="19" width="9.21875" style="4" customWidth="1"/>
    <col min="20" max="20" width="12.6640625" style="4" customWidth="1"/>
    <col min="21" max="23" width="11.109375" style="21" customWidth="1"/>
    <col min="24" max="24" width="22.44140625" customWidth="1"/>
  </cols>
  <sheetData>
    <row r="1" spans="1:29" ht="36.6" customHeight="1">
      <c r="B1" s="99" t="str">
        <f>CONCATENATE("157区 活动中心",Y15,"年",Y16,"月",Y17,"日","分包贡献明细"," 统计：一二三")</f>
        <v>157区 活动中心2021年11月6日分包贡献明细 统计：一二三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62"/>
      <c r="V1" s="62"/>
      <c r="W1" s="62"/>
      <c r="X1" s="22" t="s">
        <v>12</v>
      </c>
      <c r="Y1" s="5">
        <v>67</v>
      </c>
      <c r="Z1" s="3"/>
      <c r="AA1" s="3"/>
      <c r="AB1" s="3"/>
      <c r="AC1" s="3"/>
    </row>
    <row r="2" spans="1:29" ht="137.4" customHeight="1">
      <c r="B2" s="101" t="s">
        <v>126</v>
      </c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63"/>
      <c r="V2" s="63"/>
      <c r="W2" s="63"/>
      <c r="X2" s="23" t="s">
        <v>0</v>
      </c>
      <c r="Y2" s="24" t="s">
        <v>13</v>
      </c>
      <c r="Z2" s="25" t="s">
        <v>14</v>
      </c>
      <c r="AA2" s="25" t="s">
        <v>15</v>
      </c>
      <c r="AB2" s="25" t="s">
        <v>56</v>
      </c>
      <c r="AC2" s="26" t="s">
        <v>16</v>
      </c>
    </row>
    <row r="3" spans="1:29" ht="20.399999999999999">
      <c r="A3">
        <f>COUNTIF(K:K,"a跨服传说礼包")</f>
        <v>9</v>
      </c>
      <c r="B3" s="104" t="s">
        <v>20</v>
      </c>
      <c r="C3" s="104"/>
      <c r="D3" s="104"/>
      <c r="E3" s="104"/>
      <c r="F3" s="64" t="s">
        <v>17</v>
      </c>
      <c r="G3" s="65" t="s">
        <v>39</v>
      </c>
      <c r="H3" s="105" t="s">
        <v>99</v>
      </c>
      <c r="I3" s="105"/>
      <c r="J3" s="105"/>
      <c r="K3" s="106" t="s">
        <v>21</v>
      </c>
      <c r="L3" s="107"/>
      <c r="M3" s="107"/>
      <c r="N3" s="107"/>
      <c r="O3" s="107"/>
      <c r="P3" s="107"/>
      <c r="Q3" s="107"/>
      <c r="R3" s="107"/>
      <c r="S3" s="107"/>
      <c r="T3" s="108"/>
      <c r="U3" s="61"/>
      <c r="V3" s="61"/>
      <c r="W3" s="61"/>
      <c r="X3" s="27" t="s">
        <v>22</v>
      </c>
      <c r="Y3" s="28">
        <f>AC3/$Y$13</f>
        <v>11.875</v>
      </c>
      <c r="Z3" s="23">
        <v>5</v>
      </c>
      <c r="AA3" s="23">
        <v>7</v>
      </c>
      <c r="AB3" s="23">
        <v>20</v>
      </c>
      <c r="AC3" s="23">
        <v>1900</v>
      </c>
    </row>
    <row r="4" spans="1:29" ht="40.799999999999997">
      <c r="A4" s="79" t="s">
        <v>117</v>
      </c>
      <c r="B4" s="79" t="s">
        <v>2</v>
      </c>
      <c r="C4" s="60" t="s">
        <v>23</v>
      </c>
      <c r="D4" s="79" t="s">
        <v>3</v>
      </c>
      <c r="E4" s="79" t="s">
        <v>4</v>
      </c>
      <c r="F4" s="6" t="s">
        <v>40</v>
      </c>
      <c r="G4" s="7" t="s">
        <v>91</v>
      </c>
      <c r="H4" s="7" t="s">
        <v>100</v>
      </c>
      <c r="I4" s="7" t="s">
        <v>101</v>
      </c>
      <c r="J4" s="7" t="s">
        <v>102</v>
      </c>
      <c r="K4" s="6" t="s">
        <v>5</v>
      </c>
      <c r="L4" s="6" t="s">
        <v>24</v>
      </c>
      <c r="M4" s="7" t="s">
        <v>41</v>
      </c>
      <c r="N4" s="7" t="s">
        <v>104</v>
      </c>
      <c r="O4" s="7" t="s">
        <v>45</v>
      </c>
      <c r="P4" s="15" t="s">
        <v>25</v>
      </c>
      <c r="Q4" s="60" t="s">
        <v>26</v>
      </c>
      <c r="R4" s="16" t="s">
        <v>7</v>
      </c>
      <c r="S4" s="60" t="s">
        <v>6</v>
      </c>
      <c r="T4" s="60" t="s">
        <v>27</v>
      </c>
      <c r="U4" s="60" t="s">
        <v>18</v>
      </c>
      <c r="V4" s="60" t="s">
        <v>19</v>
      </c>
      <c r="W4" s="60" t="s">
        <v>1</v>
      </c>
      <c r="X4" s="29" t="s">
        <v>28</v>
      </c>
      <c r="Y4" s="28">
        <f>AC4/$Y$13</f>
        <v>9.6875</v>
      </c>
      <c r="Z4" s="23">
        <v>4</v>
      </c>
      <c r="AA4" s="23">
        <v>6</v>
      </c>
      <c r="AB4" s="23">
        <v>15</v>
      </c>
      <c r="AC4" s="23">
        <v>1550</v>
      </c>
    </row>
    <row r="5" spans="1:29" s="1" customFormat="1" ht="17.399999999999999">
      <c r="A5" s="9">
        <v>1</v>
      </c>
      <c r="B5" s="8">
        <v>225</v>
      </c>
      <c r="C5" s="8">
        <v>1963965829</v>
      </c>
      <c r="D5" s="42" t="s">
        <v>107</v>
      </c>
      <c r="E5" s="42"/>
      <c r="F5" s="10">
        <v>3</v>
      </c>
      <c r="G5" s="10">
        <v>1</v>
      </c>
      <c r="H5" s="50">
        <v>0</v>
      </c>
      <c r="I5" s="50">
        <v>0</v>
      </c>
      <c r="J5" s="50">
        <v>0</v>
      </c>
      <c r="K5" s="27" t="s">
        <v>22</v>
      </c>
      <c r="L5" s="11">
        <f t="shared" ref="L5:L36" si="0">F5+IF(F5&gt;2,(F5-2)*1,0)</f>
        <v>4</v>
      </c>
      <c r="M5" s="10">
        <f t="shared" ref="M5:M11" si="1">G5*$Y$14</f>
        <v>1.2</v>
      </c>
      <c r="N5" s="10">
        <f t="shared" ref="N5:N36" si="2">SUM(H5:J5)*$Y$18</f>
        <v>0</v>
      </c>
      <c r="O5" s="10">
        <v>0</v>
      </c>
      <c r="P5" s="10">
        <f t="shared" ref="P5:P36" si="3">SUM(M5+L5+O5+N5)</f>
        <v>5.2</v>
      </c>
      <c r="Q5" s="17">
        <v>23.810736940298494</v>
      </c>
      <c r="R5" s="18">
        <f t="shared" ref="R5:R36" si="4">P5+Q5</f>
        <v>29.010736940298493</v>
      </c>
      <c r="S5" s="19">
        <f t="shared" ref="S5:S36" si="5">VLOOKUP(K5,$X$3:$Y$10,2,FALSE)</f>
        <v>11.875</v>
      </c>
      <c r="T5" s="20">
        <f t="shared" ref="T5:T36" si="6">R5-S5</f>
        <v>17.135736940298493</v>
      </c>
      <c r="U5" s="4"/>
      <c r="V5" s="4"/>
      <c r="W5" s="4"/>
      <c r="X5" s="14" t="s">
        <v>29</v>
      </c>
      <c r="Y5" s="28">
        <f>AC5/$Y$13/4</f>
        <v>1.875</v>
      </c>
      <c r="Z5" s="30">
        <v>3</v>
      </c>
      <c r="AA5" s="30">
        <v>5</v>
      </c>
      <c r="AB5" s="30">
        <v>10</v>
      </c>
      <c r="AC5" s="30">
        <v>1200</v>
      </c>
    </row>
    <row r="6" spans="1:29" s="1" customFormat="1" ht="17.399999999999999">
      <c r="A6" s="9">
        <v>1</v>
      </c>
      <c r="B6" s="8">
        <v>167</v>
      </c>
      <c r="C6" s="8">
        <v>1173807161</v>
      </c>
      <c r="D6" s="42" t="s">
        <v>48</v>
      </c>
      <c r="E6" s="48"/>
      <c r="F6" s="10">
        <v>0</v>
      </c>
      <c r="G6" s="10">
        <v>0</v>
      </c>
      <c r="H6" s="50">
        <v>0</v>
      </c>
      <c r="I6" s="50">
        <v>0</v>
      </c>
      <c r="J6" s="50">
        <v>0</v>
      </c>
      <c r="K6" s="39" t="s">
        <v>30</v>
      </c>
      <c r="L6" s="11">
        <f t="shared" si="0"/>
        <v>0</v>
      </c>
      <c r="M6" s="10">
        <f t="shared" si="1"/>
        <v>0</v>
      </c>
      <c r="N6" s="10">
        <f t="shared" si="2"/>
        <v>0</v>
      </c>
      <c r="O6" s="10">
        <v>0</v>
      </c>
      <c r="P6" s="10">
        <f t="shared" si="3"/>
        <v>0</v>
      </c>
      <c r="Q6" s="17">
        <v>25.824999999999978</v>
      </c>
      <c r="R6" s="18">
        <f t="shared" si="4"/>
        <v>25.824999999999978</v>
      </c>
      <c r="S6" s="19">
        <f t="shared" si="5"/>
        <v>0</v>
      </c>
      <c r="T6" s="20">
        <f t="shared" si="6"/>
        <v>25.824999999999978</v>
      </c>
      <c r="U6" s="4"/>
      <c r="V6" s="4"/>
      <c r="W6" s="4"/>
      <c r="X6" s="14"/>
      <c r="Y6" s="28"/>
      <c r="Z6" s="30"/>
      <c r="AA6" s="30"/>
      <c r="AB6" s="30"/>
      <c r="AC6" s="30"/>
    </row>
    <row r="7" spans="1:29" s="1" customFormat="1" ht="17.399999999999999">
      <c r="A7" s="9">
        <v>1</v>
      </c>
      <c r="B7" s="8">
        <v>241</v>
      </c>
      <c r="C7" s="8">
        <v>1136259669</v>
      </c>
      <c r="D7" s="42" t="s">
        <v>124</v>
      </c>
      <c r="E7" s="4"/>
      <c r="F7" s="10">
        <v>3</v>
      </c>
      <c r="G7" s="10">
        <v>1</v>
      </c>
      <c r="H7" s="50">
        <v>0</v>
      </c>
      <c r="I7" s="50">
        <v>0</v>
      </c>
      <c r="J7" s="50">
        <v>0</v>
      </c>
      <c r="K7" s="27" t="s">
        <v>22</v>
      </c>
      <c r="L7" s="11">
        <f t="shared" si="0"/>
        <v>4</v>
      </c>
      <c r="M7" s="10">
        <f t="shared" si="1"/>
        <v>1.2</v>
      </c>
      <c r="N7" s="10">
        <f t="shared" si="2"/>
        <v>0</v>
      </c>
      <c r="O7" s="10">
        <v>0</v>
      </c>
      <c r="P7" s="10">
        <f t="shared" si="3"/>
        <v>5.2</v>
      </c>
      <c r="Q7" s="17">
        <v>19.718749999999986</v>
      </c>
      <c r="R7" s="18">
        <f t="shared" si="4"/>
        <v>24.918749999999985</v>
      </c>
      <c r="S7" s="19">
        <f t="shared" si="5"/>
        <v>11.875</v>
      </c>
      <c r="T7" s="20">
        <f t="shared" si="6"/>
        <v>13.043749999999985</v>
      </c>
      <c r="U7" s="4"/>
      <c r="V7" s="4"/>
      <c r="W7" s="4"/>
      <c r="X7" s="12" t="s">
        <v>53</v>
      </c>
      <c r="Y7" s="28">
        <f>AC7/$Y$13</f>
        <v>8.125</v>
      </c>
      <c r="Z7" s="30">
        <v>4</v>
      </c>
      <c r="AA7" s="30">
        <v>5</v>
      </c>
      <c r="AB7" s="30"/>
      <c r="AC7" s="30">
        <v>1300</v>
      </c>
    </row>
    <row r="8" spans="1:29" s="1" customFormat="1" ht="17.399999999999999">
      <c r="A8" s="9">
        <v>1</v>
      </c>
      <c r="B8" s="8">
        <v>156</v>
      </c>
      <c r="C8" s="8">
        <v>1744610165</v>
      </c>
      <c r="D8" s="42" t="s">
        <v>135</v>
      </c>
      <c r="E8" s="42" t="s">
        <v>64</v>
      </c>
      <c r="F8" s="10">
        <v>3</v>
      </c>
      <c r="G8" s="10">
        <v>1</v>
      </c>
      <c r="H8" s="50">
        <v>0</v>
      </c>
      <c r="I8" s="50">
        <v>0</v>
      </c>
      <c r="J8" s="50">
        <v>0</v>
      </c>
      <c r="K8" s="27" t="s">
        <v>22</v>
      </c>
      <c r="L8" s="11">
        <f t="shared" si="0"/>
        <v>4</v>
      </c>
      <c r="M8" s="10">
        <f t="shared" si="1"/>
        <v>1.2</v>
      </c>
      <c r="N8" s="10">
        <f t="shared" si="2"/>
        <v>0</v>
      </c>
      <c r="O8" s="10">
        <v>0</v>
      </c>
      <c r="P8" s="10">
        <f t="shared" si="3"/>
        <v>5.2</v>
      </c>
      <c r="Q8" s="17">
        <v>19.361266129032241</v>
      </c>
      <c r="R8" s="18">
        <f t="shared" si="4"/>
        <v>24.561266129032241</v>
      </c>
      <c r="S8" s="19">
        <f t="shared" si="5"/>
        <v>11.875</v>
      </c>
      <c r="T8" s="20">
        <f t="shared" si="6"/>
        <v>12.686266129032241</v>
      </c>
      <c r="U8" s="4"/>
      <c r="V8" s="4"/>
      <c r="W8" s="4"/>
      <c r="X8" s="13" t="s">
        <v>52</v>
      </c>
      <c r="Y8" s="28">
        <f>AC8/$Y$13</f>
        <v>6.25</v>
      </c>
      <c r="Z8" s="30">
        <v>3</v>
      </c>
      <c r="AA8" s="30">
        <v>4</v>
      </c>
      <c r="AB8" s="30"/>
      <c r="AC8" s="30">
        <v>1000</v>
      </c>
    </row>
    <row r="9" spans="1:29" s="1" customFormat="1" ht="17.399999999999999">
      <c r="A9" s="9">
        <v>1</v>
      </c>
      <c r="B9" s="8">
        <v>172</v>
      </c>
      <c r="C9" s="8">
        <v>724061220</v>
      </c>
      <c r="D9" s="42" t="s">
        <v>65</v>
      </c>
      <c r="E9" s="42" t="s">
        <v>50</v>
      </c>
      <c r="F9" s="10">
        <v>3</v>
      </c>
      <c r="G9" s="10">
        <v>1</v>
      </c>
      <c r="H9" s="50">
        <v>0</v>
      </c>
      <c r="I9" s="50">
        <v>0</v>
      </c>
      <c r="J9" s="50">
        <v>0</v>
      </c>
      <c r="K9" s="27" t="s">
        <v>22</v>
      </c>
      <c r="L9" s="11">
        <f t="shared" si="0"/>
        <v>4</v>
      </c>
      <c r="M9" s="10">
        <f t="shared" si="1"/>
        <v>1.2</v>
      </c>
      <c r="N9" s="10">
        <f t="shared" si="2"/>
        <v>0</v>
      </c>
      <c r="O9" s="10">
        <v>0</v>
      </c>
      <c r="P9" s="10">
        <f t="shared" si="3"/>
        <v>5.2</v>
      </c>
      <c r="Q9" s="17">
        <v>19.318749999999998</v>
      </c>
      <c r="R9" s="18">
        <f t="shared" si="4"/>
        <v>24.518749999999997</v>
      </c>
      <c r="S9" s="19">
        <f t="shared" si="5"/>
        <v>11.875</v>
      </c>
      <c r="T9" s="20">
        <f t="shared" si="6"/>
        <v>12.643749999999997</v>
      </c>
      <c r="U9" s="4"/>
      <c r="V9" s="4"/>
      <c r="W9" s="4"/>
      <c r="X9" s="14" t="s">
        <v>53</v>
      </c>
      <c r="Y9" s="28">
        <f>AC9/$Y$13/4</f>
        <v>1.09375</v>
      </c>
      <c r="Z9" s="30">
        <v>2</v>
      </c>
      <c r="AA9" s="30">
        <v>3</v>
      </c>
      <c r="AB9" s="30"/>
      <c r="AC9" s="30">
        <v>700</v>
      </c>
    </row>
    <row r="10" spans="1:29" s="1" customFormat="1" ht="17.399999999999999">
      <c r="A10" s="9">
        <v>1</v>
      </c>
      <c r="B10" s="8">
        <v>185</v>
      </c>
      <c r="C10" s="8">
        <v>30705222</v>
      </c>
      <c r="D10" s="42" t="s">
        <v>68</v>
      </c>
      <c r="E10" s="47"/>
      <c r="F10" s="10">
        <v>3</v>
      </c>
      <c r="G10" s="10">
        <v>1</v>
      </c>
      <c r="H10" s="50">
        <v>0</v>
      </c>
      <c r="I10" s="50">
        <v>0</v>
      </c>
      <c r="J10" s="50">
        <v>0</v>
      </c>
      <c r="K10" s="27" t="s">
        <v>22</v>
      </c>
      <c r="L10" s="11">
        <f t="shared" si="0"/>
        <v>4</v>
      </c>
      <c r="M10" s="10">
        <f t="shared" si="1"/>
        <v>1.2</v>
      </c>
      <c r="N10" s="10">
        <f t="shared" si="2"/>
        <v>0</v>
      </c>
      <c r="O10" s="10">
        <v>0</v>
      </c>
      <c r="P10" s="10">
        <f t="shared" si="3"/>
        <v>5.2</v>
      </c>
      <c r="Q10" s="17">
        <v>19.256249999999998</v>
      </c>
      <c r="R10" s="18">
        <f t="shared" si="4"/>
        <v>24.456249999999997</v>
      </c>
      <c r="S10" s="19">
        <f t="shared" si="5"/>
        <v>11.875</v>
      </c>
      <c r="T10" s="20">
        <f t="shared" si="6"/>
        <v>12.581249999999997</v>
      </c>
      <c r="U10" s="4"/>
      <c r="V10" s="4"/>
      <c r="W10" s="4"/>
      <c r="X10" s="33" t="s">
        <v>30</v>
      </c>
      <c r="Y10" s="2">
        <v>0</v>
      </c>
      <c r="Z10" s="2"/>
      <c r="AA10" s="2"/>
      <c r="AB10" s="2"/>
      <c r="AC10" s="2"/>
    </row>
    <row r="11" spans="1:29" s="1" customFormat="1" ht="17.399999999999999">
      <c r="A11" s="9">
        <v>1</v>
      </c>
      <c r="B11" s="8">
        <v>182</v>
      </c>
      <c r="C11" s="8">
        <v>828260319</v>
      </c>
      <c r="D11" s="42" t="s">
        <v>134</v>
      </c>
      <c r="E11" s="42" t="s">
        <v>127</v>
      </c>
      <c r="F11" s="10">
        <v>3</v>
      </c>
      <c r="G11" s="10">
        <v>1</v>
      </c>
      <c r="H11" s="50">
        <v>0</v>
      </c>
      <c r="I11" s="50">
        <v>0</v>
      </c>
      <c r="J11" s="50">
        <v>0</v>
      </c>
      <c r="K11" s="27" t="s">
        <v>22</v>
      </c>
      <c r="L11" s="11">
        <f t="shared" si="0"/>
        <v>4</v>
      </c>
      <c r="M11" s="10">
        <f t="shared" si="1"/>
        <v>1.2</v>
      </c>
      <c r="N11" s="10">
        <f t="shared" si="2"/>
        <v>0</v>
      </c>
      <c r="O11" s="10">
        <v>0</v>
      </c>
      <c r="P11" s="10">
        <f t="shared" si="3"/>
        <v>5.2</v>
      </c>
      <c r="Q11" s="17">
        <v>19.144250000000017</v>
      </c>
      <c r="R11" s="18">
        <f t="shared" si="4"/>
        <v>24.344250000000017</v>
      </c>
      <c r="S11" s="19">
        <f t="shared" si="5"/>
        <v>11.875</v>
      </c>
      <c r="T11" s="20">
        <f t="shared" si="6"/>
        <v>12.469250000000017</v>
      </c>
      <c r="U11" s="4"/>
      <c r="V11" s="4"/>
      <c r="W11" s="4"/>
      <c r="X11" s="34"/>
    </row>
    <row r="12" spans="1:29" s="1" customFormat="1" ht="20.399999999999999">
      <c r="A12" s="9">
        <v>1</v>
      </c>
      <c r="B12" s="9">
        <v>49</v>
      </c>
      <c r="C12" s="8">
        <v>311361673</v>
      </c>
      <c r="D12" s="43" t="s">
        <v>105</v>
      </c>
      <c r="E12" s="49" t="s">
        <v>11</v>
      </c>
      <c r="F12" s="10">
        <v>3</v>
      </c>
      <c r="G12" s="10">
        <v>1</v>
      </c>
      <c r="H12" s="50">
        <v>0</v>
      </c>
      <c r="I12" s="50">
        <v>0</v>
      </c>
      <c r="J12" s="50">
        <v>0</v>
      </c>
      <c r="K12" s="27" t="s">
        <v>22</v>
      </c>
      <c r="L12" s="11">
        <f t="shared" si="0"/>
        <v>4</v>
      </c>
      <c r="M12" s="10">
        <f>IF(G12&gt;0,1,0)*$Y$14</f>
        <v>1.2</v>
      </c>
      <c r="N12" s="10">
        <f t="shared" si="2"/>
        <v>0</v>
      </c>
      <c r="O12" s="10">
        <v>0</v>
      </c>
      <c r="P12" s="10">
        <f t="shared" si="3"/>
        <v>5.2</v>
      </c>
      <c r="Q12" s="17">
        <v>18.893749999999994</v>
      </c>
      <c r="R12" s="18">
        <f t="shared" si="4"/>
        <v>24.093749999999993</v>
      </c>
      <c r="S12" s="19">
        <f t="shared" si="5"/>
        <v>11.875</v>
      </c>
      <c r="T12" s="20">
        <f t="shared" si="6"/>
        <v>12.218749999999993</v>
      </c>
      <c r="U12" s="11"/>
      <c r="V12" s="11"/>
      <c r="W12" s="11"/>
      <c r="X12" s="35" t="s">
        <v>32</v>
      </c>
      <c r="Y12" s="1">
        <v>15000</v>
      </c>
    </row>
    <row r="13" spans="1:29" s="2" customFormat="1" ht="17.399999999999999">
      <c r="A13" s="9">
        <v>1</v>
      </c>
      <c r="B13" s="8">
        <v>202</v>
      </c>
      <c r="C13" s="8">
        <v>471245585</v>
      </c>
      <c r="D13" s="42" t="s">
        <v>77</v>
      </c>
      <c r="E13" s="47"/>
      <c r="F13" s="10">
        <v>3</v>
      </c>
      <c r="G13" s="10">
        <v>1</v>
      </c>
      <c r="H13" s="50">
        <v>0</v>
      </c>
      <c r="I13" s="50">
        <v>0</v>
      </c>
      <c r="J13" s="50">
        <v>0</v>
      </c>
      <c r="K13" s="27" t="s">
        <v>22</v>
      </c>
      <c r="L13" s="11">
        <f t="shared" si="0"/>
        <v>4</v>
      </c>
      <c r="M13" s="10">
        <f t="shared" ref="M13:M44" si="7">G13*$Y$14</f>
        <v>1.2</v>
      </c>
      <c r="N13" s="10">
        <f t="shared" si="2"/>
        <v>0</v>
      </c>
      <c r="O13" s="10">
        <v>0</v>
      </c>
      <c r="P13" s="10">
        <f t="shared" si="3"/>
        <v>5.2</v>
      </c>
      <c r="Q13" s="17">
        <v>18.774999999999988</v>
      </c>
      <c r="R13" s="18">
        <f t="shared" si="4"/>
        <v>23.974999999999987</v>
      </c>
      <c r="S13" s="19">
        <f t="shared" si="5"/>
        <v>11.875</v>
      </c>
      <c r="T13" s="20">
        <f t="shared" si="6"/>
        <v>12.099999999999987</v>
      </c>
      <c r="U13" s="4"/>
      <c r="V13" s="4"/>
      <c r="W13" s="4"/>
      <c r="X13" s="36" t="s">
        <v>33</v>
      </c>
      <c r="Y13" s="37">
        <v>160</v>
      </c>
      <c r="Z13" s="1"/>
      <c r="AA13" s="1"/>
      <c r="AB13" s="1"/>
      <c r="AC13" s="1"/>
    </row>
    <row r="14" spans="1:29" s="2" customFormat="1" ht="17.399999999999999">
      <c r="A14" s="9">
        <v>1</v>
      </c>
      <c r="B14" s="8">
        <v>238</v>
      </c>
      <c r="C14" s="8">
        <v>108179057</v>
      </c>
      <c r="D14" s="42" t="s">
        <v>120</v>
      </c>
      <c r="E14" s="4"/>
      <c r="F14" s="10">
        <v>3</v>
      </c>
      <c r="G14" s="10">
        <v>1</v>
      </c>
      <c r="H14" s="50">
        <v>0</v>
      </c>
      <c r="I14" s="50">
        <v>0</v>
      </c>
      <c r="J14" s="50">
        <v>0</v>
      </c>
      <c r="K14" s="27" t="s">
        <v>22</v>
      </c>
      <c r="L14" s="11">
        <f t="shared" si="0"/>
        <v>4</v>
      </c>
      <c r="M14" s="10">
        <f t="shared" si="7"/>
        <v>1.2</v>
      </c>
      <c r="N14" s="10">
        <f t="shared" si="2"/>
        <v>0</v>
      </c>
      <c r="O14" s="10">
        <v>0</v>
      </c>
      <c r="P14" s="10">
        <f t="shared" si="3"/>
        <v>5.2</v>
      </c>
      <c r="Q14" s="17">
        <v>18.624999999999986</v>
      </c>
      <c r="R14" s="18">
        <f t="shared" si="4"/>
        <v>23.824999999999985</v>
      </c>
      <c r="S14" s="19">
        <f t="shared" si="5"/>
        <v>11.875</v>
      </c>
      <c r="T14" s="20">
        <f t="shared" si="6"/>
        <v>11.949999999999985</v>
      </c>
      <c r="U14" s="4"/>
      <c r="V14" s="4"/>
      <c r="W14" s="4"/>
      <c r="X14" s="38" t="s">
        <v>42</v>
      </c>
      <c r="Y14" s="37">
        <v>1.2</v>
      </c>
      <c r="Z14" s="1"/>
      <c r="AA14" s="1"/>
      <c r="AB14" s="1"/>
      <c r="AC14" s="1"/>
    </row>
    <row r="15" spans="1:29" s="2" customFormat="1" ht="17.399999999999999">
      <c r="A15" s="9">
        <v>1</v>
      </c>
      <c r="B15" s="8">
        <v>215</v>
      </c>
      <c r="C15" s="8">
        <v>289805855</v>
      </c>
      <c r="D15" s="42" t="s">
        <v>87</v>
      </c>
      <c r="F15" s="10">
        <v>3</v>
      </c>
      <c r="G15" s="10">
        <v>1</v>
      </c>
      <c r="H15" s="50">
        <v>0</v>
      </c>
      <c r="I15" s="50">
        <v>0</v>
      </c>
      <c r="J15" s="50">
        <v>0</v>
      </c>
      <c r="K15" s="29" t="s">
        <v>28</v>
      </c>
      <c r="L15" s="11">
        <f t="shared" si="0"/>
        <v>4</v>
      </c>
      <c r="M15" s="10">
        <f t="shared" si="7"/>
        <v>1.2</v>
      </c>
      <c r="N15" s="10">
        <f t="shared" si="2"/>
        <v>0</v>
      </c>
      <c r="O15" s="10">
        <v>0</v>
      </c>
      <c r="P15" s="10">
        <f t="shared" si="3"/>
        <v>5.2</v>
      </c>
      <c r="Q15" s="17">
        <v>18.487999999999989</v>
      </c>
      <c r="R15" s="18">
        <f t="shared" si="4"/>
        <v>23.687999999999988</v>
      </c>
      <c r="S15" s="19">
        <f t="shared" si="5"/>
        <v>9.6875</v>
      </c>
      <c r="T15" s="20">
        <f t="shared" si="6"/>
        <v>14.000499999999988</v>
      </c>
      <c r="U15" s="4"/>
      <c r="V15" s="4"/>
      <c r="W15" s="4"/>
      <c r="X15" s="1" t="s">
        <v>34</v>
      </c>
      <c r="Y15" s="37">
        <v>2021</v>
      </c>
      <c r="Z15" s="1"/>
      <c r="AA15" s="1"/>
      <c r="AB15" s="1"/>
      <c r="AC15" s="1"/>
    </row>
    <row r="16" spans="1:29" s="2" customFormat="1" ht="17.399999999999999">
      <c r="A16" s="9">
        <v>1</v>
      </c>
      <c r="B16" s="8">
        <v>216</v>
      </c>
      <c r="C16" s="8">
        <v>395700385</v>
      </c>
      <c r="D16" s="42" t="s">
        <v>88</v>
      </c>
      <c r="F16" s="10">
        <v>3</v>
      </c>
      <c r="G16" s="10">
        <v>1</v>
      </c>
      <c r="H16" s="50">
        <v>0</v>
      </c>
      <c r="I16" s="50">
        <v>0</v>
      </c>
      <c r="J16" s="50">
        <v>0</v>
      </c>
      <c r="K16" s="29" t="s">
        <v>28</v>
      </c>
      <c r="L16" s="11">
        <f t="shared" si="0"/>
        <v>4</v>
      </c>
      <c r="M16" s="10">
        <f t="shared" si="7"/>
        <v>1.2</v>
      </c>
      <c r="N16" s="10">
        <f t="shared" si="2"/>
        <v>0</v>
      </c>
      <c r="O16" s="10">
        <v>0</v>
      </c>
      <c r="P16" s="10">
        <f t="shared" si="3"/>
        <v>5.2</v>
      </c>
      <c r="Q16" s="17">
        <v>18.487701612903212</v>
      </c>
      <c r="R16" s="18">
        <f t="shared" si="4"/>
        <v>23.687701612903211</v>
      </c>
      <c r="S16" s="19">
        <f t="shared" si="5"/>
        <v>9.6875</v>
      </c>
      <c r="T16" s="20">
        <f t="shared" si="6"/>
        <v>14.000201612903211</v>
      </c>
      <c r="U16" s="4"/>
      <c r="V16" s="4"/>
      <c r="W16" s="4"/>
      <c r="X16" s="1" t="s">
        <v>35</v>
      </c>
      <c r="Y16" s="37">
        <v>11</v>
      </c>
      <c r="Z16" s="1"/>
      <c r="AA16" s="1"/>
      <c r="AB16" s="1"/>
      <c r="AC16" s="1"/>
    </row>
    <row r="17" spans="1:29" s="2" customFormat="1" ht="17.399999999999999">
      <c r="A17" s="9">
        <v>1</v>
      </c>
      <c r="B17" s="9">
        <v>26</v>
      </c>
      <c r="C17" s="8">
        <v>1754932067</v>
      </c>
      <c r="D17" s="42" t="s">
        <v>58</v>
      </c>
      <c r="E17" s="42" t="s">
        <v>9</v>
      </c>
      <c r="F17" s="10">
        <v>3</v>
      </c>
      <c r="G17" s="10">
        <v>1</v>
      </c>
      <c r="H17" s="50">
        <v>0</v>
      </c>
      <c r="I17" s="50">
        <v>0</v>
      </c>
      <c r="J17" s="50">
        <v>0</v>
      </c>
      <c r="K17" s="29" t="s">
        <v>28</v>
      </c>
      <c r="L17" s="11">
        <f t="shared" si="0"/>
        <v>4</v>
      </c>
      <c r="M17" s="10">
        <f t="shared" si="7"/>
        <v>1.2</v>
      </c>
      <c r="N17" s="10">
        <f t="shared" si="2"/>
        <v>0</v>
      </c>
      <c r="O17" s="10">
        <v>0</v>
      </c>
      <c r="P17" s="10">
        <f t="shared" si="3"/>
        <v>5.2</v>
      </c>
      <c r="Q17" s="17">
        <v>18.45</v>
      </c>
      <c r="R17" s="18">
        <f t="shared" si="4"/>
        <v>23.65</v>
      </c>
      <c r="S17" s="19">
        <f t="shared" si="5"/>
        <v>9.6875</v>
      </c>
      <c r="T17" s="20">
        <f t="shared" si="6"/>
        <v>13.962499999999999</v>
      </c>
      <c r="U17" s="11"/>
      <c r="V17" s="11"/>
      <c r="W17" s="11"/>
      <c r="X17" s="1" t="s">
        <v>36</v>
      </c>
      <c r="Y17" s="37">
        <v>6</v>
      </c>
      <c r="Z17" s="1"/>
      <c r="AA17" s="1"/>
      <c r="AB17" s="1"/>
      <c r="AC17" s="1"/>
    </row>
    <row r="18" spans="1:29" s="2" customFormat="1" ht="17.399999999999999">
      <c r="A18" s="9">
        <v>1</v>
      </c>
      <c r="B18" s="8">
        <v>116</v>
      </c>
      <c r="C18" s="8">
        <v>2122596917</v>
      </c>
      <c r="D18" s="42" t="s">
        <v>61</v>
      </c>
      <c r="E18" s="42" t="s">
        <v>37</v>
      </c>
      <c r="F18" s="10">
        <v>3</v>
      </c>
      <c r="G18" s="10">
        <v>1</v>
      </c>
      <c r="H18" s="50">
        <v>0</v>
      </c>
      <c r="I18" s="50">
        <v>0</v>
      </c>
      <c r="J18" s="50">
        <v>0</v>
      </c>
      <c r="K18" s="29" t="s">
        <v>28</v>
      </c>
      <c r="L18" s="11">
        <f t="shared" si="0"/>
        <v>4</v>
      </c>
      <c r="M18" s="10">
        <f t="shared" si="7"/>
        <v>1.2</v>
      </c>
      <c r="N18" s="10">
        <f t="shared" si="2"/>
        <v>0</v>
      </c>
      <c r="O18" s="10">
        <v>0</v>
      </c>
      <c r="P18" s="10">
        <f t="shared" si="3"/>
        <v>5.2</v>
      </c>
      <c r="Q18" s="17">
        <v>18.312499999999996</v>
      </c>
      <c r="R18" s="18">
        <f t="shared" si="4"/>
        <v>23.512499999999996</v>
      </c>
      <c r="S18" s="19">
        <f t="shared" si="5"/>
        <v>9.6875</v>
      </c>
      <c r="T18" s="20">
        <f t="shared" si="6"/>
        <v>13.824999999999996</v>
      </c>
      <c r="U18" s="11"/>
      <c r="V18" s="11"/>
      <c r="W18" s="32"/>
      <c r="X18" s="51" t="s">
        <v>103</v>
      </c>
      <c r="Y18" s="37">
        <v>0.4</v>
      </c>
      <c r="Z18" s="1"/>
      <c r="AA18" s="1"/>
      <c r="AB18" s="1"/>
      <c r="AC18" s="1"/>
    </row>
    <row r="19" spans="1:29" s="2" customFormat="1" ht="17.399999999999999">
      <c r="A19" s="9">
        <v>1</v>
      </c>
      <c r="B19" s="8">
        <v>209</v>
      </c>
      <c r="C19" s="8">
        <v>1525950050</v>
      </c>
      <c r="D19" s="42" t="s">
        <v>85</v>
      </c>
      <c r="E19" s="42" t="s">
        <v>83</v>
      </c>
      <c r="F19" s="10">
        <v>3</v>
      </c>
      <c r="G19" s="10">
        <v>1</v>
      </c>
      <c r="H19" s="50">
        <v>0</v>
      </c>
      <c r="I19" s="50">
        <v>0</v>
      </c>
      <c r="J19" s="50">
        <v>0</v>
      </c>
      <c r="K19" s="29" t="s">
        <v>28</v>
      </c>
      <c r="L19" s="11">
        <f t="shared" si="0"/>
        <v>4</v>
      </c>
      <c r="M19" s="10">
        <f t="shared" si="7"/>
        <v>1.2</v>
      </c>
      <c r="N19" s="10">
        <f t="shared" si="2"/>
        <v>0</v>
      </c>
      <c r="O19" s="10">
        <v>0</v>
      </c>
      <c r="P19" s="10">
        <f t="shared" si="3"/>
        <v>5.2</v>
      </c>
      <c r="Q19" s="17">
        <v>17.824999999999989</v>
      </c>
      <c r="R19" s="18">
        <f t="shared" si="4"/>
        <v>23.024999999999988</v>
      </c>
      <c r="S19" s="19">
        <f t="shared" si="5"/>
        <v>9.6875</v>
      </c>
      <c r="T19" s="20">
        <f t="shared" si="6"/>
        <v>13.337499999999988</v>
      </c>
      <c r="U19" s="4"/>
      <c r="V19" s="4"/>
      <c r="W19" s="4"/>
      <c r="X19" s="1"/>
      <c r="Y19" s="1"/>
      <c r="Z19" s="1"/>
      <c r="AA19" s="1"/>
      <c r="AB19" s="1"/>
      <c r="AC19" s="1"/>
    </row>
    <row r="20" spans="1:29" s="2" customFormat="1" ht="17.399999999999999">
      <c r="A20" s="9">
        <v>1</v>
      </c>
      <c r="B20" s="8">
        <v>128</v>
      </c>
      <c r="C20" s="8">
        <v>1214614935</v>
      </c>
      <c r="D20" s="42" t="s">
        <v>62</v>
      </c>
      <c r="E20" s="49" t="s">
        <v>43</v>
      </c>
      <c r="F20" s="10">
        <v>3</v>
      </c>
      <c r="G20" s="10">
        <v>1</v>
      </c>
      <c r="H20" s="50">
        <v>0</v>
      </c>
      <c r="I20" s="50">
        <v>0</v>
      </c>
      <c r="J20" s="50">
        <v>0</v>
      </c>
      <c r="K20" s="29" t="s">
        <v>28</v>
      </c>
      <c r="L20" s="11">
        <f t="shared" si="0"/>
        <v>4</v>
      </c>
      <c r="M20" s="10">
        <f t="shared" si="7"/>
        <v>1.2</v>
      </c>
      <c r="N20" s="10">
        <f t="shared" si="2"/>
        <v>0</v>
      </c>
      <c r="O20" s="10">
        <v>0</v>
      </c>
      <c r="P20" s="10">
        <f t="shared" si="3"/>
        <v>5.2</v>
      </c>
      <c r="Q20" s="17">
        <v>16.299499999999991</v>
      </c>
      <c r="R20" s="18">
        <f t="shared" si="4"/>
        <v>21.499499999999991</v>
      </c>
      <c r="S20" s="19">
        <f t="shared" si="5"/>
        <v>9.6875</v>
      </c>
      <c r="T20" s="20">
        <f t="shared" si="6"/>
        <v>11.811999999999991</v>
      </c>
      <c r="U20" s="11"/>
      <c r="V20" s="11"/>
      <c r="W20" s="31"/>
      <c r="X20" s="1"/>
      <c r="Y20" s="1"/>
      <c r="Z20" s="1"/>
      <c r="AA20" s="1"/>
      <c r="AB20" s="1"/>
      <c r="AC20" s="1"/>
    </row>
    <row r="21" spans="1:29" s="2" customFormat="1" ht="17.399999999999999">
      <c r="A21" s="9">
        <v>1</v>
      </c>
      <c r="B21" s="8">
        <v>208</v>
      </c>
      <c r="C21" s="8">
        <v>92129464</v>
      </c>
      <c r="D21" s="42" t="s">
        <v>82</v>
      </c>
      <c r="E21" s="47"/>
      <c r="F21" s="10">
        <v>3</v>
      </c>
      <c r="G21" s="10">
        <v>1</v>
      </c>
      <c r="H21" s="50">
        <v>0</v>
      </c>
      <c r="I21" s="50">
        <v>0</v>
      </c>
      <c r="J21" s="50">
        <v>0</v>
      </c>
      <c r="K21" s="29" t="s">
        <v>28</v>
      </c>
      <c r="L21" s="11">
        <f t="shared" si="0"/>
        <v>4</v>
      </c>
      <c r="M21" s="10">
        <f t="shared" si="7"/>
        <v>1.2</v>
      </c>
      <c r="N21" s="10">
        <f t="shared" si="2"/>
        <v>0</v>
      </c>
      <c r="O21" s="10">
        <v>0</v>
      </c>
      <c r="P21" s="10">
        <f t="shared" si="3"/>
        <v>5.2</v>
      </c>
      <c r="Q21" s="17">
        <v>16.024999999999995</v>
      </c>
      <c r="R21" s="18">
        <f t="shared" si="4"/>
        <v>21.224999999999994</v>
      </c>
      <c r="S21" s="19">
        <f t="shared" si="5"/>
        <v>9.6875</v>
      </c>
      <c r="T21" s="20">
        <f t="shared" si="6"/>
        <v>11.537499999999994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20.399999999999999">
      <c r="A22" s="9">
        <v>1</v>
      </c>
      <c r="B22" s="8">
        <v>229</v>
      </c>
      <c r="C22" s="8">
        <v>1598972736</v>
      </c>
      <c r="D22" s="42" t="s">
        <v>110</v>
      </c>
      <c r="E22" s="42"/>
      <c r="F22" s="10">
        <v>0</v>
      </c>
      <c r="G22" s="10">
        <v>0</v>
      </c>
      <c r="H22" s="50">
        <v>0</v>
      </c>
      <c r="I22" s="50">
        <v>0</v>
      </c>
      <c r="J22" s="50">
        <v>0</v>
      </c>
      <c r="K22" s="39" t="s">
        <v>30</v>
      </c>
      <c r="L22" s="11">
        <f t="shared" si="0"/>
        <v>0</v>
      </c>
      <c r="M22" s="10">
        <f t="shared" si="7"/>
        <v>0</v>
      </c>
      <c r="N22" s="10">
        <f t="shared" si="2"/>
        <v>0</v>
      </c>
      <c r="O22" s="10">
        <v>0</v>
      </c>
      <c r="P22" s="10">
        <f t="shared" si="3"/>
        <v>0</v>
      </c>
      <c r="Q22" s="17">
        <v>21.197089552238797</v>
      </c>
      <c r="R22" s="18">
        <f t="shared" si="4"/>
        <v>21.197089552238797</v>
      </c>
      <c r="S22" s="19">
        <f t="shared" si="5"/>
        <v>0</v>
      </c>
      <c r="T22" s="20">
        <f t="shared" si="6"/>
        <v>21.197089552238797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20.399999999999999">
      <c r="A23" s="9">
        <v>1</v>
      </c>
      <c r="B23" s="8">
        <v>221</v>
      </c>
      <c r="C23" s="8">
        <v>790956883</v>
      </c>
      <c r="D23" s="42" t="s">
        <v>96</v>
      </c>
      <c r="E23" s="42" t="s">
        <v>95</v>
      </c>
      <c r="F23" s="10">
        <v>3</v>
      </c>
      <c r="G23" s="10">
        <v>1</v>
      </c>
      <c r="H23" s="50">
        <v>0</v>
      </c>
      <c r="I23" s="50">
        <v>0</v>
      </c>
      <c r="J23" s="50">
        <v>0</v>
      </c>
      <c r="K23" s="29" t="s">
        <v>28</v>
      </c>
      <c r="L23" s="11">
        <f t="shared" si="0"/>
        <v>4</v>
      </c>
      <c r="M23" s="10">
        <f t="shared" si="7"/>
        <v>1.2</v>
      </c>
      <c r="N23" s="10">
        <f t="shared" si="2"/>
        <v>0</v>
      </c>
      <c r="O23" s="10">
        <v>0</v>
      </c>
      <c r="P23" s="10">
        <f t="shared" si="3"/>
        <v>5.2</v>
      </c>
      <c r="Q23" s="17">
        <v>15.981249999999992</v>
      </c>
      <c r="R23" s="18">
        <f t="shared" si="4"/>
        <v>21.181249999999991</v>
      </c>
      <c r="S23" s="19">
        <f t="shared" si="5"/>
        <v>9.6875</v>
      </c>
      <c r="T23" s="20">
        <f t="shared" si="6"/>
        <v>11.493749999999991</v>
      </c>
      <c r="U23" s="4"/>
      <c r="V23" s="4"/>
      <c r="W23" s="4"/>
    </row>
    <row r="24" spans="1:29" s="1" customFormat="1" ht="17.399999999999999">
      <c r="A24" s="9">
        <v>1</v>
      </c>
      <c r="B24" s="8">
        <v>196</v>
      </c>
      <c r="C24" s="8">
        <v>1065641844</v>
      </c>
      <c r="D24" s="42" t="s">
        <v>74</v>
      </c>
      <c r="E24" s="47"/>
      <c r="F24" s="10">
        <v>0</v>
      </c>
      <c r="G24" s="10">
        <v>0</v>
      </c>
      <c r="H24" s="50">
        <v>0</v>
      </c>
      <c r="I24" s="50">
        <v>0</v>
      </c>
      <c r="J24" s="50">
        <v>0</v>
      </c>
      <c r="K24" s="39" t="s">
        <v>30</v>
      </c>
      <c r="L24" s="11">
        <f t="shared" si="0"/>
        <v>0</v>
      </c>
      <c r="M24" s="10">
        <f t="shared" si="7"/>
        <v>0</v>
      </c>
      <c r="N24" s="10">
        <f t="shared" si="2"/>
        <v>0</v>
      </c>
      <c r="O24" s="10">
        <v>0</v>
      </c>
      <c r="P24" s="10">
        <f t="shared" si="3"/>
        <v>0</v>
      </c>
      <c r="Q24" s="17">
        <v>21.062499999999993</v>
      </c>
      <c r="R24" s="18">
        <f t="shared" si="4"/>
        <v>21.062499999999993</v>
      </c>
      <c r="S24" s="19">
        <f t="shared" si="5"/>
        <v>0</v>
      </c>
      <c r="T24" s="20">
        <f t="shared" si="6"/>
        <v>21.062499999999993</v>
      </c>
      <c r="U24" s="4"/>
      <c r="V24" s="4"/>
      <c r="W24" s="4"/>
    </row>
    <row r="25" spans="1:29" s="1" customFormat="1" ht="17.399999999999999">
      <c r="A25" s="9">
        <v>1</v>
      </c>
      <c r="B25" s="8">
        <v>242</v>
      </c>
      <c r="C25" s="8">
        <v>1381736232</v>
      </c>
      <c r="D25" s="42" t="s">
        <v>125</v>
      </c>
      <c r="E25" s="4"/>
      <c r="F25" s="10">
        <v>3</v>
      </c>
      <c r="G25" s="10">
        <v>1</v>
      </c>
      <c r="H25" s="50">
        <v>0</v>
      </c>
      <c r="I25" s="50">
        <v>0</v>
      </c>
      <c r="J25" s="50">
        <v>0</v>
      </c>
      <c r="K25" s="29" t="s">
        <v>28</v>
      </c>
      <c r="L25" s="11">
        <f t="shared" si="0"/>
        <v>4</v>
      </c>
      <c r="M25" s="10">
        <f t="shared" si="7"/>
        <v>1.2</v>
      </c>
      <c r="N25" s="10">
        <f t="shared" si="2"/>
        <v>0</v>
      </c>
      <c r="O25" s="10">
        <v>0</v>
      </c>
      <c r="P25" s="10">
        <f t="shared" si="3"/>
        <v>5.2</v>
      </c>
      <c r="Q25" s="17">
        <v>15.781249999999989</v>
      </c>
      <c r="R25" s="18">
        <f t="shared" si="4"/>
        <v>20.981249999999989</v>
      </c>
      <c r="S25" s="19">
        <f t="shared" si="5"/>
        <v>9.6875</v>
      </c>
      <c r="T25" s="20">
        <f t="shared" si="6"/>
        <v>11.293749999999989</v>
      </c>
      <c r="U25" s="4"/>
      <c r="V25" s="4"/>
      <c r="W25" s="4"/>
    </row>
    <row r="26" spans="1:29" s="1" customFormat="1" ht="18.75" customHeight="1">
      <c r="A26" s="9">
        <v>1</v>
      </c>
      <c r="B26" s="8">
        <v>183</v>
      </c>
      <c r="C26" s="8">
        <v>1250030371</v>
      </c>
      <c r="D26" s="42" t="s">
        <v>130</v>
      </c>
      <c r="E26" s="42" t="s">
        <v>121</v>
      </c>
      <c r="F26" s="10">
        <v>3</v>
      </c>
      <c r="G26" s="10">
        <v>1</v>
      </c>
      <c r="H26" s="50">
        <v>0</v>
      </c>
      <c r="I26" s="50">
        <v>0</v>
      </c>
      <c r="J26" s="50">
        <v>0</v>
      </c>
      <c r="K26" s="14" t="s">
        <v>29</v>
      </c>
      <c r="L26" s="11">
        <f t="shared" si="0"/>
        <v>4</v>
      </c>
      <c r="M26" s="10">
        <f t="shared" si="7"/>
        <v>1.2</v>
      </c>
      <c r="N26" s="10">
        <f t="shared" si="2"/>
        <v>0</v>
      </c>
      <c r="O26" s="10">
        <v>0</v>
      </c>
      <c r="P26" s="10">
        <f t="shared" si="3"/>
        <v>5.2</v>
      </c>
      <c r="Q26" s="17">
        <v>15.493749999999995</v>
      </c>
      <c r="R26" s="18">
        <f t="shared" si="4"/>
        <v>20.693749999999994</v>
      </c>
      <c r="S26" s="19">
        <f t="shared" si="5"/>
        <v>1.875</v>
      </c>
      <c r="T26" s="20">
        <f t="shared" si="6"/>
        <v>18.818749999999994</v>
      </c>
      <c r="U26" s="4"/>
      <c r="V26" s="4"/>
      <c r="W26" s="4"/>
    </row>
    <row r="27" spans="1:29" s="1" customFormat="1" ht="17.399999999999999">
      <c r="A27" s="9">
        <v>1</v>
      </c>
      <c r="B27" s="8">
        <v>189</v>
      </c>
      <c r="C27" s="8">
        <v>522812489</v>
      </c>
      <c r="D27" s="42" t="s">
        <v>70</v>
      </c>
      <c r="E27" s="47"/>
      <c r="F27" s="10">
        <v>3</v>
      </c>
      <c r="G27" s="10">
        <v>1</v>
      </c>
      <c r="H27" s="50">
        <v>0</v>
      </c>
      <c r="I27" s="50">
        <v>0</v>
      </c>
      <c r="J27" s="50">
        <v>0</v>
      </c>
      <c r="K27" s="14" t="s">
        <v>29</v>
      </c>
      <c r="L27" s="11">
        <f t="shared" si="0"/>
        <v>4</v>
      </c>
      <c r="M27" s="10">
        <f t="shared" si="7"/>
        <v>1.2</v>
      </c>
      <c r="N27" s="10">
        <f t="shared" si="2"/>
        <v>0</v>
      </c>
      <c r="O27" s="10">
        <v>0</v>
      </c>
      <c r="P27" s="10">
        <f t="shared" si="3"/>
        <v>5.2</v>
      </c>
      <c r="Q27" s="17">
        <v>15.3</v>
      </c>
      <c r="R27" s="18">
        <f t="shared" si="4"/>
        <v>20.5</v>
      </c>
      <c r="S27" s="19">
        <f t="shared" si="5"/>
        <v>1.875</v>
      </c>
      <c r="T27" s="20">
        <f t="shared" si="6"/>
        <v>18.625</v>
      </c>
      <c r="U27" s="4"/>
      <c r="V27" s="4"/>
      <c r="W27" s="4"/>
    </row>
    <row r="28" spans="1:29" s="1" customFormat="1" ht="17.399999999999999">
      <c r="A28" s="9">
        <v>1</v>
      </c>
      <c r="B28" s="8">
        <v>118</v>
      </c>
      <c r="C28" s="8">
        <v>2018112397</v>
      </c>
      <c r="D28" s="42" t="s">
        <v>136</v>
      </c>
      <c r="E28" s="42" t="s">
        <v>54</v>
      </c>
      <c r="F28" s="10">
        <v>3</v>
      </c>
      <c r="G28" s="10">
        <v>1</v>
      </c>
      <c r="H28" s="50">
        <v>0</v>
      </c>
      <c r="I28" s="50">
        <v>0</v>
      </c>
      <c r="J28" s="50">
        <v>0</v>
      </c>
      <c r="K28" s="14" t="s">
        <v>29</v>
      </c>
      <c r="L28" s="11">
        <f t="shared" si="0"/>
        <v>4</v>
      </c>
      <c r="M28" s="10">
        <f t="shared" si="7"/>
        <v>1.2</v>
      </c>
      <c r="N28" s="10">
        <f t="shared" si="2"/>
        <v>0</v>
      </c>
      <c r="O28" s="10">
        <v>0</v>
      </c>
      <c r="P28" s="10">
        <f t="shared" si="3"/>
        <v>5.2</v>
      </c>
      <c r="Q28" s="17">
        <v>14.931249999999984</v>
      </c>
      <c r="R28" s="18">
        <f t="shared" si="4"/>
        <v>20.131249999999984</v>
      </c>
      <c r="S28" s="19">
        <f t="shared" si="5"/>
        <v>1.875</v>
      </c>
      <c r="T28" s="20">
        <f t="shared" si="6"/>
        <v>18.256249999999984</v>
      </c>
      <c r="U28" s="11"/>
      <c r="V28" s="11"/>
      <c r="W28" s="32"/>
    </row>
    <row r="29" spans="1:29" s="2" customFormat="1" ht="17.399999999999999">
      <c r="A29" s="9">
        <v>1</v>
      </c>
      <c r="B29" s="8">
        <v>234</v>
      </c>
      <c r="C29" s="8">
        <v>1333428907</v>
      </c>
      <c r="D29" s="42" t="s">
        <v>128</v>
      </c>
      <c r="E29" s="42" t="s">
        <v>115</v>
      </c>
      <c r="F29" s="10">
        <v>1</v>
      </c>
      <c r="G29" s="10">
        <v>0</v>
      </c>
      <c r="H29" s="50">
        <v>0</v>
      </c>
      <c r="I29" s="50">
        <v>0</v>
      </c>
      <c r="J29" s="50">
        <v>0</v>
      </c>
      <c r="K29" s="14" t="s">
        <v>29</v>
      </c>
      <c r="L29" s="11">
        <f t="shared" si="0"/>
        <v>1</v>
      </c>
      <c r="M29" s="10">
        <f t="shared" si="7"/>
        <v>0</v>
      </c>
      <c r="N29" s="10">
        <f t="shared" si="2"/>
        <v>0</v>
      </c>
      <c r="O29" s="10">
        <v>0</v>
      </c>
      <c r="P29" s="10">
        <f t="shared" si="3"/>
        <v>1</v>
      </c>
      <c r="Q29" s="17">
        <v>18.625</v>
      </c>
      <c r="R29" s="18">
        <f t="shared" si="4"/>
        <v>19.625</v>
      </c>
      <c r="S29" s="19">
        <f t="shared" si="5"/>
        <v>1.875</v>
      </c>
      <c r="T29" s="20">
        <f t="shared" si="6"/>
        <v>17.75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7.399999999999999">
      <c r="A30" s="9">
        <v>1</v>
      </c>
      <c r="B30" s="9">
        <v>231</v>
      </c>
      <c r="C30" s="8">
        <v>1725915293</v>
      </c>
      <c r="D30" s="42" t="s">
        <v>112</v>
      </c>
      <c r="E30" s="4"/>
      <c r="F30" s="10">
        <v>2</v>
      </c>
      <c r="G30" s="10">
        <v>1</v>
      </c>
      <c r="H30" s="50">
        <v>0</v>
      </c>
      <c r="I30" s="50">
        <v>0</v>
      </c>
      <c r="J30" s="50">
        <v>0</v>
      </c>
      <c r="K30" s="14" t="s">
        <v>29</v>
      </c>
      <c r="L30" s="11">
        <f t="shared" si="0"/>
        <v>2</v>
      </c>
      <c r="M30" s="10">
        <f t="shared" si="7"/>
        <v>1.2</v>
      </c>
      <c r="N30" s="10">
        <f t="shared" si="2"/>
        <v>0</v>
      </c>
      <c r="O30" s="10">
        <v>0</v>
      </c>
      <c r="P30" s="10">
        <f t="shared" si="3"/>
        <v>3.2</v>
      </c>
      <c r="Q30" s="17">
        <v>16.243749999999995</v>
      </c>
      <c r="R30" s="18">
        <f t="shared" si="4"/>
        <v>19.443749999999994</v>
      </c>
      <c r="S30" s="19">
        <f t="shared" si="5"/>
        <v>1.875</v>
      </c>
      <c r="T30" s="20">
        <f t="shared" si="6"/>
        <v>17.568749999999994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7.399999999999999">
      <c r="A31" s="9">
        <v>1</v>
      </c>
      <c r="B31" s="8">
        <v>224</v>
      </c>
      <c r="C31" s="8">
        <v>862562360</v>
      </c>
      <c r="D31" s="42" t="s">
        <v>129</v>
      </c>
      <c r="E31" s="42" t="s">
        <v>106</v>
      </c>
      <c r="F31" s="10">
        <v>0</v>
      </c>
      <c r="G31" s="10">
        <v>0</v>
      </c>
      <c r="H31" s="50">
        <v>0</v>
      </c>
      <c r="I31" s="50">
        <v>0</v>
      </c>
      <c r="J31" s="50">
        <v>0</v>
      </c>
      <c r="K31" s="39" t="s">
        <v>30</v>
      </c>
      <c r="L31" s="11">
        <f t="shared" si="0"/>
        <v>0</v>
      </c>
      <c r="M31" s="10">
        <f t="shared" si="7"/>
        <v>0</v>
      </c>
      <c r="N31" s="10">
        <f t="shared" si="2"/>
        <v>0</v>
      </c>
      <c r="O31" s="10">
        <v>0</v>
      </c>
      <c r="P31" s="10">
        <f t="shared" si="3"/>
        <v>0</v>
      </c>
      <c r="Q31" s="17">
        <v>18.860354477611939</v>
      </c>
      <c r="R31" s="18">
        <f t="shared" si="4"/>
        <v>18.860354477611939</v>
      </c>
      <c r="S31" s="19">
        <f t="shared" si="5"/>
        <v>0</v>
      </c>
      <c r="T31" s="20">
        <f t="shared" si="6"/>
        <v>18.860354477611939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7.399999999999999">
      <c r="A32" s="9">
        <v>1</v>
      </c>
      <c r="B32" s="8">
        <v>232</v>
      </c>
      <c r="C32" s="8">
        <v>1088909927</v>
      </c>
      <c r="D32" s="42" t="s">
        <v>113</v>
      </c>
      <c r="E32" s="4"/>
      <c r="F32" s="10">
        <v>2</v>
      </c>
      <c r="G32" s="10">
        <v>1</v>
      </c>
      <c r="H32" s="50">
        <v>0</v>
      </c>
      <c r="I32" s="50">
        <v>0</v>
      </c>
      <c r="J32" s="50">
        <v>0</v>
      </c>
      <c r="K32" s="14" t="s">
        <v>29</v>
      </c>
      <c r="L32" s="11">
        <f t="shared" si="0"/>
        <v>2</v>
      </c>
      <c r="M32" s="10">
        <f t="shared" si="7"/>
        <v>1.2</v>
      </c>
      <c r="N32" s="10">
        <f t="shared" si="2"/>
        <v>0</v>
      </c>
      <c r="O32" s="10">
        <v>0</v>
      </c>
      <c r="P32" s="10">
        <f t="shared" si="3"/>
        <v>3.2</v>
      </c>
      <c r="Q32" s="17">
        <v>15.281249999999996</v>
      </c>
      <c r="R32" s="18">
        <f t="shared" si="4"/>
        <v>18.481249999999996</v>
      </c>
      <c r="S32" s="19">
        <f t="shared" si="5"/>
        <v>1.875</v>
      </c>
      <c r="T32" s="20">
        <f t="shared" si="6"/>
        <v>16.606249999999996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7.399999999999999">
      <c r="A33" s="9">
        <v>1</v>
      </c>
      <c r="B33" s="8">
        <v>226</v>
      </c>
      <c r="C33" s="8">
        <v>1238792963</v>
      </c>
      <c r="D33" s="42" t="s">
        <v>108</v>
      </c>
      <c r="E33" s="42"/>
      <c r="F33" s="10">
        <v>0</v>
      </c>
      <c r="G33" s="10">
        <v>0</v>
      </c>
      <c r="H33" s="50">
        <v>0</v>
      </c>
      <c r="I33" s="50">
        <v>0</v>
      </c>
      <c r="J33" s="50">
        <v>0</v>
      </c>
      <c r="K33" s="39" t="s">
        <v>30</v>
      </c>
      <c r="L33" s="11">
        <f t="shared" si="0"/>
        <v>0</v>
      </c>
      <c r="M33" s="10">
        <f t="shared" si="7"/>
        <v>0</v>
      </c>
      <c r="N33" s="10">
        <f t="shared" si="2"/>
        <v>0</v>
      </c>
      <c r="O33" s="10">
        <v>0</v>
      </c>
      <c r="P33" s="10">
        <f t="shared" si="3"/>
        <v>0</v>
      </c>
      <c r="Q33" s="17">
        <v>18.368749999999999</v>
      </c>
      <c r="R33" s="18">
        <f t="shared" si="4"/>
        <v>18.368749999999999</v>
      </c>
      <c r="S33" s="19">
        <f t="shared" si="5"/>
        <v>0</v>
      </c>
      <c r="T33" s="20">
        <f t="shared" si="6"/>
        <v>18.368749999999999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7.399999999999999">
      <c r="A34" s="9">
        <v>1</v>
      </c>
      <c r="B34" s="8">
        <v>198</v>
      </c>
      <c r="C34" s="8">
        <v>723448640</v>
      </c>
      <c r="D34" s="42" t="s">
        <v>75</v>
      </c>
      <c r="E34" s="47"/>
      <c r="F34" s="10">
        <v>0</v>
      </c>
      <c r="G34" s="10">
        <v>0</v>
      </c>
      <c r="H34" s="50">
        <v>0</v>
      </c>
      <c r="I34" s="50">
        <v>0</v>
      </c>
      <c r="J34" s="50">
        <v>0</v>
      </c>
      <c r="K34" s="39" t="s">
        <v>30</v>
      </c>
      <c r="L34" s="11">
        <f t="shared" si="0"/>
        <v>0</v>
      </c>
      <c r="M34" s="10">
        <f t="shared" si="7"/>
        <v>0</v>
      </c>
      <c r="N34" s="10">
        <f t="shared" si="2"/>
        <v>0</v>
      </c>
      <c r="O34" s="10">
        <v>0</v>
      </c>
      <c r="P34" s="10">
        <f t="shared" si="3"/>
        <v>0</v>
      </c>
      <c r="Q34" s="17">
        <v>18.01874999999999</v>
      </c>
      <c r="R34" s="18">
        <f t="shared" si="4"/>
        <v>18.01874999999999</v>
      </c>
      <c r="S34" s="19">
        <f t="shared" si="5"/>
        <v>0</v>
      </c>
      <c r="T34" s="20">
        <f t="shared" si="6"/>
        <v>18.01874999999999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7.399999999999999">
      <c r="A35" s="9">
        <v>1</v>
      </c>
      <c r="B35" s="8">
        <v>193</v>
      </c>
      <c r="C35" s="8">
        <v>2125731287</v>
      </c>
      <c r="D35" s="42" t="s">
        <v>72</v>
      </c>
      <c r="E35" s="47"/>
      <c r="F35" s="10">
        <v>0</v>
      </c>
      <c r="G35" s="10">
        <v>0</v>
      </c>
      <c r="H35" s="50">
        <v>0</v>
      </c>
      <c r="I35" s="50">
        <v>0</v>
      </c>
      <c r="J35" s="50">
        <v>0</v>
      </c>
      <c r="K35" s="39" t="s">
        <v>30</v>
      </c>
      <c r="L35" s="11">
        <f t="shared" si="0"/>
        <v>0</v>
      </c>
      <c r="M35" s="10">
        <f t="shared" si="7"/>
        <v>0</v>
      </c>
      <c r="N35" s="10">
        <f t="shared" si="2"/>
        <v>0</v>
      </c>
      <c r="O35" s="10">
        <v>0</v>
      </c>
      <c r="P35" s="10">
        <f t="shared" si="3"/>
        <v>0</v>
      </c>
      <c r="Q35" s="17">
        <v>17.812499999999996</v>
      </c>
      <c r="R35" s="18">
        <f t="shared" si="4"/>
        <v>17.812499999999996</v>
      </c>
      <c r="S35" s="19">
        <f t="shared" si="5"/>
        <v>0</v>
      </c>
      <c r="T35" s="20">
        <f t="shared" si="6"/>
        <v>17.812499999999996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20.399999999999999">
      <c r="A36" s="9">
        <v>1</v>
      </c>
      <c r="B36" s="8">
        <v>214</v>
      </c>
      <c r="C36" s="8">
        <v>2130976604</v>
      </c>
      <c r="D36" s="42" t="s">
        <v>86</v>
      </c>
      <c r="F36" s="10">
        <v>3</v>
      </c>
      <c r="G36" s="10">
        <v>1</v>
      </c>
      <c r="H36" s="50">
        <v>0</v>
      </c>
      <c r="I36" s="50">
        <v>0</v>
      </c>
      <c r="J36" s="50">
        <v>0</v>
      </c>
      <c r="K36" s="14" t="s">
        <v>29</v>
      </c>
      <c r="L36" s="11">
        <f t="shared" si="0"/>
        <v>4</v>
      </c>
      <c r="M36" s="10">
        <f t="shared" si="7"/>
        <v>1.2</v>
      </c>
      <c r="N36" s="10">
        <f t="shared" si="2"/>
        <v>0</v>
      </c>
      <c r="O36" s="10">
        <v>0</v>
      </c>
      <c r="P36" s="10">
        <f t="shared" si="3"/>
        <v>5.2</v>
      </c>
      <c r="Q36" s="17">
        <v>12.412499999999984</v>
      </c>
      <c r="R36" s="18">
        <f t="shared" si="4"/>
        <v>17.612499999999983</v>
      </c>
      <c r="S36" s="19">
        <f t="shared" si="5"/>
        <v>1.875</v>
      </c>
      <c r="T36" s="20">
        <f t="shared" si="6"/>
        <v>15.737499999999983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7.399999999999999">
      <c r="A37" s="9">
        <v>1</v>
      </c>
      <c r="B37" s="9">
        <v>46</v>
      </c>
      <c r="C37" s="8">
        <v>2109182835</v>
      </c>
      <c r="D37" s="42" t="s">
        <v>59</v>
      </c>
      <c r="E37" s="42" t="s">
        <v>10</v>
      </c>
      <c r="F37" s="10">
        <v>1</v>
      </c>
      <c r="G37" s="10">
        <v>1</v>
      </c>
      <c r="H37" s="50">
        <v>0</v>
      </c>
      <c r="I37" s="50">
        <v>0</v>
      </c>
      <c r="J37" s="50">
        <v>0</v>
      </c>
      <c r="K37" s="14" t="s">
        <v>29</v>
      </c>
      <c r="L37" s="11">
        <f t="shared" ref="L37:L70" si="8">F37+IF(F37&gt;2,(F37-2)*1,0)</f>
        <v>1</v>
      </c>
      <c r="M37" s="10">
        <f t="shared" si="7"/>
        <v>1.2</v>
      </c>
      <c r="N37" s="10">
        <f t="shared" ref="N37:N70" si="9">SUM(H37:J37)*$Y$18</f>
        <v>0</v>
      </c>
      <c r="O37" s="10">
        <v>0</v>
      </c>
      <c r="P37" s="10">
        <f t="shared" ref="P37:P68" si="10">SUM(M37+L37+O37+N37)</f>
        <v>2.2000000000000002</v>
      </c>
      <c r="Q37" s="17">
        <v>15.380000000000013</v>
      </c>
      <c r="R37" s="18">
        <f t="shared" ref="R37:R68" si="11">P37+Q37</f>
        <v>17.580000000000013</v>
      </c>
      <c r="S37" s="19">
        <f t="shared" ref="S37:S70" si="12">VLOOKUP(K37,$X$3:$Y$10,2,FALSE)</f>
        <v>1.875</v>
      </c>
      <c r="T37" s="20">
        <f t="shared" ref="T37:T68" si="13">R37-S37</f>
        <v>15.705000000000013</v>
      </c>
      <c r="U37" s="11"/>
      <c r="V37" s="11"/>
      <c r="W37" s="11"/>
    </row>
    <row r="38" spans="1:29" s="2" customFormat="1" ht="17.399999999999999">
      <c r="A38" s="9">
        <v>1</v>
      </c>
      <c r="B38" s="8">
        <v>195</v>
      </c>
      <c r="C38" s="8">
        <v>1634663314</v>
      </c>
      <c r="D38" s="42" t="s">
        <v>73</v>
      </c>
      <c r="E38" s="47"/>
      <c r="F38" s="10">
        <v>2</v>
      </c>
      <c r="G38" s="10">
        <v>1</v>
      </c>
      <c r="H38" s="50">
        <v>0</v>
      </c>
      <c r="I38" s="50">
        <v>0</v>
      </c>
      <c r="J38" s="50">
        <v>0</v>
      </c>
      <c r="K38" s="14" t="s">
        <v>29</v>
      </c>
      <c r="L38" s="11">
        <f t="shared" si="8"/>
        <v>2</v>
      </c>
      <c r="M38" s="10">
        <f t="shared" si="7"/>
        <v>1.2</v>
      </c>
      <c r="N38" s="10">
        <f t="shared" si="9"/>
        <v>0</v>
      </c>
      <c r="O38" s="10">
        <v>0</v>
      </c>
      <c r="P38" s="10">
        <f t="shared" si="10"/>
        <v>3.2</v>
      </c>
      <c r="Q38" s="17">
        <v>14.180749999999986</v>
      </c>
      <c r="R38" s="18">
        <f t="shared" si="11"/>
        <v>17.380749999999985</v>
      </c>
      <c r="S38" s="19">
        <f t="shared" si="12"/>
        <v>1.875</v>
      </c>
      <c r="T38" s="20">
        <f t="shared" si="13"/>
        <v>15.505749999999985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7.399999999999999">
      <c r="A39" s="9">
        <v>1</v>
      </c>
      <c r="B39" s="8">
        <v>178</v>
      </c>
      <c r="C39" s="8">
        <v>1059185275</v>
      </c>
      <c r="D39" s="42" t="s">
        <v>66</v>
      </c>
      <c r="E39" s="47"/>
      <c r="F39" s="10">
        <v>3</v>
      </c>
      <c r="G39" s="10">
        <v>1</v>
      </c>
      <c r="H39" s="50">
        <v>0</v>
      </c>
      <c r="I39" s="50">
        <v>0</v>
      </c>
      <c r="J39" s="50">
        <v>0</v>
      </c>
      <c r="K39" s="14" t="s">
        <v>29</v>
      </c>
      <c r="L39" s="11">
        <f t="shared" si="8"/>
        <v>4</v>
      </c>
      <c r="M39" s="10">
        <f t="shared" si="7"/>
        <v>1.2</v>
      </c>
      <c r="N39" s="10">
        <f t="shared" si="9"/>
        <v>0</v>
      </c>
      <c r="O39" s="10">
        <v>0</v>
      </c>
      <c r="P39" s="10">
        <f t="shared" si="10"/>
        <v>5.2</v>
      </c>
      <c r="Q39" s="17">
        <v>11.887499999999992</v>
      </c>
      <c r="R39" s="18">
        <f t="shared" si="11"/>
        <v>17.087499999999991</v>
      </c>
      <c r="S39" s="19">
        <f t="shared" si="12"/>
        <v>1.875</v>
      </c>
      <c r="T39" s="20">
        <f t="shared" si="13"/>
        <v>15.212499999999991</v>
      </c>
      <c r="U39" s="4"/>
      <c r="V39" s="4"/>
      <c r="W39" s="4"/>
    </row>
    <row r="40" spans="1:29" ht="17.399999999999999">
      <c r="A40" s="9">
        <v>1</v>
      </c>
      <c r="B40" s="8">
        <v>187</v>
      </c>
      <c r="C40" s="8">
        <v>1241038267</v>
      </c>
      <c r="D40" s="42" t="s">
        <v>69</v>
      </c>
      <c r="E40" s="47"/>
      <c r="F40" s="10">
        <v>0</v>
      </c>
      <c r="G40" s="10">
        <v>0</v>
      </c>
      <c r="H40" s="50">
        <v>0</v>
      </c>
      <c r="I40" s="50">
        <v>0</v>
      </c>
      <c r="J40" s="50">
        <v>0</v>
      </c>
      <c r="K40" s="39" t="s">
        <v>30</v>
      </c>
      <c r="L40" s="11">
        <f t="shared" si="8"/>
        <v>0</v>
      </c>
      <c r="M40" s="10">
        <f t="shared" si="7"/>
        <v>0</v>
      </c>
      <c r="N40" s="10">
        <f t="shared" si="9"/>
        <v>0</v>
      </c>
      <c r="O40" s="10">
        <v>0</v>
      </c>
      <c r="P40" s="10">
        <f t="shared" si="10"/>
        <v>0</v>
      </c>
      <c r="Q40" s="17">
        <v>16.318749999999987</v>
      </c>
      <c r="R40" s="18">
        <f t="shared" si="11"/>
        <v>16.318749999999987</v>
      </c>
      <c r="S40" s="19">
        <f t="shared" si="12"/>
        <v>0</v>
      </c>
      <c r="T40" s="20">
        <f t="shared" si="13"/>
        <v>16.318749999999987</v>
      </c>
      <c r="U40" s="4"/>
      <c r="V40" s="4"/>
      <c r="W40" s="4"/>
    </row>
    <row r="41" spans="1:29" ht="17.399999999999999">
      <c r="A41" s="9">
        <v>1</v>
      </c>
      <c r="B41" s="8">
        <v>174</v>
      </c>
      <c r="C41" s="8">
        <v>775720958</v>
      </c>
      <c r="D41" s="42" t="s">
        <v>79</v>
      </c>
      <c r="E41" s="42" t="s">
        <v>49</v>
      </c>
      <c r="F41" s="10">
        <v>3</v>
      </c>
      <c r="G41" s="10">
        <v>1</v>
      </c>
      <c r="H41" s="50">
        <v>0</v>
      </c>
      <c r="I41" s="50">
        <v>0</v>
      </c>
      <c r="J41" s="50">
        <v>0</v>
      </c>
      <c r="K41" s="14" t="s">
        <v>29</v>
      </c>
      <c r="L41" s="11">
        <f t="shared" si="8"/>
        <v>4</v>
      </c>
      <c r="M41" s="10">
        <f t="shared" si="7"/>
        <v>1.2</v>
      </c>
      <c r="N41" s="10">
        <f t="shared" si="9"/>
        <v>0</v>
      </c>
      <c r="O41" s="10">
        <v>0</v>
      </c>
      <c r="P41" s="10">
        <f t="shared" si="10"/>
        <v>5.2</v>
      </c>
      <c r="Q41" s="17">
        <v>10.84999999999998</v>
      </c>
      <c r="R41" s="18">
        <f t="shared" si="11"/>
        <v>16.049999999999979</v>
      </c>
      <c r="S41" s="19">
        <f t="shared" si="12"/>
        <v>1.875</v>
      </c>
      <c r="T41" s="20">
        <f t="shared" si="13"/>
        <v>14.174999999999979</v>
      </c>
      <c r="U41" s="4"/>
      <c r="V41" s="4"/>
      <c r="W41" s="4"/>
    </row>
    <row r="42" spans="1:29" ht="17.399999999999999">
      <c r="A42" s="9">
        <v>1</v>
      </c>
      <c r="B42" s="9">
        <v>92</v>
      </c>
      <c r="C42" s="8">
        <v>1367873925</v>
      </c>
      <c r="D42" s="42" t="s">
        <v>80</v>
      </c>
      <c r="E42" s="42" t="s">
        <v>31</v>
      </c>
      <c r="F42" s="10">
        <v>3</v>
      </c>
      <c r="G42" s="10">
        <v>1</v>
      </c>
      <c r="H42" s="50">
        <v>0</v>
      </c>
      <c r="I42" s="50">
        <v>0</v>
      </c>
      <c r="J42" s="50">
        <v>0</v>
      </c>
      <c r="K42" s="14" t="s">
        <v>29</v>
      </c>
      <c r="L42" s="11">
        <f t="shared" si="8"/>
        <v>4</v>
      </c>
      <c r="M42" s="10">
        <f t="shared" si="7"/>
        <v>1.2</v>
      </c>
      <c r="N42" s="10">
        <f t="shared" si="9"/>
        <v>0</v>
      </c>
      <c r="O42" s="10">
        <v>0</v>
      </c>
      <c r="P42" s="10">
        <f t="shared" si="10"/>
        <v>5.2</v>
      </c>
      <c r="Q42" s="17">
        <v>10.83124999999999</v>
      </c>
      <c r="R42" s="18">
        <f t="shared" si="11"/>
        <v>16.031249999999989</v>
      </c>
      <c r="S42" s="19">
        <f t="shared" si="12"/>
        <v>1.875</v>
      </c>
      <c r="T42" s="20">
        <f t="shared" si="13"/>
        <v>14.156249999999989</v>
      </c>
      <c r="U42" s="11"/>
      <c r="V42" s="11"/>
      <c r="W42" s="31"/>
    </row>
    <row r="43" spans="1:29" ht="17.399999999999999">
      <c r="A43" s="9">
        <v>1</v>
      </c>
      <c r="B43" s="8">
        <v>222</v>
      </c>
      <c r="C43" s="8">
        <v>1945277617</v>
      </c>
      <c r="D43" s="42" t="s">
        <v>97</v>
      </c>
      <c r="E43" s="42"/>
      <c r="F43" s="10">
        <v>0</v>
      </c>
      <c r="G43" s="10">
        <v>0</v>
      </c>
      <c r="H43" s="50">
        <v>0</v>
      </c>
      <c r="I43" s="50">
        <v>0</v>
      </c>
      <c r="J43" s="50">
        <v>0</v>
      </c>
      <c r="K43" s="39" t="s">
        <v>30</v>
      </c>
      <c r="L43" s="11">
        <f t="shared" si="8"/>
        <v>0</v>
      </c>
      <c r="M43" s="10">
        <f t="shared" si="7"/>
        <v>0</v>
      </c>
      <c r="N43" s="10">
        <f t="shared" si="9"/>
        <v>0</v>
      </c>
      <c r="O43" s="10">
        <v>0</v>
      </c>
      <c r="P43" s="10">
        <f t="shared" si="10"/>
        <v>0</v>
      </c>
      <c r="Q43" s="17">
        <v>15.637727649769573</v>
      </c>
      <c r="R43" s="18">
        <f t="shared" si="11"/>
        <v>15.637727649769573</v>
      </c>
      <c r="S43" s="19">
        <f t="shared" si="12"/>
        <v>0</v>
      </c>
      <c r="T43" s="20">
        <f t="shared" si="13"/>
        <v>15.637727649769573</v>
      </c>
      <c r="U43" s="4"/>
      <c r="V43" s="4"/>
      <c r="W43" s="4"/>
    </row>
    <row r="44" spans="1:29" ht="17.399999999999999">
      <c r="A44" s="9">
        <v>1</v>
      </c>
      <c r="B44" s="8">
        <v>236</v>
      </c>
      <c r="C44" s="8">
        <v>1968448898</v>
      </c>
      <c r="D44" s="42" t="s">
        <v>118</v>
      </c>
      <c r="F44" s="10">
        <v>2</v>
      </c>
      <c r="G44" s="10">
        <v>1</v>
      </c>
      <c r="H44" s="50">
        <v>0</v>
      </c>
      <c r="I44" s="50">
        <v>0</v>
      </c>
      <c r="J44" s="50">
        <v>0</v>
      </c>
      <c r="K44" s="14" t="s">
        <v>29</v>
      </c>
      <c r="L44" s="11">
        <f t="shared" si="8"/>
        <v>2</v>
      </c>
      <c r="M44" s="10">
        <f t="shared" si="7"/>
        <v>1.2</v>
      </c>
      <c r="N44" s="10">
        <f t="shared" si="9"/>
        <v>0</v>
      </c>
      <c r="O44" s="10">
        <v>0</v>
      </c>
      <c r="P44" s="10">
        <f t="shared" si="10"/>
        <v>3.2</v>
      </c>
      <c r="Q44" s="17">
        <v>12.181249999999988</v>
      </c>
      <c r="R44" s="18">
        <f t="shared" si="11"/>
        <v>15.381249999999987</v>
      </c>
      <c r="S44" s="19">
        <f t="shared" si="12"/>
        <v>1.875</v>
      </c>
      <c r="T44" s="20">
        <f t="shared" si="13"/>
        <v>13.506249999999987</v>
      </c>
      <c r="U44" s="4"/>
      <c r="V44" s="4"/>
      <c r="W44" s="4"/>
    </row>
    <row r="45" spans="1:29" ht="17.399999999999999">
      <c r="A45" s="9">
        <v>1</v>
      </c>
      <c r="B45" s="8">
        <v>110</v>
      </c>
      <c r="C45" s="8">
        <v>1968703358</v>
      </c>
      <c r="D45" s="42" t="s">
        <v>60</v>
      </c>
      <c r="E45" s="42" t="s">
        <v>38</v>
      </c>
      <c r="F45" s="10">
        <v>0</v>
      </c>
      <c r="G45" s="10">
        <v>0</v>
      </c>
      <c r="H45" s="50">
        <v>0</v>
      </c>
      <c r="I45" s="50">
        <v>0</v>
      </c>
      <c r="J45" s="50">
        <v>0</v>
      </c>
      <c r="K45" s="39" t="s">
        <v>30</v>
      </c>
      <c r="L45" s="11">
        <f t="shared" si="8"/>
        <v>0</v>
      </c>
      <c r="M45" s="10">
        <f t="shared" ref="M45:M70" si="14">G45*$Y$14</f>
        <v>0</v>
      </c>
      <c r="N45" s="10">
        <f t="shared" si="9"/>
        <v>0</v>
      </c>
      <c r="O45" s="10">
        <v>0</v>
      </c>
      <c r="P45" s="10">
        <f t="shared" si="10"/>
        <v>0</v>
      </c>
      <c r="Q45" s="17">
        <v>15.337500000000013</v>
      </c>
      <c r="R45" s="18">
        <f t="shared" si="11"/>
        <v>15.337500000000013</v>
      </c>
      <c r="S45" s="19">
        <f t="shared" si="12"/>
        <v>0</v>
      </c>
      <c r="T45" s="20">
        <f t="shared" si="13"/>
        <v>15.337500000000013</v>
      </c>
      <c r="U45" s="11"/>
      <c r="V45" s="11"/>
      <c r="W45" s="17"/>
    </row>
    <row r="46" spans="1:29" ht="17.399999999999999">
      <c r="A46" s="9">
        <v>1</v>
      </c>
      <c r="B46" s="8">
        <v>155</v>
      </c>
      <c r="C46" s="8">
        <v>1532576874</v>
      </c>
      <c r="D46" s="42" t="s">
        <v>63</v>
      </c>
      <c r="E46" s="42" t="s">
        <v>46</v>
      </c>
      <c r="F46" s="10">
        <v>0</v>
      </c>
      <c r="G46" s="10">
        <v>0</v>
      </c>
      <c r="H46" s="50">
        <v>0</v>
      </c>
      <c r="I46" s="50">
        <v>0</v>
      </c>
      <c r="J46" s="50">
        <v>0</v>
      </c>
      <c r="K46" s="39" t="s">
        <v>30</v>
      </c>
      <c r="L46" s="11">
        <f t="shared" si="8"/>
        <v>0</v>
      </c>
      <c r="M46" s="10">
        <f t="shared" si="14"/>
        <v>0</v>
      </c>
      <c r="N46" s="10">
        <f t="shared" si="9"/>
        <v>0</v>
      </c>
      <c r="O46" s="10">
        <v>0</v>
      </c>
      <c r="P46" s="10">
        <f t="shared" si="10"/>
        <v>0</v>
      </c>
      <c r="Q46" s="17">
        <v>15.212499999999999</v>
      </c>
      <c r="R46" s="18">
        <f t="shared" si="11"/>
        <v>15.212499999999999</v>
      </c>
      <c r="S46" s="19">
        <f t="shared" si="12"/>
        <v>0</v>
      </c>
      <c r="T46" s="20">
        <f t="shared" si="13"/>
        <v>15.212499999999999</v>
      </c>
      <c r="U46" s="4"/>
      <c r="V46" s="4"/>
      <c r="W46" s="4"/>
    </row>
    <row r="47" spans="1:29" ht="17.399999999999999">
      <c r="A47" s="9">
        <v>1</v>
      </c>
      <c r="B47" s="8">
        <v>212</v>
      </c>
      <c r="C47" s="8">
        <v>2133045883</v>
      </c>
      <c r="D47" s="42" t="s">
        <v>84</v>
      </c>
      <c r="E47" s="47"/>
      <c r="F47" s="10">
        <v>3</v>
      </c>
      <c r="G47" s="10">
        <v>1</v>
      </c>
      <c r="H47" s="50">
        <v>0</v>
      </c>
      <c r="I47" s="50">
        <v>0</v>
      </c>
      <c r="J47" s="50">
        <v>0</v>
      </c>
      <c r="K47" s="14" t="s">
        <v>29</v>
      </c>
      <c r="L47" s="11">
        <f t="shared" si="8"/>
        <v>4</v>
      </c>
      <c r="M47" s="10">
        <f t="shared" si="14"/>
        <v>1.2</v>
      </c>
      <c r="N47" s="10">
        <f t="shared" si="9"/>
        <v>0</v>
      </c>
      <c r="O47" s="10">
        <v>0</v>
      </c>
      <c r="P47" s="10">
        <f t="shared" si="10"/>
        <v>5.2</v>
      </c>
      <c r="Q47" s="17">
        <v>9.7062499999999829</v>
      </c>
      <c r="R47" s="18">
        <f t="shared" si="11"/>
        <v>14.906249999999982</v>
      </c>
      <c r="S47" s="19">
        <f t="shared" si="12"/>
        <v>1.875</v>
      </c>
      <c r="T47" s="20">
        <f t="shared" si="13"/>
        <v>13.031249999999982</v>
      </c>
      <c r="U47" s="4"/>
      <c r="V47" s="4"/>
      <c r="W47" s="4"/>
    </row>
    <row r="48" spans="1:29" ht="17.399999999999999">
      <c r="A48" s="9">
        <v>1</v>
      </c>
      <c r="B48" s="9">
        <v>230</v>
      </c>
      <c r="C48" s="8">
        <v>1076026693</v>
      </c>
      <c r="D48" s="42" t="s">
        <v>111</v>
      </c>
      <c r="F48" s="10">
        <v>3</v>
      </c>
      <c r="G48" s="10">
        <v>1</v>
      </c>
      <c r="H48" s="50">
        <v>0</v>
      </c>
      <c r="I48" s="50">
        <v>0</v>
      </c>
      <c r="J48" s="50">
        <v>0</v>
      </c>
      <c r="K48" s="14" t="s">
        <v>29</v>
      </c>
      <c r="L48" s="11">
        <f t="shared" si="8"/>
        <v>4</v>
      </c>
      <c r="M48" s="10">
        <f t="shared" si="14"/>
        <v>1.2</v>
      </c>
      <c r="N48" s="10">
        <f t="shared" si="9"/>
        <v>0</v>
      </c>
      <c r="O48" s="10">
        <v>0</v>
      </c>
      <c r="P48" s="10">
        <f t="shared" si="10"/>
        <v>5.2</v>
      </c>
      <c r="Q48" s="17">
        <v>9.6749999999999936</v>
      </c>
      <c r="R48" s="18">
        <f t="shared" si="11"/>
        <v>14.874999999999993</v>
      </c>
      <c r="S48" s="19">
        <f t="shared" si="12"/>
        <v>1.875</v>
      </c>
      <c r="T48" s="20">
        <f t="shared" si="13"/>
        <v>12.999999999999993</v>
      </c>
    </row>
    <row r="49" spans="1:23" ht="17.399999999999999">
      <c r="A49" s="9">
        <v>1</v>
      </c>
      <c r="B49" s="8">
        <v>239</v>
      </c>
      <c r="C49" s="8">
        <v>416459640</v>
      </c>
      <c r="D49" s="42" t="s">
        <v>122</v>
      </c>
      <c r="F49" s="10">
        <v>0</v>
      </c>
      <c r="G49" s="10">
        <v>0</v>
      </c>
      <c r="H49" s="50">
        <v>0</v>
      </c>
      <c r="I49" s="50">
        <v>0</v>
      </c>
      <c r="J49" s="50">
        <v>0</v>
      </c>
      <c r="K49" s="39" t="s">
        <v>30</v>
      </c>
      <c r="L49" s="11">
        <f t="shared" si="8"/>
        <v>0</v>
      </c>
      <c r="M49" s="10">
        <f t="shared" si="14"/>
        <v>0</v>
      </c>
      <c r="N49" s="10">
        <f t="shared" si="9"/>
        <v>0</v>
      </c>
      <c r="O49" s="10">
        <v>0</v>
      </c>
      <c r="P49" s="10">
        <f t="shared" si="10"/>
        <v>0</v>
      </c>
      <c r="Q49" s="17">
        <v>13.668749999999999</v>
      </c>
      <c r="R49" s="18">
        <f t="shared" si="11"/>
        <v>13.668749999999999</v>
      </c>
      <c r="S49" s="19">
        <f t="shared" si="12"/>
        <v>0</v>
      </c>
      <c r="T49" s="20">
        <f t="shared" si="13"/>
        <v>13.668749999999999</v>
      </c>
    </row>
    <row r="50" spans="1:23" ht="17.399999999999999">
      <c r="A50" s="9">
        <v>1</v>
      </c>
      <c r="B50" s="8">
        <v>200</v>
      </c>
      <c r="C50" s="8">
        <v>967589156</v>
      </c>
      <c r="D50" s="42" t="s">
        <v>76</v>
      </c>
      <c r="E50" s="47"/>
      <c r="F50" s="10">
        <v>2</v>
      </c>
      <c r="G50" s="10">
        <v>1</v>
      </c>
      <c r="H50" s="50">
        <v>0</v>
      </c>
      <c r="I50" s="50">
        <v>0</v>
      </c>
      <c r="J50" s="50">
        <v>0</v>
      </c>
      <c r="K50" s="14" t="s">
        <v>29</v>
      </c>
      <c r="L50" s="11">
        <f t="shared" si="8"/>
        <v>2</v>
      </c>
      <c r="M50" s="10">
        <f t="shared" si="14"/>
        <v>1.2</v>
      </c>
      <c r="N50" s="10">
        <f t="shared" si="9"/>
        <v>0</v>
      </c>
      <c r="O50" s="10">
        <v>0</v>
      </c>
      <c r="P50" s="10">
        <f t="shared" si="10"/>
        <v>3.2</v>
      </c>
      <c r="Q50" s="17">
        <v>9.5437500000000135</v>
      </c>
      <c r="R50" s="18">
        <f t="shared" si="11"/>
        <v>12.743750000000013</v>
      </c>
      <c r="S50" s="19">
        <f t="shared" si="12"/>
        <v>1.875</v>
      </c>
      <c r="T50" s="20">
        <f t="shared" si="13"/>
        <v>10.868750000000013</v>
      </c>
    </row>
    <row r="51" spans="1:23" ht="17.399999999999999">
      <c r="A51" s="9">
        <v>1</v>
      </c>
      <c r="B51" s="8">
        <v>184</v>
      </c>
      <c r="C51" s="8">
        <v>1814130074</v>
      </c>
      <c r="D51" s="42" t="s">
        <v>67</v>
      </c>
      <c r="E51" s="47"/>
      <c r="F51" s="10">
        <v>1</v>
      </c>
      <c r="G51" s="10">
        <v>1</v>
      </c>
      <c r="H51" s="50">
        <v>0</v>
      </c>
      <c r="I51" s="50">
        <v>0</v>
      </c>
      <c r="J51" s="50">
        <v>0</v>
      </c>
      <c r="K51" s="14" t="s">
        <v>29</v>
      </c>
      <c r="L51" s="11">
        <f t="shared" si="8"/>
        <v>1</v>
      </c>
      <c r="M51" s="10">
        <f t="shared" si="14"/>
        <v>1.2</v>
      </c>
      <c r="N51" s="10">
        <f t="shared" si="9"/>
        <v>0</v>
      </c>
      <c r="O51" s="10">
        <v>0</v>
      </c>
      <c r="P51" s="10">
        <f t="shared" si="10"/>
        <v>2.2000000000000002</v>
      </c>
      <c r="Q51" s="17">
        <v>10.331250000000018</v>
      </c>
      <c r="R51" s="18">
        <f t="shared" si="11"/>
        <v>12.531250000000018</v>
      </c>
      <c r="S51" s="19">
        <f t="shared" si="12"/>
        <v>1.875</v>
      </c>
      <c r="T51" s="20">
        <f t="shared" si="13"/>
        <v>10.656250000000018</v>
      </c>
    </row>
    <row r="52" spans="1:23" ht="17.399999999999999">
      <c r="A52" s="9">
        <v>1</v>
      </c>
      <c r="B52" s="9">
        <v>10</v>
      </c>
      <c r="C52" s="8">
        <v>2108977014</v>
      </c>
      <c r="D52" s="42" t="s">
        <v>57</v>
      </c>
      <c r="E52" s="42" t="s">
        <v>8</v>
      </c>
      <c r="F52" s="10">
        <v>0</v>
      </c>
      <c r="G52" s="10">
        <v>1</v>
      </c>
      <c r="H52" s="50">
        <v>0</v>
      </c>
      <c r="I52" s="50">
        <v>0</v>
      </c>
      <c r="J52" s="50">
        <v>0</v>
      </c>
      <c r="K52" s="39" t="s">
        <v>30</v>
      </c>
      <c r="L52" s="11">
        <f t="shared" si="8"/>
        <v>0</v>
      </c>
      <c r="M52" s="10">
        <f t="shared" si="14"/>
        <v>1.2</v>
      </c>
      <c r="N52" s="10">
        <f t="shared" si="9"/>
        <v>0</v>
      </c>
      <c r="O52" s="10">
        <v>0</v>
      </c>
      <c r="P52" s="10">
        <f t="shared" si="10"/>
        <v>1.2</v>
      </c>
      <c r="Q52" s="17">
        <v>9.4875000000000114</v>
      </c>
      <c r="R52" s="18">
        <f t="shared" si="11"/>
        <v>10.687500000000011</v>
      </c>
      <c r="S52" s="19">
        <f t="shared" si="12"/>
        <v>0</v>
      </c>
      <c r="T52" s="20">
        <f t="shared" si="13"/>
        <v>10.687500000000011</v>
      </c>
      <c r="U52" s="40"/>
      <c r="V52" s="40"/>
      <c r="W52" s="40"/>
    </row>
    <row r="53" spans="1:23" ht="17.399999999999999">
      <c r="A53" s="9">
        <v>1</v>
      </c>
      <c r="B53" s="8">
        <v>223</v>
      </c>
      <c r="C53" s="8">
        <v>784792167</v>
      </c>
      <c r="D53" s="42" t="s">
        <v>98</v>
      </c>
      <c r="E53" s="42"/>
      <c r="F53" s="10">
        <v>0</v>
      </c>
      <c r="G53" s="10">
        <v>0</v>
      </c>
      <c r="H53" s="50">
        <v>0</v>
      </c>
      <c r="I53" s="50">
        <v>0</v>
      </c>
      <c r="J53" s="50">
        <v>0</v>
      </c>
      <c r="K53" s="39" t="s">
        <v>30</v>
      </c>
      <c r="L53" s="11">
        <f t="shared" si="8"/>
        <v>0</v>
      </c>
      <c r="M53" s="10">
        <f t="shared" si="14"/>
        <v>0</v>
      </c>
      <c r="N53" s="10">
        <f t="shared" si="9"/>
        <v>0</v>
      </c>
      <c r="O53" s="10">
        <v>0</v>
      </c>
      <c r="P53" s="10">
        <f t="shared" si="10"/>
        <v>0</v>
      </c>
      <c r="Q53" s="17">
        <v>10.624999999999996</v>
      </c>
      <c r="R53" s="18">
        <f t="shared" si="11"/>
        <v>10.624999999999996</v>
      </c>
      <c r="S53" s="19">
        <f t="shared" si="12"/>
        <v>0</v>
      </c>
      <c r="T53" s="20">
        <f t="shared" si="13"/>
        <v>10.624999999999996</v>
      </c>
    </row>
    <row r="54" spans="1:23" ht="17.399999999999999">
      <c r="A54" s="9">
        <v>1</v>
      </c>
      <c r="B54" s="8">
        <v>219</v>
      </c>
      <c r="C54" s="8">
        <v>1128309198</v>
      </c>
      <c r="D54" s="42" t="s">
        <v>93</v>
      </c>
      <c r="E54" s="47"/>
      <c r="F54" s="10">
        <v>0</v>
      </c>
      <c r="G54" s="10">
        <v>0</v>
      </c>
      <c r="H54" s="50">
        <v>0</v>
      </c>
      <c r="I54" s="50">
        <v>0</v>
      </c>
      <c r="J54" s="50">
        <v>0</v>
      </c>
      <c r="K54" s="39" t="s">
        <v>30</v>
      </c>
      <c r="L54" s="11">
        <f t="shared" si="8"/>
        <v>0</v>
      </c>
      <c r="M54" s="10">
        <f t="shared" si="14"/>
        <v>0</v>
      </c>
      <c r="N54" s="10">
        <f t="shared" si="9"/>
        <v>0</v>
      </c>
      <c r="O54" s="10">
        <v>0</v>
      </c>
      <c r="P54" s="10">
        <f t="shared" si="10"/>
        <v>0</v>
      </c>
      <c r="Q54" s="17">
        <v>9.4499999999999957</v>
      </c>
      <c r="R54" s="18">
        <f t="shared" si="11"/>
        <v>9.4499999999999957</v>
      </c>
      <c r="S54" s="19">
        <f t="shared" si="12"/>
        <v>0</v>
      </c>
      <c r="T54" s="20">
        <f t="shared" si="13"/>
        <v>9.4499999999999957</v>
      </c>
    </row>
    <row r="55" spans="1:23" ht="17.399999999999999">
      <c r="A55" s="9">
        <v>1</v>
      </c>
      <c r="B55" s="8">
        <v>240</v>
      </c>
      <c r="C55" s="8">
        <v>289805855</v>
      </c>
      <c r="D55" s="42" t="s">
        <v>123</v>
      </c>
      <c r="F55" s="10">
        <v>3</v>
      </c>
      <c r="G55" s="10">
        <v>1</v>
      </c>
      <c r="H55" s="50">
        <v>0</v>
      </c>
      <c r="I55" s="50">
        <v>0</v>
      </c>
      <c r="J55" s="50">
        <v>0</v>
      </c>
      <c r="K55" s="14" t="s">
        <v>29</v>
      </c>
      <c r="L55" s="11">
        <f t="shared" si="8"/>
        <v>4</v>
      </c>
      <c r="M55" s="10">
        <f t="shared" si="14"/>
        <v>1.2</v>
      </c>
      <c r="N55" s="10">
        <f t="shared" si="9"/>
        <v>0</v>
      </c>
      <c r="O55" s="10">
        <v>0</v>
      </c>
      <c r="P55" s="10">
        <f t="shared" si="10"/>
        <v>5.2</v>
      </c>
      <c r="Q55" s="17">
        <v>3.8750000000000018</v>
      </c>
      <c r="R55" s="18">
        <f t="shared" si="11"/>
        <v>9.0750000000000028</v>
      </c>
      <c r="S55" s="19">
        <f t="shared" si="12"/>
        <v>1.875</v>
      </c>
      <c r="T55" s="20">
        <f t="shared" si="13"/>
        <v>7.2000000000000028</v>
      </c>
    </row>
    <row r="56" spans="1:23" ht="17.399999999999999">
      <c r="A56" s="9">
        <v>1</v>
      </c>
      <c r="B56" s="8">
        <v>243</v>
      </c>
      <c r="D56" s="42" t="s">
        <v>133</v>
      </c>
      <c r="F56" s="10">
        <v>3</v>
      </c>
      <c r="G56" s="10">
        <v>1</v>
      </c>
      <c r="H56" s="50">
        <v>0</v>
      </c>
      <c r="I56" s="50">
        <v>0</v>
      </c>
      <c r="J56" s="50">
        <v>0</v>
      </c>
      <c r="K56" s="14" t="s">
        <v>29</v>
      </c>
      <c r="L56" s="11">
        <f t="shared" si="8"/>
        <v>4</v>
      </c>
      <c r="M56" s="10">
        <f t="shared" si="14"/>
        <v>1.2</v>
      </c>
      <c r="N56" s="10">
        <f t="shared" si="9"/>
        <v>0</v>
      </c>
      <c r="O56" s="10">
        <v>0</v>
      </c>
      <c r="P56" s="10">
        <f t="shared" si="10"/>
        <v>5.2</v>
      </c>
      <c r="Q56" s="17">
        <v>3.7062500000000007</v>
      </c>
      <c r="R56" s="18">
        <f t="shared" si="11"/>
        <v>8.90625</v>
      </c>
      <c r="S56" s="19">
        <f t="shared" si="12"/>
        <v>1.875</v>
      </c>
      <c r="T56" s="20">
        <f t="shared" si="13"/>
        <v>7.03125</v>
      </c>
    </row>
    <row r="57" spans="1:23" ht="20.399999999999999">
      <c r="A57" s="9">
        <v>1</v>
      </c>
      <c r="B57" s="8">
        <v>213</v>
      </c>
      <c r="C57" s="8">
        <v>311361673</v>
      </c>
      <c r="D57" s="42" t="s">
        <v>55</v>
      </c>
      <c r="E57" s="2"/>
      <c r="F57" s="10">
        <v>3</v>
      </c>
      <c r="G57" s="10">
        <v>0</v>
      </c>
      <c r="H57" s="50">
        <v>0</v>
      </c>
      <c r="I57" s="50">
        <v>0</v>
      </c>
      <c r="J57" s="50">
        <v>0</v>
      </c>
      <c r="K57" s="14" t="s">
        <v>29</v>
      </c>
      <c r="L57" s="11">
        <f t="shared" si="8"/>
        <v>4</v>
      </c>
      <c r="M57" s="10">
        <f t="shared" si="14"/>
        <v>0</v>
      </c>
      <c r="N57" s="10">
        <f t="shared" si="9"/>
        <v>0</v>
      </c>
      <c r="O57" s="10">
        <v>0</v>
      </c>
      <c r="P57" s="10">
        <f t="shared" si="10"/>
        <v>4</v>
      </c>
      <c r="Q57" s="17">
        <v>1.2687499999999945</v>
      </c>
      <c r="R57" s="18">
        <f t="shared" si="11"/>
        <v>5.2687499999999945</v>
      </c>
      <c r="S57" s="19">
        <f t="shared" si="12"/>
        <v>1.875</v>
      </c>
      <c r="T57" s="20">
        <f t="shared" si="13"/>
        <v>3.3937499999999945</v>
      </c>
    </row>
    <row r="58" spans="1:23" ht="17.399999999999999">
      <c r="A58" s="9">
        <v>1</v>
      </c>
      <c r="B58" s="8">
        <v>192</v>
      </c>
      <c r="C58" s="8">
        <v>1725281178</v>
      </c>
      <c r="D58" s="42" t="s">
        <v>71</v>
      </c>
      <c r="E58" s="47"/>
      <c r="F58" s="10">
        <v>0</v>
      </c>
      <c r="G58" s="10">
        <v>0</v>
      </c>
      <c r="H58" s="50">
        <v>0</v>
      </c>
      <c r="I58" s="50">
        <v>0</v>
      </c>
      <c r="J58" s="50">
        <v>0</v>
      </c>
      <c r="K58" s="39" t="s">
        <v>30</v>
      </c>
      <c r="L58" s="11">
        <f t="shared" si="8"/>
        <v>0</v>
      </c>
      <c r="M58" s="10">
        <f t="shared" si="14"/>
        <v>0</v>
      </c>
      <c r="N58" s="10">
        <f t="shared" si="9"/>
        <v>0</v>
      </c>
      <c r="O58" s="10">
        <v>0</v>
      </c>
      <c r="P58" s="10">
        <f t="shared" si="10"/>
        <v>0</v>
      </c>
      <c r="Q58" s="17">
        <v>3.1437499999999954</v>
      </c>
      <c r="R58" s="18">
        <f t="shared" si="11"/>
        <v>3.1437499999999954</v>
      </c>
      <c r="S58" s="19">
        <f t="shared" si="12"/>
        <v>0</v>
      </c>
      <c r="T58" s="20">
        <f t="shared" si="13"/>
        <v>3.1437499999999954</v>
      </c>
    </row>
    <row r="59" spans="1:23" ht="20.399999999999999">
      <c r="A59" s="9">
        <v>1</v>
      </c>
      <c r="B59" s="8">
        <v>220</v>
      </c>
      <c r="C59" s="8">
        <v>353335311</v>
      </c>
      <c r="D59" s="42" t="s">
        <v>94</v>
      </c>
      <c r="E59" s="44"/>
      <c r="F59" s="10">
        <v>0</v>
      </c>
      <c r="G59" s="10">
        <v>0</v>
      </c>
      <c r="H59" s="50">
        <v>0</v>
      </c>
      <c r="I59" s="50">
        <v>0</v>
      </c>
      <c r="J59" s="50">
        <v>0</v>
      </c>
      <c r="K59" s="39" t="s">
        <v>30</v>
      </c>
      <c r="L59" s="11">
        <f t="shared" si="8"/>
        <v>0</v>
      </c>
      <c r="M59" s="10">
        <f t="shared" si="14"/>
        <v>0</v>
      </c>
      <c r="N59" s="10">
        <f t="shared" si="9"/>
        <v>0</v>
      </c>
      <c r="O59" s="10">
        <v>0</v>
      </c>
      <c r="P59" s="10">
        <f t="shared" si="10"/>
        <v>0</v>
      </c>
      <c r="Q59" s="17">
        <v>2.0310546874999984</v>
      </c>
      <c r="R59" s="18">
        <f t="shared" si="11"/>
        <v>2.0310546874999984</v>
      </c>
      <c r="S59" s="19">
        <f t="shared" si="12"/>
        <v>0</v>
      </c>
      <c r="T59" s="20">
        <f t="shared" si="13"/>
        <v>2.0310546874999984</v>
      </c>
    </row>
    <row r="60" spans="1:23" ht="17.399999999999999">
      <c r="A60" s="9">
        <v>1</v>
      </c>
      <c r="B60" s="8">
        <v>233</v>
      </c>
      <c r="C60" s="8">
        <v>1963965829</v>
      </c>
      <c r="D60" s="42" t="s">
        <v>114</v>
      </c>
      <c r="F60" s="10">
        <v>0</v>
      </c>
      <c r="G60" s="10">
        <v>0</v>
      </c>
      <c r="H60" s="50">
        <v>0</v>
      </c>
      <c r="I60" s="50">
        <v>0</v>
      </c>
      <c r="J60" s="50">
        <v>0</v>
      </c>
      <c r="K60" s="39" t="s">
        <v>30</v>
      </c>
      <c r="L60" s="11">
        <f t="shared" si="8"/>
        <v>0</v>
      </c>
      <c r="M60" s="10">
        <f t="shared" si="14"/>
        <v>0</v>
      </c>
      <c r="N60" s="10">
        <f t="shared" si="9"/>
        <v>0</v>
      </c>
      <c r="O60" s="10">
        <v>0</v>
      </c>
      <c r="P60" s="10">
        <f t="shared" si="10"/>
        <v>0</v>
      </c>
      <c r="Q60" s="17">
        <v>2.0000000000000018</v>
      </c>
      <c r="R60" s="18">
        <f t="shared" si="11"/>
        <v>2.0000000000000018</v>
      </c>
      <c r="S60" s="19">
        <f t="shared" si="12"/>
        <v>0</v>
      </c>
      <c r="T60" s="20">
        <f t="shared" si="13"/>
        <v>2.0000000000000018</v>
      </c>
    </row>
    <row r="61" spans="1:23" ht="17.399999999999999">
      <c r="A61" s="9">
        <v>1</v>
      </c>
      <c r="B61" s="8">
        <v>207</v>
      </c>
      <c r="C61" s="8">
        <v>721273803</v>
      </c>
      <c r="D61" s="45" t="s">
        <v>81</v>
      </c>
      <c r="E61" s="47"/>
      <c r="F61" s="10">
        <v>0</v>
      </c>
      <c r="G61" s="10">
        <v>0</v>
      </c>
      <c r="H61" s="50">
        <v>0</v>
      </c>
      <c r="I61" s="50">
        <v>0</v>
      </c>
      <c r="J61" s="50">
        <v>0</v>
      </c>
      <c r="K61" s="39" t="s">
        <v>30</v>
      </c>
      <c r="L61" s="11">
        <f t="shared" si="8"/>
        <v>0</v>
      </c>
      <c r="M61" s="10">
        <f t="shared" si="14"/>
        <v>0</v>
      </c>
      <c r="N61" s="10">
        <f t="shared" si="9"/>
        <v>0</v>
      </c>
      <c r="O61" s="10">
        <v>0</v>
      </c>
      <c r="P61" s="10">
        <f t="shared" si="10"/>
        <v>0</v>
      </c>
      <c r="Q61" s="17">
        <v>1.425</v>
      </c>
      <c r="R61" s="18">
        <f t="shared" si="11"/>
        <v>1.425</v>
      </c>
      <c r="S61" s="19">
        <f t="shared" si="12"/>
        <v>0</v>
      </c>
      <c r="T61" s="20">
        <f t="shared" si="13"/>
        <v>1.425</v>
      </c>
    </row>
    <row r="62" spans="1:23" ht="17.399999999999999">
      <c r="A62" s="9">
        <v>1</v>
      </c>
      <c r="B62" s="8">
        <v>242</v>
      </c>
      <c r="C62" s="8">
        <v>250098915</v>
      </c>
      <c r="D62" s="42" t="s">
        <v>131</v>
      </c>
      <c r="F62" s="10">
        <v>0</v>
      </c>
      <c r="G62" s="10">
        <v>0</v>
      </c>
      <c r="H62" s="50">
        <v>0</v>
      </c>
      <c r="I62" s="50">
        <v>0</v>
      </c>
      <c r="J62" s="50">
        <v>0</v>
      </c>
      <c r="K62" s="39" t="s">
        <v>30</v>
      </c>
      <c r="L62" s="11">
        <f t="shared" si="8"/>
        <v>0</v>
      </c>
      <c r="M62" s="10">
        <f t="shared" si="14"/>
        <v>0</v>
      </c>
      <c r="N62" s="10">
        <f t="shared" si="9"/>
        <v>0</v>
      </c>
      <c r="O62" s="10">
        <v>0</v>
      </c>
      <c r="P62" s="10">
        <f t="shared" si="10"/>
        <v>0</v>
      </c>
      <c r="Q62" s="17">
        <v>0.90625</v>
      </c>
      <c r="R62" s="18">
        <f t="shared" si="11"/>
        <v>0.90625</v>
      </c>
      <c r="S62" s="19">
        <f t="shared" si="12"/>
        <v>0</v>
      </c>
      <c r="T62" s="20">
        <f t="shared" si="13"/>
        <v>0.90625</v>
      </c>
    </row>
    <row r="63" spans="1:23" ht="17.399999999999999">
      <c r="A63" s="9">
        <v>1</v>
      </c>
      <c r="B63" s="8">
        <v>242</v>
      </c>
      <c r="C63" s="8">
        <v>1769984287</v>
      </c>
      <c r="D63" s="8" t="s">
        <v>132</v>
      </c>
      <c r="F63" s="10">
        <v>0</v>
      </c>
      <c r="G63" s="10">
        <v>0</v>
      </c>
      <c r="H63" s="50">
        <v>0</v>
      </c>
      <c r="I63" s="50">
        <v>0</v>
      </c>
      <c r="J63" s="50">
        <v>0</v>
      </c>
      <c r="K63" s="39" t="s">
        <v>30</v>
      </c>
      <c r="L63" s="11">
        <f t="shared" si="8"/>
        <v>0</v>
      </c>
      <c r="M63" s="10">
        <f t="shared" si="14"/>
        <v>0</v>
      </c>
      <c r="N63" s="10">
        <f t="shared" si="9"/>
        <v>0</v>
      </c>
      <c r="O63" s="10">
        <v>0</v>
      </c>
      <c r="P63" s="10">
        <f t="shared" si="10"/>
        <v>0</v>
      </c>
      <c r="Q63" s="17">
        <v>0.65000000000000036</v>
      </c>
      <c r="R63" s="18">
        <f t="shared" si="11"/>
        <v>0.65000000000000036</v>
      </c>
      <c r="S63" s="19">
        <f t="shared" si="12"/>
        <v>0</v>
      </c>
      <c r="T63" s="20">
        <f t="shared" si="13"/>
        <v>0.65000000000000036</v>
      </c>
    </row>
    <row r="64" spans="1:23" ht="17.399999999999999">
      <c r="A64" s="9">
        <v>1</v>
      </c>
      <c r="B64" s="8">
        <v>218</v>
      </c>
      <c r="C64" s="8">
        <v>1804880865</v>
      </c>
      <c r="D64" s="42" t="s">
        <v>92</v>
      </c>
      <c r="E64" s="47"/>
      <c r="F64" s="10">
        <v>0</v>
      </c>
      <c r="G64" s="10">
        <v>0</v>
      </c>
      <c r="H64" s="50">
        <v>0</v>
      </c>
      <c r="I64" s="50">
        <v>0</v>
      </c>
      <c r="J64" s="50">
        <v>0</v>
      </c>
      <c r="K64" s="39" t="s">
        <v>30</v>
      </c>
      <c r="L64" s="11">
        <f t="shared" si="8"/>
        <v>0</v>
      </c>
      <c r="M64" s="10">
        <f t="shared" si="14"/>
        <v>0</v>
      </c>
      <c r="N64" s="10">
        <f t="shared" si="9"/>
        <v>0</v>
      </c>
      <c r="O64" s="10">
        <v>0</v>
      </c>
      <c r="P64" s="10">
        <f t="shared" si="10"/>
        <v>0</v>
      </c>
      <c r="Q64" s="17">
        <v>0.11749999999999983</v>
      </c>
      <c r="R64" s="18">
        <f t="shared" si="11"/>
        <v>0.11749999999999983</v>
      </c>
      <c r="S64" s="19">
        <f t="shared" si="12"/>
        <v>0</v>
      </c>
      <c r="T64" s="20">
        <f t="shared" si="13"/>
        <v>0.11749999999999983</v>
      </c>
    </row>
    <row r="65" spans="1:23" ht="17.399999999999999">
      <c r="A65" s="9">
        <v>1</v>
      </c>
      <c r="B65" s="8">
        <v>217</v>
      </c>
      <c r="C65" s="8">
        <v>331155825</v>
      </c>
      <c r="D65" s="46" t="s">
        <v>89</v>
      </c>
      <c r="E65" s="2"/>
      <c r="F65" s="10">
        <v>0</v>
      </c>
      <c r="G65" s="10">
        <v>0</v>
      </c>
      <c r="H65" s="50">
        <v>0</v>
      </c>
      <c r="I65" s="50">
        <v>0</v>
      </c>
      <c r="J65" s="50">
        <v>0</v>
      </c>
      <c r="K65" s="39" t="s">
        <v>30</v>
      </c>
      <c r="L65" s="11">
        <f t="shared" si="8"/>
        <v>0</v>
      </c>
      <c r="M65" s="10">
        <f t="shared" si="14"/>
        <v>0</v>
      </c>
      <c r="N65" s="10">
        <f t="shared" si="9"/>
        <v>0</v>
      </c>
      <c r="O65" s="10">
        <v>0</v>
      </c>
      <c r="P65" s="10">
        <f t="shared" si="10"/>
        <v>0</v>
      </c>
      <c r="Q65" s="17">
        <v>-1.3124999999999984</v>
      </c>
      <c r="R65" s="18">
        <f t="shared" si="11"/>
        <v>-1.3124999999999984</v>
      </c>
      <c r="S65" s="19">
        <f t="shared" si="12"/>
        <v>0</v>
      </c>
      <c r="T65" s="20">
        <f t="shared" si="13"/>
        <v>-1.3124999999999984</v>
      </c>
    </row>
    <row r="66" spans="1:23" ht="17.399999999999999">
      <c r="A66" s="9">
        <v>1</v>
      </c>
      <c r="B66" s="8">
        <v>237</v>
      </c>
      <c r="C66" s="8">
        <v>1331532576</v>
      </c>
      <c r="D66" s="42" t="s">
        <v>119</v>
      </c>
      <c r="F66" s="10">
        <v>0</v>
      </c>
      <c r="G66" s="10">
        <v>0</v>
      </c>
      <c r="H66" s="50">
        <v>0</v>
      </c>
      <c r="I66" s="50">
        <v>0</v>
      </c>
      <c r="J66" s="50">
        <v>0</v>
      </c>
      <c r="K66" s="39" t="s">
        <v>30</v>
      </c>
      <c r="L66" s="11">
        <f t="shared" si="8"/>
        <v>0</v>
      </c>
      <c r="M66" s="10">
        <f t="shared" si="14"/>
        <v>0</v>
      </c>
      <c r="N66" s="10">
        <f t="shared" si="9"/>
        <v>0</v>
      </c>
      <c r="O66" s="10">
        <v>0</v>
      </c>
      <c r="P66" s="10">
        <f t="shared" si="10"/>
        <v>0</v>
      </c>
      <c r="Q66" s="17">
        <v>-2.5499999999999998</v>
      </c>
      <c r="R66" s="18">
        <f t="shared" si="11"/>
        <v>-2.5499999999999998</v>
      </c>
      <c r="S66" s="19">
        <f t="shared" si="12"/>
        <v>0</v>
      </c>
      <c r="T66" s="20">
        <f t="shared" si="13"/>
        <v>-2.5499999999999998</v>
      </c>
    </row>
    <row r="67" spans="1:23" ht="17.399999999999999">
      <c r="A67" s="9">
        <v>1</v>
      </c>
      <c r="B67" s="8">
        <v>228</v>
      </c>
      <c r="C67" s="8">
        <v>1287481910</v>
      </c>
      <c r="D67" s="42" t="s">
        <v>109</v>
      </c>
      <c r="E67" s="42"/>
      <c r="F67" s="10">
        <v>0</v>
      </c>
      <c r="G67" s="10">
        <v>0</v>
      </c>
      <c r="H67" s="50">
        <v>0</v>
      </c>
      <c r="I67" s="50">
        <v>0</v>
      </c>
      <c r="J67" s="50">
        <v>0</v>
      </c>
      <c r="K67" s="39" t="s">
        <v>30</v>
      </c>
      <c r="L67" s="11">
        <f t="shared" si="8"/>
        <v>0</v>
      </c>
      <c r="M67" s="10">
        <f t="shared" si="14"/>
        <v>0</v>
      </c>
      <c r="N67" s="10">
        <f t="shared" si="9"/>
        <v>0</v>
      </c>
      <c r="O67" s="10">
        <v>0</v>
      </c>
      <c r="P67" s="10">
        <f t="shared" si="10"/>
        <v>0</v>
      </c>
      <c r="Q67" s="17">
        <v>-4.1499999999999995</v>
      </c>
      <c r="R67" s="18">
        <f t="shared" si="11"/>
        <v>-4.1499999999999995</v>
      </c>
      <c r="S67" s="19">
        <f t="shared" si="12"/>
        <v>0</v>
      </c>
      <c r="T67" s="20">
        <f t="shared" si="13"/>
        <v>-4.1499999999999995</v>
      </c>
    </row>
    <row r="68" spans="1:23" ht="17.399999999999999">
      <c r="A68" s="9">
        <v>1</v>
      </c>
      <c r="B68" s="8">
        <v>235</v>
      </c>
      <c r="C68" s="8">
        <v>988684940</v>
      </c>
      <c r="D68" s="42" t="s">
        <v>116</v>
      </c>
      <c r="F68" s="10">
        <v>0</v>
      </c>
      <c r="G68" s="10">
        <v>0</v>
      </c>
      <c r="H68" s="50">
        <v>0</v>
      </c>
      <c r="I68" s="50">
        <v>0</v>
      </c>
      <c r="J68" s="50">
        <v>0</v>
      </c>
      <c r="K68" s="39" t="s">
        <v>30</v>
      </c>
      <c r="L68" s="11">
        <f t="shared" si="8"/>
        <v>0</v>
      </c>
      <c r="M68" s="10">
        <f t="shared" si="14"/>
        <v>0</v>
      </c>
      <c r="N68" s="10">
        <f t="shared" si="9"/>
        <v>0</v>
      </c>
      <c r="O68" s="10">
        <v>0</v>
      </c>
      <c r="P68" s="10">
        <f t="shared" si="10"/>
        <v>0</v>
      </c>
      <c r="Q68" s="17">
        <v>-7.125</v>
      </c>
      <c r="R68" s="18">
        <f t="shared" si="11"/>
        <v>-7.125</v>
      </c>
      <c r="S68" s="19">
        <f t="shared" si="12"/>
        <v>0</v>
      </c>
      <c r="T68" s="20">
        <f t="shared" si="13"/>
        <v>-7.125</v>
      </c>
    </row>
    <row r="69" spans="1:23" ht="17.399999999999999">
      <c r="A69" s="9">
        <v>1</v>
      </c>
      <c r="B69" s="8">
        <v>141</v>
      </c>
      <c r="C69" s="8">
        <v>1190305158</v>
      </c>
      <c r="D69" s="42" t="s">
        <v>44</v>
      </c>
      <c r="E69" s="44"/>
      <c r="F69" s="10">
        <v>0</v>
      </c>
      <c r="G69" s="10">
        <v>0</v>
      </c>
      <c r="H69" s="50">
        <v>0</v>
      </c>
      <c r="I69" s="50">
        <v>0</v>
      </c>
      <c r="J69" s="50">
        <v>0</v>
      </c>
      <c r="K69" s="39" t="s">
        <v>30</v>
      </c>
      <c r="L69" s="11">
        <f t="shared" si="8"/>
        <v>0</v>
      </c>
      <c r="M69" s="10">
        <f t="shared" si="14"/>
        <v>0</v>
      </c>
      <c r="N69" s="10">
        <f t="shared" si="9"/>
        <v>0</v>
      </c>
      <c r="O69" s="10">
        <v>0</v>
      </c>
      <c r="P69" s="10">
        <f t="shared" ref="P69:P70" si="15">SUM(M69+L69+O69+N69)</f>
        <v>0</v>
      </c>
      <c r="Q69" s="17">
        <v>-7.8937500000000043</v>
      </c>
      <c r="R69" s="18">
        <f t="shared" ref="R69:R70" si="16">P69+Q69</f>
        <v>-7.8937500000000043</v>
      </c>
      <c r="S69" s="19">
        <f t="shared" si="12"/>
        <v>0</v>
      </c>
      <c r="T69" s="20">
        <f t="shared" ref="T69:T70" si="17">R69-S69</f>
        <v>-7.8937500000000043</v>
      </c>
      <c r="U69" s="40"/>
      <c r="V69" s="40"/>
      <c r="W69" s="41"/>
    </row>
    <row r="70" spans="1:23" ht="17.399999999999999">
      <c r="A70" s="70">
        <v>1</v>
      </c>
      <c r="B70" s="8">
        <v>203</v>
      </c>
      <c r="C70" s="8">
        <v>382695365</v>
      </c>
      <c r="D70" s="42" t="s">
        <v>78</v>
      </c>
      <c r="E70" s="47"/>
      <c r="F70" s="10">
        <v>0</v>
      </c>
      <c r="G70" s="10">
        <v>0</v>
      </c>
      <c r="H70" s="50">
        <v>0</v>
      </c>
      <c r="I70" s="50">
        <v>0</v>
      </c>
      <c r="J70" s="50">
        <v>0</v>
      </c>
      <c r="K70" s="39" t="s">
        <v>30</v>
      </c>
      <c r="L70" s="11">
        <f t="shared" si="8"/>
        <v>0</v>
      </c>
      <c r="M70" s="10">
        <f t="shared" si="14"/>
        <v>0</v>
      </c>
      <c r="N70" s="10">
        <f t="shared" si="9"/>
        <v>0</v>
      </c>
      <c r="O70" s="10">
        <v>0</v>
      </c>
      <c r="P70" s="10">
        <f t="shared" si="15"/>
        <v>0</v>
      </c>
      <c r="Q70" s="17">
        <v>-16.90625</v>
      </c>
      <c r="R70" s="18">
        <f t="shared" si="16"/>
        <v>-16.90625</v>
      </c>
      <c r="S70" s="19">
        <f t="shared" si="12"/>
        <v>0</v>
      </c>
      <c r="T70" s="20">
        <f t="shared" si="17"/>
        <v>-16.90625</v>
      </c>
    </row>
    <row r="71" spans="1:23" ht="17.399999999999999">
      <c r="A71" s="70"/>
    </row>
  </sheetData>
  <autoFilter ref="A4:W70" xr:uid="{28593B8F-03E7-4BE1-B554-FC0AADC431B2}">
    <sortState xmlns:xlrd2="http://schemas.microsoft.com/office/spreadsheetml/2017/richdata2" ref="A5:W70">
      <sortCondition descending="1" ref="R4:R70"/>
    </sortState>
  </autoFilter>
  <mergeCells count="5">
    <mergeCell ref="B1:T1"/>
    <mergeCell ref="B2:T2"/>
    <mergeCell ref="B3:E3"/>
    <mergeCell ref="H3:J3"/>
    <mergeCell ref="K3:T3"/>
  </mergeCells>
  <conditionalFormatting sqref="O5:O70 F5:J70">
    <cfRule type="cellIs" dxfId="16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2BB3-7FA4-4E76-9EA2-AB611B0DA424}">
  <dimension ref="A1:AC71"/>
  <sheetViews>
    <sheetView topLeftCell="D1" zoomScale="85" zoomScaleNormal="85" workbookViewId="0">
      <selection activeCell="X5" sqref="X5"/>
    </sheetView>
  </sheetViews>
  <sheetFormatPr defaultColWidth="9" defaultRowHeight="14.4"/>
  <cols>
    <col min="1" max="1" width="6.44140625" customWidth="1"/>
    <col min="2" max="2" width="6.6640625" style="4" customWidth="1"/>
    <col min="3" max="3" width="19.77734375" style="5" customWidth="1"/>
    <col min="4" max="4" width="21.21875" style="5" customWidth="1"/>
    <col min="5" max="5" width="18.33203125" style="4" customWidth="1"/>
    <col min="6" max="6" width="13.109375" style="4" customWidth="1"/>
    <col min="7" max="7" width="13.77734375" style="4" customWidth="1"/>
    <col min="8" max="8" width="5.77734375" style="4" customWidth="1"/>
    <col min="9" max="9" width="5.88671875" style="4" customWidth="1"/>
    <col min="10" max="10" width="5.77734375" style="4" customWidth="1"/>
    <col min="11" max="11" width="20" style="4" customWidth="1"/>
    <col min="12" max="12" width="9" style="4" customWidth="1"/>
    <col min="13" max="13" width="12.109375" style="4" customWidth="1"/>
    <col min="14" max="14" width="11.33203125" style="4" customWidth="1"/>
    <col min="15" max="15" width="10" style="4" customWidth="1"/>
    <col min="16" max="16" width="9" style="4" customWidth="1"/>
    <col min="17" max="17" width="12.88671875" style="4" customWidth="1"/>
    <col min="18" max="18" width="12" style="4" customWidth="1"/>
    <col min="19" max="19" width="9.21875" style="4" customWidth="1"/>
    <col min="20" max="20" width="12.6640625" style="4" customWidth="1"/>
    <col min="21" max="23" width="11.109375" style="21" customWidth="1"/>
    <col min="24" max="24" width="22.44140625" customWidth="1"/>
  </cols>
  <sheetData>
    <row r="1" spans="1:29" ht="36.6" customHeight="1">
      <c r="B1" s="99" t="str">
        <f>CONCATENATE("157区 活动中心",Y15,"年",Y16,"月",Y17,"日","分包贡献明细"," 统计：一二三")</f>
        <v>157区 活动中心2021年11月13日分包贡献明细 统计：一二三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62"/>
      <c r="V1" s="62"/>
      <c r="W1" s="62"/>
      <c r="X1" s="22" t="s">
        <v>12</v>
      </c>
      <c r="Y1" s="5">
        <v>67</v>
      </c>
      <c r="Z1" s="3"/>
      <c r="AA1" s="3"/>
      <c r="AB1" s="3"/>
      <c r="AC1" s="3"/>
    </row>
    <row r="2" spans="1:29" ht="137.4" customHeight="1">
      <c r="B2" s="101" t="s">
        <v>126</v>
      </c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63"/>
      <c r="V2" s="63"/>
      <c r="W2" s="63"/>
      <c r="X2" s="23" t="s">
        <v>0</v>
      </c>
      <c r="Y2" s="24" t="s">
        <v>13</v>
      </c>
      <c r="Z2" s="25" t="s">
        <v>14</v>
      </c>
      <c r="AA2" s="25" t="s">
        <v>15</v>
      </c>
      <c r="AB2" s="25" t="s">
        <v>56</v>
      </c>
      <c r="AC2" s="26" t="s">
        <v>16</v>
      </c>
    </row>
    <row r="3" spans="1:29" ht="20.399999999999999">
      <c r="B3" s="104" t="s">
        <v>20</v>
      </c>
      <c r="C3" s="104"/>
      <c r="D3" s="104"/>
      <c r="E3" s="104"/>
      <c r="F3" s="64" t="s">
        <v>17</v>
      </c>
      <c r="G3" s="65" t="s">
        <v>39</v>
      </c>
      <c r="H3" s="105" t="s">
        <v>99</v>
      </c>
      <c r="I3" s="105"/>
      <c r="J3" s="105"/>
      <c r="K3" s="106" t="s">
        <v>21</v>
      </c>
      <c r="L3" s="107"/>
      <c r="M3" s="107"/>
      <c r="N3" s="107"/>
      <c r="O3" s="107"/>
      <c r="P3" s="107"/>
      <c r="Q3" s="107"/>
      <c r="R3" s="107"/>
      <c r="S3" s="107"/>
      <c r="T3" s="108"/>
      <c r="U3" s="61"/>
      <c r="V3" s="61"/>
      <c r="W3" s="61"/>
      <c r="X3" s="27" t="s">
        <v>22</v>
      </c>
      <c r="Y3" s="28">
        <f>AC3/$Y$13</f>
        <v>11.875</v>
      </c>
      <c r="Z3" s="23">
        <v>5</v>
      </c>
      <c r="AA3" s="23">
        <v>7</v>
      </c>
      <c r="AB3" s="23">
        <v>20</v>
      </c>
      <c r="AC3" s="23">
        <v>1900</v>
      </c>
    </row>
    <row r="4" spans="1:29" ht="40.799999999999997">
      <c r="A4" s="80" t="s">
        <v>117</v>
      </c>
      <c r="B4" s="80" t="s">
        <v>2</v>
      </c>
      <c r="C4" s="60" t="s">
        <v>23</v>
      </c>
      <c r="D4" s="80" t="s">
        <v>3</v>
      </c>
      <c r="E4" s="80" t="s">
        <v>4</v>
      </c>
      <c r="F4" s="6" t="s">
        <v>40</v>
      </c>
      <c r="G4" s="7" t="s">
        <v>91</v>
      </c>
      <c r="H4" s="7" t="s">
        <v>100</v>
      </c>
      <c r="I4" s="7" t="s">
        <v>101</v>
      </c>
      <c r="J4" s="7" t="s">
        <v>102</v>
      </c>
      <c r="K4" s="6" t="s">
        <v>5</v>
      </c>
      <c r="L4" s="6" t="s">
        <v>24</v>
      </c>
      <c r="M4" s="7" t="s">
        <v>41</v>
      </c>
      <c r="N4" s="7" t="s">
        <v>104</v>
      </c>
      <c r="O4" s="7" t="s">
        <v>45</v>
      </c>
      <c r="P4" s="15" t="s">
        <v>25</v>
      </c>
      <c r="Q4" s="60" t="s">
        <v>26</v>
      </c>
      <c r="R4" s="16" t="s">
        <v>7</v>
      </c>
      <c r="S4" s="60" t="s">
        <v>6</v>
      </c>
      <c r="T4" s="60" t="s">
        <v>27</v>
      </c>
      <c r="U4" s="60" t="s">
        <v>18</v>
      </c>
      <c r="V4" s="60" t="s">
        <v>19</v>
      </c>
      <c r="W4" s="60" t="s">
        <v>1</v>
      </c>
      <c r="X4" s="29" t="s">
        <v>28</v>
      </c>
      <c r="Y4" s="28">
        <f>AC4/$Y$13</f>
        <v>9.6875</v>
      </c>
      <c r="Z4" s="23">
        <v>4</v>
      </c>
      <c r="AA4" s="23">
        <v>6</v>
      </c>
      <c r="AB4" s="23">
        <v>15</v>
      </c>
      <c r="AC4" s="23">
        <v>1550</v>
      </c>
    </row>
    <row r="5" spans="1:29" s="1" customFormat="1" ht="17.399999999999999">
      <c r="A5" s="9">
        <v>1</v>
      </c>
      <c r="B5" s="8">
        <v>167</v>
      </c>
      <c r="C5" s="8">
        <v>1173807161</v>
      </c>
      <c r="D5" s="42" t="s">
        <v>48</v>
      </c>
      <c r="E5" s="48"/>
      <c r="F5" s="10">
        <v>0</v>
      </c>
      <c r="G5" s="10">
        <v>1</v>
      </c>
      <c r="H5" s="50">
        <v>0</v>
      </c>
      <c r="I5" s="50">
        <v>0</v>
      </c>
      <c r="J5" s="50">
        <v>0</v>
      </c>
      <c r="K5" s="39" t="s">
        <v>30</v>
      </c>
      <c r="L5" s="11">
        <f t="shared" ref="L5:L36" si="0">F5+IF(F5&gt;2,(F5-2)*1,0)</f>
        <v>0</v>
      </c>
      <c r="M5" s="10">
        <f t="shared" ref="M5:M22" si="1">G5*$Y$14</f>
        <v>1.2</v>
      </c>
      <c r="N5" s="10">
        <f t="shared" ref="N5:N36" si="2">SUM(H5:J5)*$Y$18</f>
        <v>0</v>
      </c>
      <c r="O5" s="10">
        <v>0</v>
      </c>
      <c r="P5" s="10">
        <f t="shared" ref="P5:P36" si="3">SUM(M5+L5+O5+N5)</f>
        <v>1.2</v>
      </c>
      <c r="Q5" s="17">
        <v>25.824999999999978</v>
      </c>
      <c r="R5" s="18">
        <f t="shared" ref="R5:R36" si="4">P5+Q5</f>
        <v>27.024999999999977</v>
      </c>
      <c r="S5" s="19">
        <f t="shared" ref="S5:S36" si="5">VLOOKUP(K5,$X$3:$Y$10,2,FALSE)</f>
        <v>0</v>
      </c>
      <c r="T5" s="20">
        <f t="shared" ref="T5:T36" si="6">R5-S5</f>
        <v>27.024999999999977</v>
      </c>
      <c r="U5" s="4"/>
      <c r="V5" s="4"/>
      <c r="W5" s="4"/>
      <c r="X5" s="14" t="s">
        <v>29</v>
      </c>
      <c r="Y5" s="28">
        <f>AC5/$Y$13/4</f>
        <v>1.875</v>
      </c>
      <c r="Z5" s="30">
        <v>3</v>
      </c>
      <c r="AA5" s="30">
        <v>5</v>
      </c>
      <c r="AB5" s="30">
        <v>10</v>
      </c>
      <c r="AC5" s="30">
        <v>1200</v>
      </c>
    </row>
    <row r="6" spans="1:29" s="1" customFormat="1" ht="17.399999999999999">
      <c r="A6" s="9">
        <v>1</v>
      </c>
      <c r="B6" s="8">
        <v>183</v>
      </c>
      <c r="C6" s="8">
        <v>1250030371</v>
      </c>
      <c r="D6" s="42" t="s">
        <v>130</v>
      </c>
      <c r="E6" s="42" t="s">
        <v>121</v>
      </c>
      <c r="F6" s="10">
        <v>4</v>
      </c>
      <c r="G6" s="10">
        <v>1</v>
      </c>
      <c r="H6" s="50">
        <v>0</v>
      </c>
      <c r="I6" s="50">
        <v>0</v>
      </c>
      <c r="J6" s="50">
        <v>0</v>
      </c>
      <c r="K6" s="12" t="s">
        <v>53</v>
      </c>
      <c r="L6" s="11">
        <f t="shared" si="0"/>
        <v>6</v>
      </c>
      <c r="M6" s="10">
        <f t="shared" si="1"/>
        <v>1.2</v>
      </c>
      <c r="N6" s="10">
        <f t="shared" si="2"/>
        <v>0</v>
      </c>
      <c r="O6" s="10">
        <v>0</v>
      </c>
      <c r="P6" s="10">
        <f t="shared" si="3"/>
        <v>7.2</v>
      </c>
      <c r="Q6" s="17">
        <v>18.818749999999994</v>
      </c>
      <c r="R6" s="18">
        <f t="shared" si="4"/>
        <v>26.018749999999994</v>
      </c>
      <c r="S6" s="19">
        <f t="shared" si="5"/>
        <v>8.125</v>
      </c>
      <c r="T6" s="20">
        <f t="shared" si="6"/>
        <v>17.893749999999994</v>
      </c>
      <c r="U6" s="4"/>
      <c r="V6" s="4"/>
      <c r="W6" s="4"/>
      <c r="X6" s="14"/>
      <c r="Y6" s="28"/>
      <c r="Z6" s="30"/>
      <c r="AA6" s="30"/>
      <c r="AB6" s="30"/>
      <c r="AC6" s="30"/>
    </row>
    <row r="7" spans="1:29" s="1" customFormat="1" ht="17.399999999999999">
      <c r="A7" s="9">
        <v>1</v>
      </c>
      <c r="B7" s="8">
        <v>189</v>
      </c>
      <c r="C7" s="8">
        <v>522812489</v>
      </c>
      <c r="D7" s="42" t="s">
        <v>70</v>
      </c>
      <c r="E7" s="47"/>
      <c r="F7" s="10">
        <v>4</v>
      </c>
      <c r="G7" s="10">
        <v>1</v>
      </c>
      <c r="H7" s="50">
        <v>0</v>
      </c>
      <c r="I7" s="50">
        <v>0</v>
      </c>
      <c r="J7" s="50">
        <v>0</v>
      </c>
      <c r="K7" s="12" t="s">
        <v>53</v>
      </c>
      <c r="L7" s="11">
        <f t="shared" si="0"/>
        <v>6</v>
      </c>
      <c r="M7" s="10">
        <f t="shared" si="1"/>
        <v>1.2</v>
      </c>
      <c r="N7" s="10">
        <f t="shared" si="2"/>
        <v>0</v>
      </c>
      <c r="O7" s="10">
        <v>0</v>
      </c>
      <c r="P7" s="10">
        <f t="shared" si="3"/>
        <v>7.2</v>
      </c>
      <c r="Q7" s="17">
        <v>18.625</v>
      </c>
      <c r="R7" s="18">
        <f t="shared" si="4"/>
        <v>25.824999999999999</v>
      </c>
      <c r="S7" s="19">
        <f t="shared" si="5"/>
        <v>8.125</v>
      </c>
      <c r="T7" s="20">
        <f t="shared" si="6"/>
        <v>17.7</v>
      </c>
      <c r="U7" s="4"/>
      <c r="V7" s="4"/>
      <c r="W7" s="4"/>
      <c r="X7" s="12" t="s">
        <v>53</v>
      </c>
      <c r="Y7" s="28">
        <f>AC7/$Y$13</f>
        <v>8.125</v>
      </c>
      <c r="Z7" s="30">
        <v>4</v>
      </c>
      <c r="AA7" s="30">
        <v>5</v>
      </c>
      <c r="AB7" s="30"/>
      <c r="AC7" s="30">
        <v>1300</v>
      </c>
    </row>
    <row r="8" spans="1:29" s="1" customFormat="1" ht="17.399999999999999">
      <c r="A8" s="9">
        <v>1</v>
      </c>
      <c r="B8" s="8">
        <v>118</v>
      </c>
      <c r="C8" s="8">
        <v>2018112397</v>
      </c>
      <c r="D8" s="42" t="s">
        <v>136</v>
      </c>
      <c r="E8" s="42" t="s">
        <v>54</v>
      </c>
      <c r="F8" s="10">
        <v>4</v>
      </c>
      <c r="G8" s="10">
        <v>1</v>
      </c>
      <c r="H8" s="50">
        <v>0</v>
      </c>
      <c r="I8" s="50">
        <v>0</v>
      </c>
      <c r="J8" s="50">
        <v>0</v>
      </c>
      <c r="K8" s="12" t="s">
        <v>53</v>
      </c>
      <c r="L8" s="11">
        <f t="shared" si="0"/>
        <v>6</v>
      </c>
      <c r="M8" s="10">
        <f t="shared" si="1"/>
        <v>1.2</v>
      </c>
      <c r="N8" s="10">
        <f t="shared" si="2"/>
        <v>0</v>
      </c>
      <c r="O8" s="10">
        <v>0</v>
      </c>
      <c r="P8" s="10">
        <f t="shared" si="3"/>
        <v>7.2</v>
      </c>
      <c r="Q8" s="17">
        <v>18.256249999999984</v>
      </c>
      <c r="R8" s="18">
        <f t="shared" si="4"/>
        <v>25.456249999999983</v>
      </c>
      <c r="S8" s="19">
        <f t="shared" si="5"/>
        <v>8.125</v>
      </c>
      <c r="T8" s="20">
        <f t="shared" si="6"/>
        <v>17.331249999999983</v>
      </c>
      <c r="U8" s="11"/>
      <c r="V8" s="11"/>
      <c r="W8" s="32"/>
      <c r="X8" s="13" t="s">
        <v>52</v>
      </c>
      <c r="Y8" s="28">
        <f>AC8/$Y$13</f>
        <v>6.25</v>
      </c>
      <c r="Z8" s="30">
        <v>3</v>
      </c>
      <c r="AA8" s="30">
        <v>4</v>
      </c>
      <c r="AB8" s="30"/>
      <c r="AC8" s="30">
        <v>1000</v>
      </c>
    </row>
    <row r="9" spans="1:29" s="1" customFormat="1" ht="17.399999999999999">
      <c r="A9" s="9">
        <v>1</v>
      </c>
      <c r="B9" s="9">
        <v>231</v>
      </c>
      <c r="C9" s="8">
        <v>1725915293</v>
      </c>
      <c r="D9" s="42" t="s">
        <v>112</v>
      </c>
      <c r="E9" s="4"/>
      <c r="F9" s="10">
        <v>4</v>
      </c>
      <c r="G9" s="10">
        <v>1</v>
      </c>
      <c r="H9" s="50">
        <v>0</v>
      </c>
      <c r="I9" s="50">
        <v>0</v>
      </c>
      <c r="J9" s="50">
        <v>0</v>
      </c>
      <c r="K9" s="12" t="s">
        <v>53</v>
      </c>
      <c r="L9" s="11">
        <f t="shared" si="0"/>
        <v>6</v>
      </c>
      <c r="M9" s="10">
        <f t="shared" si="1"/>
        <v>1.2</v>
      </c>
      <c r="N9" s="10">
        <f t="shared" si="2"/>
        <v>0</v>
      </c>
      <c r="O9" s="10">
        <v>0</v>
      </c>
      <c r="P9" s="10">
        <f t="shared" si="3"/>
        <v>7.2</v>
      </c>
      <c r="Q9" s="17">
        <v>17.568749999999994</v>
      </c>
      <c r="R9" s="18">
        <f t="shared" si="4"/>
        <v>24.768749999999994</v>
      </c>
      <c r="S9" s="19">
        <f t="shared" si="5"/>
        <v>8.125</v>
      </c>
      <c r="T9" s="20">
        <f t="shared" si="6"/>
        <v>16.643749999999994</v>
      </c>
      <c r="U9" s="4"/>
      <c r="V9" s="4"/>
      <c r="W9" s="4"/>
      <c r="X9" s="14" t="s">
        <v>53</v>
      </c>
      <c r="Y9" s="28">
        <f>AC9/$Y$13/4</f>
        <v>1.09375</v>
      </c>
      <c r="Z9" s="30">
        <v>2</v>
      </c>
      <c r="AA9" s="30">
        <v>3</v>
      </c>
      <c r="AB9" s="30"/>
      <c r="AC9" s="30">
        <v>700</v>
      </c>
    </row>
    <row r="10" spans="1:29" s="1" customFormat="1" ht="17.399999999999999">
      <c r="A10" s="9">
        <v>1</v>
      </c>
      <c r="B10" s="8">
        <v>225</v>
      </c>
      <c r="C10" s="8">
        <v>1963965829</v>
      </c>
      <c r="D10" s="42" t="s">
        <v>107</v>
      </c>
      <c r="E10" s="42"/>
      <c r="F10" s="10">
        <v>4</v>
      </c>
      <c r="G10" s="10">
        <v>1</v>
      </c>
      <c r="H10" s="50">
        <v>0</v>
      </c>
      <c r="I10" s="50">
        <v>0</v>
      </c>
      <c r="J10" s="50">
        <v>0</v>
      </c>
      <c r="K10" s="12" t="s">
        <v>53</v>
      </c>
      <c r="L10" s="11">
        <f t="shared" si="0"/>
        <v>6</v>
      </c>
      <c r="M10" s="10">
        <f t="shared" si="1"/>
        <v>1.2</v>
      </c>
      <c r="N10" s="10">
        <f t="shared" si="2"/>
        <v>0</v>
      </c>
      <c r="O10" s="10">
        <v>0</v>
      </c>
      <c r="P10" s="10">
        <f t="shared" si="3"/>
        <v>7.2</v>
      </c>
      <c r="Q10" s="17">
        <v>17.135736940298493</v>
      </c>
      <c r="R10" s="18">
        <f t="shared" si="4"/>
        <v>24.335736940298492</v>
      </c>
      <c r="S10" s="19">
        <f t="shared" si="5"/>
        <v>8.125</v>
      </c>
      <c r="T10" s="20">
        <f t="shared" si="6"/>
        <v>16.210736940298492</v>
      </c>
      <c r="U10" s="4"/>
      <c r="V10" s="4"/>
      <c r="W10" s="4"/>
      <c r="X10" s="33" t="s">
        <v>30</v>
      </c>
      <c r="Y10" s="2">
        <v>0</v>
      </c>
      <c r="Z10" s="2"/>
      <c r="AA10" s="2"/>
      <c r="AB10" s="2"/>
      <c r="AC10" s="2"/>
    </row>
    <row r="11" spans="1:29" s="1" customFormat="1" ht="17.399999999999999">
      <c r="A11" s="9">
        <v>1</v>
      </c>
      <c r="B11" s="8">
        <v>232</v>
      </c>
      <c r="C11" s="8">
        <v>1088909927</v>
      </c>
      <c r="D11" s="42" t="s">
        <v>113</v>
      </c>
      <c r="E11" s="4"/>
      <c r="F11" s="10">
        <v>4</v>
      </c>
      <c r="G11" s="10">
        <v>1</v>
      </c>
      <c r="H11" s="50">
        <v>0</v>
      </c>
      <c r="I11" s="50">
        <v>0</v>
      </c>
      <c r="J11" s="50">
        <v>0</v>
      </c>
      <c r="K11" s="12" t="s">
        <v>53</v>
      </c>
      <c r="L11" s="11">
        <f t="shared" si="0"/>
        <v>6</v>
      </c>
      <c r="M11" s="10">
        <f t="shared" si="1"/>
        <v>1.2</v>
      </c>
      <c r="N11" s="10">
        <f t="shared" si="2"/>
        <v>0</v>
      </c>
      <c r="O11" s="10">
        <v>0</v>
      </c>
      <c r="P11" s="10">
        <f t="shared" si="3"/>
        <v>7.2</v>
      </c>
      <c r="Q11" s="17">
        <v>16.606249999999996</v>
      </c>
      <c r="R11" s="18">
        <f t="shared" si="4"/>
        <v>23.806249999999995</v>
      </c>
      <c r="S11" s="19">
        <f t="shared" si="5"/>
        <v>8.125</v>
      </c>
      <c r="T11" s="20">
        <f t="shared" si="6"/>
        <v>15.681249999999995</v>
      </c>
      <c r="U11" s="4"/>
      <c r="V11" s="4"/>
      <c r="W11" s="4"/>
      <c r="X11" s="34"/>
    </row>
    <row r="12" spans="1:29" s="1" customFormat="1" ht="17.399999999999999">
      <c r="A12" s="9">
        <v>1</v>
      </c>
      <c r="B12" s="8">
        <v>195</v>
      </c>
      <c r="C12" s="8">
        <v>1634663314</v>
      </c>
      <c r="D12" s="42" t="s">
        <v>73</v>
      </c>
      <c r="E12" s="47"/>
      <c r="F12" s="10">
        <v>4</v>
      </c>
      <c r="G12" s="10">
        <v>1</v>
      </c>
      <c r="H12" s="50">
        <v>0</v>
      </c>
      <c r="I12" s="50">
        <v>0</v>
      </c>
      <c r="J12" s="50">
        <v>0</v>
      </c>
      <c r="K12" s="12" t="s">
        <v>53</v>
      </c>
      <c r="L12" s="11">
        <f t="shared" si="0"/>
        <v>6</v>
      </c>
      <c r="M12" s="10">
        <f t="shared" si="1"/>
        <v>1.2</v>
      </c>
      <c r="N12" s="10">
        <f t="shared" si="2"/>
        <v>0</v>
      </c>
      <c r="O12" s="10">
        <v>0</v>
      </c>
      <c r="P12" s="10">
        <f t="shared" si="3"/>
        <v>7.2</v>
      </c>
      <c r="Q12" s="17">
        <v>15.505749999999985</v>
      </c>
      <c r="R12" s="18">
        <f t="shared" si="4"/>
        <v>22.705749999999984</v>
      </c>
      <c r="S12" s="19">
        <f t="shared" si="5"/>
        <v>8.125</v>
      </c>
      <c r="T12" s="20">
        <f t="shared" si="6"/>
        <v>14.580749999999984</v>
      </c>
      <c r="U12" s="4"/>
      <c r="V12" s="4"/>
      <c r="W12" s="4"/>
      <c r="X12" s="35" t="s">
        <v>32</v>
      </c>
      <c r="Y12" s="1">
        <v>15000</v>
      </c>
    </row>
    <row r="13" spans="1:29" s="2" customFormat="1" ht="17.399999999999999">
      <c r="A13" s="9">
        <v>1</v>
      </c>
      <c r="B13" s="8">
        <v>178</v>
      </c>
      <c r="C13" s="8">
        <v>1059185275</v>
      </c>
      <c r="D13" s="42" t="s">
        <v>66</v>
      </c>
      <c r="E13" s="47"/>
      <c r="F13" s="10">
        <v>4</v>
      </c>
      <c r="G13" s="10">
        <v>1</v>
      </c>
      <c r="H13" s="50">
        <v>0</v>
      </c>
      <c r="I13" s="50">
        <v>0</v>
      </c>
      <c r="J13" s="50">
        <v>0</v>
      </c>
      <c r="K13" s="13" t="s">
        <v>52</v>
      </c>
      <c r="L13" s="11">
        <f t="shared" si="0"/>
        <v>6</v>
      </c>
      <c r="M13" s="10">
        <f t="shared" si="1"/>
        <v>1.2</v>
      </c>
      <c r="N13" s="10">
        <f t="shared" si="2"/>
        <v>0</v>
      </c>
      <c r="O13" s="10">
        <v>0</v>
      </c>
      <c r="P13" s="10">
        <f t="shared" si="3"/>
        <v>7.2</v>
      </c>
      <c r="Q13" s="17">
        <v>15.212499999999991</v>
      </c>
      <c r="R13" s="18">
        <f t="shared" si="4"/>
        <v>22.412499999999991</v>
      </c>
      <c r="S13" s="19">
        <f t="shared" si="5"/>
        <v>6.25</v>
      </c>
      <c r="T13" s="20">
        <f t="shared" si="6"/>
        <v>16.162499999999991</v>
      </c>
      <c r="U13" s="4"/>
      <c r="V13" s="4"/>
      <c r="W13" s="4"/>
      <c r="X13" s="36" t="s">
        <v>33</v>
      </c>
      <c r="Y13" s="37">
        <v>160</v>
      </c>
      <c r="Z13" s="1"/>
      <c r="AA13" s="1"/>
      <c r="AB13" s="1"/>
      <c r="AC13" s="1"/>
    </row>
    <row r="14" spans="1:29" s="2" customFormat="1" ht="17.399999999999999">
      <c r="A14" s="9">
        <v>1</v>
      </c>
      <c r="B14" s="8">
        <v>174</v>
      </c>
      <c r="C14" s="8">
        <v>775720958</v>
      </c>
      <c r="D14" s="42" t="s">
        <v>79</v>
      </c>
      <c r="E14" s="42" t="s">
        <v>49</v>
      </c>
      <c r="F14" s="10">
        <v>4</v>
      </c>
      <c r="G14" s="10">
        <v>1</v>
      </c>
      <c r="H14" s="50">
        <v>0</v>
      </c>
      <c r="I14" s="50">
        <v>0</v>
      </c>
      <c r="J14" s="50">
        <v>0</v>
      </c>
      <c r="K14" s="13" t="s">
        <v>52</v>
      </c>
      <c r="L14" s="11">
        <f t="shared" si="0"/>
        <v>6</v>
      </c>
      <c r="M14" s="10">
        <f t="shared" si="1"/>
        <v>1.2</v>
      </c>
      <c r="N14" s="10">
        <f t="shared" si="2"/>
        <v>0</v>
      </c>
      <c r="O14" s="10">
        <v>0</v>
      </c>
      <c r="P14" s="10">
        <f t="shared" si="3"/>
        <v>7.2</v>
      </c>
      <c r="Q14" s="17">
        <v>14.174999999999979</v>
      </c>
      <c r="R14" s="18">
        <f t="shared" si="4"/>
        <v>21.374999999999979</v>
      </c>
      <c r="S14" s="19">
        <f t="shared" si="5"/>
        <v>6.25</v>
      </c>
      <c r="T14" s="20">
        <f t="shared" si="6"/>
        <v>15.124999999999979</v>
      </c>
      <c r="U14" s="4"/>
      <c r="V14" s="4"/>
      <c r="W14" s="4"/>
      <c r="X14" s="38" t="s">
        <v>42</v>
      </c>
      <c r="Y14" s="37">
        <v>1.2</v>
      </c>
      <c r="Z14" s="1"/>
      <c r="AA14" s="1"/>
      <c r="AB14" s="1"/>
      <c r="AC14" s="1"/>
    </row>
    <row r="15" spans="1:29" s="2" customFormat="1" ht="17.399999999999999">
      <c r="A15" s="9">
        <v>1</v>
      </c>
      <c r="B15" s="9">
        <v>92</v>
      </c>
      <c r="C15" s="8">
        <v>1367873925</v>
      </c>
      <c r="D15" s="42" t="s">
        <v>80</v>
      </c>
      <c r="E15" s="42" t="s">
        <v>31</v>
      </c>
      <c r="F15" s="10">
        <v>4</v>
      </c>
      <c r="G15" s="10">
        <v>1</v>
      </c>
      <c r="H15" s="50">
        <v>0</v>
      </c>
      <c r="I15" s="50">
        <v>0</v>
      </c>
      <c r="J15" s="50">
        <v>0</v>
      </c>
      <c r="K15" s="13" t="s">
        <v>52</v>
      </c>
      <c r="L15" s="11">
        <f t="shared" si="0"/>
        <v>6</v>
      </c>
      <c r="M15" s="10">
        <f t="shared" si="1"/>
        <v>1.2</v>
      </c>
      <c r="N15" s="10">
        <f t="shared" si="2"/>
        <v>0</v>
      </c>
      <c r="O15" s="10">
        <v>0</v>
      </c>
      <c r="P15" s="10">
        <f t="shared" si="3"/>
        <v>7.2</v>
      </c>
      <c r="Q15" s="17">
        <v>14.156249999999989</v>
      </c>
      <c r="R15" s="18">
        <f t="shared" si="4"/>
        <v>21.356249999999989</v>
      </c>
      <c r="S15" s="19">
        <f t="shared" si="5"/>
        <v>6.25</v>
      </c>
      <c r="T15" s="20">
        <f t="shared" si="6"/>
        <v>15.106249999999989</v>
      </c>
      <c r="U15" s="11"/>
      <c r="V15" s="11"/>
      <c r="W15" s="31"/>
      <c r="X15" s="1" t="s">
        <v>34</v>
      </c>
      <c r="Y15" s="37">
        <v>2021</v>
      </c>
      <c r="Z15" s="1"/>
      <c r="AA15" s="1"/>
      <c r="AB15" s="1"/>
      <c r="AC15" s="1"/>
    </row>
    <row r="16" spans="1:29" s="2" customFormat="1" ht="17.399999999999999">
      <c r="A16" s="9">
        <v>1</v>
      </c>
      <c r="B16" s="8">
        <v>215</v>
      </c>
      <c r="C16" s="8">
        <v>289805855</v>
      </c>
      <c r="D16" s="42" t="s">
        <v>87</v>
      </c>
      <c r="F16" s="10">
        <v>4</v>
      </c>
      <c r="G16" s="10">
        <v>1</v>
      </c>
      <c r="H16" s="50">
        <v>0</v>
      </c>
      <c r="I16" s="50">
        <v>0</v>
      </c>
      <c r="J16" s="50">
        <v>0</v>
      </c>
      <c r="K16" s="13" t="s">
        <v>52</v>
      </c>
      <c r="L16" s="11">
        <f t="shared" si="0"/>
        <v>6</v>
      </c>
      <c r="M16" s="10">
        <f t="shared" si="1"/>
        <v>1.2</v>
      </c>
      <c r="N16" s="10">
        <f t="shared" si="2"/>
        <v>0</v>
      </c>
      <c r="O16" s="10">
        <v>0</v>
      </c>
      <c r="P16" s="10">
        <f t="shared" si="3"/>
        <v>7.2</v>
      </c>
      <c r="Q16" s="17">
        <v>14.000499999999988</v>
      </c>
      <c r="R16" s="18">
        <f t="shared" si="4"/>
        <v>21.200499999999987</v>
      </c>
      <c r="S16" s="19">
        <f t="shared" si="5"/>
        <v>6.25</v>
      </c>
      <c r="T16" s="20">
        <f t="shared" si="6"/>
        <v>14.950499999999987</v>
      </c>
      <c r="U16" s="4"/>
      <c r="V16" s="4"/>
      <c r="W16" s="4"/>
      <c r="X16" s="1" t="s">
        <v>35</v>
      </c>
      <c r="Y16" s="37">
        <v>11</v>
      </c>
      <c r="Z16" s="1"/>
      <c r="AA16" s="1"/>
      <c r="AB16" s="1"/>
      <c r="AC16" s="1"/>
    </row>
    <row r="17" spans="1:29" s="2" customFormat="1" ht="17.399999999999999">
      <c r="A17" s="9">
        <v>1</v>
      </c>
      <c r="B17" s="8">
        <v>216</v>
      </c>
      <c r="C17" s="8">
        <v>395700385</v>
      </c>
      <c r="D17" s="42" t="s">
        <v>88</v>
      </c>
      <c r="F17" s="10">
        <v>4</v>
      </c>
      <c r="G17" s="10">
        <v>1</v>
      </c>
      <c r="H17" s="50">
        <v>0</v>
      </c>
      <c r="I17" s="50">
        <v>0</v>
      </c>
      <c r="J17" s="50">
        <v>0</v>
      </c>
      <c r="K17" s="13" t="s">
        <v>52</v>
      </c>
      <c r="L17" s="11">
        <f t="shared" si="0"/>
        <v>6</v>
      </c>
      <c r="M17" s="10">
        <f t="shared" si="1"/>
        <v>1.2</v>
      </c>
      <c r="N17" s="10">
        <f t="shared" si="2"/>
        <v>0</v>
      </c>
      <c r="O17" s="10">
        <v>0</v>
      </c>
      <c r="P17" s="10">
        <f t="shared" si="3"/>
        <v>7.2</v>
      </c>
      <c r="Q17" s="17">
        <v>14.000201612903211</v>
      </c>
      <c r="R17" s="18">
        <f t="shared" si="4"/>
        <v>21.200201612903211</v>
      </c>
      <c r="S17" s="19">
        <f t="shared" si="5"/>
        <v>6.25</v>
      </c>
      <c r="T17" s="20">
        <f t="shared" si="6"/>
        <v>14.950201612903211</v>
      </c>
      <c r="U17" s="4"/>
      <c r="V17" s="4"/>
      <c r="W17" s="4"/>
      <c r="X17" s="1" t="s">
        <v>36</v>
      </c>
      <c r="Y17" s="37">
        <v>13</v>
      </c>
      <c r="Z17" s="1"/>
      <c r="AA17" s="1"/>
      <c r="AB17" s="1"/>
      <c r="AC17" s="1"/>
    </row>
    <row r="18" spans="1:29" s="2" customFormat="1" ht="20.399999999999999">
      <c r="A18" s="9">
        <v>1</v>
      </c>
      <c r="B18" s="8">
        <v>229</v>
      </c>
      <c r="C18" s="8">
        <v>1598972736</v>
      </c>
      <c r="D18" s="42" t="s">
        <v>110</v>
      </c>
      <c r="E18" s="42"/>
      <c r="F18" s="10">
        <v>0</v>
      </c>
      <c r="G18" s="10">
        <v>0</v>
      </c>
      <c r="H18" s="50">
        <v>0</v>
      </c>
      <c r="I18" s="50">
        <v>0</v>
      </c>
      <c r="J18" s="50">
        <v>0</v>
      </c>
      <c r="K18" s="39" t="s">
        <v>30</v>
      </c>
      <c r="L18" s="11">
        <f t="shared" si="0"/>
        <v>0</v>
      </c>
      <c r="M18" s="10">
        <f t="shared" si="1"/>
        <v>0</v>
      </c>
      <c r="N18" s="10">
        <f t="shared" si="2"/>
        <v>0</v>
      </c>
      <c r="O18" s="10">
        <v>0</v>
      </c>
      <c r="P18" s="10">
        <f t="shared" si="3"/>
        <v>0</v>
      </c>
      <c r="Q18" s="17">
        <v>21.197089552238797</v>
      </c>
      <c r="R18" s="18">
        <f t="shared" si="4"/>
        <v>21.197089552238797</v>
      </c>
      <c r="S18" s="19">
        <f t="shared" si="5"/>
        <v>0</v>
      </c>
      <c r="T18" s="20">
        <f t="shared" si="6"/>
        <v>21.197089552238797</v>
      </c>
      <c r="U18" s="4"/>
      <c r="V18" s="4"/>
      <c r="W18" s="4"/>
      <c r="X18" s="51" t="s">
        <v>103</v>
      </c>
      <c r="Y18" s="37">
        <v>0.4</v>
      </c>
      <c r="Z18" s="1"/>
      <c r="AA18" s="1"/>
      <c r="AB18" s="1"/>
      <c r="AC18" s="1"/>
    </row>
    <row r="19" spans="1:29" s="2" customFormat="1" ht="17.399999999999999">
      <c r="A19" s="9">
        <v>1</v>
      </c>
      <c r="B19" s="8">
        <v>196</v>
      </c>
      <c r="C19" s="8">
        <v>1065641844</v>
      </c>
      <c r="D19" s="42" t="s">
        <v>74</v>
      </c>
      <c r="E19" s="47"/>
      <c r="F19" s="10">
        <v>0</v>
      </c>
      <c r="G19" s="10">
        <v>0</v>
      </c>
      <c r="H19" s="50">
        <v>0</v>
      </c>
      <c r="I19" s="50">
        <v>0</v>
      </c>
      <c r="J19" s="50">
        <v>0</v>
      </c>
      <c r="K19" s="39" t="s">
        <v>30</v>
      </c>
      <c r="L19" s="11">
        <f t="shared" si="0"/>
        <v>0</v>
      </c>
      <c r="M19" s="10">
        <f t="shared" si="1"/>
        <v>0</v>
      </c>
      <c r="N19" s="10">
        <f t="shared" si="2"/>
        <v>0</v>
      </c>
      <c r="O19" s="10">
        <v>0</v>
      </c>
      <c r="P19" s="10">
        <f t="shared" si="3"/>
        <v>0</v>
      </c>
      <c r="Q19" s="17">
        <v>21.062499999999993</v>
      </c>
      <c r="R19" s="18">
        <f t="shared" si="4"/>
        <v>21.062499999999993</v>
      </c>
      <c r="S19" s="19">
        <f t="shared" si="5"/>
        <v>0</v>
      </c>
      <c r="T19" s="20">
        <f t="shared" si="6"/>
        <v>21.062499999999993</v>
      </c>
      <c r="U19" s="4"/>
      <c r="V19" s="4"/>
      <c r="W19" s="4"/>
      <c r="X19" s="1"/>
      <c r="Y19" s="1"/>
      <c r="Z19" s="1"/>
      <c r="AA19" s="1"/>
      <c r="AB19" s="1"/>
      <c r="AC19" s="1"/>
    </row>
    <row r="20" spans="1:29" s="2" customFormat="1" ht="17.399999999999999">
      <c r="A20" s="9">
        <v>1</v>
      </c>
      <c r="B20" s="8">
        <v>156</v>
      </c>
      <c r="C20" s="8">
        <v>1744610165</v>
      </c>
      <c r="D20" s="42" t="s">
        <v>135</v>
      </c>
      <c r="E20" s="42" t="s">
        <v>64</v>
      </c>
      <c r="F20" s="10">
        <v>4</v>
      </c>
      <c r="G20" s="10">
        <v>1</v>
      </c>
      <c r="H20" s="50">
        <v>0</v>
      </c>
      <c r="I20" s="50">
        <v>0</v>
      </c>
      <c r="J20" s="50">
        <v>0</v>
      </c>
      <c r="K20" s="13" t="s">
        <v>52</v>
      </c>
      <c r="L20" s="11">
        <f t="shared" si="0"/>
        <v>6</v>
      </c>
      <c r="M20" s="10">
        <f t="shared" si="1"/>
        <v>1.2</v>
      </c>
      <c r="N20" s="10">
        <f t="shared" si="2"/>
        <v>0</v>
      </c>
      <c r="O20" s="10">
        <v>0</v>
      </c>
      <c r="P20" s="10">
        <f t="shared" si="3"/>
        <v>7.2</v>
      </c>
      <c r="Q20" s="17">
        <v>12.686266129032241</v>
      </c>
      <c r="R20" s="18">
        <f t="shared" si="4"/>
        <v>19.88626612903224</v>
      </c>
      <c r="S20" s="19">
        <f t="shared" si="5"/>
        <v>6.25</v>
      </c>
      <c r="T20" s="20">
        <f t="shared" si="6"/>
        <v>13.63626612903224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7.399999999999999">
      <c r="A21" s="9">
        <v>1</v>
      </c>
      <c r="B21" s="8">
        <v>185</v>
      </c>
      <c r="C21" s="8">
        <v>30705222</v>
      </c>
      <c r="D21" s="42" t="s">
        <v>68</v>
      </c>
      <c r="E21" s="47"/>
      <c r="F21" s="10">
        <v>4</v>
      </c>
      <c r="G21" s="10">
        <v>1</v>
      </c>
      <c r="H21" s="50">
        <v>0</v>
      </c>
      <c r="I21" s="50">
        <v>0</v>
      </c>
      <c r="J21" s="50">
        <v>0</v>
      </c>
      <c r="K21" s="13" t="s">
        <v>52</v>
      </c>
      <c r="L21" s="11">
        <f t="shared" si="0"/>
        <v>6</v>
      </c>
      <c r="M21" s="10">
        <f t="shared" si="1"/>
        <v>1.2</v>
      </c>
      <c r="N21" s="10">
        <f t="shared" si="2"/>
        <v>0</v>
      </c>
      <c r="O21" s="10">
        <v>0</v>
      </c>
      <c r="P21" s="10">
        <f t="shared" si="3"/>
        <v>7.2</v>
      </c>
      <c r="Q21" s="17">
        <v>12.581249999999997</v>
      </c>
      <c r="R21" s="18">
        <f t="shared" si="4"/>
        <v>19.781249999999996</v>
      </c>
      <c r="S21" s="19">
        <f t="shared" si="5"/>
        <v>6.25</v>
      </c>
      <c r="T21" s="20">
        <f t="shared" si="6"/>
        <v>13.531249999999996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7.399999999999999">
      <c r="A22" s="9">
        <v>1</v>
      </c>
      <c r="B22" s="8">
        <v>182</v>
      </c>
      <c r="C22" s="8">
        <v>828260319</v>
      </c>
      <c r="D22" s="42" t="s">
        <v>134</v>
      </c>
      <c r="E22" s="42" t="s">
        <v>127</v>
      </c>
      <c r="F22" s="10">
        <v>4</v>
      </c>
      <c r="G22" s="10">
        <v>1</v>
      </c>
      <c r="H22" s="50">
        <v>0</v>
      </c>
      <c r="I22" s="50">
        <v>0</v>
      </c>
      <c r="J22" s="50">
        <v>0</v>
      </c>
      <c r="K22" s="14" t="s">
        <v>53</v>
      </c>
      <c r="L22" s="11">
        <f t="shared" si="0"/>
        <v>6</v>
      </c>
      <c r="M22" s="10">
        <f t="shared" si="1"/>
        <v>1.2</v>
      </c>
      <c r="N22" s="10">
        <f t="shared" si="2"/>
        <v>0</v>
      </c>
      <c r="O22" s="10">
        <v>0</v>
      </c>
      <c r="P22" s="10">
        <f t="shared" si="3"/>
        <v>7.2</v>
      </c>
      <c r="Q22" s="17">
        <v>12.469250000000017</v>
      </c>
      <c r="R22" s="18">
        <f t="shared" si="4"/>
        <v>19.669250000000016</v>
      </c>
      <c r="S22" s="19">
        <f t="shared" si="5"/>
        <v>8.125</v>
      </c>
      <c r="T22" s="20">
        <f t="shared" si="6"/>
        <v>11.544250000000016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20.399999999999999">
      <c r="A23" s="9">
        <v>1</v>
      </c>
      <c r="B23" s="9">
        <v>49</v>
      </c>
      <c r="C23" s="8">
        <v>311361673</v>
      </c>
      <c r="D23" s="43" t="s">
        <v>105</v>
      </c>
      <c r="E23" s="49" t="s">
        <v>11</v>
      </c>
      <c r="F23" s="10">
        <v>4</v>
      </c>
      <c r="G23" s="10">
        <v>1</v>
      </c>
      <c r="H23" s="50">
        <v>0</v>
      </c>
      <c r="I23" s="50">
        <v>0</v>
      </c>
      <c r="J23" s="50">
        <v>0</v>
      </c>
      <c r="K23" s="14" t="s">
        <v>53</v>
      </c>
      <c r="L23" s="11">
        <f t="shared" si="0"/>
        <v>6</v>
      </c>
      <c r="M23" s="10">
        <f>IF(G23&gt;0,1,0)*$Y$14</f>
        <v>1.2</v>
      </c>
      <c r="N23" s="10">
        <f t="shared" si="2"/>
        <v>0</v>
      </c>
      <c r="O23" s="10">
        <v>0</v>
      </c>
      <c r="P23" s="10">
        <f t="shared" si="3"/>
        <v>7.2</v>
      </c>
      <c r="Q23" s="17">
        <v>12.218749999999993</v>
      </c>
      <c r="R23" s="18">
        <f t="shared" si="4"/>
        <v>19.418749999999992</v>
      </c>
      <c r="S23" s="19">
        <f t="shared" si="5"/>
        <v>8.125</v>
      </c>
      <c r="T23" s="20">
        <f t="shared" si="6"/>
        <v>11.293749999999992</v>
      </c>
      <c r="U23" s="11"/>
      <c r="V23" s="11"/>
      <c r="W23" s="11"/>
    </row>
    <row r="24" spans="1:29" s="1" customFormat="1" ht="17.399999999999999">
      <c r="A24" s="9">
        <v>1</v>
      </c>
      <c r="B24" s="8">
        <v>202</v>
      </c>
      <c r="C24" s="8">
        <v>471245585</v>
      </c>
      <c r="D24" s="42" t="s">
        <v>77</v>
      </c>
      <c r="E24" s="47"/>
      <c r="F24" s="10">
        <v>4</v>
      </c>
      <c r="G24" s="10">
        <v>1</v>
      </c>
      <c r="H24" s="50">
        <v>0</v>
      </c>
      <c r="I24" s="50">
        <v>0</v>
      </c>
      <c r="J24" s="50">
        <v>0</v>
      </c>
      <c r="K24" s="14" t="s">
        <v>53</v>
      </c>
      <c r="L24" s="11">
        <f t="shared" si="0"/>
        <v>6</v>
      </c>
      <c r="M24" s="10">
        <f t="shared" ref="M24:M70" si="7">G24*$Y$14</f>
        <v>1.2</v>
      </c>
      <c r="N24" s="10">
        <f t="shared" si="2"/>
        <v>0</v>
      </c>
      <c r="O24" s="10">
        <v>0</v>
      </c>
      <c r="P24" s="10">
        <f t="shared" si="3"/>
        <v>7.2</v>
      </c>
      <c r="Q24" s="17">
        <v>12.099999999999987</v>
      </c>
      <c r="R24" s="18">
        <f t="shared" si="4"/>
        <v>19.299999999999986</v>
      </c>
      <c r="S24" s="19">
        <f t="shared" si="5"/>
        <v>8.125</v>
      </c>
      <c r="T24" s="20">
        <f t="shared" si="6"/>
        <v>11.174999999999986</v>
      </c>
      <c r="U24" s="4"/>
      <c r="V24" s="4"/>
      <c r="W24" s="4"/>
    </row>
    <row r="25" spans="1:29" s="1" customFormat="1" ht="17.399999999999999">
      <c r="A25" s="9">
        <v>1</v>
      </c>
      <c r="B25" s="8">
        <v>238</v>
      </c>
      <c r="C25" s="8">
        <v>108179057</v>
      </c>
      <c r="D25" s="42" t="s">
        <v>120</v>
      </c>
      <c r="E25" s="4"/>
      <c r="F25" s="10">
        <v>4</v>
      </c>
      <c r="G25" s="10">
        <v>1</v>
      </c>
      <c r="H25" s="50">
        <v>0</v>
      </c>
      <c r="I25" s="50">
        <v>0</v>
      </c>
      <c r="J25" s="50">
        <v>0</v>
      </c>
      <c r="K25" s="14" t="s">
        <v>53</v>
      </c>
      <c r="L25" s="11">
        <f t="shared" si="0"/>
        <v>6</v>
      </c>
      <c r="M25" s="10">
        <f t="shared" si="7"/>
        <v>1.2</v>
      </c>
      <c r="N25" s="10">
        <f t="shared" si="2"/>
        <v>0</v>
      </c>
      <c r="O25" s="10">
        <v>0</v>
      </c>
      <c r="P25" s="10">
        <f t="shared" si="3"/>
        <v>7.2</v>
      </c>
      <c r="Q25" s="17">
        <v>11.949999999999985</v>
      </c>
      <c r="R25" s="18">
        <f t="shared" si="4"/>
        <v>19.149999999999984</v>
      </c>
      <c r="S25" s="19">
        <f t="shared" si="5"/>
        <v>8.125</v>
      </c>
      <c r="T25" s="20">
        <f t="shared" si="6"/>
        <v>11.024999999999984</v>
      </c>
      <c r="U25" s="4"/>
      <c r="V25" s="4"/>
      <c r="W25" s="4"/>
    </row>
    <row r="26" spans="1:29" s="1" customFormat="1" ht="18.75" customHeight="1">
      <c r="A26" s="9">
        <v>1</v>
      </c>
      <c r="B26" s="8">
        <v>128</v>
      </c>
      <c r="C26" s="8">
        <v>1214614935</v>
      </c>
      <c r="D26" s="42" t="s">
        <v>62</v>
      </c>
      <c r="E26" s="49" t="s">
        <v>43</v>
      </c>
      <c r="F26" s="10">
        <v>4</v>
      </c>
      <c r="G26" s="10">
        <v>1</v>
      </c>
      <c r="H26" s="50">
        <v>0</v>
      </c>
      <c r="I26" s="50">
        <v>0</v>
      </c>
      <c r="J26" s="50">
        <v>0</v>
      </c>
      <c r="K26" s="14" t="s">
        <v>53</v>
      </c>
      <c r="L26" s="11">
        <f t="shared" si="0"/>
        <v>6</v>
      </c>
      <c r="M26" s="10">
        <f t="shared" si="7"/>
        <v>1.2</v>
      </c>
      <c r="N26" s="10">
        <f t="shared" si="2"/>
        <v>0</v>
      </c>
      <c r="O26" s="10">
        <v>0</v>
      </c>
      <c r="P26" s="10">
        <f t="shared" si="3"/>
        <v>7.2</v>
      </c>
      <c r="Q26" s="17">
        <v>11.811999999999991</v>
      </c>
      <c r="R26" s="18">
        <f t="shared" si="4"/>
        <v>19.01199999999999</v>
      </c>
      <c r="S26" s="19">
        <f t="shared" si="5"/>
        <v>8.125</v>
      </c>
      <c r="T26" s="20">
        <f t="shared" si="6"/>
        <v>10.88699999999999</v>
      </c>
      <c r="U26" s="11"/>
      <c r="V26" s="11"/>
      <c r="W26" s="31"/>
    </row>
    <row r="27" spans="1:29" s="1" customFormat="1" ht="17.399999999999999">
      <c r="A27" s="9">
        <v>1</v>
      </c>
      <c r="B27" s="9">
        <v>46</v>
      </c>
      <c r="C27" s="8">
        <v>2109182835</v>
      </c>
      <c r="D27" s="42" t="s">
        <v>59</v>
      </c>
      <c r="E27" s="42" t="s">
        <v>10</v>
      </c>
      <c r="F27" s="10">
        <v>2</v>
      </c>
      <c r="G27" s="10">
        <v>1</v>
      </c>
      <c r="H27" s="50">
        <v>0</v>
      </c>
      <c r="I27" s="50">
        <v>0</v>
      </c>
      <c r="J27" s="50">
        <v>0</v>
      </c>
      <c r="K27" s="14" t="s">
        <v>53</v>
      </c>
      <c r="L27" s="11">
        <f t="shared" si="0"/>
        <v>2</v>
      </c>
      <c r="M27" s="10">
        <f t="shared" si="7"/>
        <v>1.2</v>
      </c>
      <c r="N27" s="10">
        <f t="shared" si="2"/>
        <v>0</v>
      </c>
      <c r="O27" s="10">
        <v>0</v>
      </c>
      <c r="P27" s="10">
        <f t="shared" si="3"/>
        <v>3.2</v>
      </c>
      <c r="Q27" s="17">
        <v>15.705000000000013</v>
      </c>
      <c r="R27" s="18">
        <f t="shared" si="4"/>
        <v>18.905000000000012</v>
      </c>
      <c r="S27" s="19">
        <f t="shared" si="5"/>
        <v>8.125</v>
      </c>
      <c r="T27" s="20">
        <f t="shared" si="6"/>
        <v>10.780000000000012</v>
      </c>
      <c r="U27" s="11"/>
      <c r="V27" s="11"/>
      <c r="W27" s="11"/>
    </row>
    <row r="28" spans="1:29" s="1" customFormat="1" ht="17.399999999999999">
      <c r="A28" s="9">
        <v>1</v>
      </c>
      <c r="B28" s="8">
        <v>224</v>
      </c>
      <c r="C28" s="8">
        <v>862562360</v>
      </c>
      <c r="D28" s="42" t="s">
        <v>129</v>
      </c>
      <c r="E28" s="42" t="s">
        <v>106</v>
      </c>
      <c r="F28" s="10">
        <v>0</v>
      </c>
      <c r="G28" s="10">
        <v>0</v>
      </c>
      <c r="H28" s="50">
        <v>0</v>
      </c>
      <c r="I28" s="50">
        <v>0</v>
      </c>
      <c r="J28" s="50">
        <v>0</v>
      </c>
      <c r="K28" s="39" t="s">
        <v>30</v>
      </c>
      <c r="L28" s="11">
        <f t="shared" si="0"/>
        <v>0</v>
      </c>
      <c r="M28" s="10">
        <f t="shared" si="7"/>
        <v>0</v>
      </c>
      <c r="N28" s="10">
        <f t="shared" si="2"/>
        <v>0</v>
      </c>
      <c r="O28" s="10">
        <v>0</v>
      </c>
      <c r="P28" s="10">
        <f t="shared" si="3"/>
        <v>0</v>
      </c>
      <c r="Q28" s="17">
        <v>18.860354477611939</v>
      </c>
      <c r="R28" s="18">
        <f t="shared" si="4"/>
        <v>18.860354477611939</v>
      </c>
      <c r="S28" s="19">
        <f t="shared" si="5"/>
        <v>0</v>
      </c>
      <c r="T28" s="20">
        <f t="shared" si="6"/>
        <v>18.860354477611939</v>
      </c>
      <c r="U28" s="4"/>
      <c r="V28" s="4"/>
      <c r="W28" s="4"/>
    </row>
    <row r="29" spans="1:29" s="2" customFormat="1" ht="17.399999999999999">
      <c r="A29" s="9">
        <v>1</v>
      </c>
      <c r="B29" s="8">
        <v>208</v>
      </c>
      <c r="C29" s="8">
        <v>92129464</v>
      </c>
      <c r="D29" s="42" t="s">
        <v>82</v>
      </c>
      <c r="E29" s="47"/>
      <c r="F29" s="10">
        <v>4</v>
      </c>
      <c r="G29" s="10">
        <v>1</v>
      </c>
      <c r="H29" s="50">
        <v>0</v>
      </c>
      <c r="I29" s="50">
        <v>0</v>
      </c>
      <c r="J29" s="50">
        <v>0</v>
      </c>
      <c r="K29" s="14" t="s">
        <v>53</v>
      </c>
      <c r="L29" s="11">
        <f t="shared" si="0"/>
        <v>6</v>
      </c>
      <c r="M29" s="10">
        <f t="shared" si="7"/>
        <v>1.2</v>
      </c>
      <c r="N29" s="10">
        <f t="shared" si="2"/>
        <v>0</v>
      </c>
      <c r="O29" s="10">
        <v>0</v>
      </c>
      <c r="P29" s="10">
        <f t="shared" si="3"/>
        <v>7.2</v>
      </c>
      <c r="Q29" s="17">
        <v>11.537499999999994</v>
      </c>
      <c r="R29" s="18">
        <f t="shared" si="4"/>
        <v>18.737499999999994</v>
      </c>
      <c r="S29" s="19">
        <f t="shared" si="5"/>
        <v>8.125</v>
      </c>
      <c r="T29" s="20">
        <f t="shared" si="6"/>
        <v>10.612499999999994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7.399999999999999">
      <c r="A30" s="9">
        <v>1</v>
      </c>
      <c r="B30" s="8">
        <v>236</v>
      </c>
      <c r="C30" s="8">
        <v>1968448898</v>
      </c>
      <c r="D30" s="42" t="s">
        <v>118</v>
      </c>
      <c r="E30" s="4"/>
      <c r="F30" s="10">
        <v>3</v>
      </c>
      <c r="G30" s="10">
        <v>1</v>
      </c>
      <c r="H30" s="50">
        <v>0</v>
      </c>
      <c r="I30" s="50">
        <v>0</v>
      </c>
      <c r="J30" s="50">
        <v>0</v>
      </c>
      <c r="K30" s="14" t="s">
        <v>53</v>
      </c>
      <c r="L30" s="11">
        <f t="shared" si="0"/>
        <v>4</v>
      </c>
      <c r="M30" s="10">
        <f t="shared" si="7"/>
        <v>1.2</v>
      </c>
      <c r="N30" s="10">
        <f t="shared" si="2"/>
        <v>0</v>
      </c>
      <c r="O30" s="10">
        <v>0</v>
      </c>
      <c r="P30" s="10">
        <f t="shared" si="3"/>
        <v>5.2</v>
      </c>
      <c r="Q30" s="17">
        <v>13.506249999999987</v>
      </c>
      <c r="R30" s="18">
        <f t="shared" si="4"/>
        <v>18.706249999999986</v>
      </c>
      <c r="S30" s="19">
        <f t="shared" si="5"/>
        <v>8.125</v>
      </c>
      <c r="T30" s="20">
        <f t="shared" si="6"/>
        <v>10.581249999999986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20.399999999999999">
      <c r="A31" s="9">
        <v>1</v>
      </c>
      <c r="B31" s="8">
        <v>221</v>
      </c>
      <c r="C31" s="8">
        <v>790956883</v>
      </c>
      <c r="D31" s="42" t="s">
        <v>96</v>
      </c>
      <c r="E31" s="42" t="s">
        <v>95</v>
      </c>
      <c r="F31" s="10">
        <v>4</v>
      </c>
      <c r="G31" s="10">
        <v>1</v>
      </c>
      <c r="H31" s="50">
        <v>0</v>
      </c>
      <c r="I31" s="50">
        <v>0</v>
      </c>
      <c r="J31" s="50">
        <v>0</v>
      </c>
      <c r="K31" s="14" t="s">
        <v>53</v>
      </c>
      <c r="L31" s="11">
        <f t="shared" si="0"/>
        <v>6</v>
      </c>
      <c r="M31" s="10">
        <f t="shared" si="7"/>
        <v>1.2</v>
      </c>
      <c r="N31" s="10">
        <f t="shared" si="2"/>
        <v>0</v>
      </c>
      <c r="O31" s="10">
        <v>0</v>
      </c>
      <c r="P31" s="10">
        <f t="shared" si="3"/>
        <v>7.2</v>
      </c>
      <c r="Q31" s="17">
        <v>11.493749999999991</v>
      </c>
      <c r="R31" s="18">
        <f t="shared" si="4"/>
        <v>18.693749999999991</v>
      </c>
      <c r="S31" s="19">
        <f t="shared" si="5"/>
        <v>8.125</v>
      </c>
      <c r="T31" s="20">
        <f t="shared" si="6"/>
        <v>10.568749999999991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7.399999999999999">
      <c r="A32" s="9">
        <v>1</v>
      </c>
      <c r="B32" s="8">
        <v>172</v>
      </c>
      <c r="C32" s="8">
        <v>724061220</v>
      </c>
      <c r="D32" s="42" t="s">
        <v>65</v>
      </c>
      <c r="E32" s="42" t="s">
        <v>50</v>
      </c>
      <c r="F32" s="10">
        <v>4</v>
      </c>
      <c r="G32" s="10">
        <v>0</v>
      </c>
      <c r="H32" s="50">
        <v>0</v>
      </c>
      <c r="I32" s="50">
        <v>0</v>
      </c>
      <c r="J32" s="50">
        <v>0</v>
      </c>
      <c r="K32" s="14" t="s">
        <v>53</v>
      </c>
      <c r="L32" s="11">
        <f t="shared" si="0"/>
        <v>6</v>
      </c>
      <c r="M32" s="10">
        <f t="shared" si="7"/>
        <v>0</v>
      </c>
      <c r="N32" s="10">
        <f t="shared" si="2"/>
        <v>0</v>
      </c>
      <c r="O32" s="10">
        <v>0</v>
      </c>
      <c r="P32" s="10">
        <f t="shared" si="3"/>
        <v>6</v>
      </c>
      <c r="Q32" s="17">
        <v>12.643749999999997</v>
      </c>
      <c r="R32" s="18">
        <f t="shared" si="4"/>
        <v>18.643749999999997</v>
      </c>
      <c r="S32" s="19">
        <f t="shared" si="5"/>
        <v>8.125</v>
      </c>
      <c r="T32" s="20">
        <f t="shared" si="6"/>
        <v>10.518749999999997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7.399999999999999">
      <c r="A33" s="9">
        <v>1</v>
      </c>
      <c r="B33" s="8">
        <v>226</v>
      </c>
      <c r="C33" s="8">
        <v>1238792963</v>
      </c>
      <c r="D33" s="42" t="s">
        <v>108</v>
      </c>
      <c r="E33" s="42"/>
      <c r="F33" s="10">
        <v>0</v>
      </c>
      <c r="G33" s="10">
        <v>0</v>
      </c>
      <c r="H33" s="50">
        <v>0</v>
      </c>
      <c r="I33" s="50">
        <v>0</v>
      </c>
      <c r="J33" s="50">
        <v>0</v>
      </c>
      <c r="K33" s="39" t="s">
        <v>30</v>
      </c>
      <c r="L33" s="11">
        <f t="shared" si="0"/>
        <v>0</v>
      </c>
      <c r="M33" s="10">
        <f t="shared" si="7"/>
        <v>0</v>
      </c>
      <c r="N33" s="10">
        <f t="shared" si="2"/>
        <v>0</v>
      </c>
      <c r="O33" s="10">
        <v>0</v>
      </c>
      <c r="P33" s="10">
        <f t="shared" si="3"/>
        <v>0</v>
      </c>
      <c r="Q33" s="17">
        <v>18.368749999999999</v>
      </c>
      <c r="R33" s="18">
        <f t="shared" si="4"/>
        <v>18.368749999999999</v>
      </c>
      <c r="S33" s="19">
        <f t="shared" si="5"/>
        <v>0</v>
      </c>
      <c r="T33" s="20">
        <f t="shared" si="6"/>
        <v>18.368749999999999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7.399999999999999">
      <c r="A34" s="9">
        <v>1</v>
      </c>
      <c r="B34" s="8">
        <v>212</v>
      </c>
      <c r="C34" s="8">
        <v>2133045883</v>
      </c>
      <c r="D34" s="42" t="s">
        <v>137</v>
      </c>
      <c r="E34" s="42" t="s">
        <v>84</v>
      </c>
      <c r="F34" s="10">
        <v>3</v>
      </c>
      <c r="G34" s="10">
        <v>1</v>
      </c>
      <c r="H34" s="50">
        <v>0</v>
      </c>
      <c r="I34" s="50">
        <v>0</v>
      </c>
      <c r="J34" s="50">
        <v>0</v>
      </c>
      <c r="K34" s="14" t="s">
        <v>53</v>
      </c>
      <c r="L34" s="11">
        <f t="shared" si="0"/>
        <v>4</v>
      </c>
      <c r="M34" s="10">
        <f t="shared" si="7"/>
        <v>1.2</v>
      </c>
      <c r="N34" s="10">
        <f t="shared" si="2"/>
        <v>0</v>
      </c>
      <c r="O34" s="10">
        <v>0</v>
      </c>
      <c r="P34" s="10">
        <f t="shared" si="3"/>
        <v>5.2</v>
      </c>
      <c r="Q34" s="17">
        <v>13.031249999999982</v>
      </c>
      <c r="R34" s="18">
        <f t="shared" si="4"/>
        <v>18.231249999999982</v>
      </c>
      <c r="S34" s="19">
        <f t="shared" si="5"/>
        <v>8.125</v>
      </c>
      <c r="T34" s="20">
        <f t="shared" si="6"/>
        <v>10.106249999999982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7.399999999999999">
      <c r="A35" s="9">
        <v>1</v>
      </c>
      <c r="B35" s="8">
        <v>198</v>
      </c>
      <c r="C35" s="8">
        <v>723448640</v>
      </c>
      <c r="D35" s="42" t="s">
        <v>75</v>
      </c>
      <c r="E35" s="47"/>
      <c r="F35" s="10">
        <v>0</v>
      </c>
      <c r="G35" s="10">
        <v>0</v>
      </c>
      <c r="H35" s="50">
        <v>0</v>
      </c>
      <c r="I35" s="50">
        <v>0</v>
      </c>
      <c r="J35" s="50">
        <v>0</v>
      </c>
      <c r="K35" s="39" t="s">
        <v>30</v>
      </c>
      <c r="L35" s="11">
        <f t="shared" si="0"/>
        <v>0</v>
      </c>
      <c r="M35" s="10">
        <f t="shared" si="7"/>
        <v>0</v>
      </c>
      <c r="N35" s="10">
        <f t="shared" si="2"/>
        <v>0</v>
      </c>
      <c r="O35" s="10">
        <v>0</v>
      </c>
      <c r="P35" s="10">
        <f t="shared" si="3"/>
        <v>0</v>
      </c>
      <c r="Q35" s="17">
        <v>18.01874999999999</v>
      </c>
      <c r="R35" s="18">
        <f t="shared" si="4"/>
        <v>18.01874999999999</v>
      </c>
      <c r="S35" s="19">
        <f t="shared" si="5"/>
        <v>0</v>
      </c>
      <c r="T35" s="20">
        <f t="shared" si="6"/>
        <v>18.01874999999999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7.399999999999999">
      <c r="A36" s="9">
        <v>1</v>
      </c>
      <c r="B36" s="9">
        <v>10</v>
      </c>
      <c r="C36" s="8">
        <v>2108977014</v>
      </c>
      <c r="D36" s="42" t="s">
        <v>57</v>
      </c>
      <c r="E36" s="42" t="s">
        <v>8</v>
      </c>
      <c r="F36" s="10">
        <v>4</v>
      </c>
      <c r="G36" s="10">
        <v>1</v>
      </c>
      <c r="H36" s="50">
        <v>0</v>
      </c>
      <c r="I36" s="50">
        <v>0</v>
      </c>
      <c r="J36" s="50">
        <v>0</v>
      </c>
      <c r="K36" s="14" t="s">
        <v>53</v>
      </c>
      <c r="L36" s="11">
        <f t="shared" si="0"/>
        <v>6</v>
      </c>
      <c r="M36" s="10">
        <f t="shared" si="7"/>
        <v>1.2</v>
      </c>
      <c r="N36" s="10">
        <f t="shared" si="2"/>
        <v>0</v>
      </c>
      <c r="O36" s="10">
        <v>0</v>
      </c>
      <c r="P36" s="10">
        <f t="shared" si="3"/>
        <v>7.2</v>
      </c>
      <c r="Q36" s="17">
        <v>10.687500000000011</v>
      </c>
      <c r="R36" s="18">
        <f t="shared" si="4"/>
        <v>17.88750000000001</v>
      </c>
      <c r="S36" s="19">
        <f t="shared" si="5"/>
        <v>8.125</v>
      </c>
      <c r="T36" s="20">
        <f t="shared" si="6"/>
        <v>9.7625000000000099</v>
      </c>
      <c r="U36" s="11"/>
      <c r="V36" s="11"/>
      <c r="W36" s="11"/>
      <c r="X36" s="1"/>
      <c r="Y36" s="1"/>
      <c r="Z36" s="1"/>
      <c r="AA36" s="1"/>
      <c r="AB36" s="1"/>
      <c r="AC36" s="1"/>
    </row>
    <row r="37" spans="1:29" s="1" customFormat="1" ht="17.399999999999999">
      <c r="A37" s="9">
        <v>1</v>
      </c>
      <c r="B37" s="8">
        <v>193</v>
      </c>
      <c r="C37" s="8">
        <v>2125731287</v>
      </c>
      <c r="D37" s="42" t="s">
        <v>72</v>
      </c>
      <c r="E37" s="47"/>
      <c r="F37" s="10">
        <v>0</v>
      </c>
      <c r="G37" s="10">
        <v>0</v>
      </c>
      <c r="H37" s="50">
        <v>0</v>
      </c>
      <c r="I37" s="50">
        <v>0</v>
      </c>
      <c r="J37" s="50">
        <v>0</v>
      </c>
      <c r="K37" s="39" t="s">
        <v>30</v>
      </c>
      <c r="L37" s="11">
        <f t="shared" ref="L37:L70" si="8">F37+IF(F37&gt;2,(F37-2)*1,0)</f>
        <v>0</v>
      </c>
      <c r="M37" s="10">
        <f t="shared" si="7"/>
        <v>0</v>
      </c>
      <c r="N37" s="10">
        <f t="shared" ref="N37:N70" si="9">SUM(H37:J37)*$Y$18</f>
        <v>0</v>
      </c>
      <c r="O37" s="10">
        <v>0</v>
      </c>
      <c r="P37" s="10">
        <f t="shared" ref="P37:P68" si="10">SUM(M37+L37+O37+N37)</f>
        <v>0</v>
      </c>
      <c r="Q37" s="17">
        <v>17.812499999999996</v>
      </c>
      <c r="R37" s="18">
        <f t="shared" ref="R37:R68" si="11">P37+Q37</f>
        <v>17.812499999999996</v>
      </c>
      <c r="S37" s="19">
        <f t="shared" ref="S37:S70" si="12">VLOOKUP(K37,$X$3:$Y$10,2,FALSE)</f>
        <v>0</v>
      </c>
      <c r="T37" s="20">
        <f t="shared" ref="T37:T68" si="13">R37-S37</f>
        <v>17.812499999999996</v>
      </c>
      <c r="U37" s="4"/>
      <c r="V37" s="4"/>
      <c r="W37" s="4"/>
    </row>
    <row r="38" spans="1:29" s="2" customFormat="1" ht="17.399999999999999">
      <c r="A38" s="9">
        <v>1</v>
      </c>
      <c r="B38" s="8">
        <v>234</v>
      </c>
      <c r="C38" s="8">
        <v>1333428907</v>
      </c>
      <c r="D38" s="42" t="s">
        <v>128</v>
      </c>
      <c r="E38" s="42" t="s">
        <v>115</v>
      </c>
      <c r="F38" s="10">
        <v>0</v>
      </c>
      <c r="G38" s="10">
        <v>0</v>
      </c>
      <c r="H38" s="50">
        <v>0</v>
      </c>
      <c r="I38" s="50">
        <v>0</v>
      </c>
      <c r="J38" s="50">
        <v>0</v>
      </c>
      <c r="K38" s="39" t="s">
        <v>30</v>
      </c>
      <c r="L38" s="11">
        <f t="shared" si="8"/>
        <v>0</v>
      </c>
      <c r="M38" s="10">
        <f t="shared" si="7"/>
        <v>0</v>
      </c>
      <c r="N38" s="10">
        <f t="shared" si="9"/>
        <v>0</v>
      </c>
      <c r="O38" s="10">
        <v>0</v>
      </c>
      <c r="P38" s="10">
        <f t="shared" si="10"/>
        <v>0</v>
      </c>
      <c r="Q38" s="17">
        <v>17.75</v>
      </c>
      <c r="R38" s="18">
        <f t="shared" si="11"/>
        <v>17.75</v>
      </c>
      <c r="S38" s="19">
        <f t="shared" si="12"/>
        <v>0</v>
      </c>
      <c r="T38" s="20">
        <f t="shared" si="13"/>
        <v>17.75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7.399999999999999">
      <c r="A39" s="9">
        <v>1</v>
      </c>
      <c r="B39" s="8">
        <v>209</v>
      </c>
      <c r="C39" s="8">
        <v>1525950050</v>
      </c>
      <c r="D39" s="42" t="s">
        <v>85</v>
      </c>
      <c r="E39" s="42" t="s">
        <v>83</v>
      </c>
      <c r="F39" s="10">
        <v>3</v>
      </c>
      <c r="G39" s="10">
        <v>0</v>
      </c>
      <c r="H39" s="50">
        <v>0</v>
      </c>
      <c r="I39" s="50">
        <v>0</v>
      </c>
      <c r="J39" s="50">
        <v>0</v>
      </c>
      <c r="K39" s="14" t="s">
        <v>53</v>
      </c>
      <c r="L39" s="11">
        <f t="shared" si="8"/>
        <v>4</v>
      </c>
      <c r="M39" s="10">
        <f t="shared" si="7"/>
        <v>0</v>
      </c>
      <c r="N39" s="10">
        <f t="shared" si="9"/>
        <v>0</v>
      </c>
      <c r="O39" s="10">
        <v>0</v>
      </c>
      <c r="P39" s="10">
        <f t="shared" si="10"/>
        <v>4</v>
      </c>
      <c r="Q39" s="17">
        <v>13.337499999999988</v>
      </c>
      <c r="R39" s="18">
        <f t="shared" si="11"/>
        <v>17.337499999999988</v>
      </c>
      <c r="S39" s="19">
        <f t="shared" si="12"/>
        <v>8.125</v>
      </c>
      <c r="T39" s="20">
        <f t="shared" si="13"/>
        <v>9.2124999999999879</v>
      </c>
      <c r="U39" s="4"/>
      <c r="V39" s="4"/>
      <c r="W39" s="4"/>
    </row>
    <row r="40" spans="1:29" ht="17.399999999999999">
      <c r="A40" s="9">
        <v>1</v>
      </c>
      <c r="B40" s="9">
        <v>26</v>
      </c>
      <c r="C40" s="8">
        <v>1754932067</v>
      </c>
      <c r="D40" s="42" t="s">
        <v>58</v>
      </c>
      <c r="E40" s="42" t="s">
        <v>9</v>
      </c>
      <c r="F40" s="10">
        <v>2</v>
      </c>
      <c r="G40" s="10">
        <v>1</v>
      </c>
      <c r="H40" s="50">
        <v>0</v>
      </c>
      <c r="I40" s="50">
        <v>0</v>
      </c>
      <c r="J40" s="50">
        <v>0</v>
      </c>
      <c r="K40" s="14" t="s">
        <v>53</v>
      </c>
      <c r="L40" s="11">
        <f t="shared" si="8"/>
        <v>2</v>
      </c>
      <c r="M40" s="10">
        <f t="shared" si="7"/>
        <v>1.2</v>
      </c>
      <c r="N40" s="10">
        <f t="shared" si="9"/>
        <v>0</v>
      </c>
      <c r="O40" s="10">
        <v>0</v>
      </c>
      <c r="P40" s="10">
        <f t="shared" si="10"/>
        <v>3.2</v>
      </c>
      <c r="Q40" s="17">
        <v>13.962499999999999</v>
      </c>
      <c r="R40" s="18">
        <f t="shared" si="11"/>
        <v>17.162499999999998</v>
      </c>
      <c r="S40" s="19">
        <f t="shared" si="12"/>
        <v>8.125</v>
      </c>
      <c r="T40" s="20">
        <f t="shared" si="13"/>
        <v>9.0374999999999979</v>
      </c>
      <c r="U40" s="11"/>
      <c r="V40" s="11"/>
      <c r="W40" s="11"/>
    </row>
    <row r="41" spans="1:29" ht="17.399999999999999">
      <c r="A41" s="9">
        <v>1</v>
      </c>
      <c r="B41" s="8">
        <v>116</v>
      </c>
      <c r="C41" s="8">
        <v>2122596917</v>
      </c>
      <c r="D41" s="42" t="s">
        <v>61</v>
      </c>
      <c r="E41" s="42" t="s">
        <v>37</v>
      </c>
      <c r="F41" s="10">
        <v>2</v>
      </c>
      <c r="G41" s="10">
        <v>1</v>
      </c>
      <c r="H41" s="50">
        <v>0</v>
      </c>
      <c r="I41" s="50">
        <v>0</v>
      </c>
      <c r="J41" s="50">
        <v>0</v>
      </c>
      <c r="K41" s="14" t="s">
        <v>53</v>
      </c>
      <c r="L41" s="11">
        <f t="shared" si="8"/>
        <v>2</v>
      </c>
      <c r="M41" s="10">
        <f t="shared" si="7"/>
        <v>1.2</v>
      </c>
      <c r="N41" s="10">
        <f t="shared" si="9"/>
        <v>0</v>
      </c>
      <c r="O41" s="10">
        <v>0</v>
      </c>
      <c r="P41" s="10">
        <f t="shared" si="10"/>
        <v>3.2</v>
      </c>
      <c r="Q41" s="17">
        <v>13.824999999999996</v>
      </c>
      <c r="R41" s="18">
        <f t="shared" si="11"/>
        <v>17.024999999999995</v>
      </c>
      <c r="S41" s="19">
        <f t="shared" si="12"/>
        <v>8.125</v>
      </c>
      <c r="T41" s="20">
        <f t="shared" si="13"/>
        <v>8.899999999999995</v>
      </c>
      <c r="U41" s="11"/>
      <c r="V41" s="11"/>
      <c r="W41" s="32"/>
    </row>
    <row r="42" spans="1:29" ht="20.399999999999999">
      <c r="A42" s="9">
        <v>1</v>
      </c>
      <c r="B42" s="8">
        <v>214</v>
      </c>
      <c r="C42" s="8">
        <v>2130976604</v>
      </c>
      <c r="D42" s="42" t="s">
        <v>86</v>
      </c>
      <c r="E42" s="2"/>
      <c r="F42" s="10">
        <v>0</v>
      </c>
      <c r="G42" s="10">
        <v>1</v>
      </c>
      <c r="H42" s="50">
        <v>0</v>
      </c>
      <c r="I42" s="50">
        <v>0</v>
      </c>
      <c r="J42" s="50">
        <v>0</v>
      </c>
      <c r="K42" s="39" t="s">
        <v>30</v>
      </c>
      <c r="L42" s="11">
        <f t="shared" si="8"/>
        <v>0</v>
      </c>
      <c r="M42" s="10">
        <f t="shared" si="7"/>
        <v>1.2</v>
      </c>
      <c r="N42" s="10">
        <f t="shared" si="9"/>
        <v>0</v>
      </c>
      <c r="O42" s="10">
        <v>0</v>
      </c>
      <c r="P42" s="10">
        <f t="shared" si="10"/>
        <v>1.2</v>
      </c>
      <c r="Q42" s="17">
        <v>15.737499999999983</v>
      </c>
      <c r="R42" s="18">
        <f t="shared" si="11"/>
        <v>16.937499999999982</v>
      </c>
      <c r="S42" s="19">
        <f t="shared" si="12"/>
        <v>0</v>
      </c>
      <c r="T42" s="20">
        <f t="shared" si="13"/>
        <v>16.937499999999982</v>
      </c>
      <c r="U42" s="4"/>
      <c r="V42" s="4"/>
      <c r="W42" s="4"/>
    </row>
    <row r="43" spans="1:29" ht="17.399999999999999">
      <c r="A43" s="9">
        <v>1</v>
      </c>
      <c r="B43" s="8">
        <v>242</v>
      </c>
      <c r="C43" s="8">
        <v>1381736232</v>
      </c>
      <c r="D43" s="42" t="s">
        <v>125</v>
      </c>
      <c r="F43" s="10">
        <v>3</v>
      </c>
      <c r="G43" s="10">
        <v>1</v>
      </c>
      <c r="H43" s="50">
        <v>0</v>
      </c>
      <c r="I43" s="50">
        <v>0</v>
      </c>
      <c r="J43" s="50">
        <v>0</v>
      </c>
      <c r="K43" s="14" t="s">
        <v>53</v>
      </c>
      <c r="L43" s="11">
        <f t="shared" si="8"/>
        <v>4</v>
      </c>
      <c r="M43" s="10">
        <f t="shared" si="7"/>
        <v>1.2</v>
      </c>
      <c r="N43" s="10">
        <f t="shared" si="9"/>
        <v>0</v>
      </c>
      <c r="O43" s="10">
        <v>0</v>
      </c>
      <c r="P43" s="10">
        <f t="shared" si="10"/>
        <v>5.2</v>
      </c>
      <c r="Q43" s="17">
        <v>11.293749999999989</v>
      </c>
      <c r="R43" s="18">
        <f t="shared" si="11"/>
        <v>16.493749999999988</v>
      </c>
      <c r="S43" s="19">
        <f t="shared" si="12"/>
        <v>8.125</v>
      </c>
      <c r="T43" s="20">
        <f t="shared" si="13"/>
        <v>8.3687499999999879</v>
      </c>
      <c r="U43" s="4"/>
      <c r="V43" s="4"/>
      <c r="W43" s="4"/>
    </row>
    <row r="44" spans="1:29" ht="17.399999999999999">
      <c r="A44" s="9">
        <v>1</v>
      </c>
      <c r="B44" s="8">
        <v>187</v>
      </c>
      <c r="C44" s="8">
        <v>1241038267</v>
      </c>
      <c r="D44" s="42" t="s">
        <v>69</v>
      </c>
      <c r="E44" s="47"/>
      <c r="F44" s="10">
        <v>0</v>
      </c>
      <c r="G44" s="10">
        <v>0</v>
      </c>
      <c r="H44" s="50">
        <v>0</v>
      </c>
      <c r="I44" s="50">
        <v>0</v>
      </c>
      <c r="J44" s="50">
        <v>0</v>
      </c>
      <c r="K44" s="39" t="s">
        <v>30</v>
      </c>
      <c r="L44" s="11">
        <f t="shared" si="8"/>
        <v>0</v>
      </c>
      <c r="M44" s="10">
        <f t="shared" si="7"/>
        <v>0</v>
      </c>
      <c r="N44" s="10">
        <f t="shared" si="9"/>
        <v>0</v>
      </c>
      <c r="O44" s="10">
        <v>0</v>
      </c>
      <c r="P44" s="10">
        <f t="shared" si="10"/>
        <v>0</v>
      </c>
      <c r="Q44" s="17">
        <v>16.318749999999987</v>
      </c>
      <c r="R44" s="18">
        <f t="shared" si="11"/>
        <v>16.318749999999987</v>
      </c>
      <c r="S44" s="19">
        <f t="shared" si="12"/>
        <v>0</v>
      </c>
      <c r="T44" s="20">
        <f t="shared" si="13"/>
        <v>16.318749999999987</v>
      </c>
      <c r="U44" s="4"/>
      <c r="V44" s="4"/>
      <c r="W44" s="4"/>
    </row>
    <row r="45" spans="1:29" ht="17.399999999999999">
      <c r="A45" s="9">
        <v>1</v>
      </c>
      <c r="B45" s="9">
        <v>230</v>
      </c>
      <c r="C45" s="8">
        <v>1076026693</v>
      </c>
      <c r="D45" s="42" t="s">
        <v>111</v>
      </c>
      <c r="F45" s="10">
        <v>2</v>
      </c>
      <c r="G45" s="10">
        <v>1</v>
      </c>
      <c r="H45" s="50">
        <v>0</v>
      </c>
      <c r="I45" s="50">
        <v>0</v>
      </c>
      <c r="J45" s="50">
        <v>0</v>
      </c>
      <c r="K45" s="14" t="s">
        <v>53</v>
      </c>
      <c r="L45" s="11">
        <f t="shared" si="8"/>
        <v>2</v>
      </c>
      <c r="M45" s="10">
        <f t="shared" si="7"/>
        <v>1.2</v>
      </c>
      <c r="N45" s="10">
        <f t="shared" si="9"/>
        <v>0</v>
      </c>
      <c r="O45" s="10">
        <v>0</v>
      </c>
      <c r="P45" s="10">
        <f t="shared" si="10"/>
        <v>3.2</v>
      </c>
      <c r="Q45" s="17">
        <v>12.999999999999993</v>
      </c>
      <c r="R45" s="18">
        <f t="shared" si="11"/>
        <v>16.199999999999992</v>
      </c>
      <c r="S45" s="19">
        <f t="shared" si="12"/>
        <v>8.125</v>
      </c>
      <c r="T45" s="20">
        <f t="shared" si="13"/>
        <v>8.0749999999999922</v>
      </c>
      <c r="U45" s="4"/>
      <c r="V45" s="4"/>
      <c r="W45" s="4"/>
    </row>
    <row r="46" spans="1:29" ht="17.399999999999999">
      <c r="A46" s="9">
        <v>1</v>
      </c>
      <c r="B46" s="8">
        <v>184</v>
      </c>
      <c r="C46" s="8">
        <v>1814130074</v>
      </c>
      <c r="D46" s="42" t="s">
        <v>67</v>
      </c>
      <c r="E46" s="47"/>
      <c r="F46" s="10">
        <v>3</v>
      </c>
      <c r="G46" s="10">
        <v>1</v>
      </c>
      <c r="H46" s="50">
        <v>0</v>
      </c>
      <c r="I46" s="50">
        <v>0</v>
      </c>
      <c r="J46" s="50">
        <v>0</v>
      </c>
      <c r="K46" s="14" t="s">
        <v>53</v>
      </c>
      <c r="L46" s="11">
        <f t="shared" si="8"/>
        <v>4</v>
      </c>
      <c r="M46" s="10">
        <f t="shared" si="7"/>
        <v>1.2</v>
      </c>
      <c r="N46" s="10">
        <f t="shared" si="9"/>
        <v>0</v>
      </c>
      <c r="O46" s="10">
        <v>0</v>
      </c>
      <c r="P46" s="10">
        <f t="shared" si="10"/>
        <v>5.2</v>
      </c>
      <c r="Q46" s="17">
        <v>10.656250000000018</v>
      </c>
      <c r="R46" s="18">
        <f t="shared" si="11"/>
        <v>15.856250000000017</v>
      </c>
      <c r="S46" s="19">
        <f t="shared" si="12"/>
        <v>8.125</v>
      </c>
      <c r="T46" s="20">
        <f t="shared" si="13"/>
        <v>7.7312500000000171</v>
      </c>
      <c r="U46" s="4"/>
      <c r="V46" s="4"/>
      <c r="W46" s="4"/>
    </row>
    <row r="47" spans="1:29" ht="17.399999999999999">
      <c r="A47" s="9">
        <v>1</v>
      </c>
      <c r="B47" s="8">
        <v>222</v>
      </c>
      <c r="C47" s="8">
        <v>1945277617</v>
      </c>
      <c r="D47" s="42" t="s">
        <v>97</v>
      </c>
      <c r="E47" s="42"/>
      <c r="F47" s="10">
        <v>0</v>
      </c>
      <c r="G47" s="10">
        <v>0</v>
      </c>
      <c r="H47" s="50">
        <v>0</v>
      </c>
      <c r="I47" s="50">
        <v>0</v>
      </c>
      <c r="J47" s="50">
        <v>0</v>
      </c>
      <c r="K47" s="39" t="s">
        <v>30</v>
      </c>
      <c r="L47" s="11">
        <f t="shared" si="8"/>
        <v>0</v>
      </c>
      <c r="M47" s="10">
        <f t="shared" si="7"/>
        <v>0</v>
      </c>
      <c r="N47" s="10">
        <f t="shared" si="9"/>
        <v>0</v>
      </c>
      <c r="O47" s="10">
        <v>0</v>
      </c>
      <c r="P47" s="10">
        <f t="shared" si="10"/>
        <v>0</v>
      </c>
      <c r="Q47" s="17">
        <v>15.637727649769573</v>
      </c>
      <c r="R47" s="18">
        <f t="shared" si="11"/>
        <v>15.637727649769573</v>
      </c>
      <c r="S47" s="19">
        <f t="shared" si="12"/>
        <v>0</v>
      </c>
      <c r="T47" s="20">
        <f t="shared" si="13"/>
        <v>15.637727649769573</v>
      </c>
      <c r="U47" s="4"/>
      <c r="V47" s="4"/>
      <c r="W47" s="4"/>
    </row>
    <row r="48" spans="1:29" ht="17.399999999999999">
      <c r="A48" s="9">
        <v>1</v>
      </c>
      <c r="B48" s="8">
        <v>110</v>
      </c>
      <c r="C48" s="8">
        <v>1968703358</v>
      </c>
      <c r="D48" s="42" t="s">
        <v>60</v>
      </c>
      <c r="E48" s="42" t="s">
        <v>38</v>
      </c>
      <c r="F48" s="10">
        <v>0</v>
      </c>
      <c r="G48" s="10">
        <v>0</v>
      </c>
      <c r="H48" s="50">
        <v>0</v>
      </c>
      <c r="I48" s="50">
        <v>0</v>
      </c>
      <c r="J48" s="50">
        <v>0</v>
      </c>
      <c r="K48" s="39" t="s">
        <v>30</v>
      </c>
      <c r="L48" s="11">
        <f t="shared" si="8"/>
        <v>0</v>
      </c>
      <c r="M48" s="10">
        <f t="shared" si="7"/>
        <v>0</v>
      </c>
      <c r="N48" s="10">
        <f t="shared" si="9"/>
        <v>0</v>
      </c>
      <c r="O48" s="10">
        <v>0</v>
      </c>
      <c r="P48" s="10">
        <f t="shared" si="10"/>
        <v>0</v>
      </c>
      <c r="Q48" s="17">
        <v>15.337500000000013</v>
      </c>
      <c r="R48" s="18">
        <f t="shared" si="11"/>
        <v>15.337500000000013</v>
      </c>
      <c r="S48" s="19">
        <f t="shared" si="12"/>
        <v>0</v>
      </c>
      <c r="T48" s="20">
        <f t="shared" si="13"/>
        <v>15.337500000000013</v>
      </c>
      <c r="U48" s="40"/>
      <c r="V48" s="40"/>
      <c r="W48" s="78"/>
    </row>
    <row r="49" spans="1:20" ht="17.399999999999999">
      <c r="A49" s="9">
        <v>1</v>
      </c>
      <c r="B49" s="8">
        <v>241</v>
      </c>
      <c r="C49" s="8">
        <v>1136259669</v>
      </c>
      <c r="D49" s="42" t="s">
        <v>124</v>
      </c>
      <c r="F49" s="10">
        <v>1</v>
      </c>
      <c r="G49" s="10">
        <v>1</v>
      </c>
      <c r="H49" s="50">
        <v>0</v>
      </c>
      <c r="I49" s="50">
        <v>0</v>
      </c>
      <c r="J49" s="50">
        <v>0</v>
      </c>
      <c r="K49" s="14" t="s">
        <v>53</v>
      </c>
      <c r="L49" s="11">
        <f t="shared" si="8"/>
        <v>1</v>
      </c>
      <c r="M49" s="10">
        <f t="shared" si="7"/>
        <v>1.2</v>
      </c>
      <c r="N49" s="10">
        <f t="shared" si="9"/>
        <v>0</v>
      </c>
      <c r="O49" s="10">
        <v>0</v>
      </c>
      <c r="P49" s="10">
        <f t="shared" si="10"/>
        <v>2.2000000000000002</v>
      </c>
      <c r="Q49" s="17">
        <v>13.043749999999985</v>
      </c>
      <c r="R49" s="18">
        <f t="shared" si="11"/>
        <v>15.243749999999984</v>
      </c>
      <c r="S49" s="19">
        <f t="shared" si="12"/>
        <v>8.125</v>
      </c>
      <c r="T49" s="20">
        <f t="shared" si="13"/>
        <v>7.1187499999999844</v>
      </c>
    </row>
    <row r="50" spans="1:20" ht="17.399999999999999">
      <c r="A50" s="9">
        <v>1</v>
      </c>
      <c r="B50" s="8">
        <v>155</v>
      </c>
      <c r="C50" s="8">
        <v>1532576874</v>
      </c>
      <c r="D50" s="42" t="s">
        <v>63</v>
      </c>
      <c r="E50" s="42" t="s">
        <v>46</v>
      </c>
      <c r="F50" s="10">
        <v>0</v>
      </c>
      <c r="G50" s="10">
        <v>0</v>
      </c>
      <c r="H50" s="50">
        <v>0</v>
      </c>
      <c r="I50" s="50">
        <v>0</v>
      </c>
      <c r="J50" s="50">
        <v>0</v>
      </c>
      <c r="K50" s="39" t="s">
        <v>30</v>
      </c>
      <c r="L50" s="11">
        <f t="shared" si="8"/>
        <v>0</v>
      </c>
      <c r="M50" s="10">
        <f t="shared" si="7"/>
        <v>0</v>
      </c>
      <c r="N50" s="10">
        <f t="shared" si="9"/>
        <v>0</v>
      </c>
      <c r="O50" s="10">
        <v>0</v>
      </c>
      <c r="P50" s="10">
        <f t="shared" si="10"/>
        <v>0</v>
      </c>
      <c r="Q50" s="17">
        <v>15.212499999999999</v>
      </c>
      <c r="R50" s="18">
        <f t="shared" si="11"/>
        <v>15.212499999999999</v>
      </c>
      <c r="S50" s="19">
        <f t="shared" si="12"/>
        <v>0</v>
      </c>
      <c r="T50" s="20">
        <f t="shared" si="13"/>
        <v>15.212499999999999</v>
      </c>
    </row>
    <row r="51" spans="1:20" ht="17.399999999999999">
      <c r="A51" s="9">
        <v>1</v>
      </c>
      <c r="B51" s="8">
        <v>240</v>
      </c>
      <c r="C51" s="8">
        <v>289805855</v>
      </c>
      <c r="D51" s="42" t="s">
        <v>123</v>
      </c>
      <c r="F51" s="10">
        <v>4</v>
      </c>
      <c r="G51" s="10">
        <v>1</v>
      </c>
      <c r="H51" s="50">
        <v>0</v>
      </c>
      <c r="I51" s="50">
        <v>0</v>
      </c>
      <c r="J51" s="50">
        <v>0</v>
      </c>
      <c r="K51" s="14" t="s">
        <v>53</v>
      </c>
      <c r="L51" s="11">
        <f t="shared" si="8"/>
        <v>6</v>
      </c>
      <c r="M51" s="10">
        <f t="shared" si="7"/>
        <v>1.2</v>
      </c>
      <c r="N51" s="10">
        <f t="shared" si="9"/>
        <v>0</v>
      </c>
      <c r="O51" s="10">
        <v>0</v>
      </c>
      <c r="P51" s="10">
        <f t="shared" si="10"/>
        <v>7.2</v>
      </c>
      <c r="Q51" s="17">
        <v>7.2000000000000028</v>
      </c>
      <c r="R51" s="18">
        <f t="shared" si="11"/>
        <v>14.400000000000002</v>
      </c>
      <c r="S51" s="19">
        <f t="shared" si="12"/>
        <v>8.125</v>
      </c>
      <c r="T51" s="20">
        <f t="shared" si="13"/>
        <v>6.2750000000000021</v>
      </c>
    </row>
    <row r="52" spans="1:20" ht="17.399999999999999">
      <c r="A52" s="9">
        <v>1</v>
      </c>
      <c r="B52" s="8">
        <v>243</v>
      </c>
      <c r="D52" s="42" t="s">
        <v>133</v>
      </c>
      <c r="F52" s="10">
        <v>4</v>
      </c>
      <c r="G52" s="10">
        <v>1</v>
      </c>
      <c r="H52" s="50">
        <v>0</v>
      </c>
      <c r="I52" s="50">
        <v>0</v>
      </c>
      <c r="J52" s="50">
        <v>0</v>
      </c>
      <c r="K52" s="14" t="s">
        <v>53</v>
      </c>
      <c r="L52" s="11">
        <f t="shared" si="8"/>
        <v>6</v>
      </c>
      <c r="M52" s="10">
        <f t="shared" si="7"/>
        <v>1.2</v>
      </c>
      <c r="N52" s="10">
        <f t="shared" si="9"/>
        <v>0</v>
      </c>
      <c r="O52" s="10">
        <v>0</v>
      </c>
      <c r="P52" s="10">
        <f t="shared" si="10"/>
        <v>7.2</v>
      </c>
      <c r="Q52" s="17">
        <v>7.03125</v>
      </c>
      <c r="R52" s="18">
        <f t="shared" si="11"/>
        <v>14.231249999999999</v>
      </c>
      <c r="S52" s="19">
        <f t="shared" si="12"/>
        <v>8.125</v>
      </c>
      <c r="T52" s="20">
        <f t="shared" si="13"/>
        <v>6.1062499999999993</v>
      </c>
    </row>
    <row r="53" spans="1:20" ht="17.399999999999999">
      <c r="A53" s="9">
        <v>1</v>
      </c>
      <c r="B53" s="8">
        <v>200</v>
      </c>
      <c r="C53" s="8">
        <v>967589156</v>
      </c>
      <c r="D53" s="42" t="s">
        <v>76</v>
      </c>
      <c r="E53" s="47"/>
      <c r="F53" s="10">
        <v>2</v>
      </c>
      <c r="G53" s="10">
        <v>1</v>
      </c>
      <c r="H53" s="50">
        <v>0</v>
      </c>
      <c r="I53" s="50">
        <v>0</v>
      </c>
      <c r="J53" s="50">
        <v>0</v>
      </c>
      <c r="K53" s="14" t="s">
        <v>53</v>
      </c>
      <c r="L53" s="11">
        <f t="shared" si="8"/>
        <v>2</v>
      </c>
      <c r="M53" s="10">
        <f t="shared" si="7"/>
        <v>1.2</v>
      </c>
      <c r="N53" s="10">
        <f t="shared" si="9"/>
        <v>0</v>
      </c>
      <c r="O53" s="10">
        <v>0</v>
      </c>
      <c r="P53" s="10">
        <f t="shared" si="10"/>
        <v>3.2</v>
      </c>
      <c r="Q53" s="17">
        <v>10.868750000000013</v>
      </c>
      <c r="R53" s="18">
        <f t="shared" si="11"/>
        <v>14.068750000000012</v>
      </c>
      <c r="S53" s="19">
        <f t="shared" si="12"/>
        <v>8.125</v>
      </c>
      <c r="T53" s="20">
        <f t="shared" si="13"/>
        <v>5.9437500000000121</v>
      </c>
    </row>
    <row r="54" spans="1:20" ht="17.399999999999999">
      <c r="A54" s="9">
        <v>1</v>
      </c>
      <c r="B54" s="8">
        <v>239</v>
      </c>
      <c r="C54" s="8">
        <v>416459640</v>
      </c>
      <c r="D54" s="42" t="s">
        <v>122</v>
      </c>
      <c r="F54" s="10">
        <v>0</v>
      </c>
      <c r="G54" s="10">
        <v>0</v>
      </c>
      <c r="H54" s="50">
        <v>0</v>
      </c>
      <c r="I54" s="50">
        <v>0</v>
      </c>
      <c r="J54" s="50">
        <v>0</v>
      </c>
      <c r="K54" s="39" t="s">
        <v>30</v>
      </c>
      <c r="L54" s="11">
        <f t="shared" si="8"/>
        <v>0</v>
      </c>
      <c r="M54" s="10">
        <f t="shared" si="7"/>
        <v>0</v>
      </c>
      <c r="N54" s="10">
        <f t="shared" si="9"/>
        <v>0</v>
      </c>
      <c r="O54" s="10">
        <v>0</v>
      </c>
      <c r="P54" s="10">
        <f t="shared" si="10"/>
        <v>0</v>
      </c>
      <c r="Q54" s="17">
        <v>13.668749999999999</v>
      </c>
      <c r="R54" s="18">
        <f t="shared" si="11"/>
        <v>13.668749999999999</v>
      </c>
      <c r="S54" s="19">
        <f t="shared" si="12"/>
        <v>0</v>
      </c>
      <c r="T54" s="20">
        <f t="shared" si="13"/>
        <v>13.668749999999999</v>
      </c>
    </row>
    <row r="55" spans="1:20" ht="17.399999999999999">
      <c r="A55" s="9">
        <v>1</v>
      </c>
      <c r="B55" s="8">
        <v>223</v>
      </c>
      <c r="C55" s="8">
        <v>784792167</v>
      </c>
      <c r="D55" s="42" t="s">
        <v>98</v>
      </c>
      <c r="E55" s="42"/>
      <c r="F55" s="10">
        <v>0</v>
      </c>
      <c r="G55" s="10">
        <v>0</v>
      </c>
      <c r="H55" s="50">
        <v>0</v>
      </c>
      <c r="I55" s="50">
        <v>0</v>
      </c>
      <c r="J55" s="50">
        <v>0</v>
      </c>
      <c r="K55" s="39" t="s">
        <v>30</v>
      </c>
      <c r="L55" s="11">
        <f t="shared" si="8"/>
        <v>0</v>
      </c>
      <c r="M55" s="10">
        <f t="shared" si="7"/>
        <v>0</v>
      </c>
      <c r="N55" s="10">
        <f t="shared" si="9"/>
        <v>0</v>
      </c>
      <c r="O55" s="10">
        <v>0</v>
      </c>
      <c r="P55" s="10">
        <f t="shared" si="10"/>
        <v>0</v>
      </c>
      <c r="Q55" s="17">
        <v>10.624999999999996</v>
      </c>
      <c r="R55" s="18">
        <f t="shared" si="11"/>
        <v>10.624999999999996</v>
      </c>
      <c r="S55" s="19">
        <f t="shared" si="12"/>
        <v>0</v>
      </c>
      <c r="T55" s="20">
        <f t="shared" si="13"/>
        <v>10.624999999999996</v>
      </c>
    </row>
    <row r="56" spans="1:20" ht="20.399999999999999">
      <c r="A56" s="9">
        <v>1</v>
      </c>
      <c r="B56" s="8">
        <v>213</v>
      </c>
      <c r="C56" s="8">
        <v>311361673</v>
      </c>
      <c r="D56" s="42" t="s">
        <v>55</v>
      </c>
      <c r="E56" s="2"/>
      <c r="F56" s="10">
        <v>4</v>
      </c>
      <c r="G56" s="10">
        <v>1</v>
      </c>
      <c r="H56" s="50">
        <v>0</v>
      </c>
      <c r="I56" s="50">
        <v>0</v>
      </c>
      <c r="J56" s="50">
        <v>0</v>
      </c>
      <c r="K56" s="14" t="s">
        <v>53</v>
      </c>
      <c r="L56" s="11">
        <f t="shared" si="8"/>
        <v>6</v>
      </c>
      <c r="M56" s="10">
        <f t="shared" si="7"/>
        <v>1.2</v>
      </c>
      <c r="N56" s="10">
        <f t="shared" si="9"/>
        <v>0</v>
      </c>
      <c r="O56" s="10">
        <v>0</v>
      </c>
      <c r="P56" s="10">
        <f t="shared" si="10"/>
        <v>7.2</v>
      </c>
      <c r="Q56" s="17">
        <v>3.3937499999999945</v>
      </c>
      <c r="R56" s="18">
        <f t="shared" si="11"/>
        <v>10.593749999999995</v>
      </c>
      <c r="S56" s="19">
        <f t="shared" si="12"/>
        <v>8.125</v>
      </c>
      <c r="T56" s="20">
        <f t="shared" si="13"/>
        <v>2.4687499999999947</v>
      </c>
    </row>
    <row r="57" spans="1:20" ht="17.399999999999999">
      <c r="A57" s="9">
        <v>1</v>
      </c>
      <c r="B57" s="8">
        <v>219</v>
      </c>
      <c r="C57" s="8">
        <v>1128309198</v>
      </c>
      <c r="D57" s="42" t="s">
        <v>93</v>
      </c>
      <c r="E57" s="47"/>
      <c r="F57" s="10">
        <v>0</v>
      </c>
      <c r="G57" s="10">
        <v>0</v>
      </c>
      <c r="H57" s="50">
        <v>0</v>
      </c>
      <c r="I57" s="50">
        <v>0</v>
      </c>
      <c r="J57" s="50">
        <v>0</v>
      </c>
      <c r="K57" s="39" t="s">
        <v>30</v>
      </c>
      <c r="L57" s="11">
        <f t="shared" si="8"/>
        <v>0</v>
      </c>
      <c r="M57" s="10">
        <f t="shared" si="7"/>
        <v>0</v>
      </c>
      <c r="N57" s="10">
        <f t="shared" si="9"/>
        <v>0</v>
      </c>
      <c r="O57" s="10">
        <v>0</v>
      </c>
      <c r="P57" s="10">
        <f t="shared" si="10"/>
        <v>0</v>
      </c>
      <c r="Q57" s="17">
        <v>9.4499999999999957</v>
      </c>
      <c r="R57" s="18">
        <f t="shared" si="11"/>
        <v>9.4499999999999957</v>
      </c>
      <c r="S57" s="19">
        <f t="shared" si="12"/>
        <v>0</v>
      </c>
      <c r="T57" s="20">
        <f t="shared" si="13"/>
        <v>9.4499999999999957</v>
      </c>
    </row>
    <row r="58" spans="1:20" ht="17.399999999999999">
      <c r="A58" s="9">
        <v>1</v>
      </c>
      <c r="B58" s="8">
        <v>192</v>
      </c>
      <c r="C58" s="8">
        <v>1725281178</v>
      </c>
      <c r="D58" s="42" t="s">
        <v>71</v>
      </c>
      <c r="E58" s="47"/>
      <c r="F58" s="10">
        <v>0</v>
      </c>
      <c r="G58" s="10">
        <v>0</v>
      </c>
      <c r="H58" s="50">
        <v>0</v>
      </c>
      <c r="I58" s="50">
        <v>0</v>
      </c>
      <c r="J58" s="50">
        <v>0</v>
      </c>
      <c r="K58" s="39" t="s">
        <v>30</v>
      </c>
      <c r="L58" s="11">
        <f t="shared" si="8"/>
        <v>0</v>
      </c>
      <c r="M58" s="10">
        <f t="shared" si="7"/>
        <v>0</v>
      </c>
      <c r="N58" s="10">
        <f t="shared" si="9"/>
        <v>0</v>
      </c>
      <c r="O58" s="10">
        <v>0</v>
      </c>
      <c r="P58" s="10">
        <f t="shared" si="10"/>
        <v>0</v>
      </c>
      <c r="Q58" s="17">
        <v>3.1437499999999954</v>
      </c>
      <c r="R58" s="18">
        <f t="shared" si="11"/>
        <v>3.1437499999999954</v>
      </c>
      <c r="S58" s="19">
        <f t="shared" si="12"/>
        <v>0</v>
      </c>
      <c r="T58" s="20">
        <f t="shared" si="13"/>
        <v>3.1437499999999954</v>
      </c>
    </row>
    <row r="59" spans="1:20" ht="20.399999999999999">
      <c r="A59" s="9">
        <v>1</v>
      </c>
      <c r="B59" s="8">
        <v>220</v>
      </c>
      <c r="C59" s="8">
        <v>353335311</v>
      </c>
      <c r="D59" s="42" t="s">
        <v>94</v>
      </c>
      <c r="E59" s="44"/>
      <c r="F59" s="10">
        <v>0</v>
      </c>
      <c r="G59" s="10">
        <v>0</v>
      </c>
      <c r="H59" s="50">
        <v>0</v>
      </c>
      <c r="I59" s="50">
        <v>0</v>
      </c>
      <c r="J59" s="50">
        <v>0</v>
      </c>
      <c r="K59" s="39" t="s">
        <v>30</v>
      </c>
      <c r="L59" s="11">
        <f t="shared" si="8"/>
        <v>0</v>
      </c>
      <c r="M59" s="10">
        <f t="shared" si="7"/>
        <v>0</v>
      </c>
      <c r="N59" s="10">
        <f t="shared" si="9"/>
        <v>0</v>
      </c>
      <c r="O59" s="10">
        <v>0</v>
      </c>
      <c r="P59" s="10">
        <f t="shared" si="10"/>
        <v>0</v>
      </c>
      <c r="Q59" s="17">
        <v>2.0310546874999984</v>
      </c>
      <c r="R59" s="18">
        <f t="shared" si="11"/>
        <v>2.0310546874999984</v>
      </c>
      <c r="S59" s="19">
        <f t="shared" si="12"/>
        <v>0</v>
      </c>
      <c r="T59" s="20">
        <f t="shared" si="13"/>
        <v>2.0310546874999984</v>
      </c>
    </row>
    <row r="60" spans="1:20" ht="17.399999999999999">
      <c r="A60" s="9">
        <v>1</v>
      </c>
      <c r="B60" s="8">
        <v>233</v>
      </c>
      <c r="C60" s="8">
        <v>1963965829</v>
      </c>
      <c r="D60" s="42" t="s">
        <v>114</v>
      </c>
      <c r="F60" s="10">
        <v>0</v>
      </c>
      <c r="G60" s="10">
        <v>0</v>
      </c>
      <c r="H60" s="50">
        <v>0</v>
      </c>
      <c r="I60" s="50">
        <v>0</v>
      </c>
      <c r="J60" s="50">
        <v>0</v>
      </c>
      <c r="K60" s="39" t="s">
        <v>30</v>
      </c>
      <c r="L60" s="11">
        <f t="shared" si="8"/>
        <v>0</v>
      </c>
      <c r="M60" s="10">
        <f t="shared" si="7"/>
        <v>0</v>
      </c>
      <c r="N60" s="10">
        <f t="shared" si="9"/>
        <v>0</v>
      </c>
      <c r="O60" s="10">
        <v>0</v>
      </c>
      <c r="P60" s="10">
        <f t="shared" si="10"/>
        <v>0</v>
      </c>
      <c r="Q60" s="17">
        <v>2.0000000000000018</v>
      </c>
      <c r="R60" s="18">
        <f t="shared" si="11"/>
        <v>2.0000000000000018</v>
      </c>
      <c r="S60" s="19">
        <f t="shared" si="12"/>
        <v>0</v>
      </c>
      <c r="T60" s="20">
        <f t="shared" si="13"/>
        <v>2.0000000000000018</v>
      </c>
    </row>
    <row r="61" spans="1:20" ht="17.399999999999999">
      <c r="A61" s="9">
        <v>1</v>
      </c>
      <c r="B61" s="8">
        <v>207</v>
      </c>
      <c r="C61" s="8">
        <v>721273803</v>
      </c>
      <c r="D61" s="45" t="s">
        <v>81</v>
      </c>
      <c r="E61" s="47"/>
      <c r="F61" s="10">
        <v>0</v>
      </c>
      <c r="G61" s="10">
        <v>0</v>
      </c>
      <c r="H61" s="50">
        <v>0</v>
      </c>
      <c r="I61" s="50">
        <v>0</v>
      </c>
      <c r="J61" s="50">
        <v>0</v>
      </c>
      <c r="K61" s="39" t="s">
        <v>30</v>
      </c>
      <c r="L61" s="11">
        <f t="shared" si="8"/>
        <v>0</v>
      </c>
      <c r="M61" s="10">
        <f t="shared" si="7"/>
        <v>0</v>
      </c>
      <c r="N61" s="10">
        <f t="shared" si="9"/>
        <v>0</v>
      </c>
      <c r="O61" s="10">
        <v>0</v>
      </c>
      <c r="P61" s="10">
        <f t="shared" si="10"/>
        <v>0</v>
      </c>
      <c r="Q61" s="17">
        <v>1.425</v>
      </c>
      <c r="R61" s="18">
        <f t="shared" si="11"/>
        <v>1.425</v>
      </c>
      <c r="S61" s="19">
        <f t="shared" si="12"/>
        <v>0</v>
      </c>
      <c r="T61" s="20">
        <f t="shared" si="13"/>
        <v>1.425</v>
      </c>
    </row>
    <row r="62" spans="1:20" ht="17.399999999999999">
      <c r="A62" s="9">
        <v>1</v>
      </c>
      <c r="B62" s="8">
        <v>242</v>
      </c>
      <c r="C62" s="8">
        <v>250098915</v>
      </c>
      <c r="D62" s="42" t="s">
        <v>131</v>
      </c>
      <c r="F62" s="10">
        <v>0</v>
      </c>
      <c r="G62" s="10">
        <v>0</v>
      </c>
      <c r="H62" s="50">
        <v>0</v>
      </c>
      <c r="I62" s="50">
        <v>0</v>
      </c>
      <c r="J62" s="50">
        <v>0</v>
      </c>
      <c r="K62" s="39" t="s">
        <v>30</v>
      </c>
      <c r="L62" s="11">
        <f t="shared" si="8"/>
        <v>0</v>
      </c>
      <c r="M62" s="10">
        <f t="shared" si="7"/>
        <v>0</v>
      </c>
      <c r="N62" s="10">
        <f t="shared" si="9"/>
        <v>0</v>
      </c>
      <c r="O62" s="10">
        <v>0</v>
      </c>
      <c r="P62" s="10">
        <f t="shared" si="10"/>
        <v>0</v>
      </c>
      <c r="Q62" s="17">
        <v>0.90625</v>
      </c>
      <c r="R62" s="18">
        <f t="shared" si="11"/>
        <v>0.90625</v>
      </c>
      <c r="S62" s="19">
        <f t="shared" si="12"/>
        <v>0</v>
      </c>
      <c r="T62" s="20">
        <f t="shared" si="13"/>
        <v>0.90625</v>
      </c>
    </row>
    <row r="63" spans="1:20" ht="17.399999999999999">
      <c r="A63" s="9">
        <v>1</v>
      </c>
      <c r="B63" s="8">
        <v>242</v>
      </c>
      <c r="C63" s="8">
        <v>1769984287</v>
      </c>
      <c r="D63" s="8" t="s">
        <v>132</v>
      </c>
      <c r="F63" s="10">
        <v>0</v>
      </c>
      <c r="G63" s="10">
        <v>0</v>
      </c>
      <c r="H63" s="50">
        <v>0</v>
      </c>
      <c r="I63" s="50">
        <v>0</v>
      </c>
      <c r="J63" s="50">
        <v>0</v>
      </c>
      <c r="K63" s="39" t="s">
        <v>30</v>
      </c>
      <c r="L63" s="11">
        <f t="shared" si="8"/>
        <v>0</v>
      </c>
      <c r="M63" s="10">
        <f t="shared" si="7"/>
        <v>0</v>
      </c>
      <c r="N63" s="10">
        <f t="shared" si="9"/>
        <v>0</v>
      </c>
      <c r="O63" s="10">
        <v>0</v>
      </c>
      <c r="P63" s="10">
        <f t="shared" si="10"/>
        <v>0</v>
      </c>
      <c r="Q63" s="17">
        <v>0.65000000000000036</v>
      </c>
      <c r="R63" s="18">
        <f t="shared" si="11"/>
        <v>0.65000000000000036</v>
      </c>
      <c r="S63" s="19">
        <f t="shared" si="12"/>
        <v>0</v>
      </c>
      <c r="T63" s="20">
        <f t="shared" si="13"/>
        <v>0.65000000000000036</v>
      </c>
    </row>
    <row r="64" spans="1:20" ht="17.399999999999999">
      <c r="A64" s="9">
        <v>1</v>
      </c>
      <c r="B64" s="8">
        <v>218</v>
      </c>
      <c r="C64" s="8">
        <v>1804880865</v>
      </c>
      <c r="D64" s="42" t="s">
        <v>92</v>
      </c>
      <c r="E64" s="47"/>
      <c r="F64" s="10">
        <v>0</v>
      </c>
      <c r="G64" s="10">
        <v>0</v>
      </c>
      <c r="H64" s="50">
        <v>0</v>
      </c>
      <c r="I64" s="50">
        <v>0</v>
      </c>
      <c r="J64" s="50">
        <v>0</v>
      </c>
      <c r="K64" s="39" t="s">
        <v>30</v>
      </c>
      <c r="L64" s="11">
        <f t="shared" si="8"/>
        <v>0</v>
      </c>
      <c r="M64" s="10">
        <f t="shared" si="7"/>
        <v>0</v>
      </c>
      <c r="N64" s="10">
        <f t="shared" si="9"/>
        <v>0</v>
      </c>
      <c r="O64" s="10">
        <v>0</v>
      </c>
      <c r="P64" s="10">
        <f t="shared" si="10"/>
        <v>0</v>
      </c>
      <c r="Q64" s="17">
        <v>0.11749999999999983</v>
      </c>
      <c r="R64" s="18">
        <f t="shared" si="11"/>
        <v>0.11749999999999983</v>
      </c>
      <c r="S64" s="19">
        <f t="shared" si="12"/>
        <v>0</v>
      </c>
      <c r="T64" s="20">
        <f t="shared" si="13"/>
        <v>0.11749999999999983</v>
      </c>
    </row>
    <row r="65" spans="1:23" ht="17.399999999999999">
      <c r="A65" s="9">
        <v>1</v>
      </c>
      <c r="B65" s="8">
        <v>217</v>
      </c>
      <c r="C65" s="8">
        <v>331155825</v>
      </c>
      <c r="D65" s="46" t="s">
        <v>89</v>
      </c>
      <c r="E65" s="2"/>
      <c r="F65" s="10">
        <v>0</v>
      </c>
      <c r="G65" s="10">
        <v>0</v>
      </c>
      <c r="H65" s="50">
        <v>0</v>
      </c>
      <c r="I65" s="50">
        <v>0</v>
      </c>
      <c r="J65" s="50">
        <v>0</v>
      </c>
      <c r="K65" s="39" t="s">
        <v>30</v>
      </c>
      <c r="L65" s="11">
        <f t="shared" si="8"/>
        <v>0</v>
      </c>
      <c r="M65" s="10">
        <f t="shared" si="7"/>
        <v>0</v>
      </c>
      <c r="N65" s="10">
        <f t="shared" si="9"/>
        <v>0</v>
      </c>
      <c r="O65" s="10">
        <v>0</v>
      </c>
      <c r="P65" s="10">
        <f t="shared" si="10"/>
        <v>0</v>
      </c>
      <c r="Q65" s="17">
        <v>-1.3124999999999984</v>
      </c>
      <c r="R65" s="18">
        <f t="shared" si="11"/>
        <v>-1.3124999999999984</v>
      </c>
      <c r="S65" s="19">
        <f t="shared" si="12"/>
        <v>0</v>
      </c>
      <c r="T65" s="20">
        <f t="shared" si="13"/>
        <v>-1.3124999999999984</v>
      </c>
    </row>
    <row r="66" spans="1:23" ht="17.399999999999999">
      <c r="A66" s="9">
        <v>1</v>
      </c>
      <c r="B66" s="8">
        <v>237</v>
      </c>
      <c r="C66" s="8">
        <v>1331532576</v>
      </c>
      <c r="D66" s="42" t="s">
        <v>119</v>
      </c>
      <c r="F66" s="10">
        <v>0</v>
      </c>
      <c r="G66" s="10">
        <v>0</v>
      </c>
      <c r="H66" s="50">
        <v>0</v>
      </c>
      <c r="I66" s="50">
        <v>0</v>
      </c>
      <c r="J66" s="50">
        <v>0</v>
      </c>
      <c r="K66" s="39" t="s">
        <v>30</v>
      </c>
      <c r="L66" s="11">
        <f t="shared" si="8"/>
        <v>0</v>
      </c>
      <c r="M66" s="10">
        <f t="shared" si="7"/>
        <v>0</v>
      </c>
      <c r="N66" s="10">
        <f t="shared" si="9"/>
        <v>0</v>
      </c>
      <c r="O66" s="10">
        <v>0</v>
      </c>
      <c r="P66" s="10">
        <f t="shared" si="10"/>
        <v>0</v>
      </c>
      <c r="Q66" s="17">
        <v>-2.5499999999999998</v>
      </c>
      <c r="R66" s="18">
        <f t="shared" si="11"/>
        <v>-2.5499999999999998</v>
      </c>
      <c r="S66" s="19">
        <f t="shared" si="12"/>
        <v>0</v>
      </c>
      <c r="T66" s="20">
        <f t="shared" si="13"/>
        <v>-2.5499999999999998</v>
      </c>
    </row>
    <row r="67" spans="1:23" ht="17.399999999999999">
      <c r="A67" s="9">
        <v>1</v>
      </c>
      <c r="B67" s="8">
        <v>228</v>
      </c>
      <c r="C67" s="8">
        <v>1287481910</v>
      </c>
      <c r="D67" s="42" t="s">
        <v>109</v>
      </c>
      <c r="E67" s="42"/>
      <c r="F67" s="10">
        <v>0</v>
      </c>
      <c r="G67" s="10">
        <v>0</v>
      </c>
      <c r="H67" s="50">
        <v>0</v>
      </c>
      <c r="I67" s="50">
        <v>0</v>
      </c>
      <c r="J67" s="50">
        <v>0</v>
      </c>
      <c r="K67" s="39" t="s">
        <v>30</v>
      </c>
      <c r="L67" s="11">
        <f t="shared" si="8"/>
        <v>0</v>
      </c>
      <c r="M67" s="10">
        <f t="shared" si="7"/>
        <v>0</v>
      </c>
      <c r="N67" s="10">
        <f t="shared" si="9"/>
        <v>0</v>
      </c>
      <c r="O67" s="10">
        <v>0</v>
      </c>
      <c r="P67" s="10">
        <f t="shared" si="10"/>
        <v>0</v>
      </c>
      <c r="Q67" s="17">
        <v>-4.1499999999999995</v>
      </c>
      <c r="R67" s="18">
        <f t="shared" si="11"/>
        <v>-4.1499999999999995</v>
      </c>
      <c r="S67" s="19">
        <f t="shared" si="12"/>
        <v>0</v>
      </c>
      <c r="T67" s="20">
        <f t="shared" si="13"/>
        <v>-4.1499999999999995</v>
      </c>
    </row>
    <row r="68" spans="1:23" ht="17.399999999999999">
      <c r="A68" s="9">
        <v>1</v>
      </c>
      <c r="B68" s="8">
        <v>235</v>
      </c>
      <c r="C68" s="8">
        <v>988684940</v>
      </c>
      <c r="D68" s="42" t="s">
        <v>116</v>
      </c>
      <c r="F68" s="10">
        <v>0</v>
      </c>
      <c r="G68" s="10">
        <v>0</v>
      </c>
      <c r="H68" s="50">
        <v>0</v>
      </c>
      <c r="I68" s="50">
        <v>0</v>
      </c>
      <c r="J68" s="50">
        <v>0</v>
      </c>
      <c r="K68" s="39" t="s">
        <v>30</v>
      </c>
      <c r="L68" s="11">
        <f t="shared" si="8"/>
        <v>0</v>
      </c>
      <c r="M68" s="10">
        <f t="shared" si="7"/>
        <v>0</v>
      </c>
      <c r="N68" s="10">
        <f t="shared" si="9"/>
        <v>0</v>
      </c>
      <c r="O68" s="10">
        <v>0</v>
      </c>
      <c r="P68" s="10">
        <f t="shared" si="10"/>
        <v>0</v>
      </c>
      <c r="Q68" s="17">
        <v>-7.125</v>
      </c>
      <c r="R68" s="18">
        <f t="shared" si="11"/>
        <v>-7.125</v>
      </c>
      <c r="S68" s="19">
        <f t="shared" si="12"/>
        <v>0</v>
      </c>
      <c r="T68" s="20">
        <f t="shared" si="13"/>
        <v>-7.125</v>
      </c>
    </row>
    <row r="69" spans="1:23" ht="17.399999999999999">
      <c r="A69" s="9">
        <v>1</v>
      </c>
      <c r="B69" s="8">
        <v>141</v>
      </c>
      <c r="C69" s="8">
        <v>1190305158</v>
      </c>
      <c r="D69" s="42" t="s">
        <v>44</v>
      </c>
      <c r="E69" s="44"/>
      <c r="F69" s="10">
        <v>0</v>
      </c>
      <c r="G69" s="10">
        <v>0</v>
      </c>
      <c r="H69" s="50">
        <v>0</v>
      </c>
      <c r="I69" s="50">
        <v>0</v>
      </c>
      <c r="J69" s="50">
        <v>0</v>
      </c>
      <c r="K69" s="39" t="s">
        <v>30</v>
      </c>
      <c r="L69" s="11">
        <f t="shared" si="8"/>
        <v>0</v>
      </c>
      <c r="M69" s="10">
        <f t="shared" si="7"/>
        <v>0</v>
      </c>
      <c r="N69" s="10">
        <f t="shared" si="9"/>
        <v>0</v>
      </c>
      <c r="O69" s="10">
        <v>0</v>
      </c>
      <c r="P69" s="10">
        <f t="shared" ref="P69:P70" si="14">SUM(M69+L69+O69+N69)</f>
        <v>0</v>
      </c>
      <c r="Q69" s="17">
        <v>-7.8937500000000043</v>
      </c>
      <c r="R69" s="18">
        <f t="shared" ref="R69:R70" si="15">P69+Q69</f>
        <v>-7.8937500000000043</v>
      </c>
      <c r="S69" s="19">
        <f t="shared" si="12"/>
        <v>0</v>
      </c>
      <c r="T69" s="20">
        <f t="shared" ref="T69:T70" si="16">R69-S69</f>
        <v>-7.8937500000000043</v>
      </c>
      <c r="U69" s="40"/>
      <c r="V69" s="40"/>
      <c r="W69" s="41"/>
    </row>
    <row r="70" spans="1:23" ht="17.399999999999999">
      <c r="A70" s="70">
        <v>1</v>
      </c>
      <c r="B70" s="8">
        <v>203</v>
      </c>
      <c r="C70" s="8">
        <v>382695365</v>
      </c>
      <c r="D70" s="42" t="s">
        <v>78</v>
      </c>
      <c r="E70" s="47"/>
      <c r="F70" s="10">
        <v>0</v>
      </c>
      <c r="G70" s="10">
        <v>0</v>
      </c>
      <c r="H70" s="50">
        <v>0</v>
      </c>
      <c r="I70" s="50">
        <v>0</v>
      </c>
      <c r="J70" s="50">
        <v>0</v>
      </c>
      <c r="K70" s="39" t="s">
        <v>30</v>
      </c>
      <c r="L70" s="11">
        <f t="shared" si="8"/>
        <v>0</v>
      </c>
      <c r="M70" s="10">
        <f t="shared" si="7"/>
        <v>0</v>
      </c>
      <c r="N70" s="10">
        <f t="shared" si="9"/>
        <v>0</v>
      </c>
      <c r="O70" s="10">
        <v>0</v>
      </c>
      <c r="P70" s="10">
        <f t="shared" si="14"/>
        <v>0</v>
      </c>
      <c r="Q70" s="17">
        <v>-16.90625</v>
      </c>
      <c r="R70" s="18">
        <f t="shared" si="15"/>
        <v>-16.90625</v>
      </c>
      <c r="S70" s="19">
        <f t="shared" si="12"/>
        <v>0</v>
      </c>
      <c r="T70" s="20">
        <f t="shared" si="16"/>
        <v>-16.90625</v>
      </c>
    </row>
    <row r="71" spans="1:23" ht="17.399999999999999">
      <c r="A71" s="70"/>
    </row>
  </sheetData>
  <autoFilter ref="A4:W70" xr:uid="{28593B8F-03E7-4BE1-B554-FC0AADC431B2}">
    <sortState xmlns:xlrd2="http://schemas.microsoft.com/office/spreadsheetml/2017/richdata2" ref="A5:W70">
      <sortCondition descending="1" ref="R4:R70"/>
    </sortState>
  </autoFilter>
  <mergeCells count="5">
    <mergeCell ref="B1:T1"/>
    <mergeCell ref="B2:T2"/>
    <mergeCell ref="B3:E3"/>
    <mergeCell ref="H3:J3"/>
    <mergeCell ref="K3:T3"/>
  </mergeCells>
  <conditionalFormatting sqref="O5:O70 F5:J70">
    <cfRule type="cellIs" dxfId="15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284B-BB42-4B27-ADD7-433973AE2225}">
  <dimension ref="A1:AC75"/>
  <sheetViews>
    <sheetView zoomScale="70" zoomScaleNormal="70" workbookViewId="0">
      <selection activeCell="A3" sqref="A3"/>
    </sheetView>
  </sheetViews>
  <sheetFormatPr defaultColWidth="9" defaultRowHeight="14.4"/>
  <cols>
    <col min="1" max="1" width="6.44140625" customWidth="1"/>
    <col min="2" max="2" width="6.6640625" style="4" customWidth="1"/>
    <col min="3" max="3" width="19.77734375" style="5" customWidth="1"/>
    <col min="4" max="4" width="21.21875" style="5" customWidth="1"/>
    <col min="5" max="5" width="18.33203125" style="4" customWidth="1"/>
    <col min="6" max="6" width="13.109375" style="4" customWidth="1"/>
    <col min="7" max="7" width="13.77734375" style="4" customWidth="1"/>
    <col min="8" max="8" width="5.77734375" style="4" customWidth="1"/>
    <col min="9" max="9" width="5.88671875" style="4" customWidth="1"/>
    <col min="10" max="10" width="5.77734375" style="4" customWidth="1"/>
    <col min="11" max="11" width="20" style="4" customWidth="1"/>
    <col min="12" max="12" width="9" style="4" customWidth="1"/>
    <col min="13" max="13" width="12.109375" style="4" customWidth="1"/>
    <col min="14" max="14" width="11.33203125" style="4" customWidth="1"/>
    <col min="15" max="15" width="10" style="4" customWidth="1"/>
    <col min="16" max="16" width="9" style="4" customWidth="1"/>
    <col min="17" max="17" width="12.88671875" style="4" customWidth="1"/>
    <col min="18" max="18" width="12" style="4" customWidth="1"/>
    <col min="19" max="19" width="9.21875" style="4" customWidth="1"/>
    <col min="20" max="20" width="12.6640625" style="4" customWidth="1"/>
    <col min="21" max="23" width="11.109375" style="21" customWidth="1"/>
    <col min="24" max="24" width="22.44140625" customWidth="1"/>
  </cols>
  <sheetData>
    <row r="1" spans="1:29" ht="36.6" customHeight="1">
      <c r="B1" s="99" t="str">
        <f>CONCATENATE("157区 活动中心",Y15,"年",Y16,"月",Y17,"日","分包贡献明细"," 统计：一二三")</f>
        <v>157区 活动中心2021年11月20日分包贡献明细 统计：一二三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62"/>
      <c r="V1" s="62"/>
      <c r="W1" s="62"/>
      <c r="X1" s="22" t="s">
        <v>12</v>
      </c>
      <c r="Y1" s="5">
        <v>65</v>
      </c>
      <c r="Z1" s="3"/>
      <c r="AA1" s="3"/>
      <c r="AB1" s="3"/>
      <c r="AC1" s="3"/>
    </row>
    <row r="2" spans="1:29" ht="137.4" customHeight="1">
      <c r="B2" s="101" t="s">
        <v>126</v>
      </c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63"/>
      <c r="V2" s="63"/>
      <c r="W2" s="63"/>
      <c r="X2" s="23" t="s">
        <v>0</v>
      </c>
      <c r="Y2" s="24" t="s">
        <v>13</v>
      </c>
      <c r="Z2" s="25" t="s">
        <v>14</v>
      </c>
      <c r="AA2" s="25" t="s">
        <v>15</v>
      </c>
      <c r="AB2" s="25" t="s">
        <v>56</v>
      </c>
      <c r="AC2" s="26" t="s">
        <v>16</v>
      </c>
    </row>
    <row r="3" spans="1:29" ht="20.399999999999999">
      <c r="A3">
        <f>COUNTIF(K:K,"a跨服传说礼包")</f>
        <v>8</v>
      </c>
      <c r="B3" s="104" t="s">
        <v>20</v>
      </c>
      <c r="C3" s="104"/>
      <c r="D3" s="104"/>
      <c r="E3" s="104"/>
      <c r="F3" s="64" t="s">
        <v>17</v>
      </c>
      <c r="G3" s="65" t="s">
        <v>39</v>
      </c>
      <c r="H3" s="105" t="s">
        <v>99</v>
      </c>
      <c r="I3" s="105"/>
      <c r="J3" s="105"/>
      <c r="K3" s="106" t="s">
        <v>21</v>
      </c>
      <c r="L3" s="107"/>
      <c r="M3" s="107"/>
      <c r="N3" s="107"/>
      <c r="O3" s="107"/>
      <c r="P3" s="107"/>
      <c r="Q3" s="107"/>
      <c r="R3" s="107"/>
      <c r="S3" s="107"/>
      <c r="T3" s="108"/>
      <c r="U3" s="61"/>
      <c r="V3" s="61"/>
      <c r="W3" s="61"/>
      <c r="X3" s="27" t="s">
        <v>22</v>
      </c>
      <c r="Y3" s="28">
        <f>AC3/$Y$13</f>
        <v>11.875</v>
      </c>
      <c r="Z3" s="23">
        <v>5</v>
      </c>
      <c r="AA3" s="23">
        <v>7</v>
      </c>
      <c r="AB3" s="23">
        <v>20</v>
      </c>
      <c r="AC3" s="23">
        <v>1900</v>
      </c>
    </row>
    <row r="4" spans="1:29" ht="40.799999999999997">
      <c r="A4" s="81" t="s">
        <v>117</v>
      </c>
      <c r="B4" s="81" t="s">
        <v>2</v>
      </c>
      <c r="C4" s="60" t="s">
        <v>23</v>
      </c>
      <c r="D4" s="81" t="s">
        <v>3</v>
      </c>
      <c r="E4" s="81" t="s">
        <v>4</v>
      </c>
      <c r="F4" s="6" t="s">
        <v>40</v>
      </c>
      <c r="G4" s="7" t="s">
        <v>91</v>
      </c>
      <c r="H4" s="7" t="s">
        <v>100</v>
      </c>
      <c r="I4" s="7" t="s">
        <v>101</v>
      </c>
      <c r="J4" s="7" t="s">
        <v>102</v>
      </c>
      <c r="K4" s="6" t="s">
        <v>5</v>
      </c>
      <c r="L4" s="6" t="s">
        <v>24</v>
      </c>
      <c r="M4" s="7" t="s">
        <v>41</v>
      </c>
      <c r="N4" s="7" t="s">
        <v>104</v>
      </c>
      <c r="O4" s="7" t="s">
        <v>45</v>
      </c>
      <c r="P4" s="15" t="s">
        <v>25</v>
      </c>
      <c r="Q4" s="60" t="s">
        <v>26</v>
      </c>
      <c r="R4" s="16" t="s">
        <v>7</v>
      </c>
      <c r="S4" s="60" t="s">
        <v>6</v>
      </c>
      <c r="T4" s="60" t="s">
        <v>27</v>
      </c>
      <c r="U4" s="60" t="s">
        <v>18</v>
      </c>
      <c r="V4" s="60" t="s">
        <v>19</v>
      </c>
      <c r="W4" s="60" t="s">
        <v>1</v>
      </c>
      <c r="X4" s="29" t="s">
        <v>28</v>
      </c>
      <c r="Y4" s="28">
        <f>AC4/$Y$13</f>
        <v>9.6875</v>
      </c>
      <c r="Z4" s="23">
        <v>4</v>
      </c>
      <c r="AA4" s="23">
        <v>6</v>
      </c>
      <c r="AB4" s="23">
        <v>15</v>
      </c>
      <c r="AC4" s="23">
        <v>1550</v>
      </c>
    </row>
    <row r="5" spans="1:29" s="1" customFormat="1" ht="17.399999999999999">
      <c r="A5" s="9">
        <v>1</v>
      </c>
      <c r="B5" s="9">
        <v>46</v>
      </c>
      <c r="C5" s="8">
        <v>2109182835</v>
      </c>
      <c r="D5" s="42" t="s">
        <v>59</v>
      </c>
      <c r="E5" s="42" t="s">
        <v>10</v>
      </c>
      <c r="F5" s="10">
        <v>3</v>
      </c>
      <c r="G5" s="10">
        <v>1</v>
      </c>
      <c r="H5" s="50">
        <v>0</v>
      </c>
      <c r="I5" s="50">
        <v>0</v>
      </c>
      <c r="J5" s="50">
        <v>0</v>
      </c>
      <c r="K5" s="14" t="s">
        <v>29</v>
      </c>
      <c r="L5" s="11">
        <f t="shared" ref="L5:L36" si="0">F5+IF(F5&gt;2,(F5-2)*1,0)</f>
        <v>4</v>
      </c>
      <c r="M5" s="10">
        <f>G5*$Y$14</f>
        <v>1.2</v>
      </c>
      <c r="N5" s="10">
        <f t="shared" ref="N5:N36" si="1">SUM(H5:J5)*$Y$18</f>
        <v>0</v>
      </c>
      <c r="O5" s="10">
        <v>0</v>
      </c>
      <c r="P5" s="10">
        <f t="shared" ref="P5:P36" si="2">SUM(M5+L5+O5+N5)</f>
        <v>5.2</v>
      </c>
      <c r="Q5" s="17">
        <v>10.780000000000012</v>
      </c>
      <c r="R5" s="18">
        <f t="shared" ref="R5:R36" si="3">P5+Q5</f>
        <v>15.980000000000011</v>
      </c>
      <c r="S5" s="19">
        <f t="shared" ref="S5:S36" si="4">VLOOKUP(K5,$X$3:$Y$10,2,FALSE)</f>
        <v>1.875</v>
      </c>
      <c r="T5" s="20">
        <f t="shared" ref="T5:T36" si="5">R5-S5</f>
        <v>14.105000000000011</v>
      </c>
      <c r="U5" s="11"/>
      <c r="V5" s="11"/>
      <c r="W5" s="11"/>
      <c r="X5" s="14" t="s">
        <v>29</v>
      </c>
      <c r="Y5" s="28">
        <f>AC5/$Y$13/4</f>
        <v>1.875</v>
      </c>
      <c r="Z5" s="30">
        <v>3</v>
      </c>
      <c r="AA5" s="30">
        <v>5</v>
      </c>
      <c r="AB5" s="30">
        <v>10</v>
      </c>
      <c r="AC5" s="30">
        <v>1200</v>
      </c>
    </row>
    <row r="6" spans="1:29" s="1" customFormat="1" ht="20.399999999999999">
      <c r="A6" s="9">
        <v>1</v>
      </c>
      <c r="B6" s="9">
        <v>49</v>
      </c>
      <c r="C6" s="8">
        <v>311361673</v>
      </c>
      <c r="D6" s="43" t="s">
        <v>105</v>
      </c>
      <c r="E6" s="49" t="s">
        <v>11</v>
      </c>
      <c r="F6" s="10">
        <v>3</v>
      </c>
      <c r="G6" s="10">
        <v>1</v>
      </c>
      <c r="H6" s="50">
        <v>0</v>
      </c>
      <c r="I6" s="50">
        <v>0</v>
      </c>
      <c r="J6" s="50">
        <v>0</v>
      </c>
      <c r="K6" s="14" t="s">
        <v>29</v>
      </c>
      <c r="L6" s="11">
        <f t="shared" si="0"/>
        <v>4</v>
      </c>
      <c r="M6" s="10">
        <f>IF(G6&gt;0,1,0)*$Y$14</f>
        <v>1.2</v>
      </c>
      <c r="N6" s="10">
        <f t="shared" si="1"/>
        <v>0</v>
      </c>
      <c r="O6" s="10">
        <v>0</v>
      </c>
      <c r="P6" s="10">
        <f t="shared" si="2"/>
        <v>5.2</v>
      </c>
      <c r="Q6" s="17">
        <v>11.293749999999992</v>
      </c>
      <c r="R6" s="18">
        <f t="shared" si="3"/>
        <v>16.493749999999991</v>
      </c>
      <c r="S6" s="19">
        <f t="shared" si="4"/>
        <v>1.875</v>
      </c>
      <c r="T6" s="20">
        <f t="shared" si="5"/>
        <v>14.618749999999991</v>
      </c>
      <c r="U6" s="11"/>
      <c r="V6" s="11"/>
      <c r="W6" s="11"/>
      <c r="X6" s="14"/>
      <c r="Y6" s="28"/>
      <c r="Z6" s="30"/>
      <c r="AA6" s="30"/>
      <c r="AB6" s="30"/>
      <c r="AC6" s="30"/>
    </row>
    <row r="7" spans="1:29" s="1" customFormat="1" ht="17.399999999999999">
      <c r="A7" s="9">
        <v>1</v>
      </c>
      <c r="B7" s="8">
        <v>116</v>
      </c>
      <c r="C7" s="8">
        <v>2122596917</v>
      </c>
      <c r="D7" s="42" t="s">
        <v>61</v>
      </c>
      <c r="E7" s="42" t="s">
        <v>37</v>
      </c>
      <c r="F7" s="10">
        <v>3</v>
      </c>
      <c r="G7" s="10">
        <v>1</v>
      </c>
      <c r="H7" s="50">
        <v>0</v>
      </c>
      <c r="I7" s="50">
        <v>0</v>
      </c>
      <c r="J7" s="50">
        <v>0</v>
      </c>
      <c r="K7" s="14" t="s">
        <v>29</v>
      </c>
      <c r="L7" s="11">
        <f t="shared" si="0"/>
        <v>4</v>
      </c>
      <c r="M7" s="10">
        <f t="shared" ref="M7:M38" si="6">G7*$Y$14</f>
        <v>1.2</v>
      </c>
      <c r="N7" s="10">
        <f t="shared" si="1"/>
        <v>0</v>
      </c>
      <c r="O7" s="10">
        <v>0</v>
      </c>
      <c r="P7" s="10">
        <f t="shared" si="2"/>
        <v>5.2</v>
      </c>
      <c r="Q7" s="17">
        <v>8.899999999999995</v>
      </c>
      <c r="R7" s="18">
        <f t="shared" si="3"/>
        <v>14.099999999999994</v>
      </c>
      <c r="S7" s="19">
        <f t="shared" si="4"/>
        <v>1.875</v>
      </c>
      <c r="T7" s="20">
        <f t="shared" si="5"/>
        <v>12.224999999999994</v>
      </c>
      <c r="U7" s="11"/>
      <c r="V7" s="11"/>
      <c r="W7" s="32"/>
      <c r="X7" s="12" t="s">
        <v>53</v>
      </c>
      <c r="Y7" s="28">
        <f>AC7/$Y$13</f>
        <v>8.125</v>
      </c>
      <c r="Z7" s="30">
        <v>4</v>
      </c>
      <c r="AA7" s="30">
        <v>5</v>
      </c>
      <c r="AB7" s="30"/>
      <c r="AC7" s="30">
        <v>1300</v>
      </c>
    </row>
    <row r="8" spans="1:29" s="1" customFormat="1" ht="17.399999999999999">
      <c r="A8" s="9">
        <v>1</v>
      </c>
      <c r="B8" s="8">
        <v>118</v>
      </c>
      <c r="C8" s="8">
        <v>2018112397</v>
      </c>
      <c r="D8" s="42" t="s">
        <v>136</v>
      </c>
      <c r="E8" s="42" t="s">
        <v>54</v>
      </c>
      <c r="F8" s="10">
        <v>3</v>
      </c>
      <c r="G8" s="10">
        <v>1</v>
      </c>
      <c r="H8" s="50">
        <v>0</v>
      </c>
      <c r="I8" s="50">
        <v>0</v>
      </c>
      <c r="J8" s="50">
        <v>0</v>
      </c>
      <c r="K8" s="27" t="s">
        <v>22</v>
      </c>
      <c r="L8" s="11">
        <f t="shared" si="0"/>
        <v>4</v>
      </c>
      <c r="M8" s="10">
        <f t="shared" si="6"/>
        <v>1.2</v>
      </c>
      <c r="N8" s="10">
        <f t="shared" si="1"/>
        <v>0</v>
      </c>
      <c r="O8" s="10">
        <v>0</v>
      </c>
      <c r="P8" s="10">
        <f t="shared" si="2"/>
        <v>5.2</v>
      </c>
      <c r="Q8" s="17">
        <v>17.331249999999983</v>
      </c>
      <c r="R8" s="18">
        <f t="shared" si="3"/>
        <v>22.531249999999982</v>
      </c>
      <c r="S8" s="19">
        <f t="shared" si="4"/>
        <v>11.875</v>
      </c>
      <c r="T8" s="20">
        <f t="shared" si="5"/>
        <v>10.656249999999982</v>
      </c>
      <c r="U8" s="11"/>
      <c r="V8" s="11"/>
      <c r="W8" s="32"/>
      <c r="X8" s="13" t="s">
        <v>52</v>
      </c>
      <c r="Y8" s="28">
        <f>AC8/$Y$13</f>
        <v>6.25</v>
      </c>
      <c r="Z8" s="30">
        <v>3</v>
      </c>
      <c r="AA8" s="30">
        <v>4</v>
      </c>
      <c r="AB8" s="30"/>
      <c r="AC8" s="30">
        <v>1000</v>
      </c>
    </row>
    <row r="9" spans="1:29" s="1" customFormat="1" ht="17.399999999999999">
      <c r="A9" s="9">
        <v>1</v>
      </c>
      <c r="B9" s="8">
        <v>128</v>
      </c>
      <c r="C9" s="8">
        <v>1214614935</v>
      </c>
      <c r="D9" s="42" t="s">
        <v>62</v>
      </c>
      <c r="E9" s="49" t="s">
        <v>43</v>
      </c>
      <c r="F9" s="10">
        <v>3</v>
      </c>
      <c r="G9" s="10">
        <v>1</v>
      </c>
      <c r="H9" s="50">
        <v>0</v>
      </c>
      <c r="I9" s="50">
        <v>0</v>
      </c>
      <c r="J9" s="50">
        <v>0</v>
      </c>
      <c r="K9" s="14" t="s">
        <v>29</v>
      </c>
      <c r="L9" s="11">
        <f t="shared" si="0"/>
        <v>4</v>
      </c>
      <c r="M9" s="10">
        <f t="shared" si="6"/>
        <v>1.2</v>
      </c>
      <c r="N9" s="10">
        <f t="shared" si="1"/>
        <v>0</v>
      </c>
      <c r="O9" s="10">
        <v>0</v>
      </c>
      <c r="P9" s="10">
        <f t="shared" si="2"/>
        <v>5.2</v>
      </c>
      <c r="Q9" s="17">
        <v>10.88699999999999</v>
      </c>
      <c r="R9" s="18">
        <f t="shared" si="3"/>
        <v>16.086999999999989</v>
      </c>
      <c r="S9" s="19">
        <f t="shared" si="4"/>
        <v>1.875</v>
      </c>
      <c r="T9" s="20">
        <f t="shared" si="5"/>
        <v>14.211999999999989</v>
      </c>
      <c r="U9" s="11"/>
      <c r="V9" s="11"/>
      <c r="W9" s="31"/>
      <c r="X9" s="14" t="s">
        <v>53</v>
      </c>
      <c r="Y9" s="28">
        <f>AC9/$Y$13/4</f>
        <v>1.09375</v>
      </c>
      <c r="Z9" s="30">
        <v>2</v>
      </c>
      <c r="AA9" s="30">
        <v>3</v>
      </c>
      <c r="AB9" s="30"/>
      <c r="AC9" s="30">
        <v>700</v>
      </c>
    </row>
    <row r="10" spans="1:29" s="1" customFormat="1" ht="17.399999999999999">
      <c r="A10" s="9">
        <v>1</v>
      </c>
      <c r="B10" s="8">
        <v>156</v>
      </c>
      <c r="C10" s="8">
        <v>1744610165</v>
      </c>
      <c r="D10" s="42" t="s">
        <v>135</v>
      </c>
      <c r="E10" s="42" t="s">
        <v>64</v>
      </c>
      <c r="F10" s="10">
        <v>3</v>
      </c>
      <c r="G10" s="10">
        <v>1</v>
      </c>
      <c r="H10" s="50">
        <v>0</v>
      </c>
      <c r="I10" s="50">
        <v>0</v>
      </c>
      <c r="J10" s="50">
        <v>0</v>
      </c>
      <c r="K10" s="29" t="s">
        <v>28</v>
      </c>
      <c r="L10" s="11">
        <f t="shared" si="0"/>
        <v>4</v>
      </c>
      <c r="M10" s="10">
        <f t="shared" si="6"/>
        <v>1.2</v>
      </c>
      <c r="N10" s="10">
        <f t="shared" si="1"/>
        <v>0</v>
      </c>
      <c r="O10" s="10">
        <v>0</v>
      </c>
      <c r="P10" s="10">
        <f t="shared" si="2"/>
        <v>5.2</v>
      </c>
      <c r="Q10" s="17">
        <v>13.63626612903224</v>
      </c>
      <c r="R10" s="18">
        <f t="shared" si="3"/>
        <v>18.836266129032239</v>
      </c>
      <c r="S10" s="19">
        <f t="shared" si="4"/>
        <v>9.6875</v>
      </c>
      <c r="T10" s="20">
        <f t="shared" si="5"/>
        <v>9.1487661290322393</v>
      </c>
      <c r="U10" s="4"/>
      <c r="V10" s="4"/>
      <c r="W10" s="4"/>
      <c r="X10" s="33" t="s">
        <v>30</v>
      </c>
      <c r="Y10" s="2">
        <v>0</v>
      </c>
      <c r="Z10" s="2"/>
      <c r="AA10" s="2"/>
      <c r="AB10" s="2"/>
      <c r="AC10" s="2"/>
    </row>
    <row r="11" spans="1:29" s="1" customFormat="1" ht="17.399999999999999">
      <c r="A11" s="9">
        <v>1</v>
      </c>
      <c r="B11" s="8">
        <v>172</v>
      </c>
      <c r="C11" s="8">
        <v>724061220</v>
      </c>
      <c r="D11" s="42" t="s">
        <v>65</v>
      </c>
      <c r="E11" s="42" t="s">
        <v>50</v>
      </c>
      <c r="F11" s="10">
        <v>3</v>
      </c>
      <c r="G11" s="10">
        <v>1</v>
      </c>
      <c r="H11" s="50">
        <v>0</v>
      </c>
      <c r="I11" s="50">
        <v>0</v>
      </c>
      <c r="J11" s="50">
        <v>0</v>
      </c>
      <c r="K11" s="14" t="s">
        <v>29</v>
      </c>
      <c r="L11" s="11">
        <f t="shared" si="0"/>
        <v>4</v>
      </c>
      <c r="M11" s="10">
        <f t="shared" si="6"/>
        <v>1.2</v>
      </c>
      <c r="N11" s="10">
        <f t="shared" si="1"/>
        <v>0</v>
      </c>
      <c r="O11" s="10">
        <v>0</v>
      </c>
      <c r="P11" s="10">
        <f t="shared" si="2"/>
        <v>5.2</v>
      </c>
      <c r="Q11" s="17">
        <v>10.518749999999997</v>
      </c>
      <c r="R11" s="18">
        <f t="shared" si="3"/>
        <v>15.718749999999996</v>
      </c>
      <c r="S11" s="19">
        <f t="shared" si="4"/>
        <v>1.875</v>
      </c>
      <c r="T11" s="20">
        <f t="shared" si="5"/>
        <v>13.843749999999996</v>
      </c>
      <c r="U11" s="4"/>
      <c r="V11" s="4"/>
      <c r="W11" s="4"/>
      <c r="X11" s="34"/>
    </row>
    <row r="12" spans="1:29" s="1" customFormat="1" ht="17.399999999999999">
      <c r="A12" s="9">
        <v>1</v>
      </c>
      <c r="B12" s="8">
        <v>174</v>
      </c>
      <c r="C12" s="8">
        <v>775720958</v>
      </c>
      <c r="D12" s="42" t="s">
        <v>79</v>
      </c>
      <c r="E12" s="42" t="s">
        <v>49</v>
      </c>
      <c r="F12" s="10">
        <v>3</v>
      </c>
      <c r="G12" s="10">
        <v>1</v>
      </c>
      <c r="H12" s="50">
        <v>0</v>
      </c>
      <c r="I12" s="50">
        <v>0</v>
      </c>
      <c r="J12" s="50">
        <v>0</v>
      </c>
      <c r="K12" s="27" t="s">
        <v>22</v>
      </c>
      <c r="L12" s="11">
        <f t="shared" si="0"/>
        <v>4</v>
      </c>
      <c r="M12" s="10">
        <f t="shared" si="6"/>
        <v>1.2</v>
      </c>
      <c r="N12" s="10">
        <f t="shared" si="1"/>
        <v>0</v>
      </c>
      <c r="O12" s="10">
        <v>0</v>
      </c>
      <c r="P12" s="10">
        <f t="shared" si="2"/>
        <v>5.2</v>
      </c>
      <c r="Q12" s="17">
        <v>15.124999999999979</v>
      </c>
      <c r="R12" s="18">
        <f t="shared" si="3"/>
        <v>20.324999999999978</v>
      </c>
      <c r="S12" s="19">
        <f t="shared" si="4"/>
        <v>11.875</v>
      </c>
      <c r="T12" s="20">
        <f t="shared" si="5"/>
        <v>8.449999999999978</v>
      </c>
      <c r="U12" s="4"/>
      <c r="V12" s="4"/>
      <c r="W12" s="4"/>
      <c r="X12" s="35" t="s">
        <v>32</v>
      </c>
      <c r="Y12" s="1">
        <v>15000</v>
      </c>
    </row>
    <row r="13" spans="1:29" s="2" customFormat="1" ht="17.399999999999999">
      <c r="A13" s="9">
        <v>1</v>
      </c>
      <c r="B13" s="8">
        <v>178</v>
      </c>
      <c r="C13" s="8">
        <v>1059185275</v>
      </c>
      <c r="D13" s="42" t="s">
        <v>66</v>
      </c>
      <c r="E13" s="47"/>
      <c r="F13" s="10">
        <v>3</v>
      </c>
      <c r="G13" s="10">
        <v>1</v>
      </c>
      <c r="H13" s="50">
        <v>0</v>
      </c>
      <c r="I13" s="50">
        <v>0</v>
      </c>
      <c r="J13" s="50">
        <v>0</v>
      </c>
      <c r="K13" s="27" t="s">
        <v>22</v>
      </c>
      <c r="L13" s="11">
        <f t="shared" si="0"/>
        <v>4</v>
      </c>
      <c r="M13" s="10">
        <f t="shared" si="6"/>
        <v>1.2</v>
      </c>
      <c r="N13" s="10">
        <f t="shared" si="1"/>
        <v>0</v>
      </c>
      <c r="O13" s="10">
        <v>0</v>
      </c>
      <c r="P13" s="10">
        <f t="shared" si="2"/>
        <v>5.2</v>
      </c>
      <c r="Q13" s="17">
        <v>16.162499999999991</v>
      </c>
      <c r="R13" s="18">
        <f t="shared" si="3"/>
        <v>21.36249999999999</v>
      </c>
      <c r="S13" s="19">
        <f t="shared" si="4"/>
        <v>11.875</v>
      </c>
      <c r="T13" s="20">
        <f t="shared" si="5"/>
        <v>9.4874999999999901</v>
      </c>
      <c r="U13" s="4"/>
      <c r="V13" s="4"/>
      <c r="W13" s="4"/>
      <c r="X13" s="36" t="s">
        <v>33</v>
      </c>
      <c r="Y13" s="37">
        <v>160</v>
      </c>
      <c r="Z13" s="1"/>
      <c r="AA13" s="1"/>
      <c r="AB13" s="1"/>
      <c r="AC13" s="1"/>
    </row>
    <row r="14" spans="1:29" s="2" customFormat="1" ht="17.399999999999999">
      <c r="A14" s="9">
        <v>1</v>
      </c>
      <c r="B14" s="8">
        <v>182</v>
      </c>
      <c r="C14" s="8">
        <v>828260319</v>
      </c>
      <c r="D14" s="42" t="s">
        <v>134</v>
      </c>
      <c r="E14" s="42" t="s">
        <v>127</v>
      </c>
      <c r="F14" s="10">
        <v>3</v>
      </c>
      <c r="G14" s="10">
        <v>1</v>
      </c>
      <c r="H14" s="50">
        <v>0</v>
      </c>
      <c r="I14" s="50">
        <v>0</v>
      </c>
      <c r="J14" s="50">
        <v>0</v>
      </c>
      <c r="K14" s="29" t="s">
        <v>28</v>
      </c>
      <c r="L14" s="11">
        <f t="shared" si="0"/>
        <v>4</v>
      </c>
      <c r="M14" s="10">
        <f t="shared" si="6"/>
        <v>1.2</v>
      </c>
      <c r="N14" s="10">
        <f t="shared" si="1"/>
        <v>0</v>
      </c>
      <c r="O14" s="10">
        <v>0</v>
      </c>
      <c r="P14" s="10">
        <f t="shared" si="2"/>
        <v>5.2</v>
      </c>
      <c r="Q14" s="17">
        <v>11.544250000000016</v>
      </c>
      <c r="R14" s="18">
        <f t="shared" si="3"/>
        <v>16.744250000000015</v>
      </c>
      <c r="S14" s="19">
        <f t="shared" si="4"/>
        <v>9.6875</v>
      </c>
      <c r="T14" s="20">
        <f t="shared" si="5"/>
        <v>7.0567500000000152</v>
      </c>
      <c r="U14" s="4"/>
      <c r="V14" s="4"/>
      <c r="W14" s="4"/>
      <c r="X14" s="38" t="s">
        <v>42</v>
      </c>
      <c r="Y14" s="37">
        <v>1.2</v>
      </c>
      <c r="Z14" s="1"/>
      <c r="AA14" s="1"/>
      <c r="AB14" s="1"/>
      <c r="AC14" s="1"/>
    </row>
    <row r="15" spans="1:29" s="2" customFormat="1" ht="17.399999999999999">
      <c r="A15" s="9">
        <v>1</v>
      </c>
      <c r="B15" s="8">
        <v>183</v>
      </c>
      <c r="C15" s="8">
        <v>1250030371</v>
      </c>
      <c r="D15" s="42" t="s">
        <v>130</v>
      </c>
      <c r="E15" s="42" t="s">
        <v>121</v>
      </c>
      <c r="F15" s="10">
        <v>3</v>
      </c>
      <c r="G15" s="10">
        <v>1</v>
      </c>
      <c r="H15" s="50">
        <v>0</v>
      </c>
      <c r="I15" s="50">
        <v>0</v>
      </c>
      <c r="J15" s="50">
        <v>0</v>
      </c>
      <c r="K15" s="27" t="s">
        <v>22</v>
      </c>
      <c r="L15" s="11">
        <f t="shared" si="0"/>
        <v>4</v>
      </c>
      <c r="M15" s="10">
        <f t="shared" si="6"/>
        <v>1.2</v>
      </c>
      <c r="N15" s="10">
        <f t="shared" si="1"/>
        <v>0</v>
      </c>
      <c r="O15" s="10">
        <v>0</v>
      </c>
      <c r="P15" s="10">
        <f t="shared" si="2"/>
        <v>5.2</v>
      </c>
      <c r="Q15" s="17">
        <v>17.893749999999994</v>
      </c>
      <c r="R15" s="18">
        <f t="shared" si="3"/>
        <v>23.093749999999993</v>
      </c>
      <c r="S15" s="19">
        <f t="shared" si="4"/>
        <v>11.875</v>
      </c>
      <c r="T15" s="20">
        <f t="shared" si="5"/>
        <v>11.218749999999993</v>
      </c>
      <c r="U15" s="4"/>
      <c r="V15" s="4"/>
      <c r="W15" s="4"/>
      <c r="X15" s="1" t="s">
        <v>34</v>
      </c>
      <c r="Y15" s="37">
        <v>2021</v>
      </c>
      <c r="Z15" s="1"/>
      <c r="AA15" s="1"/>
      <c r="AB15" s="1"/>
      <c r="AC15" s="1"/>
    </row>
    <row r="16" spans="1:29" s="2" customFormat="1" ht="17.399999999999999">
      <c r="A16" s="9">
        <v>1</v>
      </c>
      <c r="B16" s="8">
        <v>184</v>
      </c>
      <c r="C16" s="8">
        <v>1814130074</v>
      </c>
      <c r="D16" s="42" t="s">
        <v>67</v>
      </c>
      <c r="E16" s="47"/>
      <c r="F16" s="10">
        <v>3</v>
      </c>
      <c r="G16" s="10">
        <v>1</v>
      </c>
      <c r="H16" s="50">
        <v>0</v>
      </c>
      <c r="I16" s="50">
        <v>0</v>
      </c>
      <c r="J16" s="50">
        <v>0</v>
      </c>
      <c r="K16" s="14" t="s">
        <v>29</v>
      </c>
      <c r="L16" s="11">
        <f t="shared" si="0"/>
        <v>4</v>
      </c>
      <c r="M16" s="10">
        <f t="shared" si="6"/>
        <v>1.2</v>
      </c>
      <c r="N16" s="10">
        <f t="shared" si="1"/>
        <v>0</v>
      </c>
      <c r="O16" s="10">
        <v>0</v>
      </c>
      <c r="P16" s="10">
        <f t="shared" si="2"/>
        <v>5.2</v>
      </c>
      <c r="Q16" s="17">
        <v>7.7312500000000171</v>
      </c>
      <c r="R16" s="18">
        <f t="shared" si="3"/>
        <v>12.931250000000016</v>
      </c>
      <c r="S16" s="19">
        <f t="shared" si="4"/>
        <v>1.875</v>
      </c>
      <c r="T16" s="20">
        <f t="shared" si="5"/>
        <v>11.056250000000016</v>
      </c>
      <c r="U16" s="4"/>
      <c r="V16" s="4"/>
      <c r="W16" s="4"/>
      <c r="X16" s="1" t="s">
        <v>35</v>
      </c>
      <c r="Y16" s="37">
        <v>11</v>
      </c>
      <c r="Z16" s="1"/>
      <c r="AA16" s="1"/>
      <c r="AB16" s="1"/>
      <c r="AC16" s="1"/>
    </row>
    <row r="17" spans="1:29" s="2" customFormat="1" ht="17.399999999999999">
      <c r="A17" s="9">
        <v>1</v>
      </c>
      <c r="B17" s="8">
        <v>185</v>
      </c>
      <c r="C17" s="8">
        <v>30705222</v>
      </c>
      <c r="D17" s="42" t="s">
        <v>68</v>
      </c>
      <c r="E17" s="47"/>
      <c r="F17" s="10">
        <v>3</v>
      </c>
      <c r="G17" s="10">
        <v>1</v>
      </c>
      <c r="H17" s="50">
        <v>0</v>
      </c>
      <c r="I17" s="50">
        <v>0</v>
      </c>
      <c r="J17" s="50">
        <v>0</v>
      </c>
      <c r="K17" s="29" t="s">
        <v>28</v>
      </c>
      <c r="L17" s="11">
        <f t="shared" si="0"/>
        <v>4</v>
      </c>
      <c r="M17" s="10">
        <f t="shared" si="6"/>
        <v>1.2</v>
      </c>
      <c r="N17" s="10">
        <f t="shared" si="1"/>
        <v>0</v>
      </c>
      <c r="O17" s="10">
        <v>0</v>
      </c>
      <c r="P17" s="10">
        <f t="shared" si="2"/>
        <v>5.2</v>
      </c>
      <c r="Q17" s="17">
        <v>13.531249999999996</v>
      </c>
      <c r="R17" s="18">
        <f t="shared" si="3"/>
        <v>18.731249999999996</v>
      </c>
      <c r="S17" s="19">
        <f t="shared" si="4"/>
        <v>9.6875</v>
      </c>
      <c r="T17" s="20">
        <f t="shared" si="5"/>
        <v>9.0437499999999957</v>
      </c>
      <c r="U17" s="4"/>
      <c r="V17" s="4"/>
      <c r="W17" s="4"/>
      <c r="X17" s="1" t="s">
        <v>36</v>
      </c>
      <c r="Y17" s="37">
        <v>20</v>
      </c>
      <c r="Z17" s="1"/>
      <c r="AA17" s="1"/>
      <c r="AB17" s="1"/>
      <c r="AC17" s="1"/>
    </row>
    <row r="18" spans="1:29" s="2" customFormat="1" ht="17.399999999999999">
      <c r="A18" s="9">
        <v>1</v>
      </c>
      <c r="B18" s="8">
        <v>189</v>
      </c>
      <c r="C18" s="8">
        <v>522812489</v>
      </c>
      <c r="D18" s="42" t="s">
        <v>70</v>
      </c>
      <c r="E18" s="47"/>
      <c r="F18" s="10">
        <v>3</v>
      </c>
      <c r="G18" s="10">
        <v>1</v>
      </c>
      <c r="H18" s="50">
        <v>0</v>
      </c>
      <c r="I18" s="50">
        <v>0</v>
      </c>
      <c r="J18" s="50">
        <v>0</v>
      </c>
      <c r="K18" s="27" t="s">
        <v>22</v>
      </c>
      <c r="L18" s="11">
        <f t="shared" si="0"/>
        <v>4</v>
      </c>
      <c r="M18" s="10">
        <f t="shared" si="6"/>
        <v>1.2</v>
      </c>
      <c r="N18" s="10">
        <f t="shared" si="1"/>
        <v>0</v>
      </c>
      <c r="O18" s="10">
        <v>0</v>
      </c>
      <c r="P18" s="10">
        <f t="shared" si="2"/>
        <v>5.2</v>
      </c>
      <c r="Q18" s="17">
        <v>17.7</v>
      </c>
      <c r="R18" s="18">
        <f t="shared" si="3"/>
        <v>22.9</v>
      </c>
      <c r="S18" s="19">
        <f t="shared" si="4"/>
        <v>11.875</v>
      </c>
      <c r="T18" s="20">
        <f t="shared" si="5"/>
        <v>11.024999999999999</v>
      </c>
      <c r="U18" s="4"/>
      <c r="V18" s="4"/>
      <c r="W18" s="4"/>
      <c r="X18" s="51" t="s">
        <v>103</v>
      </c>
      <c r="Y18" s="37">
        <v>0.4</v>
      </c>
      <c r="Z18" s="1"/>
      <c r="AA18" s="1"/>
      <c r="AB18" s="1"/>
      <c r="AC18" s="1"/>
    </row>
    <row r="19" spans="1:29" s="2" customFormat="1" ht="17.399999999999999">
      <c r="A19" s="9">
        <v>1</v>
      </c>
      <c r="B19" s="8">
        <v>195</v>
      </c>
      <c r="C19" s="8">
        <v>1634663314</v>
      </c>
      <c r="D19" s="42" t="s">
        <v>73</v>
      </c>
      <c r="E19" s="47"/>
      <c r="F19" s="10">
        <v>3</v>
      </c>
      <c r="G19" s="10">
        <v>1</v>
      </c>
      <c r="H19" s="50">
        <v>0</v>
      </c>
      <c r="I19" s="50">
        <v>0</v>
      </c>
      <c r="J19" s="50">
        <v>0</v>
      </c>
      <c r="K19" s="29" t="s">
        <v>28</v>
      </c>
      <c r="L19" s="11">
        <f t="shared" si="0"/>
        <v>4</v>
      </c>
      <c r="M19" s="10">
        <f t="shared" si="6"/>
        <v>1.2</v>
      </c>
      <c r="N19" s="10">
        <f t="shared" si="1"/>
        <v>0</v>
      </c>
      <c r="O19" s="10">
        <v>0</v>
      </c>
      <c r="P19" s="10">
        <f t="shared" si="2"/>
        <v>5.2</v>
      </c>
      <c r="Q19" s="17">
        <v>14.580749999999984</v>
      </c>
      <c r="R19" s="18">
        <f t="shared" si="3"/>
        <v>19.780749999999983</v>
      </c>
      <c r="S19" s="19">
        <f t="shared" si="4"/>
        <v>9.6875</v>
      </c>
      <c r="T19" s="20">
        <f t="shared" si="5"/>
        <v>10.093249999999983</v>
      </c>
      <c r="U19" s="4"/>
      <c r="V19" s="4"/>
      <c r="W19" s="4"/>
      <c r="X19" s="1"/>
      <c r="Y19" s="1"/>
      <c r="Z19" s="1"/>
      <c r="AA19" s="1"/>
      <c r="AB19" s="1"/>
      <c r="AC19" s="1"/>
    </row>
    <row r="20" spans="1:29" s="2" customFormat="1" ht="17.399999999999999">
      <c r="A20" s="9">
        <v>1</v>
      </c>
      <c r="B20" s="8">
        <v>208</v>
      </c>
      <c r="C20" s="8">
        <v>92129464</v>
      </c>
      <c r="D20" s="42" t="s">
        <v>82</v>
      </c>
      <c r="E20" s="47"/>
      <c r="F20" s="10">
        <v>3</v>
      </c>
      <c r="G20" s="10">
        <v>1</v>
      </c>
      <c r="H20" s="50">
        <v>0</v>
      </c>
      <c r="I20" s="50">
        <v>0</v>
      </c>
      <c r="J20" s="50">
        <v>0</v>
      </c>
      <c r="K20" s="14" t="s">
        <v>29</v>
      </c>
      <c r="L20" s="11">
        <f t="shared" si="0"/>
        <v>4</v>
      </c>
      <c r="M20" s="10">
        <f t="shared" si="6"/>
        <v>1.2</v>
      </c>
      <c r="N20" s="10">
        <f t="shared" si="1"/>
        <v>0</v>
      </c>
      <c r="O20" s="10">
        <v>0</v>
      </c>
      <c r="P20" s="10">
        <f t="shared" si="2"/>
        <v>5.2</v>
      </c>
      <c r="Q20" s="17">
        <v>10.612499999999994</v>
      </c>
      <c r="R20" s="18">
        <f t="shared" si="3"/>
        <v>15.812499999999993</v>
      </c>
      <c r="S20" s="19">
        <f t="shared" si="4"/>
        <v>1.875</v>
      </c>
      <c r="T20" s="20">
        <f t="shared" si="5"/>
        <v>13.937499999999993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7.399999999999999">
      <c r="A21" s="9">
        <v>1</v>
      </c>
      <c r="B21" s="8">
        <v>209</v>
      </c>
      <c r="C21" s="8">
        <v>1525950050</v>
      </c>
      <c r="D21" s="42" t="s">
        <v>85</v>
      </c>
      <c r="E21" s="42" t="s">
        <v>83</v>
      </c>
      <c r="F21" s="10">
        <v>3</v>
      </c>
      <c r="G21" s="10">
        <v>1</v>
      </c>
      <c r="H21" s="50">
        <v>0</v>
      </c>
      <c r="I21" s="50">
        <v>0</v>
      </c>
      <c r="J21" s="50">
        <v>0</v>
      </c>
      <c r="K21" s="14" t="s">
        <v>29</v>
      </c>
      <c r="L21" s="11">
        <f t="shared" si="0"/>
        <v>4</v>
      </c>
      <c r="M21" s="10">
        <f t="shared" si="6"/>
        <v>1.2</v>
      </c>
      <c r="N21" s="10">
        <f t="shared" si="1"/>
        <v>0</v>
      </c>
      <c r="O21" s="10">
        <v>0</v>
      </c>
      <c r="P21" s="10">
        <f t="shared" si="2"/>
        <v>5.2</v>
      </c>
      <c r="Q21" s="17">
        <v>9.2124999999999879</v>
      </c>
      <c r="R21" s="18">
        <f t="shared" si="3"/>
        <v>14.412499999999987</v>
      </c>
      <c r="S21" s="19">
        <f t="shared" si="4"/>
        <v>1.875</v>
      </c>
      <c r="T21" s="20">
        <f t="shared" si="5"/>
        <v>12.537499999999987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7.399999999999999">
      <c r="A22" s="9">
        <v>1</v>
      </c>
      <c r="B22" s="8">
        <v>212</v>
      </c>
      <c r="C22" s="8">
        <v>2133045883</v>
      </c>
      <c r="D22" s="42" t="s">
        <v>137</v>
      </c>
      <c r="E22" s="42" t="s">
        <v>84</v>
      </c>
      <c r="F22" s="10">
        <v>3</v>
      </c>
      <c r="G22" s="10">
        <v>1</v>
      </c>
      <c r="H22" s="50">
        <v>0</v>
      </c>
      <c r="I22" s="50">
        <v>0</v>
      </c>
      <c r="J22" s="50">
        <v>0</v>
      </c>
      <c r="K22" s="14" t="s">
        <v>29</v>
      </c>
      <c r="L22" s="11">
        <f t="shared" si="0"/>
        <v>4</v>
      </c>
      <c r="M22" s="10">
        <f t="shared" si="6"/>
        <v>1.2</v>
      </c>
      <c r="N22" s="10">
        <f t="shared" si="1"/>
        <v>0</v>
      </c>
      <c r="O22" s="10">
        <v>0</v>
      </c>
      <c r="P22" s="10">
        <f t="shared" si="2"/>
        <v>5.2</v>
      </c>
      <c r="Q22" s="17">
        <v>10.106249999999982</v>
      </c>
      <c r="R22" s="18">
        <f t="shared" si="3"/>
        <v>15.306249999999981</v>
      </c>
      <c r="S22" s="19">
        <f t="shared" si="4"/>
        <v>1.875</v>
      </c>
      <c r="T22" s="20">
        <f t="shared" si="5"/>
        <v>13.431249999999981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20.399999999999999">
      <c r="A23" s="9">
        <v>1</v>
      </c>
      <c r="B23" s="8">
        <v>213</v>
      </c>
      <c r="C23" s="8">
        <v>311361673</v>
      </c>
      <c r="D23" s="42" t="s">
        <v>55</v>
      </c>
      <c r="E23" s="2"/>
      <c r="F23" s="10">
        <v>3</v>
      </c>
      <c r="G23" s="10">
        <v>1</v>
      </c>
      <c r="H23" s="50">
        <v>0</v>
      </c>
      <c r="I23" s="50">
        <v>0</v>
      </c>
      <c r="J23" s="50">
        <v>0</v>
      </c>
      <c r="K23" s="14" t="s">
        <v>29</v>
      </c>
      <c r="L23" s="11">
        <f t="shared" si="0"/>
        <v>4</v>
      </c>
      <c r="M23" s="10">
        <f t="shared" si="6"/>
        <v>1.2</v>
      </c>
      <c r="N23" s="10">
        <f t="shared" si="1"/>
        <v>0</v>
      </c>
      <c r="O23" s="10">
        <v>0</v>
      </c>
      <c r="P23" s="10">
        <f t="shared" si="2"/>
        <v>5.2</v>
      </c>
      <c r="Q23" s="17">
        <v>2.4687499999999947</v>
      </c>
      <c r="R23" s="18">
        <f t="shared" si="3"/>
        <v>7.6687499999999948</v>
      </c>
      <c r="S23" s="19">
        <f t="shared" si="4"/>
        <v>1.875</v>
      </c>
      <c r="T23" s="20">
        <f t="shared" si="5"/>
        <v>5.7937499999999948</v>
      </c>
      <c r="U23" s="4"/>
      <c r="V23" s="4"/>
      <c r="W23" s="4"/>
    </row>
    <row r="24" spans="1:29" s="1" customFormat="1" ht="17.399999999999999">
      <c r="A24" s="9">
        <v>1</v>
      </c>
      <c r="B24" s="8">
        <v>215</v>
      </c>
      <c r="C24" s="8">
        <v>289805855</v>
      </c>
      <c r="D24" s="42" t="s">
        <v>87</v>
      </c>
      <c r="E24" s="2"/>
      <c r="F24" s="10">
        <v>3</v>
      </c>
      <c r="G24" s="10">
        <v>1</v>
      </c>
      <c r="H24" s="50">
        <v>0</v>
      </c>
      <c r="I24" s="50">
        <v>0</v>
      </c>
      <c r="J24" s="50">
        <v>0</v>
      </c>
      <c r="K24" s="29" t="s">
        <v>28</v>
      </c>
      <c r="L24" s="11">
        <f t="shared" si="0"/>
        <v>4</v>
      </c>
      <c r="M24" s="10">
        <f t="shared" si="6"/>
        <v>1.2</v>
      </c>
      <c r="N24" s="10">
        <f t="shared" si="1"/>
        <v>0</v>
      </c>
      <c r="O24" s="10">
        <v>0</v>
      </c>
      <c r="P24" s="10">
        <f t="shared" si="2"/>
        <v>5.2</v>
      </c>
      <c r="Q24" s="17">
        <v>14.950499999999987</v>
      </c>
      <c r="R24" s="18">
        <f t="shared" si="3"/>
        <v>20.150499999999987</v>
      </c>
      <c r="S24" s="19">
        <f t="shared" si="4"/>
        <v>9.6875</v>
      </c>
      <c r="T24" s="20">
        <f t="shared" si="5"/>
        <v>10.462999999999987</v>
      </c>
      <c r="U24" s="4"/>
      <c r="V24" s="4"/>
      <c r="W24" s="4"/>
    </row>
    <row r="25" spans="1:29" s="1" customFormat="1" ht="20.399999999999999">
      <c r="A25" s="9">
        <v>1</v>
      </c>
      <c r="B25" s="8">
        <v>221</v>
      </c>
      <c r="C25" s="8">
        <v>790956883</v>
      </c>
      <c r="D25" s="42" t="s">
        <v>96</v>
      </c>
      <c r="E25" s="42" t="s">
        <v>95</v>
      </c>
      <c r="F25" s="10">
        <v>3</v>
      </c>
      <c r="G25" s="10">
        <v>1</v>
      </c>
      <c r="H25" s="50">
        <v>0</v>
      </c>
      <c r="I25" s="50">
        <v>0</v>
      </c>
      <c r="J25" s="50">
        <v>0</v>
      </c>
      <c r="K25" s="14" t="s">
        <v>29</v>
      </c>
      <c r="L25" s="11">
        <f t="shared" si="0"/>
        <v>4</v>
      </c>
      <c r="M25" s="10">
        <f t="shared" si="6"/>
        <v>1.2</v>
      </c>
      <c r="N25" s="10">
        <f t="shared" si="1"/>
        <v>0</v>
      </c>
      <c r="O25" s="10">
        <v>0</v>
      </c>
      <c r="P25" s="10">
        <f t="shared" si="2"/>
        <v>5.2</v>
      </c>
      <c r="Q25" s="17">
        <v>10.568749999999991</v>
      </c>
      <c r="R25" s="18">
        <f t="shared" si="3"/>
        <v>15.76874999999999</v>
      </c>
      <c r="S25" s="19">
        <f t="shared" si="4"/>
        <v>1.875</v>
      </c>
      <c r="T25" s="20">
        <f t="shared" si="5"/>
        <v>13.89374999999999</v>
      </c>
      <c r="U25" s="4"/>
      <c r="V25" s="4"/>
      <c r="W25" s="4"/>
    </row>
    <row r="26" spans="1:29" s="1" customFormat="1" ht="18.75" customHeight="1">
      <c r="A26" s="9">
        <v>1</v>
      </c>
      <c r="B26" s="8">
        <v>225</v>
      </c>
      <c r="C26" s="8">
        <v>1963965829</v>
      </c>
      <c r="D26" s="42" t="s">
        <v>107</v>
      </c>
      <c r="E26" s="42"/>
      <c r="F26" s="10">
        <v>3</v>
      </c>
      <c r="G26" s="10">
        <v>1</v>
      </c>
      <c r="H26" s="50">
        <v>0</v>
      </c>
      <c r="I26" s="50">
        <v>0</v>
      </c>
      <c r="J26" s="50">
        <v>0</v>
      </c>
      <c r="K26" s="27" t="s">
        <v>22</v>
      </c>
      <c r="L26" s="11">
        <f t="shared" si="0"/>
        <v>4</v>
      </c>
      <c r="M26" s="10">
        <f t="shared" si="6"/>
        <v>1.2</v>
      </c>
      <c r="N26" s="10">
        <f t="shared" si="1"/>
        <v>0</v>
      </c>
      <c r="O26" s="10">
        <v>0</v>
      </c>
      <c r="P26" s="10">
        <f t="shared" si="2"/>
        <v>5.2</v>
      </c>
      <c r="Q26" s="17">
        <v>16.210736940298492</v>
      </c>
      <c r="R26" s="18">
        <f t="shared" si="3"/>
        <v>21.410736940298492</v>
      </c>
      <c r="S26" s="19">
        <f t="shared" si="4"/>
        <v>11.875</v>
      </c>
      <c r="T26" s="20">
        <f t="shared" si="5"/>
        <v>9.5357369402984915</v>
      </c>
      <c r="U26" s="4"/>
      <c r="V26" s="4"/>
      <c r="W26" s="4"/>
    </row>
    <row r="27" spans="1:29" s="1" customFormat="1" ht="17.399999999999999">
      <c r="A27" s="9">
        <v>1</v>
      </c>
      <c r="B27" s="9">
        <v>230</v>
      </c>
      <c r="C27" s="8">
        <v>1076026693</v>
      </c>
      <c r="D27" s="42" t="s">
        <v>111</v>
      </c>
      <c r="E27" s="4"/>
      <c r="F27" s="10">
        <v>3</v>
      </c>
      <c r="G27" s="10">
        <v>1</v>
      </c>
      <c r="H27" s="50">
        <v>0</v>
      </c>
      <c r="I27" s="50">
        <v>0</v>
      </c>
      <c r="J27" s="50">
        <v>0</v>
      </c>
      <c r="K27" s="14" t="s">
        <v>29</v>
      </c>
      <c r="L27" s="11">
        <f t="shared" si="0"/>
        <v>4</v>
      </c>
      <c r="M27" s="10">
        <f t="shared" si="6"/>
        <v>1.2</v>
      </c>
      <c r="N27" s="10">
        <f t="shared" si="1"/>
        <v>0</v>
      </c>
      <c r="O27" s="10">
        <v>0</v>
      </c>
      <c r="P27" s="10">
        <f t="shared" si="2"/>
        <v>5.2</v>
      </c>
      <c r="Q27" s="17">
        <v>8.0749999999999922</v>
      </c>
      <c r="R27" s="18">
        <f t="shared" si="3"/>
        <v>13.274999999999991</v>
      </c>
      <c r="S27" s="19">
        <f t="shared" si="4"/>
        <v>1.875</v>
      </c>
      <c r="T27" s="20">
        <f t="shared" si="5"/>
        <v>11.399999999999991</v>
      </c>
      <c r="U27" s="4"/>
      <c r="V27" s="4"/>
      <c r="W27" s="4"/>
    </row>
    <row r="28" spans="1:29" s="1" customFormat="1" ht="17.399999999999999">
      <c r="A28" s="9">
        <v>1</v>
      </c>
      <c r="B28" s="9">
        <v>231</v>
      </c>
      <c r="C28" s="8">
        <v>1725915293</v>
      </c>
      <c r="D28" s="42" t="s">
        <v>112</v>
      </c>
      <c r="E28" s="4"/>
      <c r="F28" s="10">
        <v>3</v>
      </c>
      <c r="G28" s="10">
        <v>1</v>
      </c>
      <c r="H28" s="50">
        <v>0</v>
      </c>
      <c r="I28" s="50">
        <v>0</v>
      </c>
      <c r="J28" s="50">
        <v>0</v>
      </c>
      <c r="K28" s="27" t="s">
        <v>22</v>
      </c>
      <c r="L28" s="11">
        <f t="shared" si="0"/>
        <v>4</v>
      </c>
      <c r="M28" s="10">
        <f t="shared" si="6"/>
        <v>1.2</v>
      </c>
      <c r="N28" s="10">
        <f t="shared" si="1"/>
        <v>0</v>
      </c>
      <c r="O28" s="10">
        <v>0</v>
      </c>
      <c r="P28" s="10">
        <f t="shared" si="2"/>
        <v>5.2</v>
      </c>
      <c r="Q28" s="17">
        <v>16.643749999999994</v>
      </c>
      <c r="R28" s="18">
        <f t="shared" si="3"/>
        <v>21.843749999999993</v>
      </c>
      <c r="S28" s="19">
        <f t="shared" si="4"/>
        <v>11.875</v>
      </c>
      <c r="T28" s="20">
        <f t="shared" si="5"/>
        <v>9.9687499999999929</v>
      </c>
      <c r="U28" s="4"/>
      <c r="V28" s="4"/>
      <c r="W28" s="4"/>
    </row>
    <row r="29" spans="1:29" s="2" customFormat="1" ht="17.399999999999999">
      <c r="A29" s="9">
        <v>1</v>
      </c>
      <c r="B29" s="8">
        <v>232</v>
      </c>
      <c r="C29" s="8">
        <v>1088909927</v>
      </c>
      <c r="D29" s="42" t="s">
        <v>113</v>
      </c>
      <c r="E29" s="4"/>
      <c r="F29" s="10">
        <v>3</v>
      </c>
      <c r="G29" s="10">
        <v>1</v>
      </c>
      <c r="H29" s="50">
        <v>0</v>
      </c>
      <c r="I29" s="50">
        <v>0</v>
      </c>
      <c r="J29" s="50">
        <v>0</v>
      </c>
      <c r="K29" s="27" t="s">
        <v>22</v>
      </c>
      <c r="L29" s="11">
        <f t="shared" si="0"/>
        <v>4</v>
      </c>
      <c r="M29" s="10">
        <f t="shared" si="6"/>
        <v>1.2</v>
      </c>
      <c r="N29" s="10">
        <f t="shared" si="1"/>
        <v>0</v>
      </c>
      <c r="O29" s="10">
        <v>0</v>
      </c>
      <c r="P29" s="10">
        <f t="shared" si="2"/>
        <v>5.2</v>
      </c>
      <c r="Q29" s="17">
        <v>15.681249999999995</v>
      </c>
      <c r="R29" s="18">
        <f t="shared" si="3"/>
        <v>20.881249999999994</v>
      </c>
      <c r="S29" s="19">
        <f t="shared" si="4"/>
        <v>11.875</v>
      </c>
      <c r="T29" s="20">
        <f t="shared" si="5"/>
        <v>9.0062499999999943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7.399999999999999">
      <c r="A30" s="9">
        <v>1</v>
      </c>
      <c r="B30" s="8">
        <v>236</v>
      </c>
      <c r="C30" s="8">
        <v>1968448898</v>
      </c>
      <c r="D30" s="42" t="s">
        <v>118</v>
      </c>
      <c r="E30" s="4"/>
      <c r="F30" s="10">
        <v>3</v>
      </c>
      <c r="G30" s="10">
        <v>1</v>
      </c>
      <c r="H30" s="50">
        <v>0</v>
      </c>
      <c r="I30" s="50">
        <v>0</v>
      </c>
      <c r="J30" s="50">
        <v>0</v>
      </c>
      <c r="K30" s="14" t="s">
        <v>29</v>
      </c>
      <c r="L30" s="11">
        <f t="shared" si="0"/>
        <v>4</v>
      </c>
      <c r="M30" s="10">
        <f t="shared" si="6"/>
        <v>1.2</v>
      </c>
      <c r="N30" s="10">
        <f t="shared" si="1"/>
        <v>0</v>
      </c>
      <c r="O30" s="10">
        <v>0</v>
      </c>
      <c r="P30" s="10">
        <f t="shared" si="2"/>
        <v>5.2</v>
      </c>
      <c r="Q30" s="17">
        <v>10.581249999999986</v>
      </c>
      <c r="R30" s="18">
        <f t="shared" si="3"/>
        <v>15.781249999999986</v>
      </c>
      <c r="S30" s="19">
        <f t="shared" si="4"/>
        <v>1.875</v>
      </c>
      <c r="T30" s="20">
        <f t="shared" si="5"/>
        <v>13.906249999999986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7.399999999999999">
      <c r="A31" s="9">
        <v>1</v>
      </c>
      <c r="B31" s="8">
        <v>240</v>
      </c>
      <c r="C31" s="8">
        <v>289805855</v>
      </c>
      <c r="D31" s="42" t="s">
        <v>123</v>
      </c>
      <c r="E31" s="4"/>
      <c r="F31" s="10">
        <v>3</v>
      </c>
      <c r="G31" s="10">
        <v>1</v>
      </c>
      <c r="H31" s="50">
        <v>0</v>
      </c>
      <c r="I31" s="50">
        <v>0</v>
      </c>
      <c r="J31" s="50">
        <v>0</v>
      </c>
      <c r="K31" s="14" t="s">
        <v>29</v>
      </c>
      <c r="L31" s="11">
        <f t="shared" si="0"/>
        <v>4</v>
      </c>
      <c r="M31" s="10">
        <f t="shared" si="6"/>
        <v>1.2</v>
      </c>
      <c r="N31" s="10">
        <f t="shared" si="1"/>
        <v>0</v>
      </c>
      <c r="O31" s="10">
        <v>0</v>
      </c>
      <c r="P31" s="10">
        <f t="shared" si="2"/>
        <v>5.2</v>
      </c>
      <c r="Q31" s="17">
        <v>6.2750000000000021</v>
      </c>
      <c r="R31" s="18">
        <f t="shared" si="3"/>
        <v>11.475000000000001</v>
      </c>
      <c r="S31" s="19">
        <f t="shared" si="4"/>
        <v>1.875</v>
      </c>
      <c r="T31" s="20">
        <f t="shared" si="5"/>
        <v>9.6000000000000014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7.399999999999999">
      <c r="A32" s="9">
        <v>1</v>
      </c>
      <c r="B32" s="8">
        <v>242</v>
      </c>
      <c r="C32" s="8">
        <v>1381736232</v>
      </c>
      <c r="D32" s="42" t="s">
        <v>125</v>
      </c>
      <c r="E32" s="4"/>
      <c r="F32" s="10">
        <v>3</v>
      </c>
      <c r="G32" s="10">
        <v>1</v>
      </c>
      <c r="H32" s="50">
        <v>0</v>
      </c>
      <c r="I32" s="50">
        <v>0</v>
      </c>
      <c r="J32" s="50">
        <v>0</v>
      </c>
      <c r="K32" s="14" t="s">
        <v>29</v>
      </c>
      <c r="L32" s="11">
        <f t="shared" si="0"/>
        <v>4</v>
      </c>
      <c r="M32" s="10">
        <f t="shared" si="6"/>
        <v>1.2</v>
      </c>
      <c r="N32" s="10">
        <f t="shared" si="1"/>
        <v>0</v>
      </c>
      <c r="O32" s="10">
        <v>0</v>
      </c>
      <c r="P32" s="10">
        <f t="shared" si="2"/>
        <v>5.2</v>
      </c>
      <c r="Q32" s="17">
        <v>8.3687499999999879</v>
      </c>
      <c r="R32" s="18">
        <f t="shared" si="3"/>
        <v>13.568749999999987</v>
      </c>
      <c r="S32" s="19">
        <f t="shared" si="4"/>
        <v>1.875</v>
      </c>
      <c r="T32" s="20">
        <f t="shared" si="5"/>
        <v>11.693749999999987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7.399999999999999">
      <c r="A33" s="9">
        <v>1</v>
      </c>
      <c r="B33" s="8">
        <v>243</v>
      </c>
      <c r="C33" s="5"/>
      <c r="D33" s="42" t="s">
        <v>133</v>
      </c>
      <c r="E33" s="4"/>
      <c r="F33" s="10">
        <v>3</v>
      </c>
      <c r="G33" s="10">
        <v>1</v>
      </c>
      <c r="H33" s="50">
        <v>0</v>
      </c>
      <c r="I33" s="50">
        <v>0</v>
      </c>
      <c r="J33" s="50">
        <v>0</v>
      </c>
      <c r="K33" s="14" t="s">
        <v>29</v>
      </c>
      <c r="L33" s="11">
        <f t="shared" si="0"/>
        <v>4</v>
      </c>
      <c r="M33" s="10">
        <f t="shared" si="6"/>
        <v>1.2</v>
      </c>
      <c r="N33" s="10">
        <f t="shared" si="1"/>
        <v>0</v>
      </c>
      <c r="O33" s="10">
        <v>0</v>
      </c>
      <c r="P33" s="10">
        <f t="shared" si="2"/>
        <v>5.2</v>
      </c>
      <c r="Q33" s="17">
        <v>6.1062499999999993</v>
      </c>
      <c r="R33" s="18">
        <f t="shared" si="3"/>
        <v>11.306249999999999</v>
      </c>
      <c r="S33" s="19">
        <f t="shared" si="4"/>
        <v>1.875</v>
      </c>
      <c r="T33" s="20">
        <f t="shared" si="5"/>
        <v>9.4312499999999986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7.399999999999999">
      <c r="A34" s="9">
        <v>1</v>
      </c>
      <c r="B34" s="8">
        <v>202</v>
      </c>
      <c r="C34" s="8">
        <v>471245585</v>
      </c>
      <c r="D34" s="42" t="s">
        <v>77</v>
      </c>
      <c r="E34" s="47"/>
      <c r="F34" s="10">
        <v>2</v>
      </c>
      <c r="G34" s="10">
        <v>1</v>
      </c>
      <c r="H34" s="50">
        <v>0</v>
      </c>
      <c r="I34" s="50">
        <v>0</v>
      </c>
      <c r="J34" s="50">
        <v>0</v>
      </c>
      <c r="K34" s="14" t="s">
        <v>29</v>
      </c>
      <c r="L34" s="11">
        <f t="shared" si="0"/>
        <v>2</v>
      </c>
      <c r="M34" s="10">
        <f t="shared" si="6"/>
        <v>1.2</v>
      </c>
      <c r="N34" s="10">
        <f t="shared" si="1"/>
        <v>0</v>
      </c>
      <c r="O34" s="10">
        <v>0</v>
      </c>
      <c r="P34" s="10">
        <f t="shared" si="2"/>
        <v>3.2</v>
      </c>
      <c r="Q34" s="17">
        <v>11.174999999999986</v>
      </c>
      <c r="R34" s="18">
        <f t="shared" si="3"/>
        <v>14.374999999999986</v>
      </c>
      <c r="S34" s="19">
        <f t="shared" si="4"/>
        <v>1.875</v>
      </c>
      <c r="T34" s="20">
        <f t="shared" si="5"/>
        <v>12.499999999999986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7.399999999999999">
      <c r="A35" s="9">
        <v>1</v>
      </c>
      <c r="B35" s="8">
        <v>216</v>
      </c>
      <c r="C35" s="8">
        <v>395700385</v>
      </c>
      <c r="D35" s="42" t="s">
        <v>88</v>
      </c>
      <c r="F35" s="10">
        <v>2</v>
      </c>
      <c r="G35" s="10">
        <v>1</v>
      </c>
      <c r="H35" s="50">
        <v>0</v>
      </c>
      <c r="I35" s="50">
        <v>0</v>
      </c>
      <c r="J35" s="50">
        <v>0</v>
      </c>
      <c r="K35" s="29" t="s">
        <v>28</v>
      </c>
      <c r="L35" s="11">
        <f t="shared" si="0"/>
        <v>2</v>
      </c>
      <c r="M35" s="10">
        <f t="shared" si="6"/>
        <v>1.2</v>
      </c>
      <c r="N35" s="10">
        <f t="shared" si="1"/>
        <v>0</v>
      </c>
      <c r="O35" s="10">
        <v>0</v>
      </c>
      <c r="P35" s="10">
        <f t="shared" si="2"/>
        <v>3.2</v>
      </c>
      <c r="Q35" s="17">
        <v>14.950201612903211</v>
      </c>
      <c r="R35" s="18">
        <f t="shared" si="3"/>
        <v>18.15020161290321</v>
      </c>
      <c r="S35" s="19">
        <f t="shared" si="4"/>
        <v>9.6875</v>
      </c>
      <c r="T35" s="20">
        <f t="shared" si="5"/>
        <v>8.46270161290321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7.399999999999999">
      <c r="A36" s="9">
        <v>1</v>
      </c>
      <c r="B36" s="8">
        <v>234</v>
      </c>
      <c r="C36" s="8">
        <v>1333428907</v>
      </c>
      <c r="D36" s="42" t="s">
        <v>128</v>
      </c>
      <c r="E36" s="42" t="s">
        <v>115</v>
      </c>
      <c r="F36" s="10">
        <v>2</v>
      </c>
      <c r="G36" s="10">
        <v>0</v>
      </c>
      <c r="H36" s="50">
        <v>0</v>
      </c>
      <c r="I36" s="50">
        <v>0</v>
      </c>
      <c r="J36" s="50">
        <v>0</v>
      </c>
      <c r="K36" s="29" t="s">
        <v>28</v>
      </c>
      <c r="L36" s="11">
        <f t="shared" si="0"/>
        <v>2</v>
      </c>
      <c r="M36" s="10">
        <f t="shared" si="6"/>
        <v>0</v>
      </c>
      <c r="N36" s="10">
        <f t="shared" si="1"/>
        <v>0</v>
      </c>
      <c r="O36" s="10">
        <v>0</v>
      </c>
      <c r="P36" s="10">
        <f t="shared" si="2"/>
        <v>2</v>
      </c>
      <c r="Q36" s="17">
        <v>17.75</v>
      </c>
      <c r="R36" s="18">
        <f t="shared" si="3"/>
        <v>19.75</v>
      </c>
      <c r="S36" s="19">
        <f t="shared" si="4"/>
        <v>9.6875</v>
      </c>
      <c r="T36" s="20">
        <f t="shared" si="5"/>
        <v>10.0625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7.399999999999999">
      <c r="A37" s="9">
        <v>1</v>
      </c>
      <c r="B37" s="9">
        <v>26</v>
      </c>
      <c r="C37" s="8">
        <v>1754932067</v>
      </c>
      <c r="D37" s="42" t="s">
        <v>58</v>
      </c>
      <c r="E37" s="42" t="s">
        <v>9</v>
      </c>
      <c r="F37" s="10">
        <v>1</v>
      </c>
      <c r="G37" s="10">
        <v>1</v>
      </c>
      <c r="H37" s="50">
        <v>0</v>
      </c>
      <c r="I37" s="50">
        <v>0</v>
      </c>
      <c r="J37" s="50">
        <v>0</v>
      </c>
      <c r="K37" s="14" t="s">
        <v>29</v>
      </c>
      <c r="L37" s="11">
        <f t="shared" ref="L37:L70" si="7">F37+IF(F37&gt;2,(F37-2)*1,0)</f>
        <v>1</v>
      </c>
      <c r="M37" s="10">
        <f t="shared" si="6"/>
        <v>1.2</v>
      </c>
      <c r="N37" s="10">
        <f t="shared" ref="N37:N70" si="8">SUM(H37:J37)*$Y$18</f>
        <v>0</v>
      </c>
      <c r="O37" s="10">
        <v>0</v>
      </c>
      <c r="P37" s="10">
        <f t="shared" ref="P37:P68" si="9">SUM(M37+L37+O37+N37)</f>
        <v>2.2000000000000002</v>
      </c>
      <c r="Q37" s="17">
        <v>9.0374999999999979</v>
      </c>
      <c r="R37" s="18">
        <f t="shared" ref="R37:R68" si="10">P37+Q37</f>
        <v>11.237499999999997</v>
      </c>
      <c r="S37" s="19">
        <f t="shared" ref="S37:S70" si="11">VLOOKUP(K37,$X$3:$Y$10,2,FALSE)</f>
        <v>1.875</v>
      </c>
      <c r="T37" s="20">
        <f t="shared" ref="T37:T68" si="12">R37-S37</f>
        <v>9.3624999999999972</v>
      </c>
      <c r="U37" s="11"/>
      <c r="V37" s="11"/>
      <c r="W37" s="11"/>
    </row>
    <row r="38" spans="1:29" s="2" customFormat="1" ht="17.399999999999999">
      <c r="A38" s="9">
        <v>1</v>
      </c>
      <c r="B38" s="9">
        <v>92</v>
      </c>
      <c r="C38" s="8">
        <v>1367873925</v>
      </c>
      <c r="D38" s="42" t="s">
        <v>80</v>
      </c>
      <c r="E38" s="42" t="s">
        <v>31</v>
      </c>
      <c r="F38" s="10">
        <v>1</v>
      </c>
      <c r="G38" s="10">
        <v>1</v>
      </c>
      <c r="H38" s="50">
        <v>0</v>
      </c>
      <c r="I38" s="50">
        <v>0</v>
      </c>
      <c r="J38" s="50">
        <v>0</v>
      </c>
      <c r="K38" s="29" t="s">
        <v>28</v>
      </c>
      <c r="L38" s="11">
        <f t="shared" si="7"/>
        <v>1</v>
      </c>
      <c r="M38" s="10">
        <f t="shared" si="6"/>
        <v>1.2</v>
      </c>
      <c r="N38" s="10">
        <f t="shared" si="8"/>
        <v>0</v>
      </c>
      <c r="O38" s="10">
        <v>0</v>
      </c>
      <c r="P38" s="10">
        <f t="shared" si="9"/>
        <v>2.2000000000000002</v>
      </c>
      <c r="Q38" s="17">
        <v>15.106249999999989</v>
      </c>
      <c r="R38" s="18">
        <f t="shared" si="10"/>
        <v>17.306249999999988</v>
      </c>
      <c r="S38" s="19">
        <f t="shared" si="11"/>
        <v>9.6875</v>
      </c>
      <c r="T38" s="20">
        <f t="shared" si="12"/>
        <v>7.6187499999999879</v>
      </c>
      <c r="U38" s="11"/>
      <c r="V38" s="11"/>
      <c r="W38" s="31"/>
      <c r="X38" s="1"/>
      <c r="Y38" s="1"/>
      <c r="Z38" s="1"/>
      <c r="AA38" s="1"/>
      <c r="AB38" s="1"/>
      <c r="AC38" s="1"/>
    </row>
    <row r="39" spans="1:29" s="3" customFormat="1" ht="17.399999999999999">
      <c r="A39" s="9">
        <v>1</v>
      </c>
      <c r="B39" s="8">
        <v>200</v>
      </c>
      <c r="C39" s="8">
        <v>967589156</v>
      </c>
      <c r="D39" s="42" t="s">
        <v>76</v>
      </c>
      <c r="E39" s="47"/>
      <c r="F39" s="10">
        <v>1</v>
      </c>
      <c r="G39" s="10">
        <v>1</v>
      </c>
      <c r="H39" s="50">
        <v>0</v>
      </c>
      <c r="I39" s="50">
        <v>0</v>
      </c>
      <c r="J39" s="50">
        <v>0</v>
      </c>
      <c r="K39" s="14" t="s">
        <v>29</v>
      </c>
      <c r="L39" s="11">
        <f t="shared" si="7"/>
        <v>1</v>
      </c>
      <c r="M39" s="10">
        <f t="shared" ref="M39:M70" si="13">G39*$Y$14</f>
        <v>1.2</v>
      </c>
      <c r="N39" s="10">
        <f t="shared" si="8"/>
        <v>0</v>
      </c>
      <c r="O39" s="10">
        <v>0</v>
      </c>
      <c r="P39" s="10">
        <f t="shared" si="9"/>
        <v>2.2000000000000002</v>
      </c>
      <c r="Q39" s="17">
        <v>5.9437500000000121</v>
      </c>
      <c r="R39" s="18">
        <f t="shared" si="10"/>
        <v>8.1437500000000114</v>
      </c>
      <c r="S39" s="19">
        <f t="shared" si="11"/>
        <v>1.875</v>
      </c>
      <c r="T39" s="20">
        <f t="shared" si="12"/>
        <v>6.2687500000000114</v>
      </c>
      <c r="U39" s="4"/>
      <c r="V39" s="4"/>
      <c r="W39" s="4"/>
    </row>
    <row r="40" spans="1:29" ht="17.399999999999999">
      <c r="A40" s="9">
        <v>1</v>
      </c>
      <c r="B40" s="8">
        <v>238</v>
      </c>
      <c r="C40" s="8">
        <v>108179057</v>
      </c>
      <c r="D40" s="42" t="s">
        <v>120</v>
      </c>
      <c r="F40" s="10">
        <v>1</v>
      </c>
      <c r="G40" s="10">
        <v>1</v>
      </c>
      <c r="H40" s="50">
        <v>0</v>
      </c>
      <c r="I40" s="50">
        <v>0</v>
      </c>
      <c r="J40" s="50">
        <v>0</v>
      </c>
      <c r="K40" s="14" t="s">
        <v>29</v>
      </c>
      <c r="L40" s="11">
        <f t="shared" si="7"/>
        <v>1</v>
      </c>
      <c r="M40" s="10">
        <f t="shared" si="13"/>
        <v>1.2</v>
      </c>
      <c r="N40" s="10">
        <f t="shared" si="8"/>
        <v>0</v>
      </c>
      <c r="O40" s="10">
        <v>0</v>
      </c>
      <c r="P40" s="10">
        <f t="shared" si="9"/>
        <v>2.2000000000000002</v>
      </c>
      <c r="Q40" s="17">
        <v>11.024999999999984</v>
      </c>
      <c r="R40" s="18">
        <f t="shared" si="10"/>
        <v>13.224999999999984</v>
      </c>
      <c r="S40" s="19">
        <f t="shared" si="11"/>
        <v>1.875</v>
      </c>
      <c r="T40" s="20">
        <f t="shared" si="12"/>
        <v>11.349999999999984</v>
      </c>
      <c r="U40" s="4"/>
      <c r="V40" s="4"/>
      <c r="W40" s="4"/>
    </row>
    <row r="41" spans="1:29" ht="17.399999999999999">
      <c r="A41" s="9">
        <v>1</v>
      </c>
      <c r="B41" s="9">
        <v>10</v>
      </c>
      <c r="C41" s="8">
        <v>2108977014</v>
      </c>
      <c r="D41" s="42" t="s">
        <v>57</v>
      </c>
      <c r="E41" s="42" t="s">
        <v>8</v>
      </c>
      <c r="F41" s="10">
        <v>0</v>
      </c>
      <c r="G41" s="10">
        <v>1</v>
      </c>
      <c r="H41" s="50">
        <v>0</v>
      </c>
      <c r="I41" s="50">
        <v>0</v>
      </c>
      <c r="J41" s="50">
        <v>0</v>
      </c>
      <c r="K41" s="39" t="s">
        <v>30</v>
      </c>
      <c r="L41" s="11">
        <f t="shared" si="7"/>
        <v>0</v>
      </c>
      <c r="M41" s="10">
        <f t="shared" si="13"/>
        <v>1.2</v>
      </c>
      <c r="N41" s="10">
        <f t="shared" si="8"/>
        <v>0</v>
      </c>
      <c r="O41" s="10">
        <v>0</v>
      </c>
      <c r="P41" s="10">
        <f t="shared" si="9"/>
        <v>1.2</v>
      </c>
      <c r="Q41" s="17">
        <v>9.7625000000000099</v>
      </c>
      <c r="R41" s="18">
        <f t="shared" si="10"/>
        <v>10.962500000000009</v>
      </c>
      <c r="S41" s="19">
        <f t="shared" si="11"/>
        <v>0</v>
      </c>
      <c r="T41" s="20">
        <f t="shared" si="12"/>
        <v>10.962500000000009</v>
      </c>
      <c r="U41" s="11"/>
      <c r="V41" s="11"/>
      <c r="W41" s="11"/>
    </row>
    <row r="42" spans="1:29" ht="17.399999999999999">
      <c r="A42" s="9">
        <v>1</v>
      </c>
      <c r="B42" s="8">
        <v>110</v>
      </c>
      <c r="C42" s="8">
        <v>1968703358</v>
      </c>
      <c r="D42" s="42" t="s">
        <v>60</v>
      </c>
      <c r="E42" s="42" t="s">
        <v>38</v>
      </c>
      <c r="F42" s="10">
        <v>0</v>
      </c>
      <c r="G42" s="10">
        <v>0</v>
      </c>
      <c r="H42" s="50">
        <v>0</v>
      </c>
      <c r="I42" s="50">
        <v>0</v>
      </c>
      <c r="J42" s="50">
        <v>0</v>
      </c>
      <c r="K42" s="39" t="s">
        <v>30</v>
      </c>
      <c r="L42" s="11">
        <f t="shared" si="7"/>
        <v>0</v>
      </c>
      <c r="M42" s="10">
        <f t="shared" si="13"/>
        <v>0</v>
      </c>
      <c r="N42" s="10">
        <f t="shared" si="8"/>
        <v>0</v>
      </c>
      <c r="O42" s="10">
        <v>0</v>
      </c>
      <c r="P42" s="10">
        <f t="shared" si="9"/>
        <v>0</v>
      </c>
      <c r="Q42" s="17">
        <v>15.337500000000013</v>
      </c>
      <c r="R42" s="18">
        <f t="shared" si="10"/>
        <v>15.337500000000013</v>
      </c>
      <c r="S42" s="19">
        <f t="shared" si="11"/>
        <v>0</v>
      </c>
      <c r="T42" s="20">
        <f t="shared" si="12"/>
        <v>15.337500000000013</v>
      </c>
      <c r="U42" s="11"/>
      <c r="V42" s="11"/>
      <c r="W42" s="17"/>
    </row>
    <row r="43" spans="1:29" ht="17.399999999999999">
      <c r="A43" s="9">
        <v>1</v>
      </c>
      <c r="B43" s="8">
        <v>141</v>
      </c>
      <c r="C43" s="8">
        <v>1190305158</v>
      </c>
      <c r="D43" s="42" t="s">
        <v>44</v>
      </c>
      <c r="E43" s="44"/>
      <c r="F43" s="10">
        <v>0</v>
      </c>
      <c r="G43" s="10">
        <v>0</v>
      </c>
      <c r="H43" s="50">
        <v>0</v>
      </c>
      <c r="I43" s="50">
        <v>0</v>
      </c>
      <c r="J43" s="50">
        <v>0</v>
      </c>
      <c r="K43" s="39" t="s">
        <v>30</v>
      </c>
      <c r="L43" s="11">
        <f t="shared" si="7"/>
        <v>0</v>
      </c>
      <c r="M43" s="10">
        <f t="shared" si="13"/>
        <v>0</v>
      </c>
      <c r="N43" s="10">
        <f t="shared" si="8"/>
        <v>0</v>
      </c>
      <c r="O43" s="10">
        <v>0</v>
      </c>
      <c r="P43" s="10">
        <f t="shared" si="9"/>
        <v>0</v>
      </c>
      <c r="Q43" s="17">
        <v>-7.8937500000000043</v>
      </c>
      <c r="R43" s="18">
        <f t="shared" si="10"/>
        <v>-7.8937500000000043</v>
      </c>
      <c r="S43" s="19">
        <f t="shared" si="11"/>
        <v>0</v>
      </c>
      <c r="T43" s="20">
        <f t="shared" si="12"/>
        <v>-7.8937500000000043</v>
      </c>
      <c r="U43" s="11"/>
      <c r="V43" s="11"/>
      <c r="W43" s="31"/>
    </row>
    <row r="44" spans="1:29" ht="17.399999999999999">
      <c r="A44" s="9">
        <v>1</v>
      </c>
      <c r="B44" s="8">
        <v>155</v>
      </c>
      <c r="C44" s="8">
        <v>1532576874</v>
      </c>
      <c r="D44" s="42" t="s">
        <v>63</v>
      </c>
      <c r="E44" s="42" t="s">
        <v>46</v>
      </c>
      <c r="F44" s="10">
        <v>0</v>
      </c>
      <c r="G44" s="10">
        <v>0</v>
      </c>
      <c r="H44" s="50">
        <v>0</v>
      </c>
      <c r="I44" s="50">
        <v>0</v>
      </c>
      <c r="J44" s="50">
        <v>0</v>
      </c>
      <c r="K44" s="39" t="s">
        <v>30</v>
      </c>
      <c r="L44" s="11">
        <f t="shared" si="7"/>
        <v>0</v>
      </c>
      <c r="M44" s="10">
        <f t="shared" si="13"/>
        <v>0</v>
      </c>
      <c r="N44" s="10">
        <f t="shared" si="8"/>
        <v>0</v>
      </c>
      <c r="O44" s="10">
        <v>0</v>
      </c>
      <c r="P44" s="10">
        <f t="shared" si="9"/>
        <v>0</v>
      </c>
      <c r="Q44" s="17">
        <v>15.212499999999999</v>
      </c>
      <c r="R44" s="18">
        <f t="shared" si="10"/>
        <v>15.212499999999999</v>
      </c>
      <c r="S44" s="19">
        <f t="shared" si="11"/>
        <v>0</v>
      </c>
      <c r="T44" s="20">
        <f t="shared" si="12"/>
        <v>15.212499999999999</v>
      </c>
      <c r="U44" s="4"/>
      <c r="V44" s="4"/>
      <c r="W44" s="4"/>
    </row>
    <row r="45" spans="1:29" ht="17.399999999999999">
      <c r="A45" s="9">
        <v>1</v>
      </c>
      <c r="B45" s="8">
        <v>167</v>
      </c>
      <c r="C45" s="8">
        <v>1173807161</v>
      </c>
      <c r="D45" s="42" t="s">
        <v>138</v>
      </c>
      <c r="E45" s="42" t="s">
        <v>48</v>
      </c>
      <c r="F45" s="10">
        <v>0</v>
      </c>
      <c r="G45" s="10">
        <v>1</v>
      </c>
      <c r="H45" s="50">
        <v>0</v>
      </c>
      <c r="I45" s="50">
        <v>0</v>
      </c>
      <c r="J45" s="50">
        <v>0</v>
      </c>
      <c r="K45" s="39" t="s">
        <v>30</v>
      </c>
      <c r="L45" s="11">
        <f t="shared" si="7"/>
        <v>0</v>
      </c>
      <c r="M45" s="10">
        <f t="shared" si="13"/>
        <v>1.2</v>
      </c>
      <c r="N45" s="10">
        <f t="shared" si="8"/>
        <v>0</v>
      </c>
      <c r="O45" s="10">
        <v>0</v>
      </c>
      <c r="P45" s="10">
        <f t="shared" si="9"/>
        <v>1.2</v>
      </c>
      <c r="Q45" s="17">
        <v>27.024999999999977</v>
      </c>
      <c r="R45" s="18">
        <f t="shared" si="10"/>
        <v>28.224999999999977</v>
      </c>
      <c r="S45" s="19">
        <f t="shared" si="11"/>
        <v>0</v>
      </c>
      <c r="T45" s="20">
        <f t="shared" si="12"/>
        <v>28.224999999999977</v>
      </c>
      <c r="U45" s="4"/>
      <c r="V45" s="4"/>
      <c r="W45" s="4"/>
    </row>
    <row r="46" spans="1:29" ht="17.399999999999999">
      <c r="A46" s="9">
        <v>1</v>
      </c>
      <c r="B46" s="8">
        <v>187</v>
      </c>
      <c r="C46" s="8">
        <v>1241038267</v>
      </c>
      <c r="D46" s="42" t="s">
        <v>69</v>
      </c>
      <c r="E46" s="47"/>
      <c r="F46" s="10">
        <v>0</v>
      </c>
      <c r="G46" s="10">
        <v>0</v>
      </c>
      <c r="H46" s="50">
        <v>0</v>
      </c>
      <c r="I46" s="50">
        <v>0</v>
      </c>
      <c r="J46" s="50">
        <v>0</v>
      </c>
      <c r="K46" s="39" t="s">
        <v>30</v>
      </c>
      <c r="L46" s="11">
        <f t="shared" si="7"/>
        <v>0</v>
      </c>
      <c r="M46" s="10">
        <f t="shared" si="13"/>
        <v>0</v>
      </c>
      <c r="N46" s="10">
        <f t="shared" si="8"/>
        <v>0</v>
      </c>
      <c r="O46" s="10">
        <v>0</v>
      </c>
      <c r="P46" s="10">
        <f t="shared" si="9"/>
        <v>0</v>
      </c>
      <c r="Q46" s="17">
        <v>16.318749999999987</v>
      </c>
      <c r="R46" s="18">
        <f t="shared" si="10"/>
        <v>16.318749999999987</v>
      </c>
      <c r="S46" s="19">
        <f t="shared" si="11"/>
        <v>0</v>
      </c>
      <c r="T46" s="20">
        <f t="shared" si="12"/>
        <v>16.318749999999987</v>
      </c>
      <c r="U46" s="4"/>
      <c r="V46" s="4"/>
      <c r="W46" s="4"/>
    </row>
    <row r="47" spans="1:29" ht="17.399999999999999">
      <c r="A47" s="9">
        <v>1</v>
      </c>
      <c r="B47" s="8">
        <v>192</v>
      </c>
      <c r="C47" s="8">
        <v>1725281178</v>
      </c>
      <c r="D47" s="42" t="s">
        <v>71</v>
      </c>
      <c r="E47" s="47"/>
      <c r="F47" s="10">
        <v>0</v>
      </c>
      <c r="G47" s="10">
        <v>0</v>
      </c>
      <c r="H47" s="50">
        <v>0</v>
      </c>
      <c r="I47" s="50">
        <v>0</v>
      </c>
      <c r="J47" s="50">
        <v>0</v>
      </c>
      <c r="K47" s="39" t="s">
        <v>30</v>
      </c>
      <c r="L47" s="11">
        <f t="shared" si="7"/>
        <v>0</v>
      </c>
      <c r="M47" s="10">
        <f t="shared" si="13"/>
        <v>0</v>
      </c>
      <c r="N47" s="10">
        <f t="shared" si="8"/>
        <v>0</v>
      </c>
      <c r="O47" s="10">
        <v>0</v>
      </c>
      <c r="P47" s="10">
        <f t="shared" si="9"/>
        <v>0</v>
      </c>
      <c r="Q47" s="17">
        <v>3.1437499999999954</v>
      </c>
      <c r="R47" s="18">
        <f t="shared" si="10"/>
        <v>3.1437499999999954</v>
      </c>
      <c r="S47" s="19">
        <f t="shared" si="11"/>
        <v>0</v>
      </c>
      <c r="T47" s="20">
        <f t="shared" si="12"/>
        <v>3.1437499999999954</v>
      </c>
      <c r="U47" s="4"/>
      <c r="V47" s="4"/>
      <c r="W47" s="4"/>
    </row>
    <row r="48" spans="1:29" ht="17.399999999999999">
      <c r="A48" s="9">
        <v>1</v>
      </c>
      <c r="B48" s="8">
        <v>193</v>
      </c>
      <c r="C48" s="8">
        <v>2125731287</v>
      </c>
      <c r="D48" s="42" t="s">
        <v>72</v>
      </c>
      <c r="E48" s="47"/>
      <c r="F48" s="10">
        <v>0</v>
      </c>
      <c r="G48" s="10">
        <v>0</v>
      </c>
      <c r="H48" s="50">
        <v>0</v>
      </c>
      <c r="I48" s="50">
        <v>0</v>
      </c>
      <c r="J48" s="50">
        <v>0</v>
      </c>
      <c r="K48" s="39" t="s">
        <v>30</v>
      </c>
      <c r="L48" s="11">
        <f t="shared" si="7"/>
        <v>0</v>
      </c>
      <c r="M48" s="10">
        <f t="shared" si="13"/>
        <v>0</v>
      </c>
      <c r="N48" s="10">
        <f t="shared" si="8"/>
        <v>0</v>
      </c>
      <c r="O48" s="10">
        <v>0</v>
      </c>
      <c r="P48" s="10">
        <f t="shared" si="9"/>
        <v>0</v>
      </c>
      <c r="Q48" s="17">
        <v>17.812499999999996</v>
      </c>
      <c r="R48" s="18">
        <f t="shared" si="10"/>
        <v>17.812499999999996</v>
      </c>
      <c r="S48" s="19">
        <f t="shared" si="11"/>
        <v>0</v>
      </c>
      <c r="T48" s="20">
        <f t="shared" si="12"/>
        <v>17.812499999999996</v>
      </c>
    </row>
    <row r="49" spans="1:20" ht="17.399999999999999">
      <c r="A49" s="9">
        <v>1</v>
      </c>
      <c r="B49" s="8">
        <v>196</v>
      </c>
      <c r="C49" s="8">
        <v>1065641844</v>
      </c>
      <c r="D49" s="42" t="s">
        <v>74</v>
      </c>
      <c r="E49" s="47"/>
      <c r="F49" s="10">
        <v>0</v>
      </c>
      <c r="G49" s="10">
        <v>0</v>
      </c>
      <c r="H49" s="50">
        <v>0</v>
      </c>
      <c r="I49" s="50">
        <v>0</v>
      </c>
      <c r="J49" s="50">
        <v>0</v>
      </c>
      <c r="K49" s="39" t="s">
        <v>30</v>
      </c>
      <c r="L49" s="11">
        <f t="shared" si="7"/>
        <v>0</v>
      </c>
      <c r="M49" s="10">
        <f t="shared" si="13"/>
        <v>0</v>
      </c>
      <c r="N49" s="10">
        <f t="shared" si="8"/>
        <v>0</v>
      </c>
      <c r="O49" s="10">
        <v>0</v>
      </c>
      <c r="P49" s="10">
        <f t="shared" si="9"/>
        <v>0</v>
      </c>
      <c r="Q49" s="17">
        <v>21.062499999999993</v>
      </c>
      <c r="R49" s="18">
        <f t="shared" si="10"/>
        <v>21.062499999999993</v>
      </c>
      <c r="S49" s="19">
        <f t="shared" si="11"/>
        <v>0</v>
      </c>
      <c r="T49" s="20">
        <f t="shared" si="12"/>
        <v>21.062499999999993</v>
      </c>
    </row>
    <row r="50" spans="1:20" ht="17.399999999999999">
      <c r="A50" s="9">
        <v>1</v>
      </c>
      <c r="B50" s="8">
        <v>198</v>
      </c>
      <c r="C50" s="8">
        <v>723448640</v>
      </c>
      <c r="D50" s="42" t="s">
        <v>75</v>
      </c>
      <c r="E50" s="47"/>
      <c r="F50" s="10">
        <v>0</v>
      </c>
      <c r="G50" s="10">
        <v>0</v>
      </c>
      <c r="H50" s="50">
        <v>0</v>
      </c>
      <c r="I50" s="50">
        <v>0</v>
      </c>
      <c r="J50" s="50">
        <v>0</v>
      </c>
      <c r="K50" s="39" t="s">
        <v>30</v>
      </c>
      <c r="L50" s="11">
        <f t="shared" si="7"/>
        <v>0</v>
      </c>
      <c r="M50" s="10">
        <f t="shared" si="13"/>
        <v>0</v>
      </c>
      <c r="N50" s="10">
        <f t="shared" si="8"/>
        <v>0</v>
      </c>
      <c r="O50" s="10">
        <v>0</v>
      </c>
      <c r="P50" s="10">
        <f t="shared" si="9"/>
        <v>0</v>
      </c>
      <c r="Q50" s="17">
        <v>18.01874999999999</v>
      </c>
      <c r="R50" s="18">
        <f t="shared" si="10"/>
        <v>18.01874999999999</v>
      </c>
      <c r="S50" s="19">
        <f t="shared" si="11"/>
        <v>0</v>
      </c>
      <c r="T50" s="20">
        <f t="shared" si="12"/>
        <v>18.01874999999999</v>
      </c>
    </row>
    <row r="51" spans="1:20" ht="17.399999999999999">
      <c r="A51" s="9">
        <v>1</v>
      </c>
      <c r="B51" s="8">
        <v>203</v>
      </c>
      <c r="C51" s="8">
        <v>382695365</v>
      </c>
      <c r="D51" s="42" t="s">
        <v>78</v>
      </c>
      <c r="E51" s="47"/>
      <c r="F51" s="10">
        <v>0</v>
      </c>
      <c r="G51" s="10">
        <v>0</v>
      </c>
      <c r="H51" s="50">
        <v>0</v>
      </c>
      <c r="I51" s="50">
        <v>0</v>
      </c>
      <c r="J51" s="50">
        <v>0</v>
      </c>
      <c r="K51" s="39" t="s">
        <v>30</v>
      </c>
      <c r="L51" s="11">
        <f t="shared" si="7"/>
        <v>0</v>
      </c>
      <c r="M51" s="10">
        <f t="shared" si="13"/>
        <v>0</v>
      </c>
      <c r="N51" s="10">
        <f t="shared" si="8"/>
        <v>0</v>
      </c>
      <c r="O51" s="10">
        <v>0</v>
      </c>
      <c r="P51" s="10">
        <f t="shared" si="9"/>
        <v>0</v>
      </c>
      <c r="Q51" s="17">
        <v>-16.90625</v>
      </c>
      <c r="R51" s="18">
        <f t="shared" si="10"/>
        <v>-16.90625</v>
      </c>
      <c r="S51" s="19">
        <f t="shared" si="11"/>
        <v>0</v>
      </c>
      <c r="T51" s="20">
        <f t="shared" si="12"/>
        <v>-16.90625</v>
      </c>
    </row>
    <row r="52" spans="1:20" ht="17.399999999999999">
      <c r="A52" s="9">
        <v>1</v>
      </c>
      <c r="B52" s="8">
        <v>207</v>
      </c>
      <c r="C52" s="8">
        <v>721273803</v>
      </c>
      <c r="D52" s="45" t="s">
        <v>81</v>
      </c>
      <c r="E52" s="47"/>
      <c r="F52" s="10">
        <v>0</v>
      </c>
      <c r="G52" s="10">
        <v>0</v>
      </c>
      <c r="H52" s="50">
        <v>0</v>
      </c>
      <c r="I52" s="50">
        <v>0</v>
      </c>
      <c r="J52" s="50">
        <v>0</v>
      </c>
      <c r="K52" s="39" t="s">
        <v>30</v>
      </c>
      <c r="L52" s="11">
        <f t="shared" si="7"/>
        <v>0</v>
      </c>
      <c r="M52" s="10">
        <f t="shared" si="13"/>
        <v>0</v>
      </c>
      <c r="N52" s="10">
        <f t="shared" si="8"/>
        <v>0</v>
      </c>
      <c r="O52" s="10">
        <v>0</v>
      </c>
      <c r="P52" s="10">
        <f t="shared" si="9"/>
        <v>0</v>
      </c>
      <c r="Q52" s="17">
        <v>1.425</v>
      </c>
      <c r="R52" s="18">
        <f t="shared" si="10"/>
        <v>1.425</v>
      </c>
      <c r="S52" s="19">
        <f t="shared" si="11"/>
        <v>0</v>
      </c>
      <c r="T52" s="20">
        <f t="shared" si="12"/>
        <v>1.425</v>
      </c>
    </row>
    <row r="53" spans="1:20" ht="20.399999999999999">
      <c r="A53" s="9">
        <v>1</v>
      </c>
      <c r="B53" s="8">
        <v>214</v>
      </c>
      <c r="C53" s="8">
        <v>2130976604</v>
      </c>
      <c r="D53" s="42" t="s">
        <v>86</v>
      </c>
      <c r="E53" s="2"/>
      <c r="F53" s="10">
        <v>0</v>
      </c>
      <c r="G53" s="10">
        <v>1</v>
      </c>
      <c r="H53" s="50">
        <v>0</v>
      </c>
      <c r="I53" s="50">
        <v>0</v>
      </c>
      <c r="J53" s="50">
        <v>0</v>
      </c>
      <c r="K53" s="39" t="s">
        <v>30</v>
      </c>
      <c r="L53" s="11">
        <f t="shared" si="7"/>
        <v>0</v>
      </c>
      <c r="M53" s="10">
        <f t="shared" si="13"/>
        <v>1.2</v>
      </c>
      <c r="N53" s="10">
        <f t="shared" si="8"/>
        <v>0</v>
      </c>
      <c r="O53" s="10">
        <v>0</v>
      </c>
      <c r="P53" s="10">
        <f t="shared" si="9"/>
        <v>1.2</v>
      </c>
      <c r="Q53" s="17">
        <v>16.937499999999982</v>
      </c>
      <c r="R53" s="18">
        <f t="shared" si="10"/>
        <v>18.137499999999982</v>
      </c>
      <c r="S53" s="19">
        <f t="shared" si="11"/>
        <v>0</v>
      </c>
      <c r="T53" s="20">
        <f t="shared" si="12"/>
        <v>18.137499999999982</v>
      </c>
    </row>
    <row r="54" spans="1:20" ht="17.399999999999999">
      <c r="A54" s="9">
        <v>1</v>
      </c>
      <c r="B54" s="8">
        <v>217</v>
      </c>
      <c r="C54" s="8">
        <v>331155825</v>
      </c>
      <c r="D54" s="46" t="s">
        <v>89</v>
      </c>
      <c r="E54" s="2"/>
      <c r="F54" s="10">
        <v>0</v>
      </c>
      <c r="G54" s="10">
        <v>0</v>
      </c>
      <c r="H54" s="50">
        <v>0</v>
      </c>
      <c r="I54" s="50">
        <v>0</v>
      </c>
      <c r="J54" s="50">
        <v>0</v>
      </c>
      <c r="K54" s="39" t="s">
        <v>30</v>
      </c>
      <c r="L54" s="11">
        <f t="shared" si="7"/>
        <v>0</v>
      </c>
      <c r="M54" s="10">
        <f t="shared" si="13"/>
        <v>0</v>
      </c>
      <c r="N54" s="10">
        <f t="shared" si="8"/>
        <v>0</v>
      </c>
      <c r="O54" s="10">
        <v>0</v>
      </c>
      <c r="P54" s="10">
        <f t="shared" si="9"/>
        <v>0</v>
      </c>
      <c r="Q54" s="17">
        <v>-1.3124999999999984</v>
      </c>
      <c r="R54" s="18">
        <f t="shared" si="10"/>
        <v>-1.3124999999999984</v>
      </c>
      <c r="S54" s="19">
        <f t="shared" si="11"/>
        <v>0</v>
      </c>
      <c r="T54" s="20">
        <f t="shared" si="12"/>
        <v>-1.3124999999999984</v>
      </c>
    </row>
    <row r="55" spans="1:20" ht="17.399999999999999">
      <c r="A55" s="9">
        <v>1</v>
      </c>
      <c r="B55" s="8">
        <v>218</v>
      </c>
      <c r="C55" s="8">
        <v>1804880865</v>
      </c>
      <c r="D55" s="42" t="s">
        <v>92</v>
      </c>
      <c r="E55" s="47"/>
      <c r="F55" s="10">
        <v>0</v>
      </c>
      <c r="G55" s="10">
        <v>0</v>
      </c>
      <c r="H55" s="50">
        <v>0</v>
      </c>
      <c r="I55" s="50">
        <v>0</v>
      </c>
      <c r="J55" s="50">
        <v>0</v>
      </c>
      <c r="K55" s="39" t="s">
        <v>30</v>
      </c>
      <c r="L55" s="11">
        <f t="shared" si="7"/>
        <v>0</v>
      </c>
      <c r="M55" s="10">
        <f t="shared" si="13"/>
        <v>0</v>
      </c>
      <c r="N55" s="10">
        <f t="shared" si="8"/>
        <v>0</v>
      </c>
      <c r="O55" s="10">
        <v>0</v>
      </c>
      <c r="P55" s="10">
        <f t="shared" si="9"/>
        <v>0</v>
      </c>
      <c r="Q55" s="17">
        <v>0.11749999999999983</v>
      </c>
      <c r="R55" s="18">
        <f t="shared" si="10"/>
        <v>0.11749999999999983</v>
      </c>
      <c r="S55" s="19">
        <f t="shared" si="11"/>
        <v>0</v>
      </c>
      <c r="T55" s="20">
        <f t="shared" si="12"/>
        <v>0.11749999999999983</v>
      </c>
    </row>
    <row r="56" spans="1:20" ht="17.399999999999999">
      <c r="A56" s="9">
        <v>1</v>
      </c>
      <c r="B56" s="8">
        <v>219</v>
      </c>
      <c r="C56" s="8">
        <v>1128309198</v>
      </c>
      <c r="D56" s="42" t="s">
        <v>93</v>
      </c>
      <c r="E56" s="47"/>
      <c r="F56" s="10">
        <v>0</v>
      </c>
      <c r="G56" s="10">
        <v>0</v>
      </c>
      <c r="H56" s="50">
        <v>0</v>
      </c>
      <c r="I56" s="50">
        <v>0</v>
      </c>
      <c r="J56" s="50">
        <v>0</v>
      </c>
      <c r="K56" s="39" t="s">
        <v>30</v>
      </c>
      <c r="L56" s="11">
        <f t="shared" si="7"/>
        <v>0</v>
      </c>
      <c r="M56" s="10">
        <f t="shared" si="13"/>
        <v>0</v>
      </c>
      <c r="N56" s="10">
        <f t="shared" si="8"/>
        <v>0</v>
      </c>
      <c r="O56" s="10">
        <v>0</v>
      </c>
      <c r="P56" s="10">
        <f t="shared" si="9"/>
        <v>0</v>
      </c>
      <c r="Q56" s="17">
        <v>9.4499999999999957</v>
      </c>
      <c r="R56" s="18">
        <f t="shared" si="10"/>
        <v>9.4499999999999957</v>
      </c>
      <c r="S56" s="19">
        <f t="shared" si="11"/>
        <v>0</v>
      </c>
      <c r="T56" s="20">
        <f t="shared" si="12"/>
        <v>9.4499999999999957</v>
      </c>
    </row>
    <row r="57" spans="1:20" ht="20.399999999999999">
      <c r="A57" s="9">
        <v>1</v>
      </c>
      <c r="B57" s="8">
        <v>220</v>
      </c>
      <c r="C57" s="8">
        <v>353335311</v>
      </c>
      <c r="D57" s="42" t="s">
        <v>94</v>
      </c>
      <c r="E57" s="44"/>
      <c r="F57" s="10">
        <v>0</v>
      </c>
      <c r="G57" s="10">
        <v>0</v>
      </c>
      <c r="H57" s="50">
        <v>0</v>
      </c>
      <c r="I57" s="50">
        <v>0</v>
      </c>
      <c r="J57" s="50">
        <v>0</v>
      </c>
      <c r="K57" s="39" t="s">
        <v>30</v>
      </c>
      <c r="L57" s="11">
        <f t="shared" si="7"/>
        <v>0</v>
      </c>
      <c r="M57" s="10">
        <f t="shared" si="13"/>
        <v>0</v>
      </c>
      <c r="N57" s="10">
        <f t="shared" si="8"/>
        <v>0</v>
      </c>
      <c r="O57" s="10">
        <v>0</v>
      </c>
      <c r="P57" s="10">
        <f t="shared" si="9"/>
        <v>0</v>
      </c>
      <c r="Q57" s="17">
        <v>2.0310546874999984</v>
      </c>
      <c r="R57" s="18">
        <f t="shared" si="10"/>
        <v>2.0310546874999984</v>
      </c>
      <c r="S57" s="19">
        <f t="shared" si="11"/>
        <v>0</v>
      </c>
      <c r="T57" s="20">
        <f t="shared" si="12"/>
        <v>2.0310546874999984</v>
      </c>
    </row>
    <row r="58" spans="1:20" ht="17.399999999999999">
      <c r="A58" s="9">
        <v>1</v>
      </c>
      <c r="B58" s="8">
        <v>222</v>
      </c>
      <c r="C58" s="8">
        <v>1945277617</v>
      </c>
      <c r="D58" s="42" t="s">
        <v>97</v>
      </c>
      <c r="E58" s="42"/>
      <c r="F58" s="10">
        <v>0</v>
      </c>
      <c r="G58" s="10">
        <v>0</v>
      </c>
      <c r="H58" s="50">
        <v>0</v>
      </c>
      <c r="I58" s="50">
        <v>0</v>
      </c>
      <c r="J58" s="50">
        <v>0</v>
      </c>
      <c r="K58" s="39" t="s">
        <v>30</v>
      </c>
      <c r="L58" s="11">
        <f t="shared" si="7"/>
        <v>0</v>
      </c>
      <c r="M58" s="10">
        <f t="shared" si="13"/>
        <v>0</v>
      </c>
      <c r="N58" s="10">
        <f t="shared" si="8"/>
        <v>0</v>
      </c>
      <c r="O58" s="10">
        <v>0</v>
      </c>
      <c r="P58" s="10">
        <f t="shared" si="9"/>
        <v>0</v>
      </c>
      <c r="Q58" s="17">
        <v>15.637727649769573</v>
      </c>
      <c r="R58" s="18">
        <f t="shared" si="10"/>
        <v>15.637727649769573</v>
      </c>
      <c r="S58" s="19">
        <f t="shared" si="11"/>
        <v>0</v>
      </c>
      <c r="T58" s="20">
        <f t="shared" si="12"/>
        <v>15.637727649769573</v>
      </c>
    </row>
    <row r="59" spans="1:20" ht="17.399999999999999">
      <c r="A59" s="9">
        <v>1</v>
      </c>
      <c r="B59" s="8">
        <v>223</v>
      </c>
      <c r="C59" s="8">
        <v>784792167</v>
      </c>
      <c r="D59" s="42" t="s">
        <v>98</v>
      </c>
      <c r="E59" s="42"/>
      <c r="F59" s="10">
        <v>0</v>
      </c>
      <c r="G59" s="10">
        <v>0</v>
      </c>
      <c r="H59" s="50">
        <v>0</v>
      </c>
      <c r="I59" s="50">
        <v>0</v>
      </c>
      <c r="J59" s="50">
        <v>0</v>
      </c>
      <c r="K59" s="39" t="s">
        <v>30</v>
      </c>
      <c r="L59" s="11">
        <f t="shared" si="7"/>
        <v>0</v>
      </c>
      <c r="M59" s="10">
        <f t="shared" si="13"/>
        <v>0</v>
      </c>
      <c r="N59" s="10">
        <f t="shared" si="8"/>
        <v>0</v>
      </c>
      <c r="O59" s="10">
        <v>0</v>
      </c>
      <c r="P59" s="10">
        <f t="shared" si="9"/>
        <v>0</v>
      </c>
      <c r="Q59" s="17">
        <v>10.624999999999996</v>
      </c>
      <c r="R59" s="18">
        <f t="shared" si="10"/>
        <v>10.624999999999996</v>
      </c>
      <c r="S59" s="19">
        <f t="shared" si="11"/>
        <v>0</v>
      </c>
      <c r="T59" s="20">
        <f t="shared" si="12"/>
        <v>10.624999999999996</v>
      </c>
    </row>
    <row r="60" spans="1:20" ht="17.399999999999999">
      <c r="A60" s="9">
        <v>1</v>
      </c>
      <c r="B60" s="8">
        <v>224</v>
      </c>
      <c r="C60" s="8">
        <v>862562360</v>
      </c>
      <c r="D60" s="42" t="s">
        <v>129</v>
      </c>
      <c r="E60" s="42" t="s">
        <v>106</v>
      </c>
      <c r="F60" s="10">
        <v>0</v>
      </c>
      <c r="G60" s="10">
        <v>0</v>
      </c>
      <c r="H60" s="50">
        <v>0</v>
      </c>
      <c r="I60" s="50">
        <v>0</v>
      </c>
      <c r="J60" s="50">
        <v>0</v>
      </c>
      <c r="K60" s="39" t="s">
        <v>30</v>
      </c>
      <c r="L60" s="11">
        <f t="shared" si="7"/>
        <v>0</v>
      </c>
      <c r="M60" s="10">
        <f t="shared" si="13"/>
        <v>0</v>
      </c>
      <c r="N60" s="10">
        <f t="shared" si="8"/>
        <v>0</v>
      </c>
      <c r="O60" s="10">
        <v>0</v>
      </c>
      <c r="P60" s="10">
        <f t="shared" si="9"/>
        <v>0</v>
      </c>
      <c r="Q60" s="17">
        <v>18.860354477611939</v>
      </c>
      <c r="R60" s="18">
        <f t="shared" si="10"/>
        <v>18.860354477611939</v>
      </c>
      <c r="S60" s="19">
        <f t="shared" si="11"/>
        <v>0</v>
      </c>
      <c r="T60" s="20">
        <f t="shared" si="12"/>
        <v>18.860354477611939</v>
      </c>
    </row>
    <row r="61" spans="1:20" ht="17.399999999999999">
      <c r="A61" s="9">
        <v>1</v>
      </c>
      <c r="B61" s="8">
        <v>226</v>
      </c>
      <c r="C61" s="8">
        <v>1238792963</v>
      </c>
      <c r="D61" s="42" t="s">
        <v>108</v>
      </c>
      <c r="E61" s="42"/>
      <c r="F61" s="10">
        <v>0</v>
      </c>
      <c r="G61" s="10">
        <v>0</v>
      </c>
      <c r="H61" s="50">
        <v>0</v>
      </c>
      <c r="I61" s="50">
        <v>0</v>
      </c>
      <c r="J61" s="50">
        <v>0</v>
      </c>
      <c r="K61" s="39" t="s">
        <v>30</v>
      </c>
      <c r="L61" s="11">
        <f t="shared" si="7"/>
        <v>0</v>
      </c>
      <c r="M61" s="10">
        <f t="shared" si="13"/>
        <v>0</v>
      </c>
      <c r="N61" s="10">
        <f t="shared" si="8"/>
        <v>0</v>
      </c>
      <c r="O61" s="10">
        <v>0</v>
      </c>
      <c r="P61" s="10">
        <f t="shared" si="9"/>
        <v>0</v>
      </c>
      <c r="Q61" s="17">
        <v>18.368749999999999</v>
      </c>
      <c r="R61" s="18">
        <f t="shared" si="10"/>
        <v>18.368749999999999</v>
      </c>
      <c r="S61" s="19">
        <f t="shared" si="11"/>
        <v>0</v>
      </c>
      <c r="T61" s="20">
        <f t="shared" si="12"/>
        <v>18.368749999999999</v>
      </c>
    </row>
    <row r="62" spans="1:20" ht="17.399999999999999">
      <c r="A62" s="9">
        <v>1</v>
      </c>
      <c r="B62" s="8">
        <v>228</v>
      </c>
      <c r="C62" s="8">
        <v>1287481910</v>
      </c>
      <c r="D62" s="42" t="s">
        <v>109</v>
      </c>
      <c r="E62" s="42"/>
      <c r="F62" s="10">
        <v>0</v>
      </c>
      <c r="G62" s="10">
        <v>0</v>
      </c>
      <c r="H62" s="50">
        <v>0</v>
      </c>
      <c r="I62" s="50">
        <v>0</v>
      </c>
      <c r="J62" s="50">
        <v>0</v>
      </c>
      <c r="K62" s="39" t="s">
        <v>30</v>
      </c>
      <c r="L62" s="11">
        <f t="shared" si="7"/>
        <v>0</v>
      </c>
      <c r="M62" s="10">
        <f t="shared" si="13"/>
        <v>0</v>
      </c>
      <c r="N62" s="10">
        <f t="shared" si="8"/>
        <v>0</v>
      </c>
      <c r="O62" s="10">
        <v>0</v>
      </c>
      <c r="P62" s="10">
        <f t="shared" si="9"/>
        <v>0</v>
      </c>
      <c r="Q62" s="17">
        <v>-4.1499999999999995</v>
      </c>
      <c r="R62" s="18">
        <f t="shared" si="10"/>
        <v>-4.1499999999999995</v>
      </c>
      <c r="S62" s="19">
        <f t="shared" si="11"/>
        <v>0</v>
      </c>
      <c r="T62" s="20">
        <f t="shared" si="12"/>
        <v>-4.1499999999999995</v>
      </c>
    </row>
    <row r="63" spans="1:20" ht="20.399999999999999">
      <c r="A63" s="9">
        <v>1</v>
      </c>
      <c r="B63" s="8">
        <v>229</v>
      </c>
      <c r="C63" s="8">
        <v>1598972736</v>
      </c>
      <c r="D63" s="42" t="s">
        <v>110</v>
      </c>
      <c r="E63" s="42"/>
      <c r="F63" s="10">
        <v>0</v>
      </c>
      <c r="G63" s="10">
        <v>0</v>
      </c>
      <c r="H63" s="50">
        <v>0</v>
      </c>
      <c r="I63" s="50">
        <v>0</v>
      </c>
      <c r="J63" s="50">
        <v>0</v>
      </c>
      <c r="K63" s="39" t="s">
        <v>30</v>
      </c>
      <c r="L63" s="11">
        <f t="shared" si="7"/>
        <v>0</v>
      </c>
      <c r="M63" s="10">
        <f t="shared" si="13"/>
        <v>0</v>
      </c>
      <c r="N63" s="10">
        <f t="shared" si="8"/>
        <v>0</v>
      </c>
      <c r="O63" s="10">
        <v>0</v>
      </c>
      <c r="P63" s="10">
        <f t="shared" si="9"/>
        <v>0</v>
      </c>
      <c r="Q63" s="17">
        <v>21.197089552238797</v>
      </c>
      <c r="R63" s="18">
        <f t="shared" si="10"/>
        <v>21.197089552238797</v>
      </c>
      <c r="S63" s="19">
        <f t="shared" si="11"/>
        <v>0</v>
      </c>
      <c r="T63" s="20">
        <f t="shared" si="12"/>
        <v>21.197089552238797</v>
      </c>
    </row>
    <row r="64" spans="1:20" ht="17.399999999999999">
      <c r="A64" s="9">
        <v>1</v>
      </c>
      <c r="B64" s="8">
        <v>233</v>
      </c>
      <c r="C64" s="8">
        <v>1963965829</v>
      </c>
      <c r="D64" s="42" t="s">
        <v>114</v>
      </c>
      <c r="F64" s="10">
        <v>0</v>
      </c>
      <c r="G64" s="10">
        <v>0</v>
      </c>
      <c r="H64" s="50">
        <v>0</v>
      </c>
      <c r="I64" s="50">
        <v>0</v>
      </c>
      <c r="J64" s="50">
        <v>0</v>
      </c>
      <c r="K64" s="39" t="s">
        <v>30</v>
      </c>
      <c r="L64" s="11">
        <f t="shared" si="7"/>
        <v>0</v>
      </c>
      <c r="M64" s="10">
        <f t="shared" si="13"/>
        <v>0</v>
      </c>
      <c r="N64" s="10">
        <f t="shared" si="8"/>
        <v>0</v>
      </c>
      <c r="O64" s="10">
        <v>0</v>
      </c>
      <c r="P64" s="10">
        <f t="shared" si="9"/>
        <v>0</v>
      </c>
      <c r="Q64" s="17">
        <v>2.0000000000000018</v>
      </c>
      <c r="R64" s="18">
        <f t="shared" si="10"/>
        <v>2.0000000000000018</v>
      </c>
      <c r="S64" s="19">
        <f t="shared" si="11"/>
        <v>0</v>
      </c>
      <c r="T64" s="20">
        <f t="shared" si="12"/>
        <v>2.0000000000000018</v>
      </c>
    </row>
    <row r="65" spans="1:22" ht="17.399999999999999">
      <c r="A65" s="9">
        <v>1</v>
      </c>
      <c r="B65" s="8">
        <v>235</v>
      </c>
      <c r="C65" s="8">
        <v>988684940</v>
      </c>
      <c r="D65" s="42" t="s">
        <v>116</v>
      </c>
      <c r="F65" s="10">
        <v>0</v>
      </c>
      <c r="G65" s="10">
        <v>0</v>
      </c>
      <c r="H65" s="50">
        <v>0</v>
      </c>
      <c r="I65" s="50">
        <v>0</v>
      </c>
      <c r="J65" s="50">
        <v>0</v>
      </c>
      <c r="K65" s="39" t="s">
        <v>30</v>
      </c>
      <c r="L65" s="11">
        <f t="shared" si="7"/>
        <v>0</v>
      </c>
      <c r="M65" s="10">
        <f t="shared" si="13"/>
        <v>0</v>
      </c>
      <c r="N65" s="10">
        <f t="shared" si="8"/>
        <v>0</v>
      </c>
      <c r="O65" s="10">
        <v>0</v>
      </c>
      <c r="P65" s="10">
        <f t="shared" si="9"/>
        <v>0</v>
      </c>
      <c r="Q65" s="17">
        <v>-7.125</v>
      </c>
      <c r="R65" s="18">
        <f t="shared" si="10"/>
        <v>-7.125</v>
      </c>
      <c r="S65" s="19">
        <f t="shared" si="11"/>
        <v>0</v>
      </c>
      <c r="T65" s="20">
        <f t="shared" si="12"/>
        <v>-7.125</v>
      </c>
    </row>
    <row r="66" spans="1:22" ht="17.399999999999999">
      <c r="A66" s="9">
        <v>1</v>
      </c>
      <c r="B66" s="8">
        <v>237</v>
      </c>
      <c r="C66" s="8">
        <v>1331532576</v>
      </c>
      <c r="D66" s="42" t="s">
        <v>119</v>
      </c>
      <c r="F66" s="10">
        <v>0</v>
      </c>
      <c r="G66" s="10">
        <v>0</v>
      </c>
      <c r="H66" s="50">
        <v>0</v>
      </c>
      <c r="I66" s="50">
        <v>0</v>
      </c>
      <c r="J66" s="50">
        <v>0</v>
      </c>
      <c r="K66" s="39" t="s">
        <v>30</v>
      </c>
      <c r="L66" s="11">
        <f t="shared" si="7"/>
        <v>0</v>
      </c>
      <c r="M66" s="10">
        <f t="shared" si="13"/>
        <v>0</v>
      </c>
      <c r="N66" s="10">
        <f t="shared" si="8"/>
        <v>0</v>
      </c>
      <c r="O66" s="10">
        <v>0</v>
      </c>
      <c r="P66" s="10">
        <f t="shared" si="9"/>
        <v>0</v>
      </c>
      <c r="Q66" s="17">
        <v>-2.5499999999999998</v>
      </c>
      <c r="R66" s="18">
        <f t="shared" si="10"/>
        <v>-2.5499999999999998</v>
      </c>
      <c r="S66" s="19">
        <f t="shared" si="11"/>
        <v>0</v>
      </c>
      <c r="T66" s="20">
        <f t="shared" si="12"/>
        <v>-2.5499999999999998</v>
      </c>
    </row>
    <row r="67" spans="1:22" ht="17.399999999999999">
      <c r="A67" s="9">
        <v>1</v>
      </c>
      <c r="B67" s="8">
        <v>239</v>
      </c>
      <c r="C67" s="8">
        <v>416459640</v>
      </c>
      <c r="D67" s="42" t="s">
        <v>122</v>
      </c>
      <c r="F67" s="10">
        <v>0</v>
      </c>
      <c r="G67" s="10">
        <v>0</v>
      </c>
      <c r="H67" s="50">
        <v>0</v>
      </c>
      <c r="I67" s="50">
        <v>0</v>
      </c>
      <c r="J67" s="50">
        <v>0</v>
      </c>
      <c r="K67" s="39" t="s">
        <v>30</v>
      </c>
      <c r="L67" s="11">
        <f t="shared" si="7"/>
        <v>0</v>
      </c>
      <c r="M67" s="10">
        <f t="shared" si="13"/>
        <v>0</v>
      </c>
      <c r="N67" s="10">
        <f t="shared" si="8"/>
        <v>0</v>
      </c>
      <c r="O67" s="10">
        <v>0</v>
      </c>
      <c r="P67" s="10">
        <f t="shared" si="9"/>
        <v>0</v>
      </c>
      <c r="Q67" s="17">
        <v>13.668749999999999</v>
      </c>
      <c r="R67" s="18">
        <f t="shared" si="10"/>
        <v>13.668749999999999</v>
      </c>
      <c r="S67" s="19">
        <f t="shared" si="11"/>
        <v>0</v>
      </c>
      <c r="T67" s="20">
        <f t="shared" si="12"/>
        <v>13.668749999999999</v>
      </c>
    </row>
    <row r="68" spans="1:22" ht="17.399999999999999">
      <c r="A68" s="9">
        <v>1</v>
      </c>
      <c r="B68" s="8">
        <v>241</v>
      </c>
      <c r="C68" s="8">
        <v>1136259669</v>
      </c>
      <c r="D68" s="42" t="s">
        <v>124</v>
      </c>
      <c r="F68" s="10">
        <v>0</v>
      </c>
      <c r="G68" s="10">
        <v>1</v>
      </c>
      <c r="H68" s="50">
        <v>0</v>
      </c>
      <c r="I68" s="50">
        <v>0</v>
      </c>
      <c r="J68" s="50">
        <v>0</v>
      </c>
      <c r="K68" s="39" t="s">
        <v>30</v>
      </c>
      <c r="L68" s="11">
        <f t="shared" si="7"/>
        <v>0</v>
      </c>
      <c r="M68" s="10">
        <f t="shared" si="13"/>
        <v>1.2</v>
      </c>
      <c r="N68" s="10">
        <f t="shared" si="8"/>
        <v>0</v>
      </c>
      <c r="O68" s="10">
        <v>0</v>
      </c>
      <c r="P68" s="10">
        <f t="shared" si="9"/>
        <v>1.2</v>
      </c>
      <c r="Q68" s="17">
        <v>7.1187499999999844</v>
      </c>
      <c r="R68" s="18">
        <f t="shared" si="10"/>
        <v>8.3187499999999837</v>
      </c>
      <c r="S68" s="19">
        <f t="shared" si="11"/>
        <v>0</v>
      </c>
      <c r="T68" s="20">
        <f t="shared" si="12"/>
        <v>8.3187499999999837</v>
      </c>
    </row>
    <row r="69" spans="1:22" ht="17.399999999999999">
      <c r="A69" s="9">
        <v>1</v>
      </c>
      <c r="B69" s="8">
        <v>242</v>
      </c>
      <c r="C69" s="8">
        <v>250098915</v>
      </c>
      <c r="D69" s="42" t="s">
        <v>131</v>
      </c>
      <c r="F69" s="10">
        <v>0</v>
      </c>
      <c r="G69" s="10">
        <v>0</v>
      </c>
      <c r="H69" s="50">
        <v>0</v>
      </c>
      <c r="I69" s="50">
        <v>0</v>
      </c>
      <c r="J69" s="50">
        <v>0</v>
      </c>
      <c r="K69" s="39" t="s">
        <v>30</v>
      </c>
      <c r="L69" s="11">
        <f t="shared" si="7"/>
        <v>0</v>
      </c>
      <c r="M69" s="10">
        <f t="shared" si="13"/>
        <v>0</v>
      </c>
      <c r="N69" s="10">
        <f t="shared" si="8"/>
        <v>0</v>
      </c>
      <c r="O69" s="10">
        <v>0</v>
      </c>
      <c r="P69" s="10">
        <f t="shared" ref="P69:P70" si="14">SUM(M69+L69+O69+N69)</f>
        <v>0</v>
      </c>
      <c r="Q69" s="17">
        <v>0.90625</v>
      </c>
      <c r="R69" s="18">
        <f t="shared" ref="R69:R70" si="15">P69+Q69</f>
        <v>0.90625</v>
      </c>
      <c r="S69" s="19">
        <f t="shared" si="11"/>
        <v>0</v>
      </c>
      <c r="T69" s="20">
        <f t="shared" ref="T69:T70" si="16">R69-S69</f>
        <v>0.90625</v>
      </c>
    </row>
    <row r="70" spans="1:22" ht="17.399999999999999">
      <c r="A70" s="70">
        <v>1</v>
      </c>
      <c r="B70" s="8">
        <v>242</v>
      </c>
      <c r="C70" s="8">
        <v>1769984287</v>
      </c>
      <c r="D70" s="8" t="s">
        <v>132</v>
      </c>
      <c r="F70" s="10">
        <v>0</v>
      </c>
      <c r="G70" s="10">
        <v>0</v>
      </c>
      <c r="H70" s="50">
        <v>0</v>
      </c>
      <c r="I70" s="50">
        <v>0</v>
      </c>
      <c r="J70" s="50">
        <v>0</v>
      </c>
      <c r="K70" s="39" t="s">
        <v>30</v>
      </c>
      <c r="L70" s="11">
        <f t="shared" si="7"/>
        <v>0</v>
      </c>
      <c r="M70" s="10">
        <f t="shared" si="13"/>
        <v>0</v>
      </c>
      <c r="N70" s="10">
        <f t="shared" si="8"/>
        <v>0</v>
      </c>
      <c r="O70" s="10">
        <v>0</v>
      </c>
      <c r="P70" s="10">
        <f t="shared" si="14"/>
        <v>0</v>
      </c>
      <c r="Q70" s="17">
        <v>0.65000000000000036</v>
      </c>
      <c r="R70" s="18">
        <f t="shared" si="15"/>
        <v>0.65000000000000036</v>
      </c>
      <c r="S70" s="19">
        <f t="shared" si="11"/>
        <v>0</v>
      </c>
      <c r="T70" s="20">
        <f t="shared" si="16"/>
        <v>0.65000000000000036</v>
      </c>
    </row>
    <row r="71" spans="1:22" ht="17.399999999999999">
      <c r="A71" s="70"/>
      <c r="B71" s="8">
        <v>244</v>
      </c>
      <c r="C71" s="8">
        <v>573211380</v>
      </c>
      <c r="D71" s="42" t="s">
        <v>139</v>
      </c>
      <c r="F71" s="10">
        <v>0</v>
      </c>
      <c r="G71" s="10">
        <v>0</v>
      </c>
      <c r="H71" s="50">
        <v>0</v>
      </c>
      <c r="I71" s="50">
        <v>0</v>
      </c>
      <c r="J71" s="50">
        <v>0</v>
      </c>
      <c r="K71" s="39" t="s">
        <v>30</v>
      </c>
      <c r="L71" s="11">
        <f t="shared" ref="L71:L75" si="17">F71+IF(F71&gt;2,(F71-2)*1,0)</f>
        <v>0</v>
      </c>
      <c r="M71" s="10">
        <f t="shared" ref="M71:M75" si="18">G71*$Y$14</f>
        <v>0</v>
      </c>
      <c r="N71" s="10">
        <f t="shared" ref="N71:N75" si="19">SUM(H71:J71)*$Y$18</f>
        <v>0</v>
      </c>
      <c r="O71" s="10">
        <v>0</v>
      </c>
      <c r="P71" s="10">
        <f t="shared" ref="P71:P75" si="20">SUM(M71+L71+O71+N71)</f>
        <v>0</v>
      </c>
      <c r="Q71" s="17">
        <v>0</v>
      </c>
      <c r="R71" s="18">
        <f t="shared" ref="R71:R75" si="21">P71+Q71</f>
        <v>0</v>
      </c>
      <c r="S71" s="19">
        <f t="shared" ref="S71:S75" si="22">VLOOKUP(K71,$X$3:$Y$10,2,FALSE)</f>
        <v>0</v>
      </c>
      <c r="T71" s="20">
        <f t="shared" ref="T71:T75" si="23">R71-S71</f>
        <v>0</v>
      </c>
      <c r="U71" s="21">
        <v>12</v>
      </c>
      <c r="V71" s="21">
        <f>_xlfn.AGGREGATE(16,6,$T$5:$T$40,1-(U71-1)/$Y$1)</f>
        <v>13.847596153846149</v>
      </c>
    </row>
    <row r="72" spans="1:22" ht="17.399999999999999">
      <c r="B72" s="8">
        <v>245</v>
      </c>
      <c r="C72" s="8">
        <v>603472651</v>
      </c>
      <c r="D72" s="42" t="s">
        <v>140</v>
      </c>
      <c r="F72" s="10">
        <v>0</v>
      </c>
      <c r="G72" s="10">
        <v>0</v>
      </c>
      <c r="H72" s="50">
        <v>0</v>
      </c>
      <c r="I72" s="50">
        <v>0</v>
      </c>
      <c r="J72" s="50">
        <v>0</v>
      </c>
      <c r="K72" s="39" t="s">
        <v>30</v>
      </c>
      <c r="L72" s="11">
        <f t="shared" si="17"/>
        <v>0</v>
      </c>
      <c r="M72" s="10">
        <f t="shared" si="18"/>
        <v>0</v>
      </c>
      <c r="N72" s="10">
        <f t="shared" si="19"/>
        <v>0</v>
      </c>
      <c r="O72" s="10">
        <v>0</v>
      </c>
      <c r="P72" s="10">
        <f t="shared" si="20"/>
        <v>0</v>
      </c>
      <c r="Q72" s="17">
        <v>0</v>
      </c>
      <c r="R72" s="18">
        <f t="shared" si="21"/>
        <v>0</v>
      </c>
      <c r="S72" s="19">
        <f t="shared" si="22"/>
        <v>0</v>
      </c>
      <c r="T72" s="20">
        <f t="shared" si="23"/>
        <v>0</v>
      </c>
      <c r="U72" s="21">
        <v>16</v>
      </c>
      <c r="V72" s="21">
        <f t="shared" ref="V72:V75" si="24">_xlfn.AGGREGATE(16,6,$T$5:$T$40,1-(U72-1)/$Y$1)</f>
        <v>12.534615384615371</v>
      </c>
    </row>
    <row r="73" spans="1:22" ht="17.399999999999999">
      <c r="B73" s="8">
        <v>246</v>
      </c>
      <c r="C73" s="8">
        <v>1192342148</v>
      </c>
      <c r="D73" s="42" t="s">
        <v>141</v>
      </c>
      <c r="F73" s="10">
        <v>0</v>
      </c>
      <c r="G73" s="10">
        <v>0</v>
      </c>
      <c r="H73" s="50">
        <v>0</v>
      </c>
      <c r="I73" s="50">
        <v>0</v>
      </c>
      <c r="J73" s="50">
        <v>0</v>
      </c>
      <c r="K73" s="39" t="s">
        <v>30</v>
      </c>
      <c r="L73" s="11">
        <f t="shared" si="17"/>
        <v>0</v>
      </c>
      <c r="M73" s="10">
        <f t="shared" si="18"/>
        <v>0</v>
      </c>
      <c r="N73" s="10">
        <f t="shared" si="19"/>
        <v>0</v>
      </c>
      <c r="O73" s="10">
        <v>0</v>
      </c>
      <c r="P73" s="10">
        <f t="shared" si="20"/>
        <v>0</v>
      </c>
      <c r="Q73" s="17">
        <v>0</v>
      </c>
      <c r="R73" s="18">
        <f t="shared" si="21"/>
        <v>0</v>
      </c>
      <c r="S73" s="19">
        <f t="shared" si="22"/>
        <v>0</v>
      </c>
      <c r="T73" s="20">
        <f t="shared" si="23"/>
        <v>0</v>
      </c>
      <c r="U73" s="21">
        <v>2</v>
      </c>
      <c r="V73" s="21">
        <f t="shared" si="24"/>
        <v>14.399730769230761</v>
      </c>
    </row>
    <row r="74" spans="1:22" ht="17.399999999999999">
      <c r="B74" s="8">
        <v>247</v>
      </c>
      <c r="C74" s="8">
        <v>520310894</v>
      </c>
      <c r="D74" s="42" t="s">
        <v>142</v>
      </c>
      <c r="F74" s="10">
        <v>0</v>
      </c>
      <c r="G74" s="10">
        <v>0</v>
      </c>
      <c r="H74" s="50">
        <v>0</v>
      </c>
      <c r="I74" s="50">
        <v>0</v>
      </c>
      <c r="J74" s="50">
        <v>0</v>
      </c>
      <c r="K74" s="39" t="s">
        <v>30</v>
      </c>
      <c r="L74" s="11">
        <f t="shared" si="17"/>
        <v>0</v>
      </c>
      <c r="M74" s="10">
        <f t="shared" si="18"/>
        <v>0</v>
      </c>
      <c r="N74" s="10">
        <f t="shared" si="19"/>
        <v>0</v>
      </c>
      <c r="O74" s="10">
        <v>0</v>
      </c>
      <c r="P74" s="10">
        <f t="shared" si="20"/>
        <v>0</v>
      </c>
      <c r="Q74" s="17">
        <v>0</v>
      </c>
      <c r="R74" s="18">
        <f t="shared" si="21"/>
        <v>0</v>
      </c>
      <c r="S74" s="19">
        <f t="shared" si="22"/>
        <v>0</v>
      </c>
      <c r="T74" s="20">
        <f t="shared" si="23"/>
        <v>0</v>
      </c>
      <c r="U74" s="21">
        <v>4</v>
      </c>
      <c r="V74" s="21">
        <f t="shared" si="24"/>
        <v>14.146153846153847</v>
      </c>
    </row>
    <row r="75" spans="1:22" ht="17.399999999999999">
      <c r="B75" s="8">
        <v>248</v>
      </c>
      <c r="C75" s="8">
        <v>1886132205</v>
      </c>
      <c r="D75" s="42" t="s">
        <v>143</v>
      </c>
      <c r="F75" s="10">
        <v>0</v>
      </c>
      <c r="G75" s="10">
        <v>0</v>
      </c>
      <c r="H75" s="50">
        <v>0</v>
      </c>
      <c r="I75" s="50">
        <v>0</v>
      </c>
      <c r="J75" s="50">
        <v>0</v>
      </c>
      <c r="K75" s="39" t="s">
        <v>30</v>
      </c>
      <c r="L75" s="11">
        <f t="shared" si="17"/>
        <v>0</v>
      </c>
      <c r="M75" s="10">
        <f t="shared" si="18"/>
        <v>0</v>
      </c>
      <c r="N75" s="10">
        <f t="shared" si="19"/>
        <v>0</v>
      </c>
      <c r="O75" s="10">
        <v>0</v>
      </c>
      <c r="P75" s="10">
        <f t="shared" si="20"/>
        <v>0</v>
      </c>
      <c r="Q75" s="17">
        <v>0</v>
      </c>
      <c r="R75" s="18">
        <f t="shared" si="21"/>
        <v>0</v>
      </c>
      <c r="S75" s="19">
        <f t="shared" si="22"/>
        <v>0</v>
      </c>
      <c r="T75" s="20">
        <f t="shared" si="23"/>
        <v>0</v>
      </c>
      <c r="U75" s="21">
        <v>3</v>
      </c>
      <c r="V75" s="21">
        <f t="shared" si="24"/>
        <v>14.203769230769222</v>
      </c>
    </row>
  </sheetData>
  <autoFilter ref="A4:W70" xr:uid="{28593B8F-03E7-4BE1-B554-FC0AADC431B2}">
    <sortState xmlns:xlrd2="http://schemas.microsoft.com/office/spreadsheetml/2017/richdata2" ref="A5:W70">
      <sortCondition descending="1" ref="F4:F70"/>
    </sortState>
  </autoFilter>
  <mergeCells count="5">
    <mergeCell ref="B1:T1"/>
    <mergeCell ref="B2:T2"/>
    <mergeCell ref="B3:E3"/>
    <mergeCell ref="H3:J3"/>
    <mergeCell ref="K3:T3"/>
  </mergeCells>
  <conditionalFormatting sqref="O5:O70 F5:J70">
    <cfRule type="cellIs" dxfId="14" priority="2" operator="lessThan">
      <formula>1</formula>
    </cfRule>
  </conditionalFormatting>
  <conditionalFormatting sqref="O71:O75 F71:J75">
    <cfRule type="cellIs" dxfId="13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FEFE-A07D-4C71-A62C-F73B7B2D70E1}">
  <dimension ref="A1:AC83"/>
  <sheetViews>
    <sheetView topLeftCell="A4" zoomScale="70" zoomScaleNormal="70" workbookViewId="0">
      <selection activeCell="A16" sqref="A16:XFD16"/>
    </sheetView>
  </sheetViews>
  <sheetFormatPr defaultColWidth="9" defaultRowHeight="14.4"/>
  <cols>
    <col min="1" max="1" width="6.44140625" customWidth="1"/>
    <col min="2" max="2" width="6.6640625" style="4" customWidth="1"/>
    <col min="3" max="3" width="19.77734375" style="5" customWidth="1"/>
    <col min="4" max="4" width="21.21875" style="5" customWidth="1"/>
    <col min="5" max="5" width="18.33203125" style="4" customWidth="1"/>
    <col min="6" max="6" width="13.109375" style="4" customWidth="1"/>
    <col min="7" max="7" width="13.77734375" style="4" customWidth="1"/>
    <col min="8" max="8" width="5.77734375" style="4" customWidth="1"/>
    <col min="9" max="9" width="5.88671875" style="4" customWidth="1"/>
    <col min="10" max="10" width="5.77734375" style="4" customWidth="1"/>
    <col min="11" max="11" width="20" style="4" customWidth="1"/>
    <col min="12" max="12" width="9" style="4" customWidth="1"/>
    <col min="13" max="13" width="12.109375" style="4" customWidth="1"/>
    <col min="14" max="14" width="11.33203125" style="4" customWidth="1"/>
    <col min="15" max="15" width="10" style="4" customWidth="1"/>
    <col min="16" max="16" width="9" style="4" customWidth="1"/>
    <col min="17" max="17" width="12.88671875" style="4" customWidth="1"/>
    <col min="18" max="18" width="12" style="4" customWidth="1"/>
    <col min="19" max="19" width="9.21875" style="4" customWidth="1"/>
    <col min="20" max="20" width="12.6640625" style="4" customWidth="1"/>
    <col min="21" max="23" width="11.109375" style="21" customWidth="1"/>
    <col min="24" max="24" width="22.44140625" customWidth="1"/>
  </cols>
  <sheetData>
    <row r="1" spans="1:29" ht="36.6" customHeight="1">
      <c r="B1" s="99" t="str">
        <f>CONCATENATE("157区 活动中心",Y15,"年",Y16,"月",Y17,"日","分包贡献明细"," 统计：一二三")</f>
        <v>157区 活动中心2021年11月27日分包贡献明细 统计：一二三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62"/>
      <c r="V1" s="62"/>
      <c r="W1" s="62"/>
      <c r="X1" s="22" t="s">
        <v>12</v>
      </c>
      <c r="Y1" s="5">
        <v>63</v>
      </c>
      <c r="Z1" s="3"/>
      <c r="AA1" s="3"/>
      <c r="AB1" s="3"/>
      <c r="AC1" s="3"/>
    </row>
    <row r="2" spans="1:29" ht="123" customHeight="1">
      <c r="B2" s="101" t="s">
        <v>126</v>
      </c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63"/>
      <c r="V2" s="63"/>
      <c r="W2" s="63"/>
      <c r="X2" s="23" t="s">
        <v>0</v>
      </c>
      <c r="Y2" s="24" t="s">
        <v>13</v>
      </c>
      <c r="Z2" s="25" t="s">
        <v>14</v>
      </c>
      <c r="AA2" s="25" t="s">
        <v>15</v>
      </c>
      <c r="AB2" s="25" t="s">
        <v>56</v>
      </c>
      <c r="AC2" s="26" t="s">
        <v>16</v>
      </c>
    </row>
    <row r="3" spans="1:29" ht="20.399999999999999">
      <c r="B3" s="104" t="s">
        <v>20</v>
      </c>
      <c r="C3" s="104"/>
      <c r="D3" s="104"/>
      <c r="E3" s="104"/>
      <c r="F3" s="64" t="s">
        <v>17</v>
      </c>
      <c r="G3" s="65" t="s">
        <v>39</v>
      </c>
      <c r="H3" s="105" t="s">
        <v>99</v>
      </c>
      <c r="I3" s="105"/>
      <c r="J3" s="105"/>
      <c r="K3" s="106" t="s">
        <v>21</v>
      </c>
      <c r="L3" s="107"/>
      <c r="M3" s="107"/>
      <c r="N3" s="107"/>
      <c r="O3" s="107"/>
      <c r="P3" s="107"/>
      <c r="Q3" s="107"/>
      <c r="R3" s="107"/>
      <c r="S3" s="107"/>
      <c r="T3" s="108"/>
      <c r="U3" s="61"/>
      <c r="V3" s="61"/>
      <c r="W3" s="61"/>
      <c r="X3" s="27" t="s">
        <v>22</v>
      </c>
      <c r="Y3" s="28">
        <f>AC3/$Y$13</f>
        <v>11.875</v>
      </c>
      <c r="Z3" s="23">
        <v>5</v>
      </c>
      <c r="AA3" s="23">
        <v>7</v>
      </c>
      <c r="AB3" s="23">
        <v>20</v>
      </c>
      <c r="AC3" s="23">
        <v>1900</v>
      </c>
    </row>
    <row r="4" spans="1:29" ht="40.799999999999997">
      <c r="A4" s="82" t="s">
        <v>117</v>
      </c>
      <c r="B4" s="82" t="s">
        <v>2</v>
      </c>
      <c r="C4" s="60" t="s">
        <v>23</v>
      </c>
      <c r="D4" s="82" t="s">
        <v>3</v>
      </c>
      <c r="E4" s="82" t="s">
        <v>4</v>
      </c>
      <c r="F4" s="6" t="s">
        <v>40</v>
      </c>
      <c r="G4" s="7" t="s">
        <v>91</v>
      </c>
      <c r="H4" s="7" t="s">
        <v>100</v>
      </c>
      <c r="I4" s="7" t="s">
        <v>101</v>
      </c>
      <c r="J4" s="7" t="s">
        <v>102</v>
      </c>
      <c r="K4" s="6" t="s">
        <v>5</v>
      </c>
      <c r="L4" s="6" t="s">
        <v>24</v>
      </c>
      <c r="M4" s="7" t="s">
        <v>41</v>
      </c>
      <c r="N4" s="7" t="s">
        <v>104</v>
      </c>
      <c r="O4" s="7" t="s">
        <v>45</v>
      </c>
      <c r="P4" s="15" t="s">
        <v>25</v>
      </c>
      <c r="Q4" s="60" t="s">
        <v>26</v>
      </c>
      <c r="R4" s="16" t="s">
        <v>7</v>
      </c>
      <c r="S4" s="60" t="s">
        <v>6</v>
      </c>
      <c r="T4" s="60" t="s">
        <v>27</v>
      </c>
      <c r="U4" s="60" t="s">
        <v>18</v>
      </c>
      <c r="V4" s="60" t="s">
        <v>19</v>
      </c>
      <c r="W4" s="60" t="s">
        <v>1</v>
      </c>
      <c r="X4" s="29" t="s">
        <v>28</v>
      </c>
      <c r="Y4" s="28">
        <f>AC4/$Y$13</f>
        <v>9.6875</v>
      </c>
      <c r="Z4" s="23">
        <v>4</v>
      </c>
      <c r="AA4" s="23">
        <v>6</v>
      </c>
      <c r="AB4" s="23">
        <v>15</v>
      </c>
      <c r="AC4" s="23">
        <v>1550</v>
      </c>
    </row>
    <row r="5" spans="1:29" s="1" customFormat="1" ht="17.399999999999999">
      <c r="A5" s="9">
        <v>0</v>
      </c>
      <c r="B5" s="8">
        <v>167</v>
      </c>
      <c r="C5" s="8">
        <v>1173807161</v>
      </c>
      <c r="D5" s="42" t="s">
        <v>138</v>
      </c>
      <c r="E5" s="42" t="s">
        <v>48</v>
      </c>
      <c r="F5" s="10">
        <v>0</v>
      </c>
      <c r="G5" s="10">
        <v>0</v>
      </c>
      <c r="H5" s="50">
        <v>0</v>
      </c>
      <c r="I5" s="50">
        <v>0</v>
      </c>
      <c r="J5" s="50">
        <v>0</v>
      </c>
      <c r="K5" s="39" t="s">
        <v>30</v>
      </c>
      <c r="L5" s="11">
        <f t="shared" ref="L5:L36" si="0">F5+IF(F5&gt;2,(F5-2)*1,0)</f>
        <v>0</v>
      </c>
      <c r="M5" s="10">
        <f>G5*$Y$14</f>
        <v>0</v>
      </c>
      <c r="N5" s="10">
        <f t="shared" ref="N5:N36" si="1">SUM(H5:J5)*$Y$18</f>
        <v>0</v>
      </c>
      <c r="O5" s="10">
        <v>0</v>
      </c>
      <c r="P5" s="10">
        <f t="shared" ref="P5:P36" si="2">SUM(M5+L5+O5+N5)</f>
        <v>0</v>
      </c>
      <c r="Q5" s="17">
        <v>28.224999999999977</v>
      </c>
      <c r="R5" s="18">
        <f t="shared" ref="R5:R36" si="3">P5+Q5</f>
        <v>28.224999999999977</v>
      </c>
      <c r="S5" s="19">
        <f t="shared" ref="S5:S36" si="4">VLOOKUP(K5,$X$3:$Y$10,2,FALSE)</f>
        <v>0</v>
      </c>
      <c r="T5" s="20">
        <f t="shared" ref="T5:T36" si="5">R5-S5</f>
        <v>28.224999999999977</v>
      </c>
      <c r="U5" s="4"/>
      <c r="V5" s="4"/>
      <c r="W5" s="4"/>
      <c r="X5" s="14" t="s">
        <v>29</v>
      </c>
      <c r="Y5" s="28">
        <f>AC5/$Y$13/4</f>
        <v>1.875</v>
      </c>
      <c r="Z5" s="30">
        <v>3</v>
      </c>
      <c r="AA5" s="30">
        <v>5</v>
      </c>
      <c r="AB5" s="30">
        <v>10</v>
      </c>
      <c r="AC5" s="30">
        <v>1200</v>
      </c>
    </row>
    <row r="6" spans="1:29" s="1" customFormat="1" ht="20.399999999999999">
      <c r="A6" s="9">
        <v>1</v>
      </c>
      <c r="B6" s="9">
        <v>49</v>
      </c>
      <c r="C6" s="8">
        <v>311361673</v>
      </c>
      <c r="D6" s="43" t="s">
        <v>105</v>
      </c>
      <c r="E6" s="49" t="s">
        <v>11</v>
      </c>
      <c r="F6" s="10">
        <v>4</v>
      </c>
      <c r="G6" s="10">
        <v>1</v>
      </c>
      <c r="H6" s="50">
        <v>0</v>
      </c>
      <c r="I6" s="50">
        <v>1</v>
      </c>
      <c r="J6" s="50">
        <v>1</v>
      </c>
      <c r="K6" s="12" t="s">
        <v>53</v>
      </c>
      <c r="L6" s="11">
        <f t="shared" si="0"/>
        <v>6</v>
      </c>
      <c r="M6" s="10">
        <f>IF(G6&gt;0,1,0)*$Y$14</f>
        <v>1.2</v>
      </c>
      <c r="N6" s="10">
        <f t="shared" si="1"/>
        <v>0.8</v>
      </c>
      <c r="O6" s="10">
        <v>0</v>
      </c>
      <c r="P6" s="10">
        <f t="shared" si="2"/>
        <v>8</v>
      </c>
      <c r="Q6" s="17">
        <v>14.618749999999991</v>
      </c>
      <c r="R6" s="18">
        <f t="shared" si="3"/>
        <v>22.618749999999991</v>
      </c>
      <c r="S6" s="19">
        <f t="shared" si="4"/>
        <v>8.125</v>
      </c>
      <c r="T6" s="20">
        <f t="shared" si="5"/>
        <v>14.493749999999991</v>
      </c>
      <c r="U6" s="11"/>
      <c r="V6" s="11"/>
      <c r="W6" s="11"/>
      <c r="X6" s="14"/>
      <c r="Y6" s="28"/>
      <c r="Z6" s="30"/>
      <c r="AA6" s="30"/>
      <c r="AB6" s="30"/>
      <c r="AC6" s="30"/>
    </row>
    <row r="7" spans="1:29" s="1" customFormat="1" ht="17.399999999999999">
      <c r="A7" s="9">
        <v>1</v>
      </c>
      <c r="B7" s="8">
        <v>128</v>
      </c>
      <c r="C7" s="8">
        <v>1214614935</v>
      </c>
      <c r="D7" s="42" t="s">
        <v>62</v>
      </c>
      <c r="E7" s="49" t="s">
        <v>43</v>
      </c>
      <c r="F7" s="10">
        <v>4</v>
      </c>
      <c r="G7" s="10">
        <v>1</v>
      </c>
      <c r="H7" s="50">
        <v>0</v>
      </c>
      <c r="I7" s="50">
        <v>1</v>
      </c>
      <c r="J7" s="50">
        <v>1</v>
      </c>
      <c r="K7" s="12" t="s">
        <v>53</v>
      </c>
      <c r="L7" s="11">
        <f t="shared" si="0"/>
        <v>6</v>
      </c>
      <c r="M7" s="10">
        <f t="shared" ref="M7:M38" si="6">G7*$Y$14</f>
        <v>1.2</v>
      </c>
      <c r="N7" s="10">
        <f t="shared" si="1"/>
        <v>0.8</v>
      </c>
      <c r="O7" s="10">
        <v>0</v>
      </c>
      <c r="P7" s="10">
        <f t="shared" si="2"/>
        <v>8</v>
      </c>
      <c r="Q7" s="17">
        <v>14.211999999999989</v>
      </c>
      <c r="R7" s="18">
        <f t="shared" si="3"/>
        <v>22.211999999999989</v>
      </c>
      <c r="S7" s="19">
        <f t="shared" si="4"/>
        <v>8.125</v>
      </c>
      <c r="T7" s="20">
        <f t="shared" si="5"/>
        <v>14.086999999999989</v>
      </c>
      <c r="U7" s="11"/>
      <c r="V7" s="11"/>
      <c r="W7" s="31"/>
      <c r="X7" s="12" t="s">
        <v>53</v>
      </c>
      <c r="Y7" s="28">
        <f>AC7/$Y$13</f>
        <v>8.125</v>
      </c>
      <c r="Z7" s="30">
        <v>4</v>
      </c>
      <c r="AA7" s="30">
        <v>5</v>
      </c>
      <c r="AB7" s="30"/>
      <c r="AC7" s="30">
        <v>1300</v>
      </c>
    </row>
    <row r="8" spans="1:29" s="1" customFormat="1" ht="17.399999999999999">
      <c r="A8" s="9">
        <v>1</v>
      </c>
      <c r="B8" s="8">
        <v>248</v>
      </c>
      <c r="C8" s="8">
        <v>1886132205</v>
      </c>
      <c r="D8" s="42" t="s">
        <v>143</v>
      </c>
      <c r="E8" s="4"/>
      <c r="F8" s="10">
        <v>4</v>
      </c>
      <c r="G8" s="10">
        <v>1</v>
      </c>
      <c r="H8" s="50">
        <v>0</v>
      </c>
      <c r="I8" s="50">
        <v>1</v>
      </c>
      <c r="J8" s="50">
        <v>1</v>
      </c>
      <c r="K8" s="12" t="s">
        <v>53</v>
      </c>
      <c r="L8" s="11">
        <f t="shared" si="0"/>
        <v>6</v>
      </c>
      <c r="M8" s="10">
        <f t="shared" si="6"/>
        <v>1.2</v>
      </c>
      <c r="N8" s="10">
        <f t="shared" si="1"/>
        <v>0.8</v>
      </c>
      <c r="O8" s="10">
        <v>0</v>
      </c>
      <c r="P8" s="10">
        <f t="shared" si="2"/>
        <v>8</v>
      </c>
      <c r="Q8" s="17">
        <v>14.203769230769222</v>
      </c>
      <c r="R8" s="18">
        <f t="shared" si="3"/>
        <v>22.203769230769222</v>
      </c>
      <c r="S8" s="19">
        <f t="shared" si="4"/>
        <v>8.125</v>
      </c>
      <c r="T8" s="20">
        <f t="shared" si="5"/>
        <v>14.078769230769222</v>
      </c>
      <c r="U8" s="4"/>
      <c r="V8" s="4"/>
      <c r="W8" s="4"/>
      <c r="X8" s="13" t="s">
        <v>52</v>
      </c>
      <c r="Y8" s="28">
        <f>AC8/$Y$13</f>
        <v>6.25</v>
      </c>
      <c r="Z8" s="30">
        <v>3</v>
      </c>
      <c r="AA8" s="30">
        <v>4</v>
      </c>
      <c r="AB8" s="30"/>
      <c r="AC8" s="30">
        <v>1000</v>
      </c>
    </row>
    <row r="9" spans="1:29" s="1" customFormat="1" ht="17.399999999999999">
      <c r="A9" s="9">
        <v>1</v>
      </c>
      <c r="B9" s="8">
        <v>247</v>
      </c>
      <c r="C9" s="8">
        <v>520310894</v>
      </c>
      <c r="D9" s="42" t="s">
        <v>142</v>
      </c>
      <c r="E9" s="4"/>
      <c r="F9" s="10">
        <v>4</v>
      </c>
      <c r="G9" s="10">
        <v>1</v>
      </c>
      <c r="H9" s="50">
        <v>0</v>
      </c>
      <c r="I9" s="50">
        <v>1</v>
      </c>
      <c r="J9" s="50">
        <v>1</v>
      </c>
      <c r="K9" s="12" t="s">
        <v>53</v>
      </c>
      <c r="L9" s="11">
        <f t="shared" si="0"/>
        <v>6</v>
      </c>
      <c r="M9" s="10">
        <f t="shared" si="6"/>
        <v>1.2</v>
      </c>
      <c r="N9" s="10">
        <f t="shared" si="1"/>
        <v>0.8</v>
      </c>
      <c r="O9" s="10">
        <v>0</v>
      </c>
      <c r="P9" s="10">
        <f t="shared" si="2"/>
        <v>8</v>
      </c>
      <c r="Q9" s="17">
        <v>14.146153846153847</v>
      </c>
      <c r="R9" s="18">
        <f t="shared" si="3"/>
        <v>22.146153846153847</v>
      </c>
      <c r="S9" s="19">
        <f t="shared" si="4"/>
        <v>8.125</v>
      </c>
      <c r="T9" s="20">
        <f t="shared" si="5"/>
        <v>14.021153846153847</v>
      </c>
      <c r="U9" s="4"/>
      <c r="V9" s="4"/>
      <c r="W9" s="4"/>
      <c r="X9" s="14" t="s">
        <v>53</v>
      </c>
      <c r="Y9" s="28">
        <f>AC9/$Y$13/4</f>
        <v>1.09375</v>
      </c>
      <c r="Z9" s="30">
        <v>2</v>
      </c>
      <c r="AA9" s="30">
        <v>3</v>
      </c>
      <c r="AB9" s="30"/>
      <c r="AC9" s="30">
        <v>700</v>
      </c>
    </row>
    <row r="10" spans="1:29" s="1" customFormat="1" ht="17.399999999999999">
      <c r="A10" s="9">
        <v>1</v>
      </c>
      <c r="B10" s="8">
        <v>110</v>
      </c>
      <c r="C10" s="8">
        <v>1968703358</v>
      </c>
      <c r="D10" s="42" t="s">
        <v>60</v>
      </c>
      <c r="E10" s="42" t="s">
        <v>38</v>
      </c>
      <c r="F10" s="10">
        <v>4</v>
      </c>
      <c r="G10" s="10">
        <v>0</v>
      </c>
      <c r="H10" s="50">
        <v>0</v>
      </c>
      <c r="I10" s="50">
        <v>0</v>
      </c>
      <c r="J10" s="50">
        <v>0</v>
      </c>
      <c r="K10" s="12" t="s">
        <v>53</v>
      </c>
      <c r="L10" s="11">
        <f t="shared" si="0"/>
        <v>6</v>
      </c>
      <c r="M10" s="10">
        <f t="shared" si="6"/>
        <v>0</v>
      </c>
      <c r="N10" s="10">
        <f t="shared" si="1"/>
        <v>0</v>
      </c>
      <c r="O10" s="10">
        <v>0</v>
      </c>
      <c r="P10" s="10">
        <f t="shared" si="2"/>
        <v>6</v>
      </c>
      <c r="Q10" s="17">
        <v>15.337500000000013</v>
      </c>
      <c r="R10" s="18">
        <f t="shared" si="3"/>
        <v>21.337500000000013</v>
      </c>
      <c r="S10" s="19">
        <f t="shared" si="4"/>
        <v>8.125</v>
      </c>
      <c r="T10" s="20">
        <f t="shared" si="5"/>
        <v>13.212500000000013</v>
      </c>
      <c r="U10" s="11"/>
      <c r="V10" s="11"/>
      <c r="W10" s="17"/>
      <c r="X10" s="33" t="s">
        <v>30</v>
      </c>
      <c r="Y10" s="2">
        <v>0</v>
      </c>
      <c r="Z10" s="2"/>
      <c r="AA10" s="2"/>
      <c r="AB10" s="2"/>
      <c r="AC10" s="2"/>
    </row>
    <row r="11" spans="1:29" s="1" customFormat="1" ht="20.399999999999999">
      <c r="A11" s="9">
        <v>1</v>
      </c>
      <c r="B11" s="8">
        <v>214</v>
      </c>
      <c r="C11" s="8">
        <v>2130976604</v>
      </c>
      <c r="D11" s="42" t="s">
        <v>86</v>
      </c>
      <c r="E11" s="2"/>
      <c r="F11" s="10">
        <v>2</v>
      </c>
      <c r="G11" s="10">
        <v>1</v>
      </c>
      <c r="H11" s="50">
        <v>0</v>
      </c>
      <c r="I11" s="50">
        <v>0</v>
      </c>
      <c r="J11" s="50">
        <v>0</v>
      </c>
      <c r="K11" s="12" t="s">
        <v>53</v>
      </c>
      <c r="L11" s="11">
        <f t="shared" si="0"/>
        <v>2</v>
      </c>
      <c r="M11" s="10">
        <f t="shared" si="6"/>
        <v>1.2</v>
      </c>
      <c r="N11" s="10">
        <f t="shared" si="1"/>
        <v>0</v>
      </c>
      <c r="O11" s="10">
        <v>0</v>
      </c>
      <c r="P11" s="10">
        <f t="shared" si="2"/>
        <v>3.2</v>
      </c>
      <c r="Q11" s="17">
        <v>18.137499999999982</v>
      </c>
      <c r="R11" s="18">
        <f t="shared" si="3"/>
        <v>21.337499999999981</v>
      </c>
      <c r="S11" s="19">
        <f t="shared" si="4"/>
        <v>8.125</v>
      </c>
      <c r="T11" s="20">
        <f t="shared" si="5"/>
        <v>13.212499999999981</v>
      </c>
      <c r="U11" s="4"/>
      <c r="V11" s="4"/>
      <c r="W11" s="4"/>
      <c r="X11" s="34"/>
    </row>
    <row r="12" spans="1:29" s="1" customFormat="1" ht="20.399999999999999">
      <c r="A12" s="9">
        <v>0</v>
      </c>
      <c r="B12" s="8">
        <v>229</v>
      </c>
      <c r="C12" s="8">
        <v>1598972736</v>
      </c>
      <c r="D12" s="42" t="s">
        <v>110</v>
      </c>
      <c r="E12" s="42"/>
      <c r="F12" s="10">
        <v>0</v>
      </c>
      <c r="G12" s="10">
        <v>0</v>
      </c>
      <c r="H12" s="50">
        <v>0</v>
      </c>
      <c r="I12" s="50">
        <v>0</v>
      </c>
      <c r="J12" s="50">
        <v>0</v>
      </c>
      <c r="K12" s="39" t="s">
        <v>30</v>
      </c>
      <c r="L12" s="11">
        <f t="shared" si="0"/>
        <v>0</v>
      </c>
      <c r="M12" s="10">
        <f t="shared" si="6"/>
        <v>0</v>
      </c>
      <c r="N12" s="10">
        <f t="shared" si="1"/>
        <v>0</v>
      </c>
      <c r="O12" s="10">
        <v>0</v>
      </c>
      <c r="P12" s="10">
        <f t="shared" si="2"/>
        <v>0</v>
      </c>
      <c r="Q12" s="17">
        <v>21.197089552238797</v>
      </c>
      <c r="R12" s="18">
        <f t="shared" si="3"/>
        <v>21.197089552238797</v>
      </c>
      <c r="S12" s="19">
        <f t="shared" si="4"/>
        <v>0</v>
      </c>
      <c r="T12" s="20">
        <f t="shared" si="5"/>
        <v>21.197089552238797</v>
      </c>
      <c r="U12" s="4"/>
      <c r="V12" s="4"/>
      <c r="W12" s="4"/>
      <c r="X12" s="35" t="s">
        <v>32</v>
      </c>
      <c r="Y12" s="1">
        <v>15000</v>
      </c>
    </row>
    <row r="13" spans="1:29" s="2" customFormat="1" ht="17.399999999999999">
      <c r="A13" s="9">
        <v>1</v>
      </c>
      <c r="B13" s="8">
        <v>236</v>
      </c>
      <c r="C13" s="8">
        <v>1968448898</v>
      </c>
      <c r="D13" s="42" t="s">
        <v>118</v>
      </c>
      <c r="E13" s="4"/>
      <c r="F13" s="10">
        <v>4</v>
      </c>
      <c r="G13" s="10">
        <v>1</v>
      </c>
      <c r="H13" s="50">
        <v>0</v>
      </c>
      <c r="I13" s="50">
        <v>0</v>
      </c>
      <c r="J13" s="50">
        <v>0</v>
      </c>
      <c r="K13" s="12" t="s">
        <v>53</v>
      </c>
      <c r="L13" s="11">
        <f t="shared" si="0"/>
        <v>6</v>
      </c>
      <c r="M13" s="10">
        <f t="shared" si="6"/>
        <v>1.2</v>
      </c>
      <c r="N13" s="10">
        <f t="shared" si="1"/>
        <v>0</v>
      </c>
      <c r="O13" s="10">
        <v>0</v>
      </c>
      <c r="P13" s="10">
        <f t="shared" si="2"/>
        <v>7.2</v>
      </c>
      <c r="Q13" s="17">
        <v>13.906249999999986</v>
      </c>
      <c r="R13" s="18">
        <f t="shared" si="3"/>
        <v>21.106249999999985</v>
      </c>
      <c r="S13" s="19">
        <f t="shared" si="4"/>
        <v>8.125</v>
      </c>
      <c r="T13" s="20">
        <f t="shared" si="5"/>
        <v>12.981249999999985</v>
      </c>
      <c r="U13" s="4"/>
      <c r="V13" s="4"/>
      <c r="W13" s="4"/>
      <c r="X13" s="36" t="s">
        <v>33</v>
      </c>
      <c r="Y13" s="37">
        <v>160</v>
      </c>
      <c r="Z13" s="1"/>
      <c r="AA13" s="1"/>
      <c r="AB13" s="1"/>
      <c r="AC13" s="1"/>
    </row>
    <row r="14" spans="1:29" s="2" customFormat="1" ht="20.399999999999999">
      <c r="A14" s="9">
        <v>1</v>
      </c>
      <c r="B14" s="8">
        <v>221</v>
      </c>
      <c r="C14" s="8">
        <v>790956883</v>
      </c>
      <c r="D14" s="42" t="s">
        <v>96</v>
      </c>
      <c r="E14" s="42" t="s">
        <v>95</v>
      </c>
      <c r="F14" s="10">
        <v>4</v>
      </c>
      <c r="G14" s="10">
        <v>1</v>
      </c>
      <c r="H14" s="50">
        <v>0</v>
      </c>
      <c r="I14" s="50">
        <v>0</v>
      </c>
      <c r="J14" s="50">
        <v>0</v>
      </c>
      <c r="K14" s="13" t="s">
        <v>52</v>
      </c>
      <c r="L14" s="11">
        <f t="shared" si="0"/>
        <v>6</v>
      </c>
      <c r="M14" s="10">
        <f t="shared" si="6"/>
        <v>1.2</v>
      </c>
      <c r="N14" s="10">
        <f t="shared" si="1"/>
        <v>0</v>
      </c>
      <c r="O14" s="10">
        <v>0</v>
      </c>
      <c r="P14" s="10">
        <f t="shared" si="2"/>
        <v>7.2</v>
      </c>
      <c r="Q14" s="17">
        <v>13.89374999999999</v>
      </c>
      <c r="R14" s="18">
        <f t="shared" si="3"/>
        <v>21.093749999999989</v>
      </c>
      <c r="S14" s="19">
        <f t="shared" si="4"/>
        <v>6.25</v>
      </c>
      <c r="T14" s="20">
        <f t="shared" si="5"/>
        <v>14.843749999999989</v>
      </c>
      <c r="U14" s="4"/>
      <c r="V14" s="4"/>
      <c r="W14" s="4"/>
      <c r="X14" s="38" t="s">
        <v>42</v>
      </c>
      <c r="Y14" s="37">
        <v>1.2</v>
      </c>
      <c r="Z14" s="1"/>
      <c r="AA14" s="1"/>
      <c r="AB14" s="1"/>
      <c r="AC14" s="1"/>
    </row>
    <row r="15" spans="1:29" s="2" customFormat="1" ht="17.399999999999999">
      <c r="A15" s="9">
        <v>0</v>
      </c>
      <c r="B15" s="8">
        <v>196</v>
      </c>
      <c r="C15" s="8">
        <v>1065641844</v>
      </c>
      <c r="D15" s="42" t="s">
        <v>74</v>
      </c>
      <c r="E15" s="47"/>
      <c r="F15" s="10">
        <v>0</v>
      </c>
      <c r="G15" s="10">
        <v>0</v>
      </c>
      <c r="H15" s="50">
        <v>0</v>
      </c>
      <c r="I15" s="50">
        <v>0</v>
      </c>
      <c r="J15" s="50">
        <v>0</v>
      </c>
      <c r="K15" s="39" t="s">
        <v>30</v>
      </c>
      <c r="L15" s="11">
        <f t="shared" si="0"/>
        <v>0</v>
      </c>
      <c r="M15" s="10">
        <f t="shared" si="6"/>
        <v>0</v>
      </c>
      <c r="N15" s="10">
        <f t="shared" si="1"/>
        <v>0</v>
      </c>
      <c r="O15" s="10">
        <v>0</v>
      </c>
      <c r="P15" s="10">
        <f t="shared" si="2"/>
        <v>0</v>
      </c>
      <c r="Q15" s="17">
        <v>21.062499999999993</v>
      </c>
      <c r="R15" s="18">
        <f t="shared" si="3"/>
        <v>21.062499999999993</v>
      </c>
      <c r="S15" s="19">
        <f t="shared" si="4"/>
        <v>0</v>
      </c>
      <c r="T15" s="20">
        <f t="shared" si="5"/>
        <v>21.062499999999993</v>
      </c>
      <c r="U15" s="4"/>
      <c r="V15" s="4"/>
      <c r="W15" s="4"/>
      <c r="X15" s="1" t="s">
        <v>34</v>
      </c>
      <c r="Y15" s="37">
        <v>2021</v>
      </c>
      <c r="Z15" s="1"/>
      <c r="AA15" s="1"/>
      <c r="AB15" s="1"/>
      <c r="AC15" s="1"/>
    </row>
    <row r="16" spans="1:29" s="2" customFormat="1" ht="17.399999999999999">
      <c r="A16" s="9">
        <v>1</v>
      </c>
      <c r="B16" s="8">
        <v>244</v>
      </c>
      <c r="C16" s="8">
        <v>573211380</v>
      </c>
      <c r="D16" s="42" t="s">
        <v>139</v>
      </c>
      <c r="E16" s="4"/>
      <c r="F16" s="10">
        <v>4</v>
      </c>
      <c r="G16" s="10">
        <v>1</v>
      </c>
      <c r="H16" s="50">
        <v>0</v>
      </c>
      <c r="I16" s="50">
        <v>0</v>
      </c>
      <c r="J16" s="50">
        <v>0</v>
      </c>
      <c r="K16" s="13" t="s">
        <v>52</v>
      </c>
      <c r="L16" s="11">
        <f t="shared" si="0"/>
        <v>6</v>
      </c>
      <c r="M16" s="10">
        <f t="shared" si="6"/>
        <v>1.2</v>
      </c>
      <c r="N16" s="10">
        <f t="shared" si="1"/>
        <v>0</v>
      </c>
      <c r="O16" s="10">
        <v>0</v>
      </c>
      <c r="P16" s="10">
        <f t="shared" si="2"/>
        <v>7.2</v>
      </c>
      <c r="Q16" s="17">
        <v>13.847596153846149</v>
      </c>
      <c r="R16" s="18">
        <f t="shared" si="3"/>
        <v>21.04759615384615</v>
      </c>
      <c r="S16" s="19">
        <f t="shared" si="4"/>
        <v>6.25</v>
      </c>
      <c r="T16" s="20">
        <f t="shared" si="5"/>
        <v>14.79759615384615</v>
      </c>
      <c r="U16" s="4"/>
      <c r="V16" s="4"/>
      <c r="W16" s="4"/>
      <c r="X16" s="1" t="s">
        <v>35</v>
      </c>
      <c r="Y16" s="37">
        <v>11</v>
      </c>
      <c r="Z16" s="1"/>
      <c r="AA16" s="1"/>
      <c r="AB16" s="1"/>
      <c r="AC16" s="1"/>
    </row>
    <row r="17" spans="1:29" s="2" customFormat="1" ht="17.399999999999999">
      <c r="A17" s="9">
        <v>1</v>
      </c>
      <c r="B17" s="8">
        <v>172</v>
      </c>
      <c r="C17" s="8">
        <v>724061220</v>
      </c>
      <c r="D17" s="42" t="s">
        <v>65</v>
      </c>
      <c r="E17" s="42" t="s">
        <v>50</v>
      </c>
      <c r="F17" s="10">
        <v>4</v>
      </c>
      <c r="G17" s="10">
        <v>1</v>
      </c>
      <c r="H17" s="50">
        <v>0</v>
      </c>
      <c r="I17" s="50">
        <v>0</v>
      </c>
      <c r="J17" s="50">
        <v>0</v>
      </c>
      <c r="K17" s="13" t="s">
        <v>52</v>
      </c>
      <c r="L17" s="11">
        <f t="shared" si="0"/>
        <v>6</v>
      </c>
      <c r="M17" s="10">
        <f t="shared" si="6"/>
        <v>1.2</v>
      </c>
      <c r="N17" s="10">
        <f t="shared" si="1"/>
        <v>0</v>
      </c>
      <c r="O17" s="10">
        <v>0</v>
      </c>
      <c r="P17" s="10">
        <f t="shared" si="2"/>
        <v>7.2</v>
      </c>
      <c r="Q17" s="17">
        <v>13.843749999999996</v>
      </c>
      <c r="R17" s="18">
        <f t="shared" si="3"/>
        <v>21.043749999999996</v>
      </c>
      <c r="S17" s="19">
        <f t="shared" si="4"/>
        <v>6.25</v>
      </c>
      <c r="T17" s="20">
        <f t="shared" si="5"/>
        <v>14.793749999999996</v>
      </c>
      <c r="U17" s="4"/>
      <c r="V17" s="4"/>
      <c r="W17" s="4"/>
      <c r="X17" s="1" t="s">
        <v>36</v>
      </c>
      <c r="Y17" s="37">
        <v>27</v>
      </c>
      <c r="Z17" s="1"/>
      <c r="AA17" s="1"/>
      <c r="AB17" s="1"/>
      <c r="AC17" s="1"/>
    </row>
    <row r="18" spans="1:29" s="2" customFormat="1" ht="17.399999999999999">
      <c r="A18" s="9">
        <v>1</v>
      </c>
      <c r="B18" s="8">
        <v>209</v>
      </c>
      <c r="C18" s="8">
        <v>1525950050</v>
      </c>
      <c r="D18" s="42" t="s">
        <v>85</v>
      </c>
      <c r="E18" s="42" t="s">
        <v>83</v>
      </c>
      <c r="F18" s="10">
        <v>4</v>
      </c>
      <c r="G18" s="10">
        <v>1</v>
      </c>
      <c r="H18" s="50">
        <v>0</v>
      </c>
      <c r="I18" s="50">
        <v>0</v>
      </c>
      <c r="J18" s="50">
        <v>0</v>
      </c>
      <c r="K18" s="13" t="s">
        <v>52</v>
      </c>
      <c r="L18" s="11">
        <f t="shared" si="0"/>
        <v>6</v>
      </c>
      <c r="M18" s="10">
        <f t="shared" si="6"/>
        <v>1.2</v>
      </c>
      <c r="N18" s="10">
        <f t="shared" si="1"/>
        <v>0</v>
      </c>
      <c r="O18" s="10">
        <v>0</v>
      </c>
      <c r="P18" s="10">
        <f t="shared" si="2"/>
        <v>7.2</v>
      </c>
      <c r="Q18" s="17">
        <v>12.537499999999987</v>
      </c>
      <c r="R18" s="18">
        <f t="shared" si="3"/>
        <v>19.737499999999986</v>
      </c>
      <c r="S18" s="19">
        <f t="shared" si="4"/>
        <v>6.25</v>
      </c>
      <c r="T18" s="20">
        <f t="shared" si="5"/>
        <v>13.487499999999986</v>
      </c>
      <c r="U18" s="4"/>
      <c r="V18" s="4"/>
      <c r="W18" s="4"/>
      <c r="X18" s="51" t="s">
        <v>103</v>
      </c>
      <c r="Y18" s="37">
        <v>0.4</v>
      </c>
      <c r="Z18" s="1"/>
      <c r="AA18" s="1"/>
      <c r="AB18" s="1"/>
      <c r="AC18" s="1"/>
    </row>
    <row r="19" spans="1:29" s="2" customFormat="1" ht="17.399999999999999">
      <c r="A19" s="9">
        <v>1</v>
      </c>
      <c r="B19" s="8">
        <v>245</v>
      </c>
      <c r="C19" s="8">
        <v>603472651</v>
      </c>
      <c r="D19" s="42" t="s">
        <v>140</v>
      </c>
      <c r="E19" s="4"/>
      <c r="F19" s="10">
        <v>4</v>
      </c>
      <c r="G19" s="10">
        <v>1</v>
      </c>
      <c r="H19" s="50">
        <v>0</v>
      </c>
      <c r="I19" s="50">
        <v>0</v>
      </c>
      <c r="J19" s="50">
        <v>0</v>
      </c>
      <c r="K19" s="13" t="s">
        <v>52</v>
      </c>
      <c r="L19" s="11">
        <f t="shared" si="0"/>
        <v>6</v>
      </c>
      <c r="M19" s="10">
        <f t="shared" si="6"/>
        <v>1.2</v>
      </c>
      <c r="N19" s="10">
        <f t="shared" si="1"/>
        <v>0</v>
      </c>
      <c r="O19" s="10">
        <v>0</v>
      </c>
      <c r="P19" s="10">
        <f t="shared" si="2"/>
        <v>7.2</v>
      </c>
      <c r="Q19" s="17">
        <v>12.534615384615371</v>
      </c>
      <c r="R19" s="18">
        <f t="shared" si="3"/>
        <v>19.73461538461537</v>
      </c>
      <c r="S19" s="19">
        <f t="shared" si="4"/>
        <v>6.25</v>
      </c>
      <c r="T19" s="20">
        <f t="shared" si="5"/>
        <v>13.48461538461537</v>
      </c>
      <c r="U19" s="4"/>
      <c r="V19" s="4"/>
      <c r="W19" s="4"/>
      <c r="X19" s="1"/>
      <c r="Y19" s="1"/>
      <c r="Z19" s="1"/>
      <c r="AA19" s="1"/>
      <c r="AB19" s="1"/>
      <c r="AC19" s="1"/>
    </row>
    <row r="20" spans="1:29" s="2" customFormat="1" ht="17.399999999999999">
      <c r="A20" s="9">
        <v>1</v>
      </c>
      <c r="B20" s="9">
        <v>46</v>
      </c>
      <c r="C20" s="8">
        <v>2109182835</v>
      </c>
      <c r="D20" s="42" t="s">
        <v>59</v>
      </c>
      <c r="E20" s="42" t="s">
        <v>10</v>
      </c>
      <c r="F20" s="10">
        <v>3</v>
      </c>
      <c r="G20" s="10">
        <v>1</v>
      </c>
      <c r="H20" s="50">
        <v>0</v>
      </c>
      <c r="I20" s="50">
        <v>1</v>
      </c>
      <c r="J20" s="50">
        <v>0</v>
      </c>
      <c r="K20" s="13" t="s">
        <v>52</v>
      </c>
      <c r="L20" s="11">
        <f t="shared" si="0"/>
        <v>4</v>
      </c>
      <c r="M20" s="10">
        <f t="shared" si="6"/>
        <v>1.2</v>
      </c>
      <c r="N20" s="10">
        <f t="shared" si="1"/>
        <v>0.4</v>
      </c>
      <c r="O20" s="10">
        <v>0</v>
      </c>
      <c r="P20" s="10">
        <f t="shared" si="2"/>
        <v>5.6000000000000005</v>
      </c>
      <c r="Q20" s="17">
        <v>14.105000000000011</v>
      </c>
      <c r="R20" s="18">
        <f t="shared" si="3"/>
        <v>19.705000000000013</v>
      </c>
      <c r="S20" s="19">
        <f t="shared" si="4"/>
        <v>6.25</v>
      </c>
      <c r="T20" s="20">
        <f t="shared" si="5"/>
        <v>13.455000000000013</v>
      </c>
      <c r="U20" s="11"/>
      <c r="V20" s="11"/>
      <c r="W20" s="11"/>
      <c r="X20" s="1"/>
      <c r="Y20" s="1"/>
      <c r="Z20" s="1"/>
      <c r="AA20" s="1"/>
      <c r="AB20" s="1"/>
      <c r="AC20" s="1"/>
    </row>
    <row r="21" spans="1:29" s="2" customFormat="1" ht="17.399999999999999">
      <c r="A21" s="9">
        <v>1</v>
      </c>
      <c r="B21" s="8">
        <v>202</v>
      </c>
      <c r="C21" s="8">
        <v>471245585</v>
      </c>
      <c r="D21" s="42" t="s">
        <v>77</v>
      </c>
      <c r="E21" s="47"/>
      <c r="F21" s="10">
        <v>4</v>
      </c>
      <c r="G21" s="10">
        <v>1</v>
      </c>
      <c r="H21" s="50">
        <v>0</v>
      </c>
      <c r="I21" s="50">
        <v>0</v>
      </c>
      <c r="J21" s="50">
        <v>0</v>
      </c>
      <c r="K21" s="13" t="s">
        <v>52</v>
      </c>
      <c r="L21" s="11">
        <f t="shared" si="0"/>
        <v>6</v>
      </c>
      <c r="M21" s="10">
        <f t="shared" si="6"/>
        <v>1.2</v>
      </c>
      <c r="N21" s="10">
        <f t="shared" si="1"/>
        <v>0</v>
      </c>
      <c r="O21" s="10">
        <v>0</v>
      </c>
      <c r="P21" s="10">
        <f t="shared" si="2"/>
        <v>7.2</v>
      </c>
      <c r="Q21" s="17">
        <v>12.499999999999986</v>
      </c>
      <c r="R21" s="18">
        <f t="shared" si="3"/>
        <v>19.699999999999985</v>
      </c>
      <c r="S21" s="19">
        <f t="shared" si="4"/>
        <v>6.25</v>
      </c>
      <c r="T21" s="20">
        <f t="shared" si="5"/>
        <v>13.449999999999985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7.399999999999999">
      <c r="A22" s="9">
        <v>1</v>
      </c>
      <c r="B22" s="8">
        <v>208</v>
      </c>
      <c r="C22" s="8">
        <v>92129464</v>
      </c>
      <c r="D22" s="42" t="s">
        <v>148</v>
      </c>
      <c r="E22" s="42" t="s">
        <v>82</v>
      </c>
      <c r="F22" s="10">
        <v>3</v>
      </c>
      <c r="G22" s="10">
        <v>1</v>
      </c>
      <c r="H22" s="50">
        <v>0</v>
      </c>
      <c r="I22" s="50">
        <v>0</v>
      </c>
      <c r="J22" s="50">
        <v>0</v>
      </c>
      <c r="K22" s="14" t="s">
        <v>53</v>
      </c>
      <c r="L22" s="11">
        <f t="shared" si="0"/>
        <v>4</v>
      </c>
      <c r="M22" s="10">
        <f t="shared" si="6"/>
        <v>1.2</v>
      </c>
      <c r="N22" s="10">
        <f t="shared" si="1"/>
        <v>0</v>
      </c>
      <c r="O22" s="10">
        <v>0</v>
      </c>
      <c r="P22" s="10">
        <f t="shared" si="2"/>
        <v>5.2</v>
      </c>
      <c r="Q22" s="17">
        <v>13.937499999999993</v>
      </c>
      <c r="R22" s="18">
        <f t="shared" si="3"/>
        <v>19.137499999999992</v>
      </c>
      <c r="S22" s="19">
        <f t="shared" si="4"/>
        <v>8.125</v>
      </c>
      <c r="T22" s="20">
        <f t="shared" si="5"/>
        <v>11.012499999999992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7.399999999999999">
      <c r="A23" s="9">
        <v>1</v>
      </c>
      <c r="B23" s="8">
        <v>242</v>
      </c>
      <c r="C23" s="8">
        <v>1381736232</v>
      </c>
      <c r="D23" s="42" t="s">
        <v>144</v>
      </c>
      <c r="E23" s="42" t="s">
        <v>125</v>
      </c>
      <c r="F23" s="10">
        <v>4</v>
      </c>
      <c r="G23" s="10">
        <v>1</v>
      </c>
      <c r="H23" s="50">
        <v>0</v>
      </c>
      <c r="I23" s="50">
        <v>0</v>
      </c>
      <c r="J23" s="50">
        <v>0</v>
      </c>
      <c r="K23" s="14" t="s">
        <v>53</v>
      </c>
      <c r="L23" s="11">
        <f t="shared" si="0"/>
        <v>6</v>
      </c>
      <c r="M23" s="10">
        <f t="shared" si="6"/>
        <v>1.2</v>
      </c>
      <c r="N23" s="10">
        <f t="shared" si="1"/>
        <v>0</v>
      </c>
      <c r="O23" s="10">
        <v>0</v>
      </c>
      <c r="P23" s="10">
        <f t="shared" si="2"/>
        <v>7.2</v>
      </c>
      <c r="Q23" s="17">
        <v>11.693749999999987</v>
      </c>
      <c r="R23" s="18">
        <f t="shared" si="3"/>
        <v>18.893749999999986</v>
      </c>
      <c r="S23" s="19">
        <f t="shared" si="4"/>
        <v>8.125</v>
      </c>
      <c r="T23" s="20">
        <f t="shared" si="5"/>
        <v>10.768749999999986</v>
      </c>
      <c r="U23" s="4"/>
      <c r="V23" s="4"/>
      <c r="W23" s="4"/>
    </row>
    <row r="24" spans="1:29" s="1" customFormat="1" ht="17.399999999999999">
      <c r="A24" s="9">
        <v>0</v>
      </c>
      <c r="B24" s="8">
        <v>224</v>
      </c>
      <c r="C24" s="8">
        <v>862562360</v>
      </c>
      <c r="D24" s="42" t="s">
        <v>129</v>
      </c>
      <c r="E24" s="42" t="s">
        <v>106</v>
      </c>
      <c r="F24" s="10">
        <v>0</v>
      </c>
      <c r="G24" s="10">
        <v>0</v>
      </c>
      <c r="H24" s="50">
        <v>0</v>
      </c>
      <c r="I24" s="50">
        <v>0</v>
      </c>
      <c r="J24" s="50">
        <v>0</v>
      </c>
      <c r="K24" s="39" t="s">
        <v>30</v>
      </c>
      <c r="L24" s="11">
        <f t="shared" si="0"/>
        <v>0</v>
      </c>
      <c r="M24" s="10">
        <f t="shared" si="6"/>
        <v>0</v>
      </c>
      <c r="N24" s="10">
        <f t="shared" si="1"/>
        <v>0</v>
      </c>
      <c r="O24" s="10">
        <v>0</v>
      </c>
      <c r="P24" s="10">
        <f t="shared" si="2"/>
        <v>0</v>
      </c>
      <c r="Q24" s="17">
        <v>18.860354477611939</v>
      </c>
      <c r="R24" s="18">
        <f t="shared" si="3"/>
        <v>18.860354477611939</v>
      </c>
      <c r="S24" s="19">
        <f t="shared" si="4"/>
        <v>0</v>
      </c>
      <c r="T24" s="20">
        <f t="shared" si="5"/>
        <v>18.860354477611939</v>
      </c>
      <c r="U24" s="4"/>
      <c r="V24" s="4"/>
      <c r="W24" s="4"/>
    </row>
    <row r="25" spans="1:29" s="1" customFormat="1" ht="17.399999999999999">
      <c r="A25" s="9">
        <v>1</v>
      </c>
      <c r="B25" s="8">
        <v>212</v>
      </c>
      <c r="C25" s="8">
        <v>2133045883</v>
      </c>
      <c r="D25" s="42" t="s">
        <v>137</v>
      </c>
      <c r="E25" s="42" t="s">
        <v>84</v>
      </c>
      <c r="F25" s="10">
        <v>3</v>
      </c>
      <c r="G25" s="10">
        <v>1</v>
      </c>
      <c r="H25" s="50">
        <v>0</v>
      </c>
      <c r="I25" s="50">
        <v>0</v>
      </c>
      <c r="J25" s="50">
        <v>0</v>
      </c>
      <c r="K25" s="14" t="s">
        <v>53</v>
      </c>
      <c r="L25" s="11">
        <f t="shared" si="0"/>
        <v>4</v>
      </c>
      <c r="M25" s="10">
        <f t="shared" si="6"/>
        <v>1.2</v>
      </c>
      <c r="N25" s="10">
        <f t="shared" si="1"/>
        <v>0</v>
      </c>
      <c r="O25" s="10">
        <v>0</v>
      </c>
      <c r="P25" s="10">
        <f t="shared" si="2"/>
        <v>5.2</v>
      </c>
      <c r="Q25" s="17">
        <v>13.431249999999981</v>
      </c>
      <c r="R25" s="18">
        <f t="shared" si="3"/>
        <v>18.63124999999998</v>
      </c>
      <c r="S25" s="19">
        <f t="shared" si="4"/>
        <v>8.125</v>
      </c>
      <c r="T25" s="20">
        <f t="shared" si="5"/>
        <v>10.50624999999998</v>
      </c>
      <c r="U25" s="4"/>
      <c r="V25" s="4"/>
      <c r="W25" s="4"/>
    </row>
    <row r="26" spans="1:29" s="1" customFormat="1" ht="18.75" customHeight="1">
      <c r="A26" s="9">
        <v>1</v>
      </c>
      <c r="B26" s="8">
        <v>189</v>
      </c>
      <c r="C26" s="8">
        <v>522812489</v>
      </c>
      <c r="D26" s="42" t="s">
        <v>70</v>
      </c>
      <c r="E26" s="47"/>
      <c r="F26" s="10">
        <v>4</v>
      </c>
      <c r="G26" s="10">
        <v>1</v>
      </c>
      <c r="H26" s="50">
        <v>0</v>
      </c>
      <c r="I26" s="50">
        <v>0</v>
      </c>
      <c r="J26" s="50">
        <v>1</v>
      </c>
      <c r="K26" s="14" t="s">
        <v>53</v>
      </c>
      <c r="L26" s="11">
        <f t="shared" si="0"/>
        <v>6</v>
      </c>
      <c r="M26" s="10">
        <f t="shared" si="6"/>
        <v>1.2</v>
      </c>
      <c r="N26" s="10">
        <f t="shared" si="1"/>
        <v>0.4</v>
      </c>
      <c r="O26" s="10">
        <v>0</v>
      </c>
      <c r="P26" s="10">
        <f t="shared" si="2"/>
        <v>7.6000000000000005</v>
      </c>
      <c r="Q26" s="17">
        <v>11.024999999999999</v>
      </c>
      <c r="R26" s="18">
        <f t="shared" si="3"/>
        <v>18.625</v>
      </c>
      <c r="S26" s="19">
        <f t="shared" si="4"/>
        <v>8.125</v>
      </c>
      <c r="T26" s="20">
        <f t="shared" si="5"/>
        <v>10.5</v>
      </c>
      <c r="U26" s="4"/>
      <c r="V26" s="4"/>
      <c r="W26" s="4"/>
    </row>
    <row r="27" spans="1:29" s="1" customFormat="1" ht="17.399999999999999">
      <c r="A27" s="9">
        <v>1</v>
      </c>
      <c r="B27" s="9">
        <v>230</v>
      </c>
      <c r="C27" s="8">
        <v>1076026693</v>
      </c>
      <c r="D27" s="42" t="s">
        <v>111</v>
      </c>
      <c r="E27" s="4"/>
      <c r="F27" s="10">
        <v>4</v>
      </c>
      <c r="G27" s="10">
        <v>1</v>
      </c>
      <c r="H27" s="50">
        <v>0</v>
      </c>
      <c r="I27" s="50">
        <v>0</v>
      </c>
      <c r="J27" s="50">
        <v>0</v>
      </c>
      <c r="K27" s="14" t="s">
        <v>53</v>
      </c>
      <c r="L27" s="11">
        <f t="shared" si="0"/>
        <v>6</v>
      </c>
      <c r="M27" s="10">
        <f t="shared" si="6"/>
        <v>1.2</v>
      </c>
      <c r="N27" s="10">
        <f t="shared" si="1"/>
        <v>0</v>
      </c>
      <c r="O27" s="10">
        <v>0</v>
      </c>
      <c r="P27" s="10">
        <f t="shared" si="2"/>
        <v>7.2</v>
      </c>
      <c r="Q27" s="17">
        <v>11.399999999999991</v>
      </c>
      <c r="R27" s="18">
        <f t="shared" si="3"/>
        <v>18.599999999999991</v>
      </c>
      <c r="S27" s="19">
        <f t="shared" si="4"/>
        <v>8.125</v>
      </c>
      <c r="T27" s="20">
        <f t="shared" si="5"/>
        <v>10.474999999999991</v>
      </c>
      <c r="U27" s="4"/>
      <c r="V27" s="4"/>
      <c r="W27" s="4"/>
    </row>
    <row r="28" spans="1:29" s="1" customFormat="1" ht="17.399999999999999">
      <c r="A28" s="9">
        <v>1</v>
      </c>
      <c r="B28" s="8">
        <v>183</v>
      </c>
      <c r="C28" s="8">
        <v>1250030371</v>
      </c>
      <c r="D28" s="42" t="s">
        <v>130</v>
      </c>
      <c r="E28" s="42" t="s">
        <v>121</v>
      </c>
      <c r="F28" s="10">
        <v>4</v>
      </c>
      <c r="G28" s="10">
        <v>1</v>
      </c>
      <c r="H28" s="50">
        <v>0</v>
      </c>
      <c r="I28" s="50">
        <v>0</v>
      </c>
      <c r="J28" s="50">
        <v>0</v>
      </c>
      <c r="K28" s="14" t="s">
        <v>53</v>
      </c>
      <c r="L28" s="11">
        <f t="shared" si="0"/>
        <v>6</v>
      </c>
      <c r="M28" s="10">
        <f t="shared" si="6"/>
        <v>1.2</v>
      </c>
      <c r="N28" s="10">
        <f t="shared" si="1"/>
        <v>0</v>
      </c>
      <c r="O28" s="10">
        <v>0</v>
      </c>
      <c r="P28" s="10">
        <f t="shared" si="2"/>
        <v>7.2</v>
      </c>
      <c r="Q28" s="17">
        <v>11.218749999999993</v>
      </c>
      <c r="R28" s="18">
        <f t="shared" si="3"/>
        <v>18.418749999999992</v>
      </c>
      <c r="S28" s="19">
        <f t="shared" si="4"/>
        <v>8.125</v>
      </c>
      <c r="T28" s="20">
        <f t="shared" si="5"/>
        <v>10.293749999999992</v>
      </c>
      <c r="U28" s="4"/>
      <c r="V28" s="4"/>
      <c r="W28" s="4"/>
    </row>
    <row r="29" spans="1:29" s="2" customFormat="1" ht="17.399999999999999">
      <c r="A29" s="9">
        <v>1</v>
      </c>
      <c r="B29" s="8">
        <v>246</v>
      </c>
      <c r="C29" s="8">
        <v>1192342148</v>
      </c>
      <c r="D29" s="42" t="s">
        <v>141</v>
      </c>
      <c r="E29" s="4"/>
      <c r="F29" s="10">
        <v>3</v>
      </c>
      <c r="G29" s="10">
        <v>0</v>
      </c>
      <c r="H29" s="50">
        <v>0</v>
      </c>
      <c r="I29" s="50">
        <v>0</v>
      </c>
      <c r="J29" s="50">
        <v>0</v>
      </c>
      <c r="K29" s="14" t="s">
        <v>53</v>
      </c>
      <c r="L29" s="11">
        <f t="shared" si="0"/>
        <v>4</v>
      </c>
      <c r="M29" s="10">
        <f t="shared" si="6"/>
        <v>0</v>
      </c>
      <c r="N29" s="10">
        <f t="shared" si="1"/>
        <v>0</v>
      </c>
      <c r="O29" s="10">
        <v>0</v>
      </c>
      <c r="P29" s="10">
        <f t="shared" si="2"/>
        <v>4</v>
      </c>
      <c r="Q29" s="17">
        <v>14.399730769230761</v>
      </c>
      <c r="R29" s="18">
        <f t="shared" si="3"/>
        <v>18.399730769230761</v>
      </c>
      <c r="S29" s="19">
        <f t="shared" si="4"/>
        <v>8.125</v>
      </c>
      <c r="T29" s="20">
        <f t="shared" si="5"/>
        <v>10.274730769230761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7.399999999999999">
      <c r="A30" s="9">
        <v>0</v>
      </c>
      <c r="B30" s="8">
        <v>226</v>
      </c>
      <c r="C30" s="8">
        <v>1238792963</v>
      </c>
      <c r="D30" s="42" t="s">
        <v>108</v>
      </c>
      <c r="E30" s="42"/>
      <c r="F30" s="10">
        <v>0</v>
      </c>
      <c r="G30" s="10">
        <v>0</v>
      </c>
      <c r="H30" s="50">
        <v>0</v>
      </c>
      <c r="I30" s="50">
        <v>0</v>
      </c>
      <c r="J30" s="50">
        <v>0</v>
      </c>
      <c r="K30" s="39" t="s">
        <v>30</v>
      </c>
      <c r="L30" s="11">
        <f t="shared" si="0"/>
        <v>0</v>
      </c>
      <c r="M30" s="10">
        <f t="shared" si="6"/>
        <v>0</v>
      </c>
      <c r="N30" s="10">
        <f t="shared" si="1"/>
        <v>0</v>
      </c>
      <c r="O30" s="10">
        <v>0</v>
      </c>
      <c r="P30" s="10">
        <f t="shared" si="2"/>
        <v>0</v>
      </c>
      <c r="Q30" s="17">
        <v>18.368749999999999</v>
      </c>
      <c r="R30" s="18">
        <f t="shared" si="3"/>
        <v>18.368749999999999</v>
      </c>
      <c r="S30" s="19">
        <f t="shared" si="4"/>
        <v>0</v>
      </c>
      <c r="T30" s="20">
        <f t="shared" si="5"/>
        <v>18.368749999999999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7.399999999999999">
      <c r="A31" s="9">
        <v>1</v>
      </c>
      <c r="B31" s="8">
        <v>184</v>
      </c>
      <c r="C31" s="8">
        <v>1814130074</v>
      </c>
      <c r="D31" s="42" t="s">
        <v>147</v>
      </c>
      <c r="E31" s="42" t="s">
        <v>67</v>
      </c>
      <c r="F31" s="10">
        <v>4</v>
      </c>
      <c r="G31" s="10">
        <v>1</v>
      </c>
      <c r="H31" s="50">
        <v>0</v>
      </c>
      <c r="I31" s="50">
        <v>0</v>
      </c>
      <c r="J31" s="50">
        <v>0</v>
      </c>
      <c r="K31" s="14" t="s">
        <v>53</v>
      </c>
      <c r="L31" s="11">
        <f t="shared" si="0"/>
        <v>6</v>
      </c>
      <c r="M31" s="10">
        <f t="shared" si="6"/>
        <v>1.2</v>
      </c>
      <c r="N31" s="10">
        <f t="shared" si="1"/>
        <v>0</v>
      </c>
      <c r="O31" s="10">
        <v>0</v>
      </c>
      <c r="P31" s="10">
        <f t="shared" si="2"/>
        <v>7.2</v>
      </c>
      <c r="Q31" s="17">
        <v>11.056250000000016</v>
      </c>
      <c r="R31" s="18">
        <f t="shared" si="3"/>
        <v>18.256250000000016</v>
      </c>
      <c r="S31" s="19">
        <f t="shared" si="4"/>
        <v>8.125</v>
      </c>
      <c r="T31" s="20">
        <f t="shared" si="5"/>
        <v>10.131250000000016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7.399999999999999">
      <c r="A32" s="9">
        <v>0</v>
      </c>
      <c r="B32" s="8">
        <v>198</v>
      </c>
      <c r="C32" s="8">
        <v>723448640</v>
      </c>
      <c r="D32" s="42" t="s">
        <v>75</v>
      </c>
      <c r="E32" s="47"/>
      <c r="F32" s="10">
        <v>0</v>
      </c>
      <c r="G32" s="10">
        <v>0</v>
      </c>
      <c r="H32" s="50">
        <v>0</v>
      </c>
      <c r="I32" s="50">
        <v>0</v>
      </c>
      <c r="J32" s="50">
        <v>0</v>
      </c>
      <c r="K32" s="39" t="s">
        <v>30</v>
      </c>
      <c r="L32" s="11">
        <f t="shared" si="0"/>
        <v>0</v>
      </c>
      <c r="M32" s="10">
        <f t="shared" si="6"/>
        <v>0</v>
      </c>
      <c r="N32" s="10">
        <f t="shared" si="1"/>
        <v>0</v>
      </c>
      <c r="O32" s="10">
        <v>0</v>
      </c>
      <c r="P32" s="10">
        <f t="shared" si="2"/>
        <v>0</v>
      </c>
      <c r="Q32" s="17">
        <v>18.01874999999999</v>
      </c>
      <c r="R32" s="18">
        <f t="shared" si="3"/>
        <v>18.01874999999999</v>
      </c>
      <c r="S32" s="19">
        <f t="shared" si="4"/>
        <v>0</v>
      </c>
      <c r="T32" s="20">
        <f t="shared" si="5"/>
        <v>18.01874999999999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7.399999999999999">
      <c r="A33" s="9">
        <v>1</v>
      </c>
      <c r="B33" s="8">
        <v>118</v>
      </c>
      <c r="C33" s="8">
        <v>2018112397</v>
      </c>
      <c r="D33" s="42" t="s">
        <v>136</v>
      </c>
      <c r="E33" s="42" t="s">
        <v>54</v>
      </c>
      <c r="F33" s="10">
        <v>4</v>
      </c>
      <c r="G33" s="10">
        <v>1</v>
      </c>
      <c r="H33" s="50">
        <v>0</v>
      </c>
      <c r="I33" s="50">
        <v>0</v>
      </c>
      <c r="J33" s="50">
        <v>0</v>
      </c>
      <c r="K33" s="14" t="s">
        <v>53</v>
      </c>
      <c r="L33" s="11">
        <f t="shared" si="0"/>
        <v>6</v>
      </c>
      <c r="M33" s="10">
        <f t="shared" si="6"/>
        <v>1.2</v>
      </c>
      <c r="N33" s="10">
        <f t="shared" si="1"/>
        <v>0</v>
      </c>
      <c r="O33" s="10">
        <v>0</v>
      </c>
      <c r="P33" s="10">
        <f t="shared" si="2"/>
        <v>7.2</v>
      </c>
      <c r="Q33" s="17">
        <v>10.656249999999982</v>
      </c>
      <c r="R33" s="18">
        <f t="shared" si="3"/>
        <v>17.856249999999982</v>
      </c>
      <c r="S33" s="19">
        <f t="shared" si="4"/>
        <v>8.125</v>
      </c>
      <c r="T33" s="20">
        <f t="shared" si="5"/>
        <v>9.7312499999999815</v>
      </c>
      <c r="U33" s="11"/>
      <c r="V33" s="11"/>
      <c r="W33" s="32"/>
      <c r="X33" s="1"/>
      <c r="Y33" s="1"/>
      <c r="Z33" s="1"/>
      <c r="AA33" s="1"/>
      <c r="AB33" s="1"/>
      <c r="AC33" s="1"/>
    </row>
    <row r="34" spans="1:29" s="2" customFormat="1" ht="17.399999999999999">
      <c r="A34" s="9">
        <v>0</v>
      </c>
      <c r="B34" s="8">
        <v>193</v>
      </c>
      <c r="C34" s="8">
        <v>2125731287</v>
      </c>
      <c r="D34" s="42" t="s">
        <v>72</v>
      </c>
      <c r="E34" s="47"/>
      <c r="F34" s="10">
        <v>0</v>
      </c>
      <c r="G34" s="10">
        <v>0</v>
      </c>
      <c r="H34" s="50">
        <v>0</v>
      </c>
      <c r="I34" s="50">
        <v>0</v>
      </c>
      <c r="J34" s="50">
        <v>0</v>
      </c>
      <c r="K34" s="39" t="s">
        <v>30</v>
      </c>
      <c r="L34" s="11">
        <f t="shared" si="0"/>
        <v>0</v>
      </c>
      <c r="M34" s="10">
        <f t="shared" si="6"/>
        <v>0</v>
      </c>
      <c r="N34" s="10">
        <f t="shared" si="1"/>
        <v>0</v>
      </c>
      <c r="O34" s="10">
        <v>0</v>
      </c>
      <c r="P34" s="10">
        <f t="shared" si="2"/>
        <v>0</v>
      </c>
      <c r="Q34" s="17">
        <v>17.812499999999996</v>
      </c>
      <c r="R34" s="18">
        <f t="shared" si="3"/>
        <v>17.812499999999996</v>
      </c>
      <c r="S34" s="19">
        <f t="shared" si="4"/>
        <v>0</v>
      </c>
      <c r="T34" s="20">
        <f t="shared" si="5"/>
        <v>17.812499999999996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7.399999999999999">
      <c r="A35" s="9">
        <v>1</v>
      </c>
      <c r="B35" s="8">
        <v>215</v>
      </c>
      <c r="C35" s="8">
        <v>289805855</v>
      </c>
      <c r="D35" s="42" t="s">
        <v>145</v>
      </c>
      <c r="E35" s="42" t="s">
        <v>87</v>
      </c>
      <c r="F35" s="10">
        <v>4</v>
      </c>
      <c r="G35" s="10">
        <v>1</v>
      </c>
      <c r="H35" s="50">
        <v>0</v>
      </c>
      <c r="I35" s="50">
        <v>0</v>
      </c>
      <c r="J35" s="50">
        <v>0</v>
      </c>
      <c r="K35" s="14" t="s">
        <v>53</v>
      </c>
      <c r="L35" s="11">
        <f t="shared" si="0"/>
        <v>6</v>
      </c>
      <c r="M35" s="10">
        <f t="shared" si="6"/>
        <v>1.2</v>
      </c>
      <c r="N35" s="10">
        <f t="shared" si="1"/>
        <v>0</v>
      </c>
      <c r="O35" s="10">
        <v>0</v>
      </c>
      <c r="P35" s="10">
        <f t="shared" si="2"/>
        <v>7.2</v>
      </c>
      <c r="Q35" s="17">
        <v>10.462999999999987</v>
      </c>
      <c r="R35" s="18">
        <f t="shared" si="3"/>
        <v>17.662999999999986</v>
      </c>
      <c r="S35" s="19">
        <f t="shared" si="4"/>
        <v>8.125</v>
      </c>
      <c r="T35" s="20">
        <f t="shared" si="5"/>
        <v>9.537999999999986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7.399999999999999">
      <c r="A36" s="9">
        <v>1</v>
      </c>
      <c r="B36" s="8">
        <v>178</v>
      </c>
      <c r="C36" s="8">
        <v>1059185275</v>
      </c>
      <c r="D36" s="42" t="s">
        <v>66</v>
      </c>
      <c r="E36" s="47"/>
      <c r="F36" s="10">
        <v>4</v>
      </c>
      <c r="G36" s="10">
        <v>1</v>
      </c>
      <c r="H36" s="50">
        <v>0</v>
      </c>
      <c r="I36" s="50">
        <v>1</v>
      </c>
      <c r="J36" s="50">
        <v>1</v>
      </c>
      <c r="K36" s="14" t="s">
        <v>53</v>
      </c>
      <c r="L36" s="11">
        <f t="shared" si="0"/>
        <v>6</v>
      </c>
      <c r="M36" s="10">
        <f t="shared" si="6"/>
        <v>1.2</v>
      </c>
      <c r="N36" s="10">
        <f t="shared" si="1"/>
        <v>0.8</v>
      </c>
      <c r="O36" s="10">
        <v>0</v>
      </c>
      <c r="P36" s="10">
        <f t="shared" si="2"/>
        <v>8</v>
      </c>
      <c r="Q36" s="17">
        <v>9.4874999999999901</v>
      </c>
      <c r="R36" s="18">
        <f t="shared" si="3"/>
        <v>17.48749999999999</v>
      </c>
      <c r="S36" s="19">
        <f t="shared" si="4"/>
        <v>8.125</v>
      </c>
      <c r="T36" s="20">
        <f t="shared" si="5"/>
        <v>9.3624999999999901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7.399999999999999">
      <c r="A37" s="9">
        <v>1</v>
      </c>
      <c r="B37" s="9">
        <v>26</v>
      </c>
      <c r="C37" s="8">
        <v>1754932067</v>
      </c>
      <c r="D37" s="42" t="s">
        <v>58</v>
      </c>
      <c r="E37" s="42" t="s">
        <v>9</v>
      </c>
      <c r="F37" s="10">
        <v>4</v>
      </c>
      <c r="G37" s="10">
        <v>1</v>
      </c>
      <c r="H37" s="50">
        <v>0</v>
      </c>
      <c r="I37" s="50">
        <v>1</v>
      </c>
      <c r="J37" s="50">
        <v>1</v>
      </c>
      <c r="K37" s="14" t="s">
        <v>53</v>
      </c>
      <c r="L37" s="11">
        <f t="shared" ref="L37:L68" si="7">F37+IF(F37&gt;2,(F37-2)*1,0)</f>
        <v>6</v>
      </c>
      <c r="M37" s="10">
        <f t="shared" si="6"/>
        <v>1.2</v>
      </c>
      <c r="N37" s="10">
        <f t="shared" ref="N37:N68" si="8">SUM(H37:J37)*$Y$18</f>
        <v>0.8</v>
      </c>
      <c r="O37" s="10">
        <v>0</v>
      </c>
      <c r="P37" s="10">
        <f t="shared" ref="P37:P68" si="9">SUM(M37+L37+O37+N37)</f>
        <v>8</v>
      </c>
      <c r="Q37" s="17">
        <v>9.3624999999999972</v>
      </c>
      <c r="R37" s="18">
        <f t="shared" ref="R37:R68" si="10">P37+Q37</f>
        <v>17.362499999999997</v>
      </c>
      <c r="S37" s="19">
        <f t="shared" ref="S37:S68" si="11">VLOOKUP(K37,$X$3:$Y$10,2,FALSE)</f>
        <v>8.125</v>
      </c>
      <c r="T37" s="20">
        <f t="shared" ref="T37:T68" si="12">R37-S37</f>
        <v>9.2374999999999972</v>
      </c>
      <c r="U37" s="11"/>
      <c r="V37" s="11"/>
      <c r="W37" s="11"/>
    </row>
    <row r="38" spans="1:29" s="2" customFormat="1" ht="17.399999999999999">
      <c r="A38" s="9">
        <v>1</v>
      </c>
      <c r="B38" s="9">
        <v>231</v>
      </c>
      <c r="C38" s="8">
        <v>1725915293</v>
      </c>
      <c r="D38" s="42" t="s">
        <v>112</v>
      </c>
      <c r="E38" s="4"/>
      <c r="F38" s="10">
        <v>4</v>
      </c>
      <c r="G38" s="10">
        <v>1</v>
      </c>
      <c r="H38" s="50">
        <v>0</v>
      </c>
      <c r="I38" s="50">
        <v>0</v>
      </c>
      <c r="J38" s="50">
        <v>0</v>
      </c>
      <c r="K38" s="14" t="s">
        <v>53</v>
      </c>
      <c r="L38" s="11">
        <f t="shared" si="7"/>
        <v>6</v>
      </c>
      <c r="M38" s="10">
        <f t="shared" si="6"/>
        <v>1.2</v>
      </c>
      <c r="N38" s="10">
        <f t="shared" si="8"/>
        <v>0</v>
      </c>
      <c r="O38" s="10">
        <v>0</v>
      </c>
      <c r="P38" s="10">
        <f t="shared" si="9"/>
        <v>7.2</v>
      </c>
      <c r="Q38" s="17">
        <v>9.9687499999999929</v>
      </c>
      <c r="R38" s="18">
        <f t="shared" si="10"/>
        <v>17.168749999999992</v>
      </c>
      <c r="S38" s="19">
        <f t="shared" si="11"/>
        <v>8.125</v>
      </c>
      <c r="T38" s="20">
        <f t="shared" si="12"/>
        <v>9.0437499999999922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7.399999999999999">
      <c r="A39" s="9">
        <v>1</v>
      </c>
      <c r="B39" s="8">
        <v>240</v>
      </c>
      <c r="C39" s="8">
        <v>289805855</v>
      </c>
      <c r="D39" s="42" t="s">
        <v>123</v>
      </c>
      <c r="E39" s="4"/>
      <c r="F39" s="10">
        <v>4</v>
      </c>
      <c r="G39" s="10">
        <v>1</v>
      </c>
      <c r="H39" s="50">
        <v>0</v>
      </c>
      <c r="I39" s="50">
        <v>0</v>
      </c>
      <c r="J39" s="50">
        <v>0</v>
      </c>
      <c r="K39" s="14" t="s">
        <v>53</v>
      </c>
      <c r="L39" s="11">
        <f t="shared" si="7"/>
        <v>6</v>
      </c>
      <c r="M39" s="10">
        <f t="shared" ref="M39:M70" si="13">G39*$Y$14</f>
        <v>1.2</v>
      </c>
      <c r="N39" s="10">
        <f t="shared" si="8"/>
        <v>0</v>
      </c>
      <c r="O39" s="10">
        <v>0</v>
      </c>
      <c r="P39" s="10">
        <f t="shared" si="9"/>
        <v>7.2</v>
      </c>
      <c r="Q39" s="17">
        <v>9.6000000000000014</v>
      </c>
      <c r="R39" s="18">
        <f t="shared" si="10"/>
        <v>16.8</v>
      </c>
      <c r="S39" s="19">
        <f t="shared" si="11"/>
        <v>8.125</v>
      </c>
      <c r="T39" s="20">
        <f t="shared" si="12"/>
        <v>8.6750000000000007</v>
      </c>
      <c r="U39" s="4"/>
      <c r="V39" s="4"/>
      <c r="W39" s="4"/>
    </row>
    <row r="40" spans="1:29" ht="17.399999999999999">
      <c r="A40" s="9">
        <v>1</v>
      </c>
      <c r="B40" s="8">
        <v>225</v>
      </c>
      <c r="C40" s="8">
        <v>1963965829</v>
      </c>
      <c r="D40" s="42" t="s">
        <v>107</v>
      </c>
      <c r="E40" s="42"/>
      <c r="F40" s="10">
        <v>4</v>
      </c>
      <c r="G40" s="10">
        <v>1</v>
      </c>
      <c r="H40" s="50">
        <v>0</v>
      </c>
      <c r="I40" s="50">
        <v>0</v>
      </c>
      <c r="J40" s="50">
        <v>0</v>
      </c>
      <c r="K40" s="14" t="s">
        <v>53</v>
      </c>
      <c r="L40" s="11">
        <f t="shared" si="7"/>
        <v>6</v>
      </c>
      <c r="M40" s="10">
        <f t="shared" si="13"/>
        <v>1.2</v>
      </c>
      <c r="N40" s="10">
        <f t="shared" si="8"/>
        <v>0</v>
      </c>
      <c r="O40" s="10">
        <v>0</v>
      </c>
      <c r="P40" s="10">
        <f t="shared" si="9"/>
        <v>7.2</v>
      </c>
      <c r="Q40" s="17">
        <v>9.5357369402984915</v>
      </c>
      <c r="R40" s="18">
        <f t="shared" si="10"/>
        <v>16.735736940298491</v>
      </c>
      <c r="S40" s="19">
        <f t="shared" si="11"/>
        <v>8.125</v>
      </c>
      <c r="T40" s="20">
        <f t="shared" si="12"/>
        <v>8.6107369402984908</v>
      </c>
      <c r="U40" s="4"/>
      <c r="V40" s="4"/>
      <c r="W40" s="4"/>
    </row>
    <row r="41" spans="1:29" ht="17.399999999999999">
      <c r="A41" s="9">
        <v>1</v>
      </c>
      <c r="B41" s="8">
        <v>185</v>
      </c>
      <c r="C41" s="8">
        <v>30705222</v>
      </c>
      <c r="D41" s="42" t="s">
        <v>68</v>
      </c>
      <c r="E41" s="47"/>
      <c r="F41" s="10">
        <v>4</v>
      </c>
      <c r="G41" s="10">
        <v>1</v>
      </c>
      <c r="H41" s="50">
        <v>0</v>
      </c>
      <c r="I41" s="50">
        <v>1</v>
      </c>
      <c r="J41" s="50">
        <v>0</v>
      </c>
      <c r="K41" s="14" t="s">
        <v>53</v>
      </c>
      <c r="L41" s="11">
        <f t="shared" si="7"/>
        <v>6</v>
      </c>
      <c r="M41" s="10">
        <f t="shared" si="13"/>
        <v>1.2</v>
      </c>
      <c r="N41" s="10">
        <f t="shared" si="8"/>
        <v>0.4</v>
      </c>
      <c r="O41" s="10">
        <v>0</v>
      </c>
      <c r="P41" s="10">
        <f t="shared" si="9"/>
        <v>7.6000000000000005</v>
      </c>
      <c r="Q41" s="17">
        <v>9.0437499999999957</v>
      </c>
      <c r="R41" s="18">
        <f t="shared" si="10"/>
        <v>16.643749999999997</v>
      </c>
      <c r="S41" s="19">
        <f t="shared" si="11"/>
        <v>8.125</v>
      </c>
      <c r="T41" s="20">
        <f t="shared" si="12"/>
        <v>8.5187499999999972</v>
      </c>
      <c r="U41" s="4"/>
      <c r="V41" s="4"/>
      <c r="W41" s="4"/>
    </row>
    <row r="42" spans="1:29" ht="17.399999999999999">
      <c r="A42" s="9">
        <v>1</v>
      </c>
      <c r="B42" s="8">
        <v>243</v>
      </c>
      <c r="C42" s="8">
        <v>11135522555</v>
      </c>
      <c r="D42" s="42" t="s">
        <v>133</v>
      </c>
      <c r="F42" s="10">
        <v>4</v>
      </c>
      <c r="G42" s="10">
        <v>1</v>
      </c>
      <c r="H42" s="50">
        <v>0</v>
      </c>
      <c r="I42" s="50">
        <v>0</v>
      </c>
      <c r="J42" s="50">
        <v>0</v>
      </c>
      <c r="K42" s="14" t="s">
        <v>53</v>
      </c>
      <c r="L42" s="11">
        <f t="shared" si="7"/>
        <v>6</v>
      </c>
      <c r="M42" s="10">
        <f t="shared" si="13"/>
        <v>1.2</v>
      </c>
      <c r="N42" s="10">
        <f t="shared" si="8"/>
        <v>0</v>
      </c>
      <c r="O42" s="10">
        <v>0</v>
      </c>
      <c r="P42" s="10">
        <f t="shared" si="9"/>
        <v>7.2</v>
      </c>
      <c r="Q42" s="17">
        <v>9.4312499999999986</v>
      </c>
      <c r="R42" s="18">
        <f t="shared" si="10"/>
        <v>16.631249999999998</v>
      </c>
      <c r="S42" s="19">
        <f t="shared" si="11"/>
        <v>8.125</v>
      </c>
      <c r="T42" s="20">
        <f t="shared" si="12"/>
        <v>8.5062499999999979</v>
      </c>
      <c r="U42" s="4"/>
      <c r="V42" s="4"/>
      <c r="W42" s="4"/>
    </row>
    <row r="43" spans="1:29" ht="17.399999999999999">
      <c r="A43" s="9">
        <v>1</v>
      </c>
      <c r="B43" s="9">
        <v>10</v>
      </c>
      <c r="C43" s="8">
        <v>2108977014</v>
      </c>
      <c r="D43" s="42" t="s">
        <v>57</v>
      </c>
      <c r="E43" s="42" t="s">
        <v>8</v>
      </c>
      <c r="F43" s="10">
        <v>3</v>
      </c>
      <c r="G43" s="10">
        <v>1</v>
      </c>
      <c r="H43" s="50">
        <v>0</v>
      </c>
      <c r="I43" s="50">
        <v>0</v>
      </c>
      <c r="J43" s="50">
        <v>1</v>
      </c>
      <c r="K43" s="14" t="s">
        <v>53</v>
      </c>
      <c r="L43" s="11">
        <f t="shared" si="7"/>
        <v>4</v>
      </c>
      <c r="M43" s="10">
        <f t="shared" si="13"/>
        <v>1.2</v>
      </c>
      <c r="N43" s="10">
        <f t="shared" si="8"/>
        <v>0.4</v>
      </c>
      <c r="O43" s="10">
        <v>0</v>
      </c>
      <c r="P43" s="10">
        <f t="shared" si="9"/>
        <v>5.6000000000000005</v>
      </c>
      <c r="Q43" s="17">
        <v>10.962500000000009</v>
      </c>
      <c r="R43" s="18">
        <f t="shared" si="10"/>
        <v>16.562500000000011</v>
      </c>
      <c r="S43" s="19">
        <f t="shared" si="11"/>
        <v>8.125</v>
      </c>
      <c r="T43" s="20">
        <f t="shared" si="12"/>
        <v>8.4375000000000107</v>
      </c>
      <c r="U43" s="11"/>
      <c r="V43" s="11"/>
      <c r="W43" s="11"/>
    </row>
    <row r="44" spans="1:29" ht="17.399999999999999">
      <c r="A44" s="9">
        <v>1</v>
      </c>
      <c r="B44" s="8">
        <v>238</v>
      </c>
      <c r="C44" s="8">
        <v>108179057</v>
      </c>
      <c r="D44" s="42" t="s">
        <v>120</v>
      </c>
      <c r="F44" s="10">
        <v>3</v>
      </c>
      <c r="G44" s="10">
        <v>1</v>
      </c>
      <c r="H44" s="50">
        <v>0</v>
      </c>
      <c r="I44" s="50">
        <v>0</v>
      </c>
      <c r="J44" s="50">
        <v>0</v>
      </c>
      <c r="K44" s="14" t="s">
        <v>53</v>
      </c>
      <c r="L44" s="11">
        <f t="shared" si="7"/>
        <v>4</v>
      </c>
      <c r="M44" s="10">
        <f t="shared" si="13"/>
        <v>1.2</v>
      </c>
      <c r="N44" s="10">
        <f t="shared" si="8"/>
        <v>0</v>
      </c>
      <c r="O44" s="10">
        <v>0</v>
      </c>
      <c r="P44" s="10">
        <f t="shared" si="9"/>
        <v>5.2</v>
      </c>
      <c r="Q44" s="17">
        <v>11.349999999999984</v>
      </c>
      <c r="R44" s="18">
        <f t="shared" si="10"/>
        <v>16.549999999999983</v>
      </c>
      <c r="S44" s="19">
        <f t="shared" si="11"/>
        <v>8.125</v>
      </c>
      <c r="T44" s="20">
        <f t="shared" si="12"/>
        <v>8.4249999999999829</v>
      </c>
      <c r="U44" s="4"/>
      <c r="V44" s="4"/>
      <c r="W44" s="4"/>
    </row>
    <row r="45" spans="1:29" ht="17.399999999999999">
      <c r="A45" s="9">
        <v>1</v>
      </c>
      <c r="B45" s="8">
        <v>156</v>
      </c>
      <c r="C45" s="8">
        <v>1744610165</v>
      </c>
      <c r="D45" s="42" t="s">
        <v>135</v>
      </c>
      <c r="E45" s="42" t="s">
        <v>64</v>
      </c>
      <c r="F45" s="10">
        <v>4</v>
      </c>
      <c r="G45" s="10">
        <v>1</v>
      </c>
      <c r="H45" s="50">
        <v>0</v>
      </c>
      <c r="I45" s="50">
        <v>0</v>
      </c>
      <c r="J45" s="50">
        <v>0</v>
      </c>
      <c r="K45" s="14" t="s">
        <v>53</v>
      </c>
      <c r="L45" s="11">
        <f t="shared" si="7"/>
        <v>6</v>
      </c>
      <c r="M45" s="10">
        <f t="shared" si="13"/>
        <v>1.2</v>
      </c>
      <c r="N45" s="10">
        <f t="shared" si="8"/>
        <v>0</v>
      </c>
      <c r="O45" s="10">
        <v>0</v>
      </c>
      <c r="P45" s="10">
        <f t="shared" si="9"/>
        <v>7.2</v>
      </c>
      <c r="Q45" s="17">
        <v>9.1487661290322393</v>
      </c>
      <c r="R45" s="18">
        <f t="shared" si="10"/>
        <v>16.348766129032239</v>
      </c>
      <c r="S45" s="19">
        <f t="shared" si="11"/>
        <v>8.125</v>
      </c>
      <c r="T45" s="20">
        <f t="shared" si="12"/>
        <v>8.2237661290322386</v>
      </c>
      <c r="U45" s="4"/>
      <c r="V45" s="4"/>
      <c r="W45" s="4"/>
    </row>
    <row r="46" spans="1:29" ht="17.399999999999999">
      <c r="A46" s="9">
        <v>0</v>
      </c>
      <c r="B46" s="8">
        <v>187</v>
      </c>
      <c r="C46" s="8">
        <v>1241038267</v>
      </c>
      <c r="D46" s="42" t="s">
        <v>69</v>
      </c>
      <c r="E46" s="47"/>
      <c r="F46" s="10">
        <v>0</v>
      </c>
      <c r="G46" s="10">
        <v>0</v>
      </c>
      <c r="H46" s="50">
        <v>0</v>
      </c>
      <c r="I46" s="50">
        <v>0</v>
      </c>
      <c r="J46" s="50">
        <v>0</v>
      </c>
      <c r="K46" s="39" t="s">
        <v>30</v>
      </c>
      <c r="L46" s="11">
        <f t="shared" si="7"/>
        <v>0</v>
      </c>
      <c r="M46" s="10">
        <f t="shared" si="13"/>
        <v>0</v>
      </c>
      <c r="N46" s="10">
        <f t="shared" si="8"/>
        <v>0</v>
      </c>
      <c r="O46" s="10">
        <v>0</v>
      </c>
      <c r="P46" s="10">
        <f t="shared" si="9"/>
        <v>0</v>
      </c>
      <c r="Q46" s="17">
        <v>16.318749999999987</v>
      </c>
      <c r="R46" s="18">
        <f t="shared" si="10"/>
        <v>16.318749999999987</v>
      </c>
      <c r="S46" s="19">
        <f t="shared" si="11"/>
        <v>0</v>
      </c>
      <c r="T46" s="20">
        <f t="shared" si="12"/>
        <v>16.318749999999987</v>
      </c>
      <c r="U46" s="4"/>
      <c r="V46" s="4"/>
      <c r="W46" s="4"/>
    </row>
    <row r="47" spans="1:29" ht="17.399999999999999">
      <c r="A47" s="9">
        <v>1</v>
      </c>
      <c r="B47" s="8">
        <v>232</v>
      </c>
      <c r="C47" s="8">
        <v>1088909927</v>
      </c>
      <c r="D47" s="42" t="s">
        <v>113</v>
      </c>
      <c r="F47" s="10">
        <v>4</v>
      </c>
      <c r="G47" s="10">
        <v>1</v>
      </c>
      <c r="H47" s="50">
        <v>0</v>
      </c>
      <c r="I47" s="50">
        <v>0</v>
      </c>
      <c r="J47" s="50">
        <v>0</v>
      </c>
      <c r="K47" s="14" t="s">
        <v>53</v>
      </c>
      <c r="L47" s="11">
        <f t="shared" si="7"/>
        <v>6</v>
      </c>
      <c r="M47" s="10">
        <f t="shared" si="13"/>
        <v>1.2</v>
      </c>
      <c r="N47" s="10">
        <f t="shared" si="8"/>
        <v>0</v>
      </c>
      <c r="O47" s="10">
        <v>0</v>
      </c>
      <c r="P47" s="10">
        <f t="shared" si="9"/>
        <v>7.2</v>
      </c>
      <c r="Q47" s="17">
        <v>9.0062499999999943</v>
      </c>
      <c r="R47" s="18">
        <f t="shared" si="10"/>
        <v>16.206249999999994</v>
      </c>
      <c r="S47" s="19">
        <f t="shared" si="11"/>
        <v>8.125</v>
      </c>
      <c r="T47" s="20">
        <f t="shared" si="12"/>
        <v>8.0812499999999936</v>
      </c>
      <c r="U47" s="4"/>
      <c r="V47" s="4"/>
      <c r="W47" s="4"/>
    </row>
    <row r="48" spans="1:29" ht="17.399999999999999">
      <c r="A48" s="9">
        <v>1</v>
      </c>
      <c r="B48" s="8">
        <v>174</v>
      </c>
      <c r="C48" s="8">
        <v>775720958</v>
      </c>
      <c r="D48" s="42" t="s">
        <v>79</v>
      </c>
      <c r="E48" s="42" t="s">
        <v>49</v>
      </c>
      <c r="F48" s="10">
        <v>4</v>
      </c>
      <c r="G48" s="10">
        <v>1</v>
      </c>
      <c r="H48" s="50">
        <v>0</v>
      </c>
      <c r="I48" s="50">
        <v>1</v>
      </c>
      <c r="J48" s="50">
        <v>0</v>
      </c>
      <c r="K48" s="14" t="s">
        <v>53</v>
      </c>
      <c r="L48" s="11">
        <f t="shared" si="7"/>
        <v>6</v>
      </c>
      <c r="M48" s="10">
        <f t="shared" si="13"/>
        <v>1.2</v>
      </c>
      <c r="N48" s="10">
        <f t="shared" si="8"/>
        <v>0.4</v>
      </c>
      <c r="O48" s="10">
        <v>0</v>
      </c>
      <c r="P48" s="10">
        <f t="shared" si="9"/>
        <v>7.6000000000000005</v>
      </c>
      <c r="Q48" s="17">
        <v>8.449999999999978</v>
      </c>
      <c r="R48" s="18">
        <f t="shared" si="10"/>
        <v>16.049999999999979</v>
      </c>
      <c r="S48" s="19">
        <f t="shared" si="11"/>
        <v>8.125</v>
      </c>
      <c r="T48" s="20">
        <f t="shared" si="12"/>
        <v>7.9249999999999794</v>
      </c>
    </row>
    <row r="49" spans="1:23" ht="17.399999999999999">
      <c r="A49" s="9">
        <v>1</v>
      </c>
      <c r="B49" s="8">
        <v>116</v>
      </c>
      <c r="C49" s="8">
        <v>2122596917</v>
      </c>
      <c r="D49" s="42" t="s">
        <v>61</v>
      </c>
      <c r="E49" s="42" t="s">
        <v>37</v>
      </c>
      <c r="F49" s="10">
        <v>2</v>
      </c>
      <c r="G49" s="10">
        <v>1</v>
      </c>
      <c r="H49" s="50">
        <v>0</v>
      </c>
      <c r="I49" s="50">
        <v>0</v>
      </c>
      <c r="J49" s="50">
        <v>1</v>
      </c>
      <c r="K49" s="14" t="s">
        <v>53</v>
      </c>
      <c r="L49" s="11">
        <f t="shared" si="7"/>
        <v>2</v>
      </c>
      <c r="M49" s="10">
        <f t="shared" si="13"/>
        <v>1.2</v>
      </c>
      <c r="N49" s="10">
        <f t="shared" si="8"/>
        <v>0.4</v>
      </c>
      <c r="O49" s="10">
        <v>0</v>
      </c>
      <c r="P49" s="10">
        <f t="shared" si="9"/>
        <v>3.6</v>
      </c>
      <c r="Q49" s="17">
        <v>12.224999999999994</v>
      </c>
      <c r="R49" s="18">
        <f t="shared" si="10"/>
        <v>15.824999999999994</v>
      </c>
      <c r="S49" s="19">
        <f t="shared" si="11"/>
        <v>8.125</v>
      </c>
      <c r="T49" s="20">
        <f t="shared" si="12"/>
        <v>7.699999999999994</v>
      </c>
      <c r="U49" s="40"/>
      <c r="V49" s="40"/>
      <c r="W49" s="85"/>
    </row>
    <row r="50" spans="1:23" ht="17.399999999999999">
      <c r="A50" s="9">
        <v>1</v>
      </c>
      <c r="B50" s="8">
        <v>216</v>
      </c>
      <c r="C50" s="8">
        <v>395700385</v>
      </c>
      <c r="D50" s="42" t="s">
        <v>88</v>
      </c>
      <c r="E50" s="2"/>
      <c r="F50" s="10">
        <v>4</v>
      </c>
      <c r="G50" s="10">
        <v>1</v>
      </c>
      <c r="H50" s="50">
        <v>0</v>
      </c>
      <c r="I50" s="50">
        <v>0</v>
      </c>
      <c r="J50" s="50">
        <v>0</v>
      </c>
      <c r="K50" s="14" t="s">
        <v>53</v>
      </c>
      <c r="L50" s="11">
        <f t="shared" si="7"/>
        <v>6</v>
      </c>
      <c r="M50" s="10">
        <f t="shared" si="13"/>
        <v>1.2</v>
      </c>
      <c r="N50" s="10">
        <f t="shared" si="8"/>
        <v>0</v>
      </c>
      <c r="O50" s="10">
        <v>0</v>
      </c>
      <c r="P50" s="10">
        <f t="shared" si="9"/>
        <v>7.2</v>
      </c>
      <c r="Q50" s="17">
        <v>8.46270161290321</v>
      </c>
      <c r="R50" s="18">
        <f t="shared" si="10"/>
        <v>15.662701612903209</v>
      </c>
      <c r="S50" s="19">
        <f t="shared" si="11"/>
        <v>8.125</v>
      </c>
      <c r="T50" s="20">
        <f t="shared" si="12"/>
        <v>7.5377016129032093</v>
      </c>
    </row>
    <row r="51" spans="1:23" ht="17.399999999999999">
      <c r="A51" s="9">
        <v>0</v>
      </c>
      <c r="B51" s="8">
        <v>222</v>
      </c>
      <c r="C51" s="8">
        <v>1945277617</v>
      </c>
      <c r="D51" s="42" t="s">
        <v>97</v>
      </c>
      <c r="E51" s="42"/>
      <c r="F51" s="10">
        <v>0</v>
      </c>
      <c r="G51" s="10">
        <v>0</v>
      </c>
      <c r="H51" s="50">
        <v>0</v>
      </c>
      <c r="I51" s="50">
        <v>0</v>
      </c>
      <c r="J51" s="50">
        <v>0</v>
      </c>
      <c r="K51" s="39" t="s">
        <v>30</v>
      </c>
      <c r="L51" s="11">
        <f t="shared" si="7"/>
        <v>0</v>
      </c>
      <c r="M51" s="10">
        <f t="shared" si="13"/>
        <v>0</v>
      </c>
      <c r="N51" s="10">
        <f t="shared" si="8"/>
        <v>0</v>
      </c>
      <c r="O51" s="10">
        <v>0</v>
      </c>
      <c r="P51" s="10">
        <f t="shared" si="9"/>
        <v>0</v>
      </c>
      <c r="Q51" s="17">
        <v>15.637727649769573</v>
      </c>
      <c r="R51" s="18">
        <f t="shared" si="10"/>
        <v>15.637727649769573</v>
      </c>
      <c r="S51" s="19">
        <f t="shared" si="11"/>
        <v>0</v>
      </c>
      <c r="T51" s="20">
        <f t="shared" si="12"/>
        <v>15.637727649769573</v>
      </c>
    </row>
    <row r="52" spans="1:23" ht="17.399999999999999">
      <c r="A52" s="9">
        <v>0</v>
      </c>
      <c r="B52" s="8">
        <v>155</v>
      </c>
      <c r="C52" s="8">
        <v>1532576874</v>
      </c>
      <c r="D52" s="42" t="s">
        <v>63</v>
      </c>
      <c r="E52" s="42" t="s">
        <v>46</v>
      </c>
      <c r="F52" s="10">
        <v>0</v>
      </c>
      <c r="G52" s="10">
        <v>0</v>
      </c>
      <c r="H52" s="50">
        <v>0</v>
      </c>
      <c r="I52" s="50">
        <v>0</v>
      </c>
      <c r="J52" s="50">
        <v>0</v>
      </c>
      <c r="K52" s="39" t="s">
        <v>30</v>
      </c>
      <c r="L52" s="11">
        <f t="shared" si="7"/>
        <v>0</v>
      </c>
      <c r="M52" s="10">
        <f t="shared" si="13"/>
        <v>0</v>
      </c>
      <c r="N52" s="10">
        <f t="shared" si="8"/>
        <v>0</v>
      </c>
      <c r="O52" s="10">
        <v>0</v>
      </c>
      <c r="P52" s="10">
        <f t="shared" si="9"/>
        <v>0</v>
      </c>
      <c r="Q52" s="17">
        <v>15.212499999999999</v>
      </c>
      <c r="R52" s="18">
        <f t="shared" si="10"/>
        <v>15.212499999999999</v>
      </c>
      <c r="S52" s="19">
        <f t="shared" si="11"/>
        <v>0</v>
      </c>
      <c r="T52" s="20">
        <f t="shared" si="12"/>
        <v>15.212499999999999</v>
      </c>
    </row>
    <row r="53" spans="1:23" ht="17.399999999999999">
      <c r="A53" s="9">
        <v>1</v>
      </c>
      <c r="B53" s="8">
        <v>182</v>
      </c>
      <c r="C53" s="8">
        <v>828260319</v>
      </c>
      <c r="D53" s="42" t="s">
        <v>146</v>
      </c>
      <c r="E53" s="42" t="s">
        <v>134</v>
      </c>
      <c r="F53" s="10">
        <v>4</v>
      </c>
      <c r="G53" s="10">
        <v>1</v>
      </c>
      <c r="H53" s="50">
        <v>0</v>
      </c>
      <c r="I53" s="50">
        <v>0</v>
      </c>
      <c r="J53" s="50">
        <v>1</v>
      </c>
      <c r="K53" s="14" t="s">
        <v>53</v>
      </c>
      <c r="L53" s="11">
        <f t="shared" si="7"/>
        <v>6</v>
      </c>
      <c r="M53" s="10">
        <f t="shared" si="13"/>
        <v>1.2</v>
      </c>
      <c r="N53" s="10">
        <f t="shared" si="8"/>
        <v>0.4</v>
      </c>
      <c r="O53" s="10">
        <v>0</v>
      </c>
      <c r="P53" s="10">
        <f t="shared" si="9"/>
        <v>7.6000000000000005</v>
      </c>
      <c r="Q53" s="17">
        <v>7.0567500000000152</v>
      </c>
      <c r="R53" s="18">
        <f t="shared" si="10"/>
        <v>14.656750000000017</v>
      </c>
      <c r="S53" s="19">
        <f t="shared" si="11"/>
        <v>8.125</v>
      </c>
      <c r="T53" s="20">
        <f t="shared" si="12"/>
        <v>6.5317500000000166</v>
      </c>
    </row>
    <row r="54" spans="1:23" ht="17.399999999999999">
      <c r="A54" s="9">
        <v>1</v>
      </c>
      <c r="B54" s="8">
        <v>254</v>
      </c>
      <c r="C54" s="8">
        <v>674501489</v>
      </c>
      <c r="D54" s="83" t="s">
        <v>154</v>
      </c>
      <c r="F54" s="10">
        <v>0</v>
      </c>
      <c r="G54" s="10">
        <v>0</v>
      </c>
      <c r="H54" s="50">
        <v>0</v>
      </c>
      <c r="I54" s="50">
        <v>0</v>
      </c>
      <c r="J54" s="50">
        <v>0</v>
      </c>
      <c r="K54" s="39" t="s">
        <v>30</v>
      </c>
      <c r="L54" s="11">
        <f t="shared" si="7"/>
        <v>0</v>
      </c>
      <c r="M54" s="10">
        <f t="shared" si="13"/>
        <v>0</v>
      </c>
      <c r="N54" s="10">
        <f t="shared" si="8"/>
        <v>0</v>
      </c>
      <c r="O54" s="10">
        <v>0</v>
      </c>
      <c r="P54" s="10">
        <f t="shared" si="9"/>
        <v>0</v>
      </c>
      <c r="Q54" s="17">
        <v>14.044931623931621</v>
      </c>
      <c r="R54" s="18">
        <f t="shared" si="10"/>
        <v>14.044931623931621</v>
      </c>
      <c r="S54" s="19">
        <f t="shared" si="11"/>
        <v>0</v>
      </c>
      <c r="T54" s="20">
        <f t="shared" si="12"/>
        <v>14.044931623931621</v>
      </c>
      <c r="U54" s="37">
        <v>9</v>
      </c>
      <c r="V54" s="21">
        <f>_xlfn.AGGREGATE(16,6,$T$5:$T$49,1-(U54-1)/$Y$1)</f>
        <v>17.897619047619042</v>
      </c>
    </row>
    <row r="55" spans="1:23" ht="17.399999999999999">
      <c r="A55" s="9">
        <v>1</v>
      </c>
      <c r="B55" s="8">
        <v>239</v>
      </c>
      <c r="C55" s="8">
        <v>416459640</v>
      </c>
      <c r="D55" s="42" t="s">
        <v>122</v>
      </c>
      <c r="F55" s="10">
        <v>0</v>
      </c>
      <c r="G55" s="10">
        <v>0</v>
      </c>
      <c r="H55" s="50">
        <v>0</v>
      </c>
      <c r="I55" s="50">
        <v>0</v>
      </c>
      <c r="J55" s="50">
        <v>0</v>
      </c>
      <c r="K55" s="39" t="s">
        <v>30</v>
      </c>
      <c r="L55" s="11">
        <f t="shared" si="7"/>
        <v>0</v>
      </c>
      <c r="M55" s="10">
        <f t="shared" si="13"/>
        <v>0</v>
      </c>
      <c r="N55" s="10">
        <f t="shared" si="8"/>
        <v>0</v>
      </c>
      <c r="O55" s="10">
        <v>0</v>
      </c>
      <c r="P55" s="10">
        <f t="shared" si="9"/>
        <v>0</v>
      </c>
      <c r="Q55" s="17">
        <v>13.668749999999999</v>
      </c>
      <c r="R55" s="18">
        <f t="shared" si="10"/>
        <v>13.668749999999999</v>
      </c>
      <c r="S55" s="19">
        <f t="shared" si="11"/>
        <v>0</v>
      </c>
      <c r="T55" s="20">
        <f t="shared" si="12"/>
        <v>13.668749999999999</v>
      </c>
    </row>
    <row r="56" spans="1:23" ht="17.399999999999999">
      <c r="A56" s="9">
        <v>1</v>
      </c>
      <c r="B56" s="8">
        <v>241</v>
      </c>
      <c r="C56" s="8">
        <v>1136259669</v>
      </c>
      <c r="D56" s="42" t="s">
        <v>124</v>
      </c>
      <c r="F56" s="10">
        <v>3</v>
      </c>
      <c r="G56" s="10">
        <v>1</v>
      </c>
      <c r="H56" s="50">
        <v>0</v>
      </c>
      <c r="I56" s="50">
        <v>0</v>
      </c>
      <c r="J56" s="50">
        <v>0</v>
      </c>
      <c r="K56" s="14" t="s">
        <v>53</v>
      </c>
      <c r="L56" s="11">
        <f t="shared" si="7"/>
        <v>4</v>
      </c>
      <c r="M56" s="10">
        <f t="shared" si="13"/>
        <v>1.2</v>
      </c>
      <c r="N56" s="10">
        <f t="shared" si="8"/>
        <v>0</v>
      </c>
      <c r="O56" s="10">
        <v>0</v>
      </c>
      <c r="P56" s="10">
        <f t="shared" si="9"/>
        <v>5.2</v>
      </c>
      <c r="Q56" s="17">
        <v>8.3187499999999837</v>
      </c>
      <c r="R56" s="18">
        <f t="shared" si="10"/>
        <v>13.518749999999983</v>
      </c>
      <c r="S56" s="19">
        <f t="shared" si="11"/>
        <v>8.125</v>
      </c>
      <c r="T56" s="20">
        <f t="shared" si="12"/>
        <v>5.3937499999999829</v>
      </c>
    </row>
    <row r="57" spans="1:23" ht="20.399999999999999">
      <c r="A57" s="9">
        <v>1</v>
      </c>
      <c r="B57" s="8">
        <v>213</v>
      </c>
      <c r="C57" s="8">
        <v>311361673</v>
      </c>
      <c r="D57" s="42" t="s">
        <v>55</v>
      </c>
      <c r="E57" s="2"/>
      <c r="F57" s="10">
        <v>4</v>
      </c>
      <c r="G57" s="10">
        <v>1</v>
      </c>
      <c r="H57" s="50">
        <v>0</v>
      </c>
      <c r="I57" s="50">
        <v>1</v>
      </c>
      <c r="J57" s="50">
        <v>0</v>
      </c>
      <c r="K57" s="14" t="s">
        <v>53</v>
      </c>
      <c r="L57" s="11">
        <f t="shared" si="7"/>
        <v>6</v>
      </c>
      <c r="M57" s="10">
        <f t="shared" si="13"/>
        <v>1.2</v>
      </c>
      <c r="N57" s="10">
        <f t="shared" si="8"/>
        <v>0.4</v>
      </c>
      <c r="O57" s="10">
        <v>0</v>
      </c>
      <c r="P57" s="10">
        <f t="shared" si="9"/>
        <v>7.6000000000000005</v>
      </c>
      <c r="Q57" s="17">
        <v>5.7937499999999948</v>
      </c>
      <c r="R57" s="18">
        <f t="shared" si="10"/>
        <v>13.393749999999995</v>
      </c>
      <c r="S57" s="19">
        <f t="shared" si="11"/>
        <v>8.125</v>
      </c>
      <c r="T57" s="20">
        <f t="shared" si="12"/>
        <v>5.2687499999999954</v>
      </c>
    </row>
    <row r="58" spans="1:23" ht="17.399999999999999">
      <c r="A58" s="9">
        <v>1</v>
      </c>
      <c r="B58" s="8">
        <v>255</v>
      </c>
      <c r="C58" s="8">
        <v>812042496</v>
      </c>
      <c r="D58" s="83" t="s">
        <v>155</v>
      </c>
      <c r="F58" s="10">
        <v>0</v>
      </c>
      <c r="G58" s="10">
        <v>0</v>
      </c>
      <c r="H58" s="50">
        <v>0</v>
      </c>
      <c r="I58" s="50">
        <v>0</v>
      </c>
      <c r="J58" s="50">
        <v>0</v>
      </c>
      <c r="K58" s="39" t="s">
        <v>30</v>
      </c>
      <c r="L58" s="11">
        <f t="shared" si="7"/>
        <v>0</v>
      </c>
      <c r="M58" s="10">
        <f t="shared" si="13"/>
        <v>0</v>
      </c>
      <c r="N58" s="10">
        <f t="shared" si="8"/>
        <v>0</v>
      </c>
      <c r="O58" s="10">
        <v>0</v>
      </c>
      <c r="P58" s="10">
        <f t="shared" si="9"/>
        <v>0</v>
      </c>
      <c r="Q58" s="17">
        <v>13.336904761904758</v>
      </c>
      <c r="R58" s="18">
        <f t="shared" si="10"/>
        <v>13.336904761904758</v>
      </c>
      <c r="S58" s="19">
        <f t="shared" si="11"/>
        <v>0</v>
      </c>
      <c r="T58" s="20">
        <f t="shared" si="12"/>
        <v>13.336904761904758</v>
      </c>
      <c r="U58" s="37">
        <v>16</v>
      </c>
      <c r="V58" s="21">
        <f>_xlfn.AGGREGATE(16,6,$T$5:$T$49,1-(U58-1)/$Y$1)</f>
        <v>14.65089285714285</v>
      </c>
    </row>
    <row r="59" spans="1:23" ht="17.399999999999999">
      <c r="A59" s="9">
        <v>1</v>
      </c>
      <c r="B59" s="8">
        <v>195</v>
      </c>
      <c r="C59" s="8">
        <v>1634663314</v>
      </c>
      <c r="D59" s="42" t="s">
        <v>73</v>
      </c>
      <c r="E59" s="47"/>
      <c r="F59" s="10">
        <v>2</v>
      </c>
      <c r="G59" s="10">
        <v>1</v>
      </c>
      <c r="H59" s="50">
        <v>0</v>
      </c>
      <c r="I59" s="50">
        <v>0</v>
      </c>
      <c r="J59" s="50">
        <v>0</v>
      </c>
      <c r="K59" s="14" t="s">
        <v>53</v>
      </c>
      <c r="L59" s="11">
        <f t="shared" si="7"/>
        <v>2</v>
      </c>
      <c r="M59" s="10">
        <f t="shared" si="13"/>
        <v>1.2</v>
      </c>
      <c r="N59" s="10">
        <f t="shared" si="8"/>
        <v>0</v>
      </c>
      <c r="O59" s="10">
        <v>0</v>
      </c>
      <c r="P59" s="10">
        <f t="shared" si="9"/>
        <v>3.2</v>
      </c>
      <c r="Q59" s="17">
        <v>10.093249999999983</v>
      </c>
      <c r="R59" s="18">
        <f t="shared" si="10"/>
        <v>13.293249999999983</v>
      </c>
      <c r="S59" s="19">
        <f t="shared" si="11"/>
        <v>8.125</v>
      </c>
      <c r="T59" s="20">
        <f t="shared" si="12"/>
        <v>5.1682499999999827</v>
      </c>
    </row>
    <row r="60" spans="1:23" ht="17.399999999999999">
      <c r="A60" s="9">
        <v>1</v>
      </c>
      <c r="B60" s="8">
        <v>234</v>
      </c>
      <c r="C60" s="8">
        <v>1333428907</v>
      </c>
      <c r="D60" s="42" t="s">
        <v>128</v>
      </c>
      <c r="E60" s="42" t="s">
        <v>115</v>
      </c>
      <c r="F60" s="10">
        <v>2</v>
      </c>
      <c r="G60" s="10">
        <v>0</v>
      </c>
      <c r="H60" s="50">
        <v>0</v>
      </c>
      <c r="I60" s="50">
        <v>0</v>
      </c>
      <c r="J60" s="50">
        <v>0</v>
      </c>
      <c r="K60" s="14" t="s">
        <v>53</v>
      </c>
      <c r="L60" s="11">
        <f t="shared" si="7"/>
        <v>2</v>
      </c>
      <c r="M60" s="10">
        <f t="shared" si="13"/>
        <v>0</v>
      </c>
      <c r="N60" s="10">
        <f t="shared" si="8"/>
        <v>0</v>
      </c>
      <c r="O60" s="10">
        <v>0</v>
      </c>
      <c r="P60" s="10">
        <f t="shared" si="9"/>
        <v>2</v>
      </c>
      <c r="Q60" s="17">
        <v>10.0625</v>
      </c>
      <c r="R60" s="18">
        <f t="shared" si="10"/>
        <v>12.0625</v>
      </c>
      <c r="S60" s="19">
        <f t="shared" si="11"/>
        <v>8.125</v>
      </c>
      <c r="T60" s="20">
        <f t="shared" si="12"/>
        <v>3.9375</v>
      </c>
    </row>
    <row r="61" spans="1:23" ht="17.399999999999999">
      <c r="A61" s="9">
        <v>1</v>
      </c>
      <c r="B61" s="8">
        <v>200</v>
      </c>
      <c r="C61" s="8">
        <v>967589156</v>
      </c>
      <c r="D61" s="42" t="s">
        <v>76</v>
      </c>
      <c r="E61" s="47"/>
      <c r="F61" s="10">
        <v>3</v>
      </c>
      <c r="G61" s="10">
        <v>1</v>
      </c>
      <c r="H61" s="50">
        <v>0</v>
      </c>
      <c r="I61" s="50">
        <v>0</v>
      </c>
      <c r="J61" s="50">
        <v>0</v>
      </c>
      <c r="K61" s="14" t="s">
        <v>53</v>
      </c>
      <c r="L61" s="11">
        <f t="shared" si="7"/>
        <v>4</v>
      </c>
      <c r="M61" s="10">
        <f t="shared" si="13"/>
        <v>1.2</v>
      </c>
      <c r="N61" s="10">
        <f t="shared" si="8"/>
        <v>0</v>
      </c>
      <c r="O61" s="10">
        <v>0</v>
      </c>
      <c r="P61" s="10">
        <f t="shared" si="9"/>
        <v>5.2</v>
      </c>
      <c r="Q61" s="17">
        <v>6.2687500000000114</v>
      </c>
      <c r="R61" s="18">
        <f t="shared" si="10"/>
        <v>11.468750000000011</v>
      </c>
      <c r="S61" s="19">
        <f t="shared" si="11"/>
        <v>8.125</v>
      </c>
      <c r="T61" s="20">
        <f t="shared" si="12"/>
        <v>3.3437500000000107</v>
      </c>
    </row>
    <row r="62" spans="1:23" ht="17.399999999999999">
      <c r="A62" s="9">
        <v>1</v>
      </c>
      <c r="B62" s="9">
        <v>92</v>
      </c>
      <c r="C62" s="8">
        <v>1367873925</v>
      </c>
      <c r="D62" s="42" t="s">
        <v>80</v>
      </c>
      <c r="E62" s="42" t="s">
        <v>31</v>
      </c>
      <c r="F62" s="10">
        <v>2</v>
      </c>
      <c r="G62" s="10">
        <v>1</v>
      </c>
      <c r="H62" s="50">
        <v>0</v>
      </c>
      <c r="I62" s="50">
        <v>0</v>
      </c>
      <c r="J62" s="50">
        <v>0</v>
      </c>
      <c r="K62" s="14" t="s">
        <v>53</v>
      </c>
      <c r="L62" s="11">
        <f t="shared" si="7"/>
        <v>2</v>
      </c>
      <c r="M62" s="10">
        <f t="shared" si="13"/>
        <v>1.2</v>
      </c>
      <c r="N62" s="10">
        <f t="shared" si="8"/>
        <v>0</v>
      </c>
      <c r="O62" s="10">
        <v>0</v>
      </c>
      <c r="P62" s="10">
        <f t="shared" si="9"/>
        <v>3.2</v>
      </c>
      <c r="Q62" s="17">
        <v>7.6187499999999879</v>
      </c>
      <c r="R62" s="18">
        <f t="shared" si="10"/>
        <v>10.818749999999987</v>
      </c>
      <c r="S62" s="19">
        <f t="shared" si="11"/>
        <v>8.125</v>
      </c>
      <c r="T62" s="20">
        <f t="shared" si="12"/>
        <v>2.6937499999999872</v>
      </c>
      <c r="U62" s="40"/>
      <c r="V62" s="40"/>
      <c r="W62" s="41"/>
    </row>
    <row r="63" spans="1:23" ht="17.399999999999999">
      <c r="A63" s="9">
        <v>1</v>
      </c>
      <c r="B63" s="8">
        <v>223</v>
      </c>
      <c r="C63" s="8">
        <v>784792167</v>
      </c>
      <c r="D63" s="42" t="s">
        <v>98</v>
      </c>
      <c r="E63" s="42"/>
      <c r="F63" s="10">
        <v>0</v>
      </c>
      <c r="G63" s="10">
        <v>0</v>
      </c>
      <c r="H63" s="50">
        <v>0</v>
      </c>
      <c r="I63" s="50">
        <v>0</v>
      </c>
      <c r="J63" s="50">
        <v>0</v>
      </c>
      <c r="K63" s="39" t="s">
        <v>30</v>
      </c>
      <c r="L63" s="11">
        <f t="shared" si="7"/>
        <v>0</v>
      </c>
      <c r="M63" s="10">
        <f t="shared" si="13"/>
        <v>0</v>
      </c>
      <c r="N63" s="10">
        <f t="shared" si="8"/>
        <v>0</v>
      </c>
      <c r="O63" s="10">
        <v>0</v>
      </c>
      <c r="P63" s="10">
        <f t="shared" si="9"/>
        <v>0</v>
      </c>
      <c r="Q63" s="17">
        <v>10.624999999999996</v>
      </c>
      <c r="R63" s="18">
        <f t="shared" si="10"/>
        <v>10.624999999999996</v>
      </c>
      <c r="S63" s="19">
        <f t="shared" si="11"/>
        <v>0</v>
      </c>
      <c r="T63" s="20">
        <f t="shared" si="12"/>
        <v>10.624999999999996</v>
      </c>
    </row>
    <row r="64" spans="1:23" ht="20.399999999999999">
      <c r="A64" s="86">
        <v>1</v>
      </c>
      <c r="B64" s="8">
        <v>186</v>
      </c>
      <c r="C64" s="8">
        <v>595953188</v>
      </c>
      <c r="D64" s="83" t="s">
        <v>157</v>
      </c>
      <c r="E64" s="87" t="s">
        <v>156</v>
      </c>
      <c r="F64" s="88">
        <v>0</v>
      </c>
      <c r="G64" s="88">
        <v>0</v>
      </c>
      <c r="H64" s="89">
        <v>0</v>
      </c>
      <c r="I64" s="89">
        <v>0</v>
      </c>
      <c r="J64" s="89">
        <v>0</v>
      </c>
      <c r="K64" s="90" t="s">
        <v>30</v>
      </c>
      <c r="L64" s="91">
        <f t="shared" si="7"/>
        <v>0</v>
      </c>
      <c r="M64" s="88">
        <f t="shared" si="13"/>
        <v>0</v>
      </c>
      <c r="N64" s="88">
        <f t="shared" si="8"/>
        <v>0</v>
      </c>
      <c r="O64" s="88">
        <v>0</v>
      </c>
      <c r="P64" s="88">
        <f t="shared" si="9"/>
        <v>0</v>
      </c>
      <c r="Q64" s="92">
        <v>10.505853174603155</v>
      </c>
      <c r="R64" s="18">
        <f t="shared" si="10"/>
        <v>10.505853174603155</v>
      </c>
      <c r="S64" s="93">
        <f t="shared" si="11"/>
        <v>0</v>
      </c>
      <c r="T64" s="94">
        <f t="shared" si="12"/>
        <v>10.505853174603155</v>
      </c>
      <c r="U64" s="37">
        <v>24</v>
      </c>
      <c r="V64" s="21">
        <f>_xlfn.AGGREGATE(16,6,$T$5:$T$49,1-(U64-1)/$Y$1)</f>
        <v>13.48273504273503</v>
      </c>
    </row>
    <row r="65" spans="1:22" ht="17.399999999999999">
      <c r="A65" s="9">
        <v>1</v>
      </c>
      <c r="B65" s="8">
        <v>253</v>
      </c>
      <c r="C65" s="8">
        <v>18663026649</v>
      </c>
      <c r="D65" s="83" t="s">
        <v>153</v>
      </c>
      <c r="F65" s="10">
        <v>0</v>
      </c>
      <c r="G65" s="10">
        <v>0</v>
      </c>
      <c r="H65" s="50">
        <v>0</v>
      </c>
      <c r="I65" s="50">
        <v>0</v>
      </c>
      <c r="J65" s="50">
        <v>0</v>
      </c>
      <c r="K65" s="39" t="s">
        <v>30</v>
      </c>
      <c r="L65" s="11">
        <f t="shared" si="7"/>
        <v>0</v>
      </c>
      <c r="M65" s="10">
        <f t="shared" si="13"/>
        <v>0</v>
      </c>
      <c r="N65" s="10">
        <f t="shared" si="8"/>
        <v>0</v>
      </c>
      <c r="O65" s="10">
        <v>0</v>
      </c>
      <c r="P65" s="10">
        <f t="shared" si="9"/>
        <v>0</v>
      </c>
      <c r="Q65" s="17">
        <v>10.488492063492059</v>
      </c>
      <c r="R65" s="18">
        <f t="shared" si="10"/>
        <v>10.488492063492059</v>
      </c>
      <c r="S65" s="19">
        <f t="shared" si="11"/>
        <v>0</v>
      </c>
      <c r="T65" s="20">
        <f t="shared" si="12"/>
        <v>10.488492063492059</v>
      </c>
      <c r="U65" s="37">
        <v>26</v>
      </c>
      <c r="V65" s="21">
        <f>_xlfn.AGGREGATE(16,6,$T$5:$T$49,1-(U65-1)/$Y$1)</f>
        <v>13.452698412698412</v>
      </c>
    </row>
    <row r="66" spans="1:22" ht="17.399999999999999">
      <c r="A66" s="9">
        <v>1</v>
      </c>
      <c r="B66" s="8">
        <v>251</v>
      </c>
      <c r="C66" s="8">
        <v>26962972</v>
      </c>
      <c r="D66" s="83" t="s">
        <v>151</v>
      </c>
      <c r="F66" s="10">
        <v>0</v>
      </c>
      <c r="G66" s="10">
        <v>0</v>
      </c>
      <c r="H66" s="50">
        <v>0</v>
      </c>
      <c r="I66" s="50">
        <v>0</v>
      </c>
      <c r="J66" s="50">
        <v>0</v>
      </c>
      <c r="K66" s="39" t="s">
        <v>30</v>
      </c>
      <c r="L66" s="11">
        <f t="shared" si="7"/>
        <v>0</v>
      </c>
      <c r="M66" s="10">
        <f t="shared" si="13"/>
        <v>0</v>
      </c>
      <c r="N66" s="10">
        <f t="shared" si="8"/>
        <v>0</v>
      </c>
      <c r="O66" s="10">
        <v>0</v>
      </c>
      <c r="P66" s="10">
        <f t="shared" si="9"/>
        <v>0</v>
      </c>
      <c r="Q66" s="17">
        <v>9.8709325396825331</v>
      </c>
      <c r="R66" s="18">
        <f t="shared" si="10"/>
        <v>9.8709325396825331</v>
      </c>
      <c r="S66" s="19">
        <f t="shared" si="11"/>
        <v>0</v>
      </c>
      <c r="T66" s="20">
        <f t="shared" si="12"/>
        <v>9.8709325396825331</v>
      </c>
      <c r="U66" s="21">
        <v>32</v>
      </c>
      <c r="V66" s="21">
        <f>_xlfn.AGGREGATE(16,6,$T$5:$T$49,1-(U66-1)/$Y$1)</f>
        <v>11.699999999999987</v>
      </c>
    </row>
    <row r="67" spans="1:22" ht="17.399999999999999">
      <c r="A67" s="9">
        <v>1</v>
      </c>
      <c r="B67" s="8">
        <v>250</v>
      </c>
      <c r="C67" s="8">
        <v>1183251323</v>
      </c>
      <c r="D67" s="83" t="s">
        <v>150</v>
      </c>
      <c r="F67" s="10">
        <v>0</v>
      </c>
      <c r="G67" s="10">
        <v>0</v>
      </c>
      <c r="H67" s="50">
        <v>0</v>
      </c>
      <c r="I67" s="50">
        <v>0</v>
      </c>
      <c r="J67" s="50">
        <v>0</v>
      </c>
      <c r="K67" s="39" t="s">
        <v>30</v>
      </c>
      <c r="L67" s="11">
        <f t="shared" si="7"/>
        <v>0</v>
      </c>
      <c r="M67" s="10">
        <f t="shared" si="13"/>
        <v>0</v>
      </c>
      <c r="N67" s="10">
        <f t="shared" si="8"/>
        <v>0</v>
      </c>
      <c r="O67" s="10">
        <v>0</v>
      </c>
      <c r="P67" s="10">
        <f t="shared" si="9"/>
        <v>0</v>
      </c>
      <c r="Q67" s="17">
        <v>9.6637658730158567</v>
      </c>
      <c r="R67" s="18">
        <f t="shared" si="10"/>
        <v>9.6637658730158567</v>
      </c>
      <c r="S67" s="19">
        <f t="shared" si="11"/>
        <v>0</v>
      </c>
      <c r="T67" s="20">
        <f t="shared" si="12"/>
        <v>9.6637658730158567</v>
      </c>
      <c r="U67" s="21">
        <v>33</v>
      </c>
      <c r="V67" s="21">
        <f>_xlfn.AGGREGATE(16,6,$T$5:$T$49,1-(U67-1)/$Y$1)</f>
        <v>10.927380952380943</v>
      </c>
    </row>
    <row r="68" spans="1:22" ht="17.399999999999999">
      <c r="A68" s="9">
        <v>1</v>
      </c>
      <c r="B68" s="8">
        <v>219</v>
      </c>
      <c r="C68" s="8">
        <v>1128309198</v>
      </c>
      <c r="D68" s="42" t="s">
        <v>93</v>
      </c>
      <c r="E68" s="47"/>
      <c r="F68" s="10">
        <v>0</v>
      </c>
      <c r="G68" s="10">
        <v>0</v>
      </c>
      <c r="H68" s="50">
        <v>0</v>
      </c>
      <c r="I68" s="50">
        <v>0</v>
      </c>
      <c r="J68" s="50">
        <v>0</v>
      </c>
      <c r="K68" s="39" t="s">
        <v>30</v>
      </c>
      <c r="L68" s="11">
        <f t="shared" si="7"/>
        <v>0</v>
      </c>
      <c r="M68" s="10">
        <f t="shared" si="13"/>
        <v>0</v>
      </c>
      <c r="N68" s="10">
        <f t="shared" si="8"/>
        <v>0</v>
      </c>
      <c r="O68" s="10">
        <v>0</v>
      </c>
      <c r="P68" s="10">
        <f t="shared" si="9"/>
        <v>0</v>
      </c>
      <c r="Q68" s="17">
        <v>9.4499999999999957</v>
      </c>
      <c r="R68" s="18">
        <f t="shared" si="10"/>
        <v>9.4499999999999957</v>
      </c>
      <c r="S68" s="19">
        <f t="shared" si="11"/>
        <v>0</v>
      </c>
      <c r="T68" s="20">
        <f t="shared" si="12"/>
        <v>9.4499999999999957</v>
      </c>
    </row>
    <row r="69" spans="1:22" ht="17.399999999999999">
      <c r="A69" s="9">
        <v>1</v>
      </c>
      <c r="B69" s="8">
        <v>249</v>
      </c>
      <c r="C69" s="8">
        <v>1892505535</v>
      </c>
      <c r="D69" s="83" t="s">
        <v>149</v>
      </c>
      <c r="F69" s="10">
        <v>0</v>
      </c>
      <c r="G69" s="10">
        <v>0</v>
      </c>
      <c r="H69" s="50">
        <v>0</v>
      </c>
      <c r="I69" s="50">
        <v>0</v>
      </c>
      <c r="J69" s="50">
        <v>0</v>
      </c>
      <c r="K69" s="39" t="s">
        <v>30</v>
      </c>
      <c r="L69" s="11">
        <f t="shared" ref="L69:L83" si="14">F69+IF(F69&gt;2,(F69-2)*1,0)</f>
        <v>0</v>
      </c>
      <c r="M69" s="10">
        <f t="shared" si="13"/>
        <v>0</v>
      </c>
      <c r="N69" s="10">
        <f t="shared" ref="N69:N83" si="15">SUM(H69:J69)*$Y$18</f>
        <v>0</v>
      </c>
      <c r="O69" s="10">
        <v>0</v>
      </c>
      <c r="P69" s="10">
        <f t="shared" ref="P69:P83" si="16">SUM(M69+L69+O69+N69)</f>
        <v>0</v>
      </c>
      <c r="Q69" s="17">
        <v>9.4070714285714185</v>
      </c>
      <c r="R69" s="18">
        <f t="shared" ref="R69:R83" si="17">P69+Q69</f>
        <v>9.4070714285714185</v>
      </c>
      <c r="S69" s="19">
        <f t="shared" ref="S69:S83" si="18">VLOOKUP(K69,$X$3:$Y$10,2,FALSE)</f>
        <v>0</v>
      </c>
      <c r="T69" s="20">
        <f t="shared" ref="T69:T83" si="19">R69-S69</f>
        <v>9.4070714285714185</v>
      </c>
      <c r="U69" s="21">
        <v>35</v>
      </c>
      <c r="V69" s="21">
        <f>_xlfn.AGGREGATE(16,6,$T$5:$T$49,1-(U69-1)/$Y$1)</f>
        <v>10.572916666666648</v>
      </c>
    </row>
    <row r="70" spans="1:22" ht="17.399999999999999">
      <c r="A70" s="70">
        <v>1</v>
      </c>
      <c r="B70" s="8">
        <v>252</v>
      </c>
      <c r="C70" s="8">
        <v>1574741700</v>
      </c>
      <c r="D70" s="83" t="s">
        <v>152</v>
      </c>
      <c r="F70" s="10">
        <v>0</v>
      </c>
      <c r="G70" s="10">
        <v>0</v>
      </c>
      <c r="H70" s="50">
        <v>0</v>
      </c>
      <c r="I70" s="50">
        <v>0</v>
      </c>
      <c r="J70" s="50">
        <v>0</v>
      </c>
      <c r="K70" s="39" t="s">
        <v>30</v>
      </c>
      <c r="L70" s="11">
        <f t="shared" si="14"/>
        <v>0</v>
      </c>
      <c r="M70" s="10">
        <f t="shared" si="13"/>
        <v>0</v>
      </c>
      <c r="N70" s="10">
        <f t="shared" si="15"/>
        <v>0</v>
      </c>
      <c r="O70" s="10">
        <v>0</v>
      </c>
      <c r="P70" s="10">
        <f t="shared" si="16"/>
        <v>0</v>
      </c>
      <c r="Q70" s="17">
        <v>8.5145833333333307</v>
      </c>
      <c r="R70" s="18">
        <f t="shared" si="17"/>
        <v>8.5145833333333307</v>
      </c>
      <c r="S70" s="19">
        <f t="shared" si="18"/>
        <v>0</v>
      </c>
      <c r="T70" s="20">
        <f t="shared" si="19"/>
        <v>8.5145833333333307</v>
      </c>
      <c r="U70" s="21">
        <v>43</v>
      </c>
      <c r="V70" s="21">
        <f>_xlfn.AGGREGATE(16,6,$T$5:$T$49,1-(U70-1)/$Y$1)</f>
        <v>9.9979166666666721</v>
      </c>
    </row>
    <row r="71" spans="1:22" ht="17.399999999999999">
      <c r="A71" s="9">
        <v>1</v>
      </c>
      <c r="B71" s="8">
        <v>192</v>
      </c>
      <c r="C71" s="8">
        <v>1725281178</v>
      </c>
      <c r="D71" s="42" t="s">
        <v>71</v>
      </c>
      <c r="E71" s="47"/>
      <c r="F71" s="10">
        <v>0</v>
      </c>
      <c r="G71" s="10">
        <v>0</v>
      </c>
      <c r="H71" s="50">
        <v>0</v>
      </c>
      <c r="I71" s="50">
        <v>0</v>
      </c>
      <c r="J71" s="50">
        <v>0</v>
      </c>
      <c r="K71" s="39" t="s">
        <v>30</v>
      </c>
      <c r="L71" s="11">
        <f t="shared" si="14"/>
        <v>0</v>
      </c>
      <c r="M71" s="10">
        <f t="shared" ref="M71:M83" si="20">G71*$Y$14</f>
        <v>0</v>
      </c>
      <c r="N71" s="10">
        <f t="shared" si="15"/>
        <v>0</v>
      </c>
      <c r="O71" s="10">
        <v>0</v>
      </c>
      <c r="P71" s="10">
        <f t="shared" si="16"/>
        <v>0</v>
      </c>
      <c r="Q71" s="17">
        <v>3.1437499999999954</v>
      </c>
      <c r="R71" s="18">
        <f t="shared" si="17"/>
        <v>3.1437499999999954</v>
      </c>
      <c r="S71" s="19">
        <f t="shared" si="18"/>
        <v>0</v>
      </c>
      <c r="T71" s="20">
        <f t="shared" si="19"/>
        <v>3.1437499999999954</v>
      </c>
    </row>
    <row r="72" spans="1:22" ht="20.399999999999999">
      <c r="A72" s="70">
        <v>1</v>
      </c>
      <c r="B72" s="8">
        <v>220</v>
      </c>
      <c r="C72" s="8">
        <v>353335311</v>
      </c>
      <c r="D72" s="42" t="s">
        <v>94</v>
      </c>
      <c r="E72" s="44"/>
      <c r="F72" s="10">
        <v>0</v>
      </c>
      <c r="G72" s="10">
        <v>0</v>
      </c>
      <c r="H72" s="50">
        <v>0</v>
      </c>
      <c r="I72" s="50">
        <v>0</v>
      </c>
      <c r="J72" s="50">
        <v>0</v>
      </c>
      <c r="K72" s="39" t="s">
        <v>30</v>
      </c>
      <c r="L72" s="11">
        <f t="shared" si="14"/>
        <v>0</v>
      </c>
      <c r="M72" s="10">
        <f t="shared" si="20"/>
        <v>0</v>
      </c>
      <c r="N72" s="10">
        <f t="shared" si="15"/>
        <v>0</v>
      </c>
      <c r="O72" s="10">
        <v>0</v>
      </c>
      <c r="P72" s="10">
        <f t="shared" si="16"/>
        <v>0</v>
      </c>
      <c r="Q72" s="17">
        <v>2.0310546874999984</v>
      </c>
      <c r="R72" s="18">
        <f t="shared" si="17"/>
        <v>2.0310546874999984</v>
      </c>
      <c r="S72" s="19">
        <f t="shared" si="18"/>
        <v>0</v>
      </c>
      <c r="T72" s="20">
        <f t="shared" si="19"/>
        <v>2.0310546874999984</v>
      </c>
    </row>
    <row r="73" spans="1:22" ht="17.399999999999999">
      <c r="A73" s="9">
        <v>1</v>
      </c>
      <c r="B73" s="8">
        <v>233</v>
      </c>
      <c r="C73" s="8">
        <v>1963965829</v>
      </c>
      <c r="D73" s="42" t="s">
        <v>114</v>
      </c>
      <c r="F73" s="10">
        <v>0</v>
      </c>
      <c r="G73" s="10">
        <v>0</v>
      </c>
      <c r="H73" s="50">
        <v>0</v>
      </c>
      <c r="I73" s="50">
        <v>0</v>
      </c>
      <c r="J73" s="50">
        <v>0</v>
      </c>
      <c r="K73" s="39" t="s">
        <v>30</v>
      </c>
      <c r="L73" s="11">
        <f t="shared" si="14"/>
        <v>0</v>
      </c>
      <c r="M73" s="10">
        <f t="shared" si="20"/>
        <v>0</v>
      </c>
      <c r="N73" s="10">
        <f t="shared" si="15"/>
        <v>0</v>
      </c>
      <c r="O73" s="10">
        <v>0</v>
      </c>
      <c r="P73" s="10">
        <f t="shared" si="16"/>
        <v>0</v>
      </c>
      <c r="Q73" s="17">
        <v>2.0000000000000018</v>
      </c>
      <c r="R73" s="18">
        <f t="shared" si="17"/>
        <v>2.0000000000000018</v>
      </c>
      <c r="S73" s="19">
        <f t="shared" si="18"/>
        <v>0</v>
      </c>
      <c r="T73" s="20">
        <f t="shared" si="19"/>
        <v>2.0000000000000018</v>
      </c>
    </row>
    <row r="74" spans="1:22" ht="17.399999999999999">
      <c r="A74" s="70">
        <v>1</v>
      </c>
      <c r="B74" s="8">
        <v>207</v>
      </c>
      <c r="C74" s="8">
        <v>721273803</v>
      </c>
      <c r="D74" s="45" t="s">
        <v>81</v>
      </c>
      <c r="E74" s="47"/>
      <c r="F74" s="10">
        <v>0</v>
      </c>
      <c r="G74" s="10">
        <v>0</v>
      </c>
      <c r="H74" s="50">
        <v>0</v>
      </c>
      <c r="I74" s="50">
        <v>0</v>
      </c>
      <c r="J74" s="50">
        <v>0</v>
      </c>
      <c r="K74" s="39" t="s">
        <v>30</v>
      </c>
      <c r="L74" s="11">
        <f t="shared" si="14"/>
        <v>0</v>
      </c>
      <c r="M74" s="10">
        <f t="shared" si="20"/>
        <v>0</v>
      </c>
      <c r="N74" s="10">
        <f t="shared" si="15"/>
        <v>0</v>
      </c>
      <c r="O74" s="10">
        <v>0</v>
      </c>
      <c r="P74" s="10">
        <f t="shared" si="16"/>
        <v>0</v>
      </c>
      <c r="Q74" s="17">
        <v>1.425</v>
      </c>
      <c r="R74" s="18">
        <f t="shared" si="17"/>
        <v>1.425</v>
      </c>
      <c r="S74" s="19">
        <f t="shared" si="18"/>
        <v>0</v>
      </c>
      <c r="T74" s="20">
        <f t="shared" si="19"/>
        <v>1.425</v>
      </c>
    </row>
    <row r="75" spans="1:22" ht="17.399999999999999">
      <c r="A75" s="9">
        <v>1</v>
      </c>
      <c r="B75" s="8">
        <v>242</v>
      </c>
      <c r="C75" s="8">
        <v>250098915</v>
      </c>
      <c r="D75" s="42" t="s">
        <v>131</v>
      </c>
      <c r="F75" s="10">
        <v>0</v>
      </c>
      <c r="G75" s="10">
        <v>0</v>
      </c>
      <c r="H75" s="50">
        <v>0</v>
      </c>
      <c r="I75" s="50">
        <v>0</v>
      </c>
      <c r="J75" s="50">
        <v>0</v>
      </c>
      <c r="K75" s="39" t="s">
        <v>30</v>
      </c>
      <c r="L75" s="11">
        <f t="shared" si="14"/>
        <v>0</v>
      </c>
      <c r="M75" s="10">
        <f t="shared" si="20"/>
        <v>0</v>
      </c>
      <c r="N75" s="10">
        <f t="shared" si="15"/>
        <v>0</v>
      </c>
      <c r="O75" s="10">
        <v>0</v>
      </c>
      <c r="P75" s="10">
        <f t="shared" si="16"/>
        <v>0</v>
      </c>
      <c r="Q75" s="17">
        <v>0.90625</v>
      </c>
      <c r="R75" s="18">
        <f t="shared" si="17"/>
        <v>0.90625</v>
      </c>
      <c r="S75" s="19">
        <f t="shared" si="18"/>
        <v>0</v>
      </c>
      <c r="T75" s="20">
        <f t="shared" si="19"/>
        <v>0.90625</v>
      </c>
    </row>
    <row r="76" spans="1:22" ht="17.399999999999999">
      <c r="A76" s="70">
        <v>1</v>
      </c>
      <c r="B76" s="8">
        <v>242</v>
      </c>
      <c r="C76" s="8">
        <v>1769984287</v>
      </c>
      <c r="D76" s="42" t="s">
        <v>132</v>
      </c>
      <c r="F76" s="10">
        <v>0</v>
      </c>
      <c r="G76" s="10">
        <v>0</v>
      </c>
      <c r="H76" s="50">
        <v>0</v>
      </c>
      <c r="I76" s="50">
        <v>0</v>
      </c>
      <c r="J76" s="50">
        <v>0</v>
      </c>
      <c r="K76" s="39" t="s">
        <v>30</v>
      </c>
      <c r="L76" s="11">
        <f t="shared" si="14"/>
        <v>0</v>
      </c>
      <c r="M76" s="10">
        <f t="shared" si="20"/>
        <v>0</v>
      </c>
      <c r="N76" s="10">
        <f t="shared" si="15"/>
        <v>0</v>
      </c>
      <c r="O76" s="10">
        <v>0</v>
      </c>
      <c r="P76" s="10">
        <f t="shared" si="16"/>
        <v>0</v>
      </c>
      <c r="Q76" s="17">
        <v>0.65000000000000036</v>
      </c>
      <c r="R76" s="18">
        <f t="shared" si="17"/>
        <v>0.65000000000000036</v>
      </c>
      <c r="S76" s="19">
        <f t="shared" si="18"/>
        <v>0</v>
      </c>
      <c r="T76" s="20">
        <f t="shared" si="19"/>
        <v>0.65000000000000036</v>
      </c>
    </row>
    <row r="77" spans="1:22" ht="17.399999999999999">
      <c r="A77" s="9">
        <v>1</v>
      </c>
      <c r="B77" s="8">
        <v>218</v>
      </c>
      <c r="C77" s="8">
        <v>1804880865</v>
      </c>
      <c r="D77" s="42" t="s">
        <v>92</v>
      </c>
      <c r="E77" s="47"/>
      <c r="F77" s="10">
        <v>0</v>
      </c>
      <c r="G77" s="10">
        <v>0</v>
      </c>
      <c r="H77" s="50">
        <v>0</v>
      </c>
      <c r="I77" s="50">
        <v>0</v>
      </c>
      <c r="J77" s="50">
        <v>0</v>
      </c>
      <c r="K77" s="39" t="s">
        <v>30</v>
      </c>
      <c r="L77" s="11">
        <f t="shared" si="14"/>
        <v>0</v>
      </c>
      <c r="M77" s="10">
        <f t="shared" si="20"/>
        <v>0</v>
      </c>
      <c r="N77" s="10">
        <f t="shared" si="15"/>
        <v>0</v>
      </c>
      <c r="O77" s="10">
        <v>0</v>
      </c>
      <c r="P77" s="10">
        <f t="shared" si="16"/>
        <v>0</v>
      </c>
      <c r="Q77" s="17">
        <v>0.11749999999999983</v>
      </c>
      <c r="R77" s="18">
        <f t="shared" si="17"/>
        <v>0.11749999999999983</v>
      </c>
      <c r="S77" s="19">
        <f t="shared" si="18"/>
        <v>0</v>
      </c>
      <c r="T77" s="20">
        <f t="shared" si="19"/>
        <v>0.11749999999999983</v>
      </c>
    </row>
    <row r="78" spans="1:22" ht="17.399999999999999">
      <c r="A78" s="70">
        <v>1</v>
      </c>
      <c r="B78" s="8">
        <v>217</v>
      </c>
      <c r="C78" s="8">
        <v>331155825</v>
      </c>
      <c r="D78" s="46" t="s">
        <v>89</v>
      </c>
      <c r="E78" s="2"/>
      <c r="F78" s="10">
        <v>0</v>
      </c>
      <c r="G78" s="10">
        <v>0</v>
      </c>
      <c r="H78" s="50">
        <v>0</v>
      </c>
      <c r="I78" s="50">
        <v>0</v>
      </c>
      <c r="J78" s="50">
        <v>0</v>
      </c>
      <c r="K78" s="39" t="s">
        <v>30</v>
      </c>
      <c r="L78" s="11">
        <f t="shared" si="14"/>
        <v>0</v>
      </c>
      <c r="M78" s="10">
        <f t="shared" si="20"/>
        <v>0</v>
      </c>
      <c r="N78" s="10">
        <f t="shared" si="15"/>
        <v>0</v>
      </c>
      <c r="O78" s="10">
        <v>0</v>
      </c>
      <c r="P78" s="10">
        <f t="shared" si="16"/>
        <v>0</v>
      </c>
      <c r="Q78" s="17">
        <v>-1.3124999999999984</v>
      </c>
      <c r="R78" s="18">
        <f t="shared" si="17"/>
        <v>-1.3124999999999984</v>
      </c>
      <c r="S78" s="19">
        <f t="shared" si="18"/>
        <v>0</v>
      </c>
      <c r="T78" s="20">
        <f t="shared" si="19"/>
        <v>-1.3124999999999984</v>
      </c>
    </row>
    <row r="79" spans="1:22" ht="17.399999999999999">
      <c r="A79" s="9">
        <v>1</v>
      </c>
      <c r="B79" s="8">
        <v>237</v>
      </c>
      <c r="C79" s="8">
        <v>1331532576</v>
      </c>
      <c r="D79" s="42" t="s">
        <v>119</v>
      </c>
      <c r="F79" s="10">
        <v>0</v>
      </c>
      <c r="G79" s="10">
        <v>0</v>
      </c>
      <c r="H79" s="50">
        <v>0</v>
      </c>
      <c r="I79" s="50">
        <v>0</v>
      </c>
      <c r="J79" s="50">
        <v>0</v>
      </c>
      <c r="K79" s="39" t="s">
        <v>30</v>
      </c>
      <c r="L79" s="11">
        <f t="shared" si="14"/>
        <v>0</v>
      </c>
      <c r="M79" s="10">
        <f t="shared" si="20"/>
        <v>0</v>
      </c>
      <c r="N79" s="10">
        <f t="shared" si="15"/>
        <v>0</v>
      </c>
      <c r="O79" s="10">
        <v>0</v>
      </c>
      <c r="P79" s="10">
        <f t="shared" si="16"/>
        <v>0</v>
      </c>
      <c r="Q79" s="17">
        <v>-2.5499999999999998</v>
      </c>
      <c r="R79" s="18">
        <f t="shared" si="17"/>
        <v>-2.5499999999999998</v>
      </c>
      <c r="S79" s="19">
        <f t="shared" si="18"/>
        <v>0</v>
      </c>
      <c r="T79" s="20">
        <f t="shared" si="19"/>
        <v>-2.5499999999999998</v>
      </c>
    </row>
    <row r="80" spans="1:22" ht="17.399999999999999">
      <c r="A80" s="70">
        <v>1</v>
      </c>
      <c r="B80" s="8">
        <v>228</v>
      </c>
      <c r="C80" s="8">
        <v>1287481910</v>
      </c>
      <c r="D80" s="42" t="s">
        <v>109</v>
      </c>
      <c r="E80" s="42"/>
      <c r="F80" s="10">
        <v>0</v>
      </c>
      <c r="G80" s="10">
        <v>0</v>
      </c>
      <c r="H80" s="50">
        <v>0</v>
      </c>
      <c r="I80" s="50">
        <v>0</v>
      </c>
      <c r="J80" s="50">
        <v>0</v>
      </c>
      <c r="K80" s="39" t="s">
        <v>30</v>
      </c>
      <c r="L80" s="11">
        <f t="shared" si="14"/>
        <v>0</v>
      </c>
      <c r="M80" s="10">
        <f t="shared" si="20"/>
        <v>0</v>
      </c>
      <c r="N80" s="10">
        <f t="shared" si="15"/>
        <v>0</v>
      </c>
      <c r="O80" s="10">
        <v>0</v>
      </c>
      <c r="P80" s="10">
        <f t="shared" si="16"/>
        <v>0</v>
      </c>
      <c r="Q80" s="17">
        <v>-4.1499999999999995</v>
      </c>
      <c r="R80" s="18">
        <f t="shared" si="17"/>
        <v>-4.1499999999999995</v>
      </c>
      <c r="S80" s="19">
        <f t="shared" si="18"/>
        <v>0</v>
      </c>
      <c r="T80" s="20">
        <f t="shared" si="19"/>
        <v>-4.1499999999999995</v>
      </c>
    </row>
    <row r="81" spans="1:23" ht="17.399999999999999">
      <c r="A81" s="9">
        <v>1</v>
      </c>
      <c r="B81" s="8">
        <v>235</v>
      </c>
      <c r="C81" s="8">
        <v>988684940</v>
      </c>
      <c r="D81" s="42" t="s">
        <v>116</v>
      </c>
      <c r="F81" s="10">
        <v>0</v>
      </c>
      <c r="G81" s="10">
        <v>0</v>
      </c>
      <c r="H81" s="50">
        <v>0</v>
      </c>
      <c r="I81" s="50">
        <v>0</v>
      </c>
      <c r="J81" s="50">
        <v>0</v>
      </c>
      <c r="K81" s="39" t="s">
        <v>30</v>
      </c>
      <c r="L81" s="11">
        <f t="shared" si="14"/>
        <v>0</v>
      </c>
      <c r="M81" s="10">
        <f t="shared" si="20"/>
        <v>0</v>
      </c>
      <c r="N81" s="10">
        <f t="shared" si="15"/>
        <v>0</v>
      </c>
      <c r="O81" s="10">
        <v>0</v>
      </c>
      <c r="P81" s="10">
        <f t="shared" si="16"/>
        <v>0</v>
      </c>
      <c r="Q81" s="17">
        <v>-7.125</v>
      </c>
      <c r="R81" s="18">
        <f t="shared" si="17"/>
        <v>-7.125</v>
      </c>
      <c r="S81" s="19">
        <f t="shared" si="18"/>
        <v>0</v>
      </c>
      <c r="T81" s="20">
        <f t="shared" si="19"/>
        <v>-7.125</v>
      </c>
    </row>
    <row r="82" spans="1:23" ht="17.399999999999999">
      <c r="A82" s="70">
        <v>1</v>
      </c>
      <c r="B82" s="8">
        <v>141</v>
      </c>
      <c r="C82" s="8">
        <v>1190305158</v>
      </c>
      <c r="D82" s="42" t="s">
        <v>44</v>
      </c>
      <c r="E82" s="44"/>
      <c r="F82" s="10">
        <v>0</v>
      </c>
      <c r="G82" s="10">
        <v>0</v>
      </c>
      <c r="H82" s="50">
        <v>0</v>
      </c>
      <c r="I82" s="50">
        <v>0</v>
      </c>
      <c r="J82" s="50">
        <v>0</v>
      </c>
      <c r="K82" s="39" t="s">
        <v>30</v>
      </c>
      <c r="L82" s="11">
        <f t="shared" si="14"/>
        <v>0</v>
      </c>
      <c r="M82" s="10">
        <f t="shared" si="20"/>
        <v>0</v>
      </c>
      <c r="N82" s="10">
        <f t="shared" si="15"/>
        <v>0</v>
      </c>
      <c r="O82" s="10">
        <v>0</v>
      </c>
      <c r="P82" s="10">
        <f t="shared" si="16"/>
        <v>0</v>
      </c>
      <c r="Q82" s="17">
        <v>-7.8937500000000043</v>
      </c>
      <c r="R82" s="18">
        <f t="shared" si="17"/>
        <v>-7.8937500000000043</v>
      </c>
      <c r="S82" s="19">
        <f t="shared" si="18"/>
        <v>0</v>
      </c>
      <c r="T82" s="20">
        <f t="shared" si="19"/>
        <v>-7.8937500000000043</v>
      </c>
      <c r="U82" s="40"/>
      <c r="V82" s="40"/>
      <c r="W82" s="41"/>
    </row>
    <row r="83" spans="1:23" ht="17.399999999999999">
      <c r="A83" s="9">
        <v>1</v>
      </c>
      <c r="B83" s="8">
        <v>203</v>
      </c>
      <c r="C83" s="8">
        <v>382695365</v>
      </c>
      <c r="D83" s="42" t="s">
        <v>78</v>
      </c>
      <c r="E83" s="47"/>
      <c r="F83" s="10">
        <v>0</v>
      </c>
      <c r="G83" s="10">
        <v>0</v>
      </c>
      <c r="H83" s="50">
        <v>0</v>
      </c>
      <c r="I83" s="50">
        <v>0</v>
      </c>
      <c r="J83" s="50">
        <v>0</v>
      </c>
      <c r="K83" s="39" t="s">
        <v>30</v>
      </c>
      <c r="L83" s="11">
        <f t="shared" si="14"/>
        <v>0</v>
      </c>
      <c r="M83" s="10">
        <f t="shared" si="20"/>
        <v>0</v>
      </c>
      <c r="N83" s="10">
        <f t="shared" si="15"/>
        <v>0</v>
      </c>
      <c r="O83" s="10">
        <v>0</v>
      </c>
      <c r="P83" s="10">
        <f t="shared" si="16"/>
        <v>0</v>
      </c>
      <c r="Q83" s="17">
        <v>-16.90625</v>
      </c>
      <c r="R83" s="18">
        <f t="shared" si="17"/>
        <v>-16.90625</v>
      </c>
      <c r="S83" s="19">
        <f t="shared" si="18"/>
        <v>0</v>
      </c>
      <c r="T83" s="20">
        <f t="shared" si="19"/>
        <v>-16.90625</v>
      </c>
    </row>
  </sheetData>
  <autoFilter ref="A4:W75" xr:uid="{28593B8F-03E7-4BE1-B554-FC0AADC431B2}">
    <sortState xmlns:xlrd2="http://schemas.microsoft.com/office/spreadsheetml/2017/richdata2" ref="A5:W83">
      <sortCondition descending="1" ref="R4:R75"/>
    </sortState>
  </autoFilter>
  <mergeCells count="5">
    <mergeCell ref="B1:T1"/>
    <mergeCell ref="B2:T2"/>
    <mergeCell ref="B3:E3"/>
    <mergeCell ref="H3:J3"/>
    <mergeCell ref="K3:T3"/>
  </mergeCells>
  <conditionalFormatting sqref="O5:O82 F5:J82">
    <cfRule type="cellIs" dxfId="12" priority="3" operator="lessThan">
      <formula>1</formula>
    </cfRule>
  </conditionalFormatting>
  <conditionalFormatting sqref="F83:J83">
    <cfRule type="cellIs" dxfId="11" priority="2" operator="lessThan">
      <formula>1</formula>
    </cfRule>
  </conditionalFormatting>
  <conditionalFormatting sqref="O83">
    <cfRule type="cellIs" dxfId="1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DA14-A3CF-4C66-A152-5176724D92FE}">
  <sheetPr filterMode="1"/>
  <dimension ref="A1:AC83"/>
  <sheetViews>
    <sheetView zoomScale="70" zoomScaleNormal="70" workbookViewId="0">
      <selection activeCell="A3" sqref="A3"/>
    </sheetView>
  </sheetViews>
  <sheetFormatPr defaultColWidth="9" defaultRowHeight="14.4"/>
  <cols>
    <col min="1" max="1" width="6.44140625" customWidth="1"/>
    <col min="2" max="2" width="6.6640625" style="4" customWidth="1"/>
    <col min="3" max="3" width="19.77734375" style="5" customWidth="1"/>
    <col min="4" max="4" width="21.21875" style="5" customWidth="1"/>
    <col min="5" max="5" width="18.33203125" style="4" customWidth="1"/>
    <col min="6" max="6" width="13.109375" style="4" customWidth="1"/>
    <col min="7" max="7" width="13.77734375" style="4" customWidth="1"/>
    <col min="8" max="8" width="5.77734375" style="4" customWidth="1"/>
    <col min="9" max="9" width="5.88671875" style="4" customWidth="1"/>
    <col min="10" max="10" width="5.77734375" style="4" customWidth="1"/>
    <col min="11" max="11" width="20" style="4" customWidth="1"/>
    <col min="12" max="12" width="9" style="4" customWidth="1"/>
    <col min="13" max="13" width="12.109375" style="4" customWidth="1"/>
    <col min="14" max="14" width="11.33203125" style="4" customWidth="1"/>
    <col min="15" max="15" width="10" style="4" customWidth="1"/>
    <col min="16" max="16" width="9" style="4" customWidth="1"/>
    <col min="17" max="17" width="12.88671875" style="4" customWidth="1"/>
    <col min="18" max="18" width="12" style="4" customWidth="1"/>
    <col min="19" max="19" width="9.21875" style="4" customWidth="1"/>
    <col min="20" max="20" width="12.6640625" style="4" customWidth="1"/>
    <col min="21" max="23" width="11.109375" style="21" customWidth="1"/>
    <col min="24" max="24" width="22.44140625" customWidth="1"/>
  </cols>
  <sheetData>
    <row r="1" spans="1:29" ht="36.6" customHeight="1">
      <c r="B1" s="99" t="str">
        <f>CONCATENATE("157区 活动中心",Y15,"年",Y16,"月",Y17,"日","分包贡献明细"," 统计：一二三")</f>
        <v>157区 活动中心2021年12月4日分包贡献明细 统计：一二三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62"/>
      <c r="V1" s="62"/>
      <c r="W1" s="62"/>
      <c r="X1" s="22" t="s">
        <v>12</v>
      </c>
      <c r="Y1" s="5">
        <v>63</v>
      </c>
      <c r="Z1" s="3"/>
      <c r="AA1" s="3"/>
      <c r="AB1" s="3"/>
      <c r="AC1" s="3"/>
    </row>
    <row r="2" spans="1:29" ht="123" customHeight="1">
      <c r="B2" s="101" t="s">
        <v>126</v>
      </c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63"/>
      <c r="V2" s="63"/>
      <c r="W2" s="63"/>
      <c r="X2" s="23" t="s">
        <v>0</v>
      </c>
      <c r="Y2" s="24" t="s">
        <v>13</v>
      </c>
      <c r="Z2" s="25" t="s">
        <v>14</v>
      </c>
      <c r="AA2" s="25" t="s">
        <v>15</v>
      </c>
      <c r="AB2" s="25" t="s">
        <v>56</v>
      </c>
      <c r="AC2" s="26" t="s">
        <v>16</v>
      </c>
    </row>
    <row r="3" spans="1:29" ht="20.399999999999999">
      <c r="A3">
        <f>COUNTIF(K:K,"a跨服传说礼包")</f>
        <v>10</v>
      </c>
      <c r="B3" s="104" t="s">
        <v>20</v>
      </c>
      <c r="C3" s="104"/>
      <c r="D3" s="104"/>
      <c r="E3" s="104"/>
      <c r="F3" s="64" t="s">
        <v>17</v>
      </c>
      <c r="G3" s="65" t="s">
        <v>39</v>
      </c>
      <c r="H3" s="105" t="s">
        <v>99</v>
      </c>
      <c r="I3" s="105"/>
      <c r="J3" s="105"/>
      <c r="K3" s="106" t="s">
        <v>21</v>
      </c>
      <c r="L3" s="107"/>
      <c r="M3" s="107"/>
      <c r="N3" s="107"/>
      <c r="O3" s="107"/>
      <c r="P3" s="107"/>
      <c r="Q3" s="107"/>
      <c r="R3" s="107"/>
      <c r="S3" s="107"/>
      <c r="T3" s="108"/>
      <c r="U3" s="61"/>
      <c r="V3" s="61"/>
      <c r="W3" s="61"/>
      <c r="X3" s="27" t="s">
        <v>22</v>
      </c>
      <c r="Y3" s="28">
        <f>AC3/$Y$13</f>
        <v>11.875</v>
      </c>
      <c r="Z3" s="23">
        <v>5</v>
      </c>
      <c r="AA3" s="23">
        <v>7</v>
      </c>
      <c r="AB3" s="23">
        <v>20</v>
      </c>
      <c r="AC3" s="23">
        <v>1900</v>
      </c>
    </row>
    <row r="4" spans="1:29" ht="40.799999999999997">
      <c r="A4" s="84" t="s">
        <v>117</v>
      </c>
      <c r="B4" s="84" t="s">
        <v>2</v>
      </c>
      <c r="C4" s="60" t="s">
        <v>23</v>
      </c>
      <c r="D4" s="84" t="s">
        <v>3</v>
      </c>
      <c r="E4" s="84" t="s">
        <v>4</v>
      </c>
      <c r="F4" s="6" t="s">
        <v>40</v>
      </c>
      <c r="G4" s="7" t="s">
        <v>91</v>
      </c>
      <c r="H4" s="7" t="s">
        <v>100</v>
      </c>
      <c r="I4" s="7" t="s">
        <v>101</v>
      </c>
      <c r="J4" s="7" t="s">
        <v>102</v>
      </c>
      <c r="K4" s="6" t="s">
        <v>5</v>
      </c>
      <c r="L4" s="6" t="s">
        <v>24</v>
      </c>
      <c r="M4" s="7" t="s">
        <v>41</v>
      </c>
      <c r="N4" s="7" t="s">
        <v>104</v>
      </c>
      <c r="O4" s="7" t="s">
        <v>45</v>
      </c>
      <c r="P4" s="15" t="s">
        <v>25</v>
      </c>
      <c r="Q4" s="60" t="s">
        <v>26</v>
      </c>
      <c r="R4" s="16" t="s">
        <v>7</v>
      </c>
      <c r="S4" s="60" t="s">
        <v>6</v>
      </c>
      <c r="T4" s="60" t="s">
        <v>27</v>
      </c>
      <c r="U4" s="60" t="s">
        <v>18</v>
      </c>
      <c r="V4" s="60" t="s">
        <v>19</v>
      </c>
      <c r="W4" s="60" t="s">
        <v>1</v>
      </c>
      <c r="X4" s="29" t="s">
        <v>28</v>
      </c>
      <c r="Y4" s="28">
        <f>AC4/$Y$13</f>
        <v>9.6875</v>
      </c>
      <c r="Z4" s="23">
        <v>4</v>
      </c>
      <c r="AA4" s="23">
        <v>6</v>
      </c>
      <c r="AB4" s="23">
        <v>15</v>
      </c>
      <c r="AC4" s="23">
        <v>1550</v>
      </c>
    </row>
    <row r="5" spans="1:29" s="1" customFormat="1" ht="20.399999999999999">
      <c r="A5" s="9">
        <v>1</v>
      </c>
      <c r="B5" s="9">
        <v>49</v>
      </c>
      <c r="C5" s="8">
        <v>311361673</v>
      </c>
      <c r="D5" s="43" t="s">
        <v>105</v>
      </c>
      <c r="E5" s="49" t="s">
        <v>11</v>
      </c>
      <c r="F5" s="10">
        <v>4</v>
      </c>
      <c r="G5" s="10">
        <v>1</v>
      </c>
      <c r="H5" s="50">
        <v>0</v>
      </c>
      <c r="I5" s="50">
        <v>1</v>
      </c>
      <c r="J5" s="50">
        <v>1</v>
      </c>
      <c r="K5" s="27" t="s">
        <v>22</v>
      </c>
      <c r="L5" s="11">
        <f t="shared" ref="L5:L36" si="0">F5+IF(F5&gt;2,(F5-2)*1,0)</f>
        <v>6</v>
      </c>
      <c r="M5" s="10">
        <f>IF(G5&gt;0,1,0)*$Y$14</f>
        <v>1.2</v>
      </c>
      <c r="N5" s="10">
        <f t="shared" ref="N5:N36" si="1">SUM(H5:J5)*$Y$18</f>
        <v>0.8</v>
      </c>
      <c r="O5" s="10">
        <v>0</v>
      </c>
      <c r="P5" s="10">
        <f t="shared" ref="P5:P36" si="2">SUM(M5+L5+O5+N5)</f>
        <v>8</v>
      </c>
      <c r="Q5" s="17">
        <v>14.493749999999991</v>
      </c>
      <c r="R5" s="18">
        <f t="shared" ref="R5:R36" si="3">P5+Q5</f>
        <v>22.493749999999991</v>
      </c>
      <c r="S5" s="19">
        <f t="shared" ref="S5:S36" si="4">VLOOKUP(K5,$X$3:$Y$10,2,FALSE)</f>
        <v>11.875</v>
      </c>
      <c r="T5" s="20">
        <f t="shared" ref="T5:T36" si="5">R5-S5</f>
        <v>10.618749999999991</v>
      </c>
      <c r="U5" s="11"/>
      <c r="V5" s="11"/>
      <c r="W5" s="11"/>
      <c r="X5" s="14" t="s">
        <v>29</v>
      </c>
      <c r="Y5" s="28">
        <f>AC5/$Y$13/4</f>
        <v>1.875</v>
      </c>
      <c r="Z5" s="30">
        <v>3</v>
      </c>
      <c r="AA5" s="30">
        <v>5</v>
      </c>
      <c r="AB5" s="30">
        <v>10</v>
      </c>
      <c r="AC5" s="30">
        <v>1200</v>
      </c>
    </row>
    <row r="6" spans="1:29" s="1" customFormat="1" ht="20.399999999999999" hidden="1">
      <c r="A6" s="9">
        <v>0</v>
      </c>
      <c r="B6" s="8">
        <v>229</v>
      </c>
      <c r="C6" s="8">
        <v>1598972736</v>
      </c>
      <c r="D6" s="42" t="s">
        <v>110</v>
      </c>
      <c r="E6" s="42"/>
      <c r="F6" s="10">
        <v>0</v>
      </c>
      <c r="G6" s="10">
        <v>0</v>
      </c>
      <c r="H6" s="50">
        <v>0</v>
      </c>
      <c r="I6" s="50">
        <v>0</v>
      </c>
      <c r="J6" s="50">
        <v>0</v>
      </c>
      <c r="K6" s="39" t="s">
        <v>30</v>
      </c>
      <c r="L6" s="11">
        <f t="shared" si="0"/>
        <v>0</v>
      </c>
      <c r="M6" s="10">
        <f t="shared" ref="M6:M37" si="6">G6*$Y$14</f>
        <v>0</v>
      </c>
      <c r="N6" s="10">
        <f t="shared" si="1"/>
        <v>0</v>
      </c>
      <c r="O6" s="10">
        <v>0</v>
      </c>
      <c r="P6" s="10">
        <f t="shared" si="2"/>
        <v>0</v>
      </c>
      <c r="Q6" s="17">
        <v>21.197089552238797</v>
      </c>
      <c r="R6" s="18">
        <f t="shared" si="3"/>
        <v>21.197089552238797</v>
      </c>
      <c r="S6" s="19">
        <f t="shared" si="4"/>
        <v>0</v>
      </c>
      <c r="T6" s="20">
        <f t="shared" si="5"/>
        <v>21.197089552238797</v>
      </c>
      <c r="U6" s="4"/>
      <c r="V6" s="4"/>
      <c r="W6" s="4"/>
      <c r="X6" s="14"/>
      <c r="Y6" s="28"/>
      <c r="Z6" s="30"/>
      <c r="AA6" s="30"/>
      <c r="AB6" s="30"/>
      <c r="AC6" s="30"/>
    </row>
    <row r="7" spans="1:29" s="1" customFormat="1" ht="17.399999999999999">
      <c r="A7" s="9">
        <v>1</v>
      </c>
      <c r="B7" s="8">
        <v>128</v>
      </c>
      <c r="C7" s="8">
        <v>1214614935</v>
      </c>
      <c r="D7" s="42" t="s">
        <v>62</v>
      </c>
      <c r="E7" s="49" t="s">
        <v>43</v>
      </c>
      <c r="F7" s="10">
        <v>4</v>
      </c>
      <c r="G7" s="10">
        <v>1</v>
      </c>
      <c r="H7" s="50">
        <v>0</v>
      </c>
      <c r="I7" s="50">
        <v>1</v>
      </c>
      <c r="J7" s="50">
        <v>1</v>
      </c>
      <c r="K7" s="27" t="s">
        <v>22</v>
      </c>
      <c r="L7" s="11">
        <f t="shared" si="0"/>
        <v>6</v>
      </c>
      <c r="M7" s="10">
        <f t="shared" si="6"/>
        <v>1.2</v>
      </c>
      <c r="N7" s="10">
        <f t="shared" si="1"/>
        <v>0.8</v>
      </c>
      <c r="O7" s="10">
        <v>0</v>
      </c>
      <c r="P7" s="10">
        <f t="shared" si="2"/>
        <v>8</v>
      </c>
      <c r="Q7" s="17">
        <v>14.086999999999989</v>
      </c>
      <c r="R7" s="18">
        <f t="shared" si="3"/>
        <v>22.086999999999989</v>
      </c>
      <c r="S7" s="19">
        <f t="shared" si="4"/>
        <v>11.875</v>
      </c>
      <c r="T7" s="20">
        <f t="shared" si="5"/>
        <v>10.211999999999989</v>
      </c>
      <c r="U7" s="11"/>
      <c r="V7" s="11"/>
      <c r="W7" s="31"/>
      <c r="X7" s="12" t="s">
        <v>51</v>
      </c>
      <c r="Y7" s="28">
        <f>AC7/$Y$13</f>
        <v>8.125</v>
      </c>
      <c r="Z7" s="30">
        <v>4</v>
      </c>
      <c r="AA7" s="30">
        <v>5</v>
      </c>
      <c r="AB7" s="30"/>
      <c r="AC7" s="30">
        <v>1300</v>
      </c>
    </row>
    <row r="8" spans="1:29" s="1" customFormat="1" ht="17.399999999999999">
      <c r="A8" s="9">
        <v>1</v>
      </c>
      <c r="B8" s="8">
        <v>248</v>
      </c>
      <c r="C8" s="8">
        <v>1886132205</v>
      </c>
      <c r="D8" s="42" t="s">
        <v>159</v>
      </c>
      <c r="E8" s="42" t="s">
        <v>143</v>
      </c>
      <c r="F8" s="10">
        <v>4</v>
      </c>
      <c r="G8" s="10">
        <v>1</v>
      </c>
      <c r="H8" s="50">
        <v>0</v>
      </c>
      <c r="I8" s="50">
        <v>1</v>
      </c>
      <c r="J8" s="50">
        <v>1</v>
      </c>
      <c r="K8" s="27" t="s">
        <v>22</v>
      </c>
      <c r="L8" s="11">
        <f t="shared" si="0"/>
        <v>6</v>
      </c>
      <c r="M8" s="10">
        <f t="shared" si="6"/>
        <v>1.2</v>
      </c>
      <c r="N8" s="10">
        <f t="shared" si="1"/>
        <v>0.8</v>
      </c>
      <c r="O8" s="10">
        <v>0</v>
      </c>
      <c r="P8" s="10">
        <f t="shared" si="2"/>
        <v>8</v>
      </c>
      <c r="Q8" s="17">
        <v>14.078769230769222</v>
      </c>
      <c r="R8" s="18">
        <f t="shared" si="3"/>
        <v>22.078769230769222</v>
      </c>
      <c r="S8" s="19">
        <f t="shared" si="4"/>
        <v>11.875</v>
      </c>
      <c r="T8" s="20">
        <f t="shared" si="5"/>
        <v>10.203769230769222</v>
      </c>
      <c r="U8" s="4"/>
      <c r="V8" s="4"/>
      <c r="W8" s="4"/>
      <c r="X8" s="13" t="s">
        <v>52</v>
      </c>
      <c r="Y8" s="28">
        <f>AC8/$Y$13</f>
        <v>6.25</v>
      </c>
      <c r="Z8" s="30">
        <v>3</v>
      </c>
      <c r="AA8" s="30">
        <v>4</v>
      </c>
      <c r="AB8" s="30"/>
      <c r="AC8" s="30">
        <v>1000</v>
      </c>
    </row>
    <row r="9" spans="1:29" s="1" customFormat="1" ht="20.399999999999999">
      <c r="A9" s="9">
        <v>1</v>
      </c>
      <c r="B9" s="8">
        <v>221</v>
      </c>
      <c r="C9" s="8">
        <v>790956883</v>
      </c>
      <c r="D9" s="42" t="s">
        <v>96</v>
      </c>
      <c r="E9" s="42" t="s">
        <v>95</v>
      </c>
      <c r="F9" s="10">
        <v>4</v>
      </c>
      <c r="G9" s="10">
        <v>1</v>
      </c>
      <c r="H9" s="50">
        <v>0</v>
      </c>
      <c r="I9" s="50">
        <v>0</v>
      </c>
      <c r="J9" s="50">
        <v>0</v>
      </c>
      <c r="K9" s="27" t="s">
        <v>22</v>
      </c>
      <c r="L9" s="11">
        <f t="shared" si="0"/>
        <v>6</v>
      </c>
      <c r="M9" s="10">
        <f t="shared" si="6"/>
        <v>1.2</v>
      </c>
      <c r="N9" s="10">
        <f t="shared" si="1"/>
        <v>0</v>
      </c>
      <c r="O9" s="10">
        <v>0</v>
      </c>
      <c r="P9" s="10">
        <f t="shared" si="2"/>
        <v>7.2</v>
      </c>
      <c r="Q9" s="17">
        <v>14.843749999999989</v>
      </c>
      <c r="R9" s="18">
        <f t="shared" si="3"/>
        <v>22.043749999999989</v>
      </c>
      <c r="S9" s="19">
        <f t="shared" si="4"/>
        <v>11.875</v>
      </c>
      <c r="T9" s="20">
        <f t="shared" si="5"/>
        <v>10.168749999999989</v>
      </c>
      <c r="U9" s="4"/>
      <c r="V9" s="4"/>
      <c r="W9" s="4"/>
      <c r="X9" s="14" t="s">
        <v>53</v>
      </c>
      <c r="Y9" s="28">
        <f>AC9/$Y$13/4</f>
        <v>1.09375</v>
      </c>
      <c r="Z9" s="30">
        <v>2</v>
      </c>
      <c r="AA9" s="30">
        <v>3</v>
      </c>
      <c r="AB9" s="30"/>
      <c r="AC9" s="30">
        <v>700</v>
      </c>
    </row>
    <row r="10" spans="1:29" s="1" customFormat="1" ht="17.399999999999999" hidden="1">
      <c r="A10" s="9">
        <v>0</v>
      </c>
      <c r="B10" s="8">
        <v>187</v>
      </c>
      <c r="C10" s="8">
        <v>1241038267</v>
      </c>
      <c r="D10" s="42" t="s">
        <v>69</v>
      </c>
      <c r="E10" s="47"/>
      <c r="F10" s="10">
        <v>0</v>
      </c>
      <c r="G10" s="10">
        <v>0</v>
      </c>
      <c r="H10" s="50">
        <v>0</v>
      </c>
      <c r="I10" s="50">
        <v>0</v>
      </c>
      <c r="J10" s="50">
        <v>0</v>
      </c>
      <c r="K10" s="39" t="s">
        <v>30</v>
      </c>
      <c r="L10" s="11">
        <f t="shared" si="0"/>
        <v>0</v>
      </c>
      <c r="M10" s="10">
        <f t="shared" si="6"/>
        <v>0</v>
      </c>
      <c r="N10" s="10">
        <f t="shared" si="1"/>
        <v>0</v>
      </c>
      <c r="O10" s="10">
        <v>0</v>
      </c>
      <c r="P10" s="10">
        <f t="shared" si="2"/>
        <v>0</v>
      </c>
      <c r="Q10" s="17">
        <v>16.318749999999987</v>
      </c>
      <c r="R10" s="18">
        <f t="shared" si="3"/>
        <v>16.318749999999987</v>
      </c>
      <c r="S10" s="19">
        <f t="shared" si="4"/>
        <v>0</v>
      </c>
      <c r="T10" s="20">
        <f t="shared" si="5"/>
        <v>16.318749999999987</v>
      </c>
      <c r="U10" s="4"/>
      <c r="V10" s="4"/>
      <c r="W10" s="4"/>
      <c r="X10" s="33" t="s">
        <v>30</v>
      </c>
      <c r="Y10" s="2">
        <v>0</v>
      </c>
      <c r="Z10" s="2"/>
      <c r="AA10" s="2"/>
      <c r="AB10" s="2"/>
      <c r="AC10" s="2"/>
    </row>
    <row r="11" spans="1:29" s="1" customFormat="1" ht="17.399999999999999">
      <c r="A11" s="9">
        <v>1</v>
      </c>
      <c r="B11" s="8">
        <v>247</v>
      </c>
      <c r="C11" s="8">
        <v>520310894</v>
      </c>
      <c r="D11" s="42" t="s">
        <v>142</v>
      </c>
      <c r="E11" s="4"/>
      <c r="F11" s="10">
        <v>4</v>
      </c>
      <c r="G11" s="10">
        <v>1</v>
      </c>
      <c r="H11" s="50">
        <v>0</v>
      </c>
      <c r="I11" s="50">
        <v>1</v>
      </c>
      <c r="J11" s="50">
        <v>1</v>
      </c>
      <c r="K11" s="27" t="s">
        <v>22</v>
      </c>
      <c r="L11" s="11">
        <f t="shared" si="0"/>
        <v>6</v>
      </c>
      <c r="M11" s="10">
        <f t="shared" si="6"/>
        <v>1.2</v>
      </c>
      <c r="N11" s="10">
        <f t="shared" si="1"/>
        <v>0.8</v>
      </c>
      <c r="O11" s="10">
        <v>0</v>
      </c>
      <c r="P11" s="10">
        <f t="shared" si="2"/>
        <v>8</v>
      </c>
      <c r="Q11" s="17">
        <v>14.021153846153847</v>
      </c>
      <c r="R11" s="18">
        <f t="shared" si="3"/>
        <v>22.021153846153847</v>
      </c>
      <c r="S11" s="19">
        <f t="shared" si="4"/>
        <v>11.875</v>
      </c>
      <c r="T11" s="20">
        <f t="shared" si="5"/>
        <v>10.146153846153847</v>
      </c>
      <c r="U11" s="4"/>
      <c r="V11" s="4"/>
      <c r="W11" s="4"/>
      <c r="X11" s="34"/>
    </row>
    <row r="12" spans="1:29" s="1" customFormat="1" ht="17.399999999999999">
      <c r="A12" s="9">
        <v>1</v>
      </c>
      <c r="B12" s="8">
        <v>244</v>
      </c>
      <c r="C12" s="8">
        <v>573211380</v>
      </c>
      <c r="D12" s="42" t="s">
        <v>139</v>
      </c>
      <c r="E12" s="4"/>
      <c r="F12" s="10">
        <v>4</v>
      </c>
      <c r="G12" s="10">
        <v>1</v>
      </c>
      <c r="H12" s="50">
        <v>0</v>
      </c>
      <c r="I12" s="50">
        <v>0</v>
      </c>
      <c r="J12" s="50">
        <v>0</v>
      </c>
      <c r="K12" s="27" t="s">
        <v>22</v>
      </c>
      <c r="L12" s="11">
        <f t="shared" si="0"/>
        <v>6</v>
      </c>
      <c r="M12" s="10">
        <f t="shared" si="6"/>
        <v>1.2</v>
      </c>
      <c r="N12" s="10">
        <f t="shared" si="1"/>
        <v>0</v>
      </c>
      <c r="O12" s="10">
        <v>0</v>
      </c>
      <c r="P12" s="10">
        <f t="shared" si="2"/>
        <v>7.2</v>
      </c>
      <c r="Q12" s="17">
        <v>14.79759615384615</v>
      </c>
      <c r="R12" s="18">
        <f t="shared" si="3"/>
        <v>21.99759615384615</v>
      </c>
      <c r="S12" s="19">
        <f t="shared" si="4"/>
        <v>11.875</v>
      </c>
      <c r="T12" s="20">
        <f t="shared" si="5"/>
        <v>10.12259615384615</v>
      </c>
      <c r="U12" s="4"/>
      <c r="V12" s="4"/>
      <c r="W12" s="4"/>
      <c r="X12" s="35" t="s">
        <v>32</v>
      </c>
      <c r="Y12" s="1">
        <v>15000</v>
      </c>
    </row>
    <row r="13" spans="1:29" s="2" customFormat="1" ht="17.399999999999999">
      <c r="A13" s="9">
        <v>1</v>
      </c>
      <c r="B13" s="8">
        <v>172</v>
      </c>
      <c r="C13" s="8">
        <v>724061220</v>
      </c>
      <c r="D13" s="42" t="s">
        <v>65</v>
      </c>
      <c r="E13" s="42" t="s">
        <v>50</v>
      </c>
      <c r="F13" s="10">
        <v>4</v>
      </c>
      <c r="G13" s="10">
        <v>1</v>
      </c>
      <c r="H13" s="50">
        <v>0</v>
      </c>
      <c r="I13" s="50">
        <v>0</v>
      </c>
      <c r="J13" s="50">
        <v>0</v>
      </c>
      <c r="K13" s="27" t="s">
        <v>22</v>
      </c>
      <c r="L13" s="11">
        <f t="shared" si="0"/>
        <v>6</v>
      </c>
      <c r="M13" s="10">
        <f t="shared" si="6"/>
        <v>1.2</v>
      </c>
      <c r="N13" s="10">
        <f t="shared" si="1"/>
        <v>0</v>
      </c>
      <c r="O13" s="10">
        <v>0</v>
      </c>
      <c r="P13" s="10">
        <f t="shared" si="2"/>
        <v>7.2</v>
      </c>
      <c r="Q13" s="17">
        <v>14.793749999999996</v>
      </c>
      <c r="R13" s="18">
        <f t="shared" si="3"/>
        <v>21.993749999999995</v>
      </c>
      <c r="S13" s="19">
        <f t="shared" si="4"/>
        <v>11.875</v>
      </c>
      <c r="T13" s="20">
        <f t="shared" si="5"/>
        <v>10.118749999999995</v>
      </c>
      <c r="U13" s="4"/>
      <c r="V13" s="4"/>
      <c r="W13" s="4"/>
      <c r="X13" s="36" t="s">
        <v>33</v>
      </c>
      <c r="Y13" s="37">
        <v>160</v>
      </c>
      <c r="Z13" s="1"/>
      <c r="AA13" s="1"/>
      <c r="AB13" s="1"/>
      <c r="AC13" s="1"/>
    </row>
    <row r="14" spans="1:29" s="2" customFormat="1" ht="17.399999999999999">
      <c r="A14" s="9">
        <v>1</v>
      </c>
      <c r="B14" s="8">
        <v>110</v>
      </c>
      <c r="C14" s="8">
        <v>1968703358</v>
      </c>
      <c r="D14" s="42" t="s">
        <v>60</v>
      </c>
      <c r="E14" s="42" t="s">
        <v>38</v>
      </c>
      <c r="F14" s="10">
        <v>4</v>
      </c>
      <c r="G14" s="10">
        <v>1</v>
      </c>
      <c r="H14" s="50">
        <v>0</v>
      </c>
      <c r="I14" s="50">
        <v>0</v>
      </c>
      <c r="J14" s="50">
        <v>1</v>
      </c>
      <c r="K14" s="27" t="s">
        <v>22</v>
      </c>
      <c r="L14" s="11">
        <f t="shared" si="0"/>
        <v>6</v>
      </c>
      <c r="M14" s="10">
        <f t="shared" si="6"/>
        <v>1.2</v>
      </c>
      <c r="N14" s="10">
        <f t="shared" si="1"/>
        <v>0.4</v>
      </c>
      <c r="O14" s="10">
        <v>0</v>
      </c>
      <c r="P14" s="10">
        <f t="shared" si="2"/>
        <v>7.6000000000000005</v>
      </c>
      <c r="Q14" s="17">
        <v>13.212500000000013</v>
      </c>
      <c r="R14" s="18">
        <f t="shared" si="3"/>
        <v>20.812500000000014</v>
      </c>
      <c r="S14" s="19">
        <f t="shared" si="4"/>
        <v>11.875</v>
      </c>
      <c r="T14" s="20">
        <f t="shared" si="5"/>
        <v>8.9375000000000142</v>
      </c>
      <c r="U14" s="11"/>
      <c r="V14" s="11"/>
      <c r="W14" s="17"/>
      <c r="X14" s="38" t="s">
        <v>42</v>
      </c>
      <c r="Y14" s="37">
        <v>1.2</v>
      </c>
      <c r="Z14" s="1"/>
      <c r="AA14" s="1"/>
      <c r="AB14" s="1"/>
      <c r="AC14" s="1"/>
    </row>
    <row r="15" spans="1:29" s="2" customFormat="1" ht="17.399999999999999">
      <c r="A15" s="9">
        <v>1</v>
      </c>
      <c r="B15" s="8">
        <v>202</v>
      </c>
      <c r="C15" s="8">
        <v>471245585</v>
      </c>
      <c r="D15" s="42" t="s">
        <v>77</v>
      </c>
      <c r="E15" s="47"/>
      <c r="F15" s="10">
        <v>4</v>
      </c>
      <c r="G15" s="10">
        <v>1</v>
      </c>
      <c r="H15" s="50">
        <v>0</v>
      </c>
      <c r="I15" s="50">
        <v>0</v>
      </c>
      <c r="J15" s="50">
        <v>0</v>
      </c>
      <c r="K15" s="27" t="s">
        <v>22</v>
      </c>
      <c r="L15" s="11">
        <f t="shared" si="0"/>
        <v>6</v>
      </c>
      <c r="M15" s="10">
        <f t="shared" si="6"/>
        <v>1.2</v>
      </c>
      <c r="N15" s="10">
        <f t="shared" si="1"/>
        <v>0</v>
      </c>
      <c r="O15" s="10">
        <v>0</v>
      </c>
      <c r="P15" s="10">
        <f t="shared" si="2"/>
        <v>7.2</v>
      </c>
      <c r="Q15" s="17">
        <v>13.449999999999985</v>
      </c>
      <c r="R15" s="18">
        <f t="shared" si="3"/>
        <v>20.649999999999984</v>
      </c>
      <c r="S15" s="19">
        <f t="shared" si="4"/>
        <v>11.875</v>
      </c>
      <c r="T15" s="20">
        <f t="shared" si="5"/>
        <v>8.7749999999999844</v>
      </c>
      <c r="U15" s="4"/>
      <c r="V15" s="4"/>
      <c r="W15" s="4"/>
      <c r="X15" s="1" t="s">
        <v>34</v>
      </c>
      <c r="Y15" s="37">
        <v>2021</v>
      </c>
      <c r="Z15" s="1"/>
      <c r="AA15" s="1"/>
      <c r="AB15" s="1"/>
      <c r="AC15" s="1"/>
    </row>
    <row r="16" spans="1:29" s="2" customFormat="1" ht="17.399999999999999">
      <c r="A16" s="9">
        <v>1</v>
      </c>
      <c r="B16" s="8">
        <v>254</v>
      </c>
      <c r="C16" s="8">
        <v>674501489</v>
      </c>
      <c r="D16" s="83" t="s">
        <v>154</v>
      </c>
      <c r="E16" s="4"/>
      <c r="F16" s="10">
        <v>4</v>
      </c>
      <c r="G16" s="10">
        <v>0</v>
      </c>
      <c r="H16" s="50">
        <v>0</v>
      </c>
      <c r="I16" s="50">
        <v>0</v>
      </c>
      <c r="J16" s="50">
        <v>0</v>
      </c>
      <c r="K16" s="27" t="s">
        <v>22</v>
      </c>
      <c r="L16" s="11">
        <f t="shared" si="0"/>
        <v>6</v>
      </c>
      <c r="M16" s="10">
        <f t="shared" si="6"/>
        <v>0</v>
      </c>
      <c r="N16" s="10">
        <f t="shared" si="1"/>
        <v>0</v>
      </c>
      <c r="O16" s="10">
        <v>0</v>
      </c>
      <c r="P16" s="10">
        <f t="shared" si="2"/>
        <v>6</v>
      </c>
      <c r="Q16" s="17">
        <v>14.044931623931621</v>
      </c>
      <c r="R16" s="18">
        <f t="shared" si="3"/>
        <v>20.044931623931621</v>
      </c>
      <c r="S16" s="19">
        <f t="shared" si="4"/>
        <v>11.875</v>
      </c>
      <c r="T16" s="20">
        <f t="shared" si="5"/>
        <v>8.1699316239316211</v>
      </c>
      <c r="V16" s="4"/>
      <c r="W16" s="4"/>
      <c r="X16" s="1" t="s">
        <v>35</v>
      </c>
      <c r="Y16" s="37">
        <v>12</v>
      </c>
      <c r="Z16" s="1"/>
      <c r="AA16" s="1"/>
      <c r="AB16" s="1"/>
      <c r="AC16" s="1"/>
    </row>
    <row r="17" spans="1:29" s="2" customFormat="1" ht="17.399999999999999">
      <c r="A17" s="9">
        <v>1</v>
      </c>
      <c r="B17" s="8">
        <v>245</v>
      </c>
      <c r="C17" s="8">
        <v>603472651</v>
      </c>
      <c r="D17" s="42" t="s">
        <v>140</v>
      </c>
      <c r="E17" s="4"/>
      <c r="F17" s="10">
        <v>3</v>
      </c>
      <c r="G17" s="10">
        <v>1</v>
      </c>
      <c r="H17" s="50">
        <v>0</v>
      </c>
      <c r="I17" s="50">
        <v>0</v>
      </c>
      <c r="J17" s="50">
        <v>0</v>
      </c>
      <c r="K17" s="29" t="s">
        <v>28</v>
      </c>
      <c r="L17" s="11">
        <f t="shared" si="0"/>
        <v>4</v>
      </c>
      <c r="M17" s="10">
        <f t="shared" si="6"/>
        <v>1.2</v>
      </c>
      <c r="N17" s="10">
        <f t="shared" si="1"/>
        <v>0</v>
      </c>
      <c r="O17" s="10">
        <v>0</v>
      </c>
      <c r="P17" s="10">
        <f t="shared" si="2"/>
        <v>5.2</v>
      </c>
      <c r="Q17" s="17">
        <v>13.48461538461537</v>
      </c>
      <c r="R17" s="18">
        <f t="shared" si="3"/>
        <v>18.68461538461537</v>
      </c>
      <c r="S17" s="19">
        <f t="shared" si="4"/>
        <v>9.6875</v>
      </c>
      <c r="T17" s="20">
        <f t="shared" si="5"/>
        <v>8.9971153846153697</v>
      </c>
      <c r="U17" s="4"/>
      <c r="V17" s="4"/>
      <c r="W17" s="4"/>
      <c r="X17" s="1" t="s">
        <v>36</v>
      </c>
      <c r="Y17" s="37">
        <v>4</v>
      </c>
      <c r="Z17" s="1"/>
      <c r="AA17" s="1"/>
      <c r="AB17" s="1"/>
      <c r="AC17" s="1"/>
    </row>
    <row r="18" spans="1:29" s="2" customFormat="1" ht="17.399999999999999">
      <c r="A18" s="9">
        <v>1</v>
      </c>
      <c r="B18" s="8">
        <v>208</v>
      </c>
      <c r="C18" s="8">
        <v>92129464</v>
      </c>
      <c r="D18" s="42" t="s">
        <v>148</v>
      </c>
      <c r="E18" s="42" t="s">
        <v>82</v>
      </c>
      <c r="F18" s="10">
        <v>4</v>
      </c>
      <c r="G18" s="10">
        <v>1</v>
      </c>
      <c r="H18" s="50">
        <v>0</v>
      </c>
      <c r="I18" s="50">
        <v>0</v>
      </c>
      <c r="J18" s="50">
        <v>0</v>
      </c>
      <c r="K18" s="29" t="s">
        <v>28</v>
      </c>
      <c r="L18" s="11">
        <f t="shared" si="0"/>
        <v>6</v>
      </c>
      <c r="M18" s="10">
        <f t="shared" si="6"/>
        <v>1.2</v>
      </c>
      <c r="N18" s="10">
        <f t="shared" si="1"/>
        <v>0</v>
      </c>
      <c r="O18" s="10">
        <v>0</v>
      </c>
      <c r="P18" s="10">
        <f t="shared" si="2"/>
        <v>7.2</v>
      </c>
      <c r="Q18" s="17">
        <v>11.012499999999992</v>
      </c>
      <c r="R18" s="18">
        <f t="shared" si="3"/>
        <v>18.212499999999991</v>
      </c>
      <c r="S18" s="19">
        <f t="shared" si="4"/>
        <v>9.6875</v>
      </c>
      <c r="T18" s="20">
        <f t="shared" si="5"/>
        <v>8.5249999999999915</v>
      </c>
      <c r="U18" s="4"/>
      <c r="V18" s="4"/>
      <c r="W18" s="4"/>
      <c r="X18" s="51" t="s">
        <v>103</v>
      </c>
      <c r="Y18" s="37">
        <v>0.4</v>
      </c>
      <c r="Z18" s="1"/>
      <c r="AA18" s="1"/>
      <c r="AB18" s="1"/>
      <c r="AC18" s="1"/>
    </row>
    <row r="19" spans="1:29" s="2" customFormat="1" ht="17.399999999999999">
      <c r="A19" s="9">
        <v>1</v>
      </c>
      <c r="B19" s="8">
        <v>236</v>
      </c>
      <c r="C19" s="8">
        <v>1968448898</v>
      </c>
      <c r="D19" s="42" t="s">
        <v>118</v>
      </c>
      <c r="E19" s="4"/>
      <c r="F19" s="10">
        <v>3</v>
      </c>
      <c r="G19" s="10">
        <v>1</v>
      </c>
      <c r="H19" s="50">
        <v>0</v>
      </c>
      <c r="I19" s="50">
        <v>0</v>
      </c>
      <c r="J19" s="50">
        <v>0</v>
      </c>
      <c r="K19" s="29" t="s">
        <v>28</v>
      </c>
      <c r="L19" s="11">
        <f t="shared" si="0"/>
        <v>4</v>
      </c>
      <c r="M19" s="10">
        <f t="shared" si="6"/>
        <v>1.2</v>
      </c>
      <c r="N19" s="10">
        <f t="shared" si="1"/>
        <v>0</v>
      </c>
      <c r="O19" s="10">
        <v>0</v>
      </c>
      <c r="P19" s="10">
        <f t="shared" si="2"/>
        <v>5.2</v>
      </c>
      <c r="Q19" s="17">
        <v>12.981249999999985</v>
      </c>
      <c r="R19" s="18">
        <f t="shared" si="3"/>
        <v>18.181249999999984</v>
      </c>
      <c r="S19" s="19">
        <f t="shared" si="4"/>
        <v>9.6875</v>
      </c>
      <c r="T19" s="20">
        <f t="shared" si="5"/>
        <v>8.4937499999999844</v>
      </c>
      <c r="U19" s="4"/>
      <c r="V19" s="4"/>
      <c r="W19" s="4"/>
      <c r="X19" s="1"/>
      <c r="Y19" s="1"/>
      <c r="Z19" s="1"/>
      <c r="AA19" s="1"/>
      <c r="AB19" s="1"/>
      <c r="AC19" s="1"/>
    </row>
    <row r="20" spans="1:29" s="2" customFormat="1" ht="17.399999999999999">
      <c r="A20" s="9">
        <v>1</v>
      </c>
      <c r="B20" s="8">
        <v>212</v>
      </c>
      <c r="C20" s="8">
        <v>2133045883</v>
      </c>
      <c r="D20" s="42" t="s">
        <v>137</v>
      </c>
      <c r="E20" s="42" t="s">
        <v>84</v>
      </c>
      <c r="F20" s="10">
        <v>4</v>
      </c>
      <c r="G20" s="10">
        <v>1</v>
      </c>
      <c r="H20" s="50">
        <v>0</v>
      </c>
      <c r="I20" s="50">
        <v>0</v>
      </c>
      <c r="J20" s="50">
        <v>0</v>
      </c>
      <c r="K20" s="29" t="s">
        <v>28</v>
      </c>
      <c r="L20" s="11">
        <f t="shared" si="0"/>
        <v>6</v>
      </c>
      <c r="M20" s="10">
        <f t="shared" si="6"/>
        <v>1.2</v>
      </c>
      <c r="N20" s="10">
        <f t="shared" si="1"/>
        <v>0</v>
      </c>
      <c r="O20" s="10">
        <v>0</v>
      </c>
      <c r="P20" s="10">
        <f t="shared" si="2"/>
        <v>7.2</v>
      </c>
      <c r="Q20" s="17">
        <v>10.50624999999998</v>
      </c>
      <c r="R20" s="18">
        <f t="shared" si="3"/>
        <v>17.706249999999979</v>
      </c>
      <c r="S20" s="19">
        <f t="shared" si="4"/>
        <v>9.6875</v>
      </c>
      <c r="T20" s="20">
        <f t="shared" si="5"/>
        <v>8.0187499999999794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7.399999999999999">
      <c r="A21" s="9">
        <v>1</v>
      </c>
      <c r="B21" s="8">
        <v>189</v>
      </c>
      <c r="C21" s="8">
        <v>522812489</v>
      </c>
      <c r="D21" s="42" t="s">
        <v>70</v>
      </c>
      <c r="E21" s="47"/>
      <c r="F21" s="10">
        <v>4</v>
      </c>
      <c r="G21" s="10">
        <v>1</v>
      </c>
      <c r="H21" s="50">
        <v>0</v>
      </c>
      <c r="I21" s="50">
        <v>0</v>
      </c>
      <c r="J21" s="50">
        <v>0</v>
      </c>
      <c r="K21" s="29" t="s">
        <v>28</v>
      </c>
      <c r="L21" s="11">
        <f t="shared" si="0"/>
        <v>6</v>
      </c>
      <c r="M21" s="10">
        <f t="shared" si="6"/>
        <v>1.2</v>
      </c>
      <c r="N21" s="10">
        <f t="shared" si="1"/>
        <v>0</v>
      </c>
      <c r="O21" s="10">
        <v>0</v>
      </c>
      <c r="P21" s="10">
        <f t="shared" si="2"/>
        <v>7.2</v>
      </c>
      <c r="Q21" s="17">
        <v>10.5</v>
      </c>
      <c r="R21" s="18">
        <f t="shared" si="3"/>
        <v>17.7</v>
      </c>
      <c r="S21" s="19">
        <f t="shared" si="4"/>
        <v>9.6875</v>
      </c>
      <c r="T21" s="20">
        <f t="shared" si="5"/>
        <v>8.0124999999999993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7.399999999999999">
      <c r="A22" s="9">
        <v>1</v>
      </c>
      <c r="B22" s="9">
        <v>230</v>
      </c>
      <c r="C22" s="8">
        <v>1076026693</v>
      </c>
      <c r="D22" s="42" t="s">
        <v>111</v>
      </c>
      <c r="E22" s="4"/>
      <c r="F22" s="10">
        <v>4</v>
      </c>
      <c r="G22" s="10">
        <v>1</v>
      </c>
      <c r="H22" s="50">
        <v>0</v>
      </c>
      <c r="I22" s="50">
        <v>0</v>
      </c>
      <c r="J22" s="50">
        <v>0</v>
      </c>
      <c r="K22" s="29" t="s">
        <v>28</v>
      </c>
      <c r="L22" s="11">
        <f t="shared" si="0"/>
        <v>6</v>
      </c>
      <c r="M22" s="10">
        <f t="shared" si="6"/>
        <v>1.2</v>
      </c>
      <c r="N22" s="10">
        <f t="shared" si="1"/>
        <v>0</v>
      </c>
      <c r="O22" s="10">
        <v>0</v>
      </c>
      <c r="P22" s="10">
        <f t="shared" si="2"/>
        <v>7.2</v>
      </c>
      <c r="Q22" s="17">
        <v>10.474999999999991</v>
      </c>
      <c r="R22" s="18">
        <f t="shared" si="3"/>
        <v>17.67499999999999</v>
      </c>
      <c r="S22" s="19">
        <f t="shared" si="4"/>
        <v>9.6875</v>
      </c>
      <c r="T22" s="20">
        <f t="shared" si="5"/>
        <v>7.9874999999999901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7.399999999999999">
      <c r="A23" s="9">
        <v>1</v>
      </c>
      <c r="B23" s="8">
        <v>215</v>
      </c>
      <c r="C23" s="8">
        <v>289805855</v>
      </c>
      <c r="D23" s="42" t="s">
        <v>145</v>
      </c>
      <c r="E23" s="42" t="s">
        <v>87</v>
      </c>
      <c r="F23" s="10">
        <v>4</v>
      </c>
      <c r="G23" s="10">
        <v>1</v>
      </c>
      <c r="H23" s="50">
        <v>0</v>
      </c>
      <c r="I23" s="50">
        <v>1</v>
      </c>
      <c r="J23" s="50">
        <v>1</v>
      </c>
      <c r="K23" s="29" t="s">
        <v>28</v>
      </c>
      <c r="L23" s="11">
        <f t="shared" si="0"/>
        <v>6</v>
      </c>
      <c r="M23" s="10">
        <f t="shared" si="6"/>
        <v>1.2</v>
      </c>
      <c r="N23" s="10">
        <f t="shared" si="1"/>
        <v>0.8</v>
      </c>
      <c r="O23" s="10">
        <v>0</v>
      </c>
      <c r="P23" s="10">
        <f t="shared" si="2"/>
        <v>8</v>
      </c>
      <c r="Q23" s="17">
        <v>9.537999999999986</v>
      </c>
      <c r="R23" s="18">
        <f t="shared" si="3"/>
        <v>17.537999999999986</v>
      </c>
      <c r="S23" s="19">
        <f t="shared" si="4"/>
        <v>9.6875</v>
      </c>
      <c r="T23" s="20">
        <f t="shared" si="5"/>
        <v>7.850499999999986</v>
      </c>
      <c r="U23" s="4"/>
      <c r="V23" s="4"/>
      <c r="W23" s="4"/>
    </row>
    <row r="24" spans="1:29" s="1" customFormat="1" ht="17.399999999999999">
      <c r="A24" s="9">
        <v>1</v>
      </c>
      <c r="B24" s="8">
        <v>183</v>
      </c>
      <c r="C24" s="8">
        <v>1250030371</v>
      </c>
      <c r="D24" s="42" t="s">
        <v>130</v>
      </c>
      <c r="E24" s="42" t="s">
        <v>121</v>
      </c>
      <c r="F24" s="10">
        <v>4</v>
      </c>
      <c r="G24" s="10">
        <v>1</v>
      </c>
      <c r="H24" s="50">
        <v>0</v>
      </c>
      <c r="I24" s="50">
        <v>0</v>
      </c>
      <c r="J24" s="50">
        <v>0</v>
      </c>
      <c r="K24" s="29" t="s">
        <v>28</v>
      </c>
      <c r="L24" s="11">
        <f t="shared" si="0"/>
        <v>6</v>
      </c>
      <c r="M24" s="10">
        <f t="shared" si="6"/>
        <v>1.2</v>
      </c>
      <c r="N24" s="10">
        <f t="shared" si="1"/>
        <v>0</v>
      </c>
      <c r="O24" s="10">
        <v>0</v>
      </c>
      <c r="P24" s="10">
        <f t="shared" si="2"/>
        <v>7.2</v>
      </c>
      <c r="Q24" s="17">
        <v>10.293749999999992</v>
      </c>
      <c r="R24" s="18">
        <f t="shared" si="3"/>
        <v>17.493749999999991</v>
      </c>
      <c r="S24" s="19">
        <f t="shared" si="4"/>
        <v>9.6875</v>
      </c>
      <c r="T24" s="20">
        <f t="shared" si="5"/>
        <v>7.8062499999999915</v>
      </c>
      <c r="U24" s="4"/>
      <c r="V24" s="4"/>
      <c r="W24" s="4"/>
    </row>
    <row r="25" spans="1:29" s="1" customFormat="1" ht="17.399999999999999">
      <c r="A25" s="9">
        <v>1</v>
      </c>
      <c r="B25" s="8">
        <v>209</v>
      </c>
      <c r="C25" s="8">
        <v>1525950050</v>
      </c>
      <c r="D25" s="42" t="s">
        <v>85</v>
      </c>
      <c r="E25" s="42" t="s">
        <v>83</v>
      </c>
      <c r="F25" s="10">
        <v>3</v>
      </c>
      <c r="G25" s="10">
        <v>0</v>
      </c>
      <c r="H25" s="50">
        <v>0</v>
      </c>
      <c r="I25" s="50">
        <v>0</v>
      </c>
      <c r="J25" s="50">
        <v>0</v>
      </c>
      <c r="K25" s="29" t="s">
        <v>28</v>
      </c>
      <c r="L25" s="11">
        <f t="shared" si="0"/>
        <v>4</v>
      </c>
      <c r="M25" s="10">
        <f t="shared" si="6"/>
        <v>0</v>
      </c>
      <c r="N25" s="10">
        <f t="shared" si="1"/>
        <v>0</v>
      </c>
      <c r="O25" s="10">
        <v>0</v>
      </c>
      <c r="P25" s="10">
        <f t="shared" si="2"/>
        <v>4</v>
      </c>
      <c r="Q25" s="17">
        <v>13.487499999999986</v>
      </c>
      <c r="R25" s="18">
        <f t="shared" si="3"/>
        <v>17.487499999999986</v>
      </c>
      <c r="S25" s="19">
        <f t="shared" si="4"/>
        <v>9.6875</v>
      </c>
      <c r="T25" s="20">
        <f t="shared" si="5"/>
        <v>7.7999999999999865</v>
      </c>
      <c r="U25" s="4"/>
      <c r="V25" s="4"/>
      <c r="W25" s="4"/>
    </row>
    <row r="26" spans="1:29" s="1" customFormat="1" ht="18.75" customHeight="1">
      <c r="A26" s="9">
        <v>1</v>
      </c>
      <c r="B26" s="8">
        <v>246</v>
      </c>
      <c r="C26" s="8">
        <v>1192342148</v>
      </c>
      <c r="D26" s="42" t="s">
        <v>141</v>
      </c>
      <c r="E26" s="4"/>
      <c r="F26" s="10">
        <v>4</v>
      </c>
      <c r="G26" s="10">
        <v>1</v>
      </c>
      <c r="H26" s="50">
        <v>0</v>
      </c>
      <c r="I26" s="50">
        <v>0</v>
      </c>
      <c r="J26" s="50">
        <v>0</v>
      </c>
      <c r="K26" s="29" t="s">
        <v>28</v>
      </c>
      <c r="L26" s="11">
        <f t="shared" si="0"/>
        <v>6</v>
      </c>
      <c r="M26" s="10">
        <f t="shared" si="6"/>
        <v>1.2</v>
      </c>
      <c r="N26" s="10">
        <f t="shared" si="1"/>
        <v>0</v>
      </c>
      <c r="O26" s="10">
        <v>0</v>
      </c>
      <c r="P26" s="10">
        <f t="shared" si="2"/>
        <v>7.2</v>
      </c>
      <c r="Q26" s="17">
        <v>10.274730769230761</v>
      </c>
      <c r="R26" s="18">
        <f t="shared" si="3"/>
        <v>17.47473076923076</v>
      </c>
      <c r="S26" s="19">
        <f t="shared" si="4"/>
        <v>9.6875</v>
      </c>
      <c r="T26" s="20">
        <f t="shared" si="5"/>
        <v>7.7872307692307601</v>
      </c>
      <c r="U26" s="4"/>
      <c r="V26" s="4"/>
      <c r="W26" s="4"/>
    </row>
    <row r="27" spans="1:29" s="1" customFormat="1" ht="17.399999999999999">
      <c r="A27" s="9">
        <v>1</v>
      </c>
      <c r="B27" s="8">
        <v>178</v>
      </c>
      <c r="C27" s="8">
        <v>1059185275</v>
      </c>
      <c r="D27" s="42" t="s">
        <v>66</v>
      </c>
      <c r="E27" s="47"/>
      <c r="F27" s="10">
        <v>4</v>
      </c>
      <c r="G27" s="10">
        <v>1</v>
      </c>
      <c r="H27" s="50">
        <v>0</v>
      </c>
      <c r="I27" s="50">
        <v>1</v>
      </c>
      <c r="J27" s="50">
        <v>1</v>
      </c>
      <c r="K27" s="14" t="s">
        <v>29</v>
      </c>
      <c r="L27" s="11">
        <f t="shared" si="0"/>
        <v>6</v>
      </c>
      <c r="M27" s="10">
        <f t="shared" si="6"/>
        <v>1.2</v>
      </c>
      <c r="N27" s="10">
        <f t="shared" si="1"/>
        <v>0.8</v>
      </c>
      <c r="O27" s="10">
        <v>0</v>
      </c>
      <c r="P27" s="10">
        <f t="shared" si="2"/>
        <v>8</v>
      </c>
      <c r="Q27" s="17">
        <v>9.3624999999999901</v>
      </c>
      <c r="R27" s="18">
        <f t="shared" si="3"/>
        <v>17.36249999999999</v>
      </c>
      <c r="S27" s="19">
        <f t="shared" si="4"/>
        <v>1.875</v>
      </c>
      <c r="T27" s="20">
        <f t="shared" si="5"/>
        <v>15.48749999999999</v>
      </c>
      <c r="U27" s="4"/>
      <c r="V27" s="4"/>
      <c r="W27" s="4"/>
    </row>
    <row r="28" spans="1:29" s="1" customFormat="1" ht="17.399999999999999">
      <c r="A28" s="9">
        <v>1</v>
      </c>
      <c r="B28" s="8">
        <v>255</v>
      </c>
      <c r="C28" s="8">
        <v>812042496</v>
      </c>
      <c r="D28" s="83" t="s">
        <v>155</v>
      </c>
      <c r="E28" s="4"/>
      <c r="F28" s="10">
        <v>3</v>
      </c>
      <c r="G28" s="10">
        <v>0</v>
      </c>
      <c r="H28" s="50">
        <v>0</v>
      </c>
      <c r="I28" s="50">
        <v>0</v>
      </c>
      <c r="J28" s="50">
        <v>0</v>
      </c>
      <c r="K28" s="14" t="s">
        <v>29</v>
      </c>
      <c r="L28" s="11">
        <f t="shared" si="0"/>
        <v>4</v>
      </c>
      <c r="M28" s="10">
        <f t="shared" si="6"/>
        <v>0</v>
      </c>
      <c r="N28" s="10">
        <f t="shared" si="1"/>
        <v>0</v>
      </c>
      <c r="O28" s="10">
        <v>0</v>
      </c>
      <c r="P28" s="10">
        <f t="shared" si="2"/>
        <v>4</v>
      </c>
      <c r="Q28" s="17">
        <v>13.336904761904758</v>
      </c>
      <c r="R28" s="18">
        <f t="shared" si="3"/>
        <v>17.336904761904758</v>
      </c>
      <c r="S28" s="19">
        <f t="shared" si="4"/>
        <v>1.875</v>
      </c>
      <c r="T28" s="20">
        <f t="shared" si="5"/>
        <v>15.461904761904758</v>
      </c>
      <c r="U28" s="2"/>
      <c r="V28" s="4"/>
      <c r="W28" s="4"/>
    </row>
    <row r="29" spans="1:29" s="2" customFormat="1" ht="17.399999999999999" hidden="1">
      <c r="A29" s="9">
        <v>0</v>
      </c>
      <c r="B29" s="8">
        <v>196</v>
      </c>
      <c r="C29" s="8">
        <v>1065641844</v>
      </c>
      <c r="D29" s="42" t="s">
        <v>74</v>
      </c>
      <c r="E29" s="47"/>
      <c r="F29" s="10">
        <v>0</v>
      </c>
      <c r="G29" s="10">
        <v>0</v>
      </c>
      <c r="H29" s="50">
        <v>0</v>
      </c>
      <c r="I29" s="50">
        <v>0</v>
      </c>
      <c r="J29" s="50">
        <v>0</v>
      </c>
      <c r="K29" s="39" t="s">
        <v>30</v>
      </c>
      <c r="L29" s="11">
        <f t="shared" si="0"/>
        <v>0</v>
      </c>
      <c r="M29" s="10">
        <f t="shared" si="6"/>
        <v>0</v>
      </c>
      <c r="N29" s="10">
        <f t="shared" si="1"/>
        <v>0</v>
      </c>
      <c r="O29" s="10">
        <v>0</v>
      </c>
      <c r="P29" s="10">
        <f t="shared" si="2"/>
        <v>0</v>
      </c>
      <c r="Q29" s="17">
        <v>21.062499999999993</v>
      </c>
      <c r="R29" s="18">
        <f t="shared" si="3"/>
        <v>21.062499999999993</v>
      </c>
      <c r="S29" s="19">
        <f t="shared" si="4"/>
        <v>0</v>
      </c>
      <c r="T29" s="20">
        <f t="shared" si="5"/>
        <v>21.062499999999993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7.399999999999999">
      <c r="A30" s="9">
        <v>1</v>
      </c>
      <c r="B30" s="8">
        <v>184</v>
      </c>
      <c r="C30" s="8">
        <v>1814130074</v>
      </c>
      <c r="D30" s="42" t="s">
        <v>147</v>
      </c>
      <c r="E30" s="42" t="s">
        <v>67</v>
      </c>
      <c r="F30" s="10">
        <v>4</v>
      </c>
      <c r="G30" s="10">
        <v>1</v>
      </c>
      <c r="H30" s="50">
        <v>0</v>
      </c>
      <c r="I30" s="50">
        <v>0</v>
      </c>
      <c r="J30" s="50">
        <v>0</v>
      </c>
      <c r="K30" s="14" t="s">
        <v>29</v>
      </c>
      <c r="L30" s="11">
        <f t="shared" si="0"/>
        <v>6</v>
      </c>
      <c r="M30" s="10">
        <f t="shared" si="6"/>
        <v>1.2</v>
      </c>
      <c r="N30" s="10">
        <f t="shared" si="1"/>
        <v>0</v>
      </c>
      <c r="O30" s="10">
        <v>0</v>
      </c>
      <c r="P30" s="10">
        <f t="shared" si="2"/>
        <v>7.2</v>
      </c>
      <c r="Q30" s="17">
        <v>10.131250000000016</v>
      </c>
      <c r="R30" s="18">
        <f t="shared" si="3"/>
        <v>17.331250000000015</v>
      </c>
      <c r="S30" s="19">
        <f t="shared" si="4"/>
        <v>1.875</v>
      </c>
      <c r="T30" s="20">
        <f t="shared" si="5"/>
        <v>15.456250000000015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7.399999999999999">
      <c r="A31" s="9">
        <v>1</v>
      </c>
      <c r="B31" s="9">
        <v>26</v>
      </c>
      <c r="C31" s="8">
        <v>1754932067</v>
      </c>
      <c r="D31" s="42" t="s">
        <v>58</v>
      </c>
      <c r="E31" s="42" t="s">
        <v>9</v>
      </c>
      <c r="F31" s="10">
        <v>4</v>
      </c>
      <c r="G31" s="10">
        <v>1</v>
      </c>
      <c r="H31" s="50">
        <v>0</v>
      </c>
      <c r="I31" s="50">
        <v>1</v>
      </c>
      <c r="J31" s="50">
        <v>1</v>
      </c>
      <c r="K31" s="14" t="s">
        <v>29</v>
      </c>
      <c r="L31" s="11">
        <f t="shared" si="0"/>
        <v>6</v>
      </c>
      <c r="M31" s="10">
        <f t="shared" si="6"/>
        <v>1.2</v>
      </c>
      <c r="N31" s="10">
        <f t="shared" si="1"/>
        <v>0.8</v>
      </c>
      <c r="O31" s="10">
        <v>0</v>
      </c>
      <c r="P31" s="10">
        <f t="shared" si="2"/>
        <v>8</v>
      </c>
      <c r="Q31" s="17">
        <v>9.2374999999999972</v>
      </c>
      <c r="R31" s="18">
        <f t="shared" si="3"/>
        <v>17.237499999999997</v>
      </c>
      <c r="S31" s="19">
        <f t="shared" si="4"/>
        <v>1.875</v>
      </c>
      <c r="T31" s="20">
        <f t="shared" si="5"/>
        <v>15.362499999999997</v>
      </c>
      <c r="U31" s="11"/>
      <c r="V31" s="11"/>
      <c r="W31" s="11"/>
      <c r="X31" s="1"/>
      <c r="Y31" s="1"/>
      <c r="Z31" s="1"/>
      <c r="AA31" s="1"/>
      <c r="AB31" s="1"/>
      <c r="AC31" s="1"/>
    </row>
    <row r="32" spans="1:29" s="2" customFormat="1" ht="17.399999999999999">
      <c r="A32" s="9">
        <v>1</v>
      </c>
      <c r="B32" s="8">
        <v>251</v>
      </c>
      <c r="C32" s="8">
        <v>26962972</v>
      </c>
      <c r="D32" s="83" t="s">
        <v>151</v>
      </c>
      <c r="E32" s="4"/>
      <c r="F32" s="10">
        <v>4</v>
      </c>
      <c r="G32" s="10">
        <v>1</v>
      </c>
      <c r="H32" s="50">
        <v>0</v>
      </c>
      <c r="I32" s="50">
        <v>0</v>
      </c>
      <c r="J32" s="50">
        <v>0</v>
      </c>
      <c r="K32" s="14" t="s">
        <v>29</v>
      </c>
      <c r="L32" s="11">
        <f t="shared" si="0"/>
        <v>6</v>
      </c>
      <c r="M32" s="10">
        <f t="shared" si="6"/>
        <v>1.2</v>
      </c>
      <c r="N32" s="10">
        <f t="shared" si="1"/>
        <v>0</v>
      </c>
      <c r="O32" s="10">
        <v>0</v>
      </c>
      <c r="P32" s="10">
        <f t="shared" si="2"/>
        <v>7.2</v>
      </c>
      <c r="Q32" s="17">
        <v>9.8709325396825331</v>
      </c>
      <c r="R32" s="18">
        <f t="shared" si="3"/>
        <v>17.070932539682534</v>
      </c>
      <c r="S32" s="19">
        <f t="shared" si="4"/>
        <v>1.875</v>
      </c>
      <c r="T32" s="20">
        <f t="shared" si="5"/>
        <v>15.195932539682534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7.399999999999999">
      <c r="A33" s="9">
        <v>1</v>
      </c>
      <c r="B33" s="8">
        <v>253</v>
      </c>
      <c r="C33" s="8">
        <v>18663026649</v>
      </c>
      <c r="D33" s="83" t="s">
        <v>153</v>
      </c>
      <c r="E33" s="4"/>
      <c r="F33" s="10">
        <v>4</v>
      </c>
      <c r="G33" s="10">
        <v>0</v>
      </c>
      <c r="H33" s="50">
        <v>0</v>
      </c>
      <c r="I33" s="50">
        <v>0</v>
      </c>
      <c r="J33" s="50">
        <v>0</v>
      </c>
      <c r="K33" s="14" t="s">
        <v>29</v>
      </c>
      <c r="L33" s="11">
        <f t="shared" si="0"/>
        <v>6</v>
      </c>
      <c r="M33" s="10">
        <f t="shared" si="6"/>
        <v>0</v>
      </c>
      <c r="N33" s="10">
        <f t="shared" si="1"/>
        <v>0</v>
      </c>
      <c r="O33" s="10">
        <v>0</v>
      </c>
      <c r="P33" s="10">
        <f t="shared" si="2"/>
        <v>6</v>
      </c>
      <c r="Q33" s="17">
        <v>10.488492063492059</v>
      </c>
      <c r="R33" s="18">
        <f t="shared" si="3"/>
        <v>16.48849206349206</v>
      </c>
      <c r="S33" s="19">
        <f t="shared" si="4"/>
        <v>1.875</v>
      </c>
      <c r="T33" s="20">
        <f t="shared" si="5"/>
        <v>14.61349206349206</v>
      </c>
      <c r="V33" s="4"/>
      <c r="W33" s="4"/>
      <c r="X33" s="1"/>
      <c r="Y33" s="1"/>
      <c r="Z33" s="1"/>
      <c r="AA33" s="1"/>
      <c r="AB33" s="1"/>
      <c r="AC33" s="1"/>
    </row>
    <row r="34" spans="1:29" s="2" customFormat="1" ht="20.399999999999999">
      <c r="A34" s="9">
        <v>1</v>
      </c>
      <c r="B34" s="8">
        <v>214</v>
      </c>
      <c r="C34" s="8">
        <v>2130976604</v>
      </c>
      <c r="D34" s="42" t="s">
        <v>86</v>
      </c>
      <c r="F34" s="10">
        <v>2</v>
      </c>
      <c r="G34" s="10">
        <v>1</v>
      </c>
      <c r="H34" s="50">
        <v>0</v>
      </c>
      <c r="I34" s="50">
        <v>0</v>
      </c>
      <c r="J34" s="50">
        <v>0</v>
      </c>
      <c r="K34" s="14" t="s">
        <v>29</v>
      </c>
      <c r="L34" s="11">
        <f t="shared" si="0"/>
        <v>2</v>
      </c>
      <c r="M34" s="10">
        <f t="shared" si="6"/>
        <v>1.2</v>
      </c>
      <c r="N34" s="10">
        <f t="shared" si="1"/>
        <v>0</v>
      </c>
      <c r="O34" s="10">
        <v>0</v>
      </c>
      <c r="P34" s="10">
        <f t="shared" si="2"/>
        <v>3.2</v>
      </c>
      <c r="Q34" s="17">
        <v>13.212499999999981</v>
      </c>
      <c r="R34" s="18">
        <f t="shared" si="3"/>
        <v>16.41249999999998</v>
      </c>
      <c r="S34" s="19">
        <f t="shared" si="4"/>
        <v>1.875</v>
      </c>
      <c r="T34" s="20">
        <f t="shared" si="5"/>
        <v>14.53749999999998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7.399999999999999">
      <c r="A35" s="9">
        <v>1</v>
      </c>
      <c r="B35" s="9">
        <v>231</v>
      </c>
      <c r="C35" s="8">
        <v>1725915293</v>
      </c>
      <c r="D35" s="42" t="s">
        <v>112</v>
      </c>
      <c r="E35" s="4"/>
      <c r="F35" s="10">
        <v>4</v>
      </c>
      <c r="G35" s="10">
        <v>1</v>
      </c>
      <c r="H35" s="50">
        <v>0</v>
      </c>
      <c r="I35" s="50">
        <v>0</v>
      </c>
      <c r="J35" s="50">
        <v>0</v>
      </c>
      <c r="K35" s="14" t="s">
        <v>29</v>
      </c>
      <c r="L35" s="11">
        <f t="shared" si="0"/>
        <v>6</v>
      </c>
      <c r="M35" s="10">
        <f t="shared" si="6"/>
        <v>1.2</v>
      </c>
      <c r="N35" s="10">
        <f t="shared" si="1"/>
        <v>0</v>
      </c>
      <c r="O35" s="10">
        <v>0</v>
      </c>
      <c r="P35" s="10">
        <f t="shared" si="2"/>
        <v>7.2</v>
      </c>
      <c r="Q35" s="17">
        <v>9.0437499999999922</v>
      </c>
      <c r="R35" s="18">
        <f t="shared" si="3"/>
        <v>16.243749999999991</v>
      </c>
      <c r="S35" s="19">
        <f t="shared" si="4"/>
        <v>1.875</v>
      </c>
      <c r="T35" s="20">
        <f t="shared" si="5"/>
        <v>14.368749999999991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7.399999999999999">
      <c r="A36" s="9">
        <v>1</v>
      </c>
      <c r="B36" s="8">
        <v>185</v>
      </c>
      <c r="C36" s="8">
        <v>30705222</v>
      </c>
      <c r="D36" s="42" t="s">
        <v>68</v>
      </c>
      <c r="E36" s="47"/>
      <c r="F36" s="10">
        <v>4</v>
      </c>
      <c r="G36" s="10">
        <v>1</v>
      </c>
      <c r="H36" s="50">
        <v>0</v>
      </c>
      <c r="I36" s="50">
        <v>1</v>
      </c>
      <c r="J36" s="50">
        <v>0</v>
      </c>
      <c r="K36" s="14" t="s">
        <v>29</v>
      </c>
      <c r="L36" s="11">
        <f t="shared" si="0"/>
        <v>6</v>
      </c>
      <c r="M36" s="10">
        <f t="shared" si="6"/>
        <v>1.2</v>
      </c>
      <c r="N36" s="10">
        <f t="shared" si="1"/>
        <v>0.4</v>
      </c>
      <c r="O36" s="10">
        <v>0</v>
      </c>
      <c r="P36" s="10">
        <f t="shared" si="2"/>
        <v>7.6000000000000005</v>
      </c>
      <c r="Q36" s="17">
        <v>8.5187499999999972</v>
      </c>
      <c r="R36" s="18">
        <f t="shared" si="3"/>
        <v>16.118749999999999</v>
      </c>
      <c r="S36" s="19">
        <f t="shared" si="4"/>
        <v>1.875</v>
      </c>
      <c r="T36" s="20">
        <f t="shared" si="5"/>
        <v>14.243749999999999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7.399999999999999" hidden="1">
      <c r="A37" s="9">
        <v>0</v>
      </c>
      <c r="B37" s="8">
        <v>155</v>
      </c>
      <c r="C37" s="8">
        <v>1532576874</v>
      </c>
      <c r="D37" s="42" t="s">
        <v>63</v>
      </c>
      <c r="E37" s="42" t="s">
        <v>46</v>
      </c>
      <c r="F37" s="10">
        <v>0</v>
      </c>
      <c r="G37" s="10">
        <v>0</v>
      </c>
      <c r="H37" s="50">
        <v>0</v>
      </c>
      <c r="I37" s="50">
        <v>0</v>
      </c>
      <c r="J37" s="50">
        <v>0</v>
      </c>
      <c r="K37" s="39" t="s">
        <v>30</v>
      </c>
      <c r="L37" s="11">
        <f t="shared" ref="L37:L68" si="7">F37+IF(F37&gt;2,(F37-2)*1,0)</f>
        <v>0</v>
      </c>
      <c r="M37" s="10">
        <f t="shared" si="6"/>
        <v>0</v>
      </c>
      <c r="N37" s="10">
        <f t="shared" ref="N37:N68" si="8">SUM(H37:J37)*$Y$18</f>
        <v>0</v>
      </c>
      <c r="O37" s="10">
        <v>0</v>
      </c>
      <c r="P37" s="10">
        <f t="shared" ref="P37:P68" si="9">SUM(M37+L37+O37+N37)</f>
        <v>0</v>
      </c>
      <c r="Q37" s="17">
        <v>15.212499999999999</v>
      </c>
      <c r="R37" s="18">
        <f t="shared" ref="R37:R68" si="10">P37+Q37</f>
        <v>15.212499999999999</v>
      </c>
      <c r="S37" s="19">
        <f t="shared" ref="S37:S68" si="11">VLOOKUP(K37,$X$3:$Y$10,2,FALSE)</f>
        <v>0</v>
      </c>
      <c r="T37" s="20">
        <f t="shared" ref="T37:T68" si="12">R37-S37</f>
        <v>15.212499999999999</v>
      </c>
      <c r="U37" s="4"/>
      <c r="V37" s="4"/>
      <c r="W37" s="4"/>
    </row>
    <row r="38" spans="1:29" s="2" customFormat="1" ht="17.399999999999999">
      <c r="A38" s="9">
        <v>1</v>
      </c>
      <c r="B38" s="9">
        <v>46</v>
      </c>
      <c r="C38" s="8">
        <v>2109182835</v>
      </c>
      <c r="D38" s="42" t="s">
        <v>59</v>
      </c>
      <c r="E38" s="42" t="s">
        <v>10</v>
      </c>
      <c r="F38" s="10">
        <v>1</v>
      </c>
      <c r="G38" s="10">
        <v>1</v>
      </c>
      <c r="H38" s="50">
        <v>0</v>
      </c>
      <c r="I38" s="50">
        <v>1</v>
      </c>
      <c r="J38" s="50">
        <v>0</v>
      </c>
      <c r="K38" s="14" t="s">
        <v>29</v>
      </c>
      <c r="L38" s="11">
        <f t="shared" si="7"/>
        <v>1</v>
      </c>
      <c r="M38" s="10">
        <f t="shared" ref="M38:M69" si="13">G38*$Y$14</f>
        <v>1.2</v>
      </c>
      <c r="N38" s="10">
        <f t="shared" si="8"/>
        <v>0.4</v>
      </c>
      <c r="O38" s="10">
        <v>0</v>
      </c>
      <c r="P38" s="10">
        <f t="shared" si="9"/>
        <v>2.6</v>
      </c>
      <c r="Q38" s="17">
        <v>13.455000000000013</v>
      </c>
      <c r="R38" s="18">
        <f t="shared" si="10"/>
        <v>16.055000000000014</v>
      </c>
      <c r="S38" s="19">
        <f t="shared" si="11"/>
        <v>1.875</v>
      </c>
      <c r="T38" s="20">
        <f t="shared" si="12"/>
        <v>14.180000000000014</v>
      </c>
      <c r="U38" s="11"/>
      <c r="V38" s="11"/>
      <c r="W38" s="11"/>
      <c r="X38" s="1"/>
      <c r="Y38" s="1"/>
      <c r="Z38" s="1"/>
      <c r="AA38" s="1"/>
      <c r="AB38" s="1"/>
      <c r="AC38" s="1"/>
    </row>
    <row r="39" spans="1:29" s="3" customFormat="1" ht="17.399999999999999">
      <c r="A39" s="9">
        <v>1</v>
      </c>
      <c r="B39" s="8">
        <v>240</v>
      </c>
      <c r="C39" s="8">
        <v>289805855</v>
      </c>
      <c r="D39" s="42" t="s">
        <v>158</v>
      </c>
      <c r="E39" s="42" t="s">
        <v>123</v>
      </c>
      <c r="F39" s="10">
        <v>4</v>
      </c>
      <c r="G39" s="10">
        <v>1</v>
      </c>
      <c r="H39" s="50">
        <v>0</v>
      </c>
      <c r="I39" s="50">
        <v>0</v>
      </c>
      <c r="J39" s="50">
        <v>0</v>
      </c>
      <c r="K39" s="14" t="s">
        <v>29</v>
      </c>
      <c r="L39" s="11">
        <f t="shared" si="7"/>
        <v>6</v>
      </c>
      <c r="M39" s="10">
        <f t="shared" si="13"/>
        <v>1.2</v>
      </c>
      <c r="N39" s="10">
        <f t="shared" si="8"/>
        <v>0</v>
      </c>
      <c r="O39" s="10">
        <v>0</v>
      </c>
      <c r="P39" s="10">
        <f t="shared" si="9"/>
        <v>7.2</v>
      </c>
      <c r="Q39" s="17">
        <v>8.6750000000000007</v>
      </c>
      <c r="R39" s="18">
        <f t="shared" si="10"/>
        <v>15.875</v>
      </c>
      <c r="S39" s="19">
        <f t="shared" si="11"/>
        <v>1.875</v>
      </c>
      <c r="T39" s="20">
        <f t="shared" si="12"/>
        <v>14</v>
      </c>
      <c r="U39" s="4"/>
      <c r="V39" s="4"/>
      <c r="W39" s="4"/>
    </row>
    <row r="40" spans="1:29" ht="17.399999999999999">
      <c r="A40" s="9">
        <v>1</v>
      </c>
      <c r="B40" s="8">
        <v>225</v>
      </c>
      <c r="C40" s="8">
        <v>1963965829</v>
      </c>
      <c r="D40" s="42" t="s">
        <v>107</v>
      </c>
      <c r="E40" s="42"/>
      <c r="F40" s="10">
        <v>4</v>
      </c>
      <c r="G40" s="10">
        <v>1</v>
      </c>
      <c r="H40" s="50">
        <v>0</v>
      </c>
      <c r="I40" s="50">
        <v>0</v>
      </c>
      <c r="J40" s="50">
        <v>0</v>
      </c>
      <c r="K40" s="14" t="s">
        <v>29</v>
      </c>
      <c r="L40" s="11">
        <f t="shared" si="7"/>
        <v>6</v>
      </c>
      <c r="M40" s="10">
        <f t="shared" si="13"/>
        <v>1.2</v>
      </c>
      <c r="N40" s="10">
        <f t="shared" si="8"/>
        <v>0</v>
      </c>
      <c r="O40" s="10">
        <v>0</v>
      </c>
      <c r="P40" s="10">
        <f t="shared" si="9"/>
        <v>7.2</v>
      </c>
      <c r="Q40" s="17">
        <v>8.6107369402984908</v>
      </c>
      <c r="R40" s="18">
        <f t="shared" si="10"/>
        <v>15.81073694029849</v>
      </c>
      <c r="S40" s="19">
        <f t="shared" si="11"/>
        <v>1.875</v>
      </c>
      <c r="T40" s="20">
        <f t="shared" si="12"/>
        <v>13.93573694029849</v>
      </c>
      <c r="U40" s="4"/>
      <c r="V40" s="4"/>
      <c r="W40" s="4"/>
    </row>
    <row r="41" spans="1:29" ht="17.399999999999999">
      <c r="A41" s="9">
        <v>1</v>
      </c>
      <c r="B41" s="8">
        <v>238</v>
      </c>
      <c r="C41" s="8">
        <v>108179057</v>
      </c>
      <c r="D41" s="42" t="s">
        <v>120</v>
      </c>
      <c r="F41" s="10">
        <v>4</v>
      </c>
      <c r="G41" s="10">
        <v>1</v>
      </c>
      <c r="H41" s="50">
        <v>0</v>
      </c>
      <c r="I41" s="50">
        <v>0</v>
      </c>
      <c r="J41" s="50">
        <v>0</v>
      </c>
      <c r="K41" s="14" t="s">
        <v>29</v>
      </c>
      <c r="L41" s="11">
        <f t="shared" si="7"/>
        <v>6</v>
      </c>
      <c r="M41" s="10">
        <f t="shared" si="13"/>
        <v>1.2</v>
      </c>
      <c r="N41" s="10">
        <f t="shared" si="8"/>
        <v>0</v>
      </c>
      <c r="O41" s="10">
        <v>0</v>
      </c>
      <c r="P41" s="10">
        <f t="shared" si="9"/>
        <v>7.2</v>
      </c>
      <c r="Q41" s="17">
        <v>8.4249999999999829</v>
      </c>
      <c r="R41" s="18">
        <f t="shared" si="10"/>
        <v>15.624999999999982</v>
      </c>
      <c r="S41" s="19">
        <f t="shared" si="11"/>
        <v>1.875</v>
      </c>
      <c r="T41" s="20">
        <f t="shared" si="12"/>
        <v>13.749999999999982</v>
      </c>
      <c r="U41" s="4"/>
      <c r="V41" s="4"/>
      <c r="W41" s="4"/>
    </row>
    <row r="42" spans="1:29" ht="17.399999999999999">
      <c r="A42" s="9">
        <v>1</v>
      </c>
      <c r="B42" s="8">
        <v>174</v>
      </c>
      <c r="C42" s="8">
        <v>775720958</v>
      </c>
      <c r="D42" s="42" t="s">
        <v>79</v>
      </c>
      <c r="E42" s="42" t="s">
        <v>49</v>
      </c>
      <c r="F42" s="10">
        <v>4</v>
      </c>
      <c r="G42" s="10">
        <v>1</v>
      </c>
      <c r="H42" s="50">
        <v>0</v>
      </c>
      <c r="I42" s="50">
        <v>1</v>
      </c>
      <c r="J42" s="50">
        <v>0</v>
      </c>
      <c r="K42" s="14" t="s">
        <v>29</v>
      </c>
      <c r="L42" s="11">
        <f t="shared" si="7"/>
        <v>6</v>
      </c>
      <c r="M42" s="10">
        <f t="shared" si="13"/>
        <v>1.2</v>
      </c>
      <c r="N42" s="10">
        <f t="shared" si="8"/>
        <v>0.4</v>
      </c>
      <c r="O42" s="10">
        <v>0</v>
      </c>
      <c r="P42" s="10">
        <f t="shared" si="9"/>
        <v>7.6000000000000005</v>
      </c>
      <c r="Q42" s="17">
        <v>7.9249999999999794</v>
      </c>
      <c r="R42" s="18">
        <f t="shared" si="10"/>
        <v>15.524999999999981</v>
      </c>
      <c r="S42" s="19">
        <f t="shared" si="11"/>
        <v>1.875</v>
      </c>
      <c r="T42" s="20">
        <f t="shared" si="12"/>
        <v>13.649999999999981</v>
      </c>
      <c r="U42" s="4"/>
      <c r="V42" s="4"/>
      <c r="W42" s="4"/>
    </row>
    <row r="43" spans="1:29" ht="17.399999999999999">
      <c r="A43" s="9">
        <v>1</v>
      </c>
      <c r="B43" s="8">
        <v>116</v>
      </c>
      <c r="C43" s="8">
        <v>2122596917</v>
      </c>
      <c r="D43" s="42" t="s">
        <v>61</v>
      </c>
      <c r="E43" s="42" t="s">
        <v>37</v>
      </c>
      <c r="F43" s="10">
        <v>4</v>
      </c>
      <c r="G43" s="10">
        <v>1</v>
      </c>
      <c r="H43" s="50">
        <v>0</v>
      </c>
      <c r="I43" s="50">
        <v>0</v>
      </c>
      <c r="J43" s="50">
        <v>1</v>
      </c>
      <c r="K43" s="14" t="s">
        <v>29</v>
      </c>
      <c r="L43" s="11">
        <f t="shared" si="7"/>
        <v>6</v>
      </c>
      <c r="M43" s="10">
        <f t="shared" si="13"/>
        <v>1.2</v>
      </c>
      <c r="N43" s="10">
        <f t="shared" si="8"/>
        <v>0.4</v>
      </c>
      <c r="O43" s="10">
        <v>0</v>
      </c>
      <c r="P43" s="10">
        <f t="shared" si="9"/>
        <v>7.6000000000000005</v>
      </c>
      <c r="Q43" s="17">
        <v>7.699999999999994</v>
      </c>
      <c r="R43" s="18">
        <f t="shared" si="10"/>
        <v>15.299999999999994</v>
      </c>
      <c r="S43" s="19">
        <f t="shared" si="11"/>
        <v>1.875</v>
      </c>
      <c r="T43" s="20">
        <f t="shared" si="12"/>
        <v>13.424999999999994</v>
      </c>
      <c r="U43" s="11"/>
      <c r="V43" s="11"/>
      <c r="W43" s="32"/>
    </row>
    <row r="44" spans="1:29" ht="17.399999999999999">
      <c r="A44" s="9">
        <v>1</v>
      </c>
      <c r="B44" s="8">
        <v>232</v>
      </c>
      <c r="C44" s="8">
        <v>1088909927</v>
      </c>
      <c r="D44" s="42" t="s">
        <v>113</v>
      </c>
      <c r="F44" s="10">
        <v>4</v>
      </c>
      <c r="G44" s="10">
        <v>1</v>
      </c>
      <c r="H44" s="50">
        <v>0</v>
      </c>
      <c r="I44" s="50">
        <v>0</v>
      </c>
      <c r="J44" s="50">
        <v>0</v>
      </c>
      <c r="K44" s="14" t="s">
        <v>29</v>
      </c>
      <c r="L44" s="11">
        <f t="shared" si="7"/>
        <v>6</v>
      </c>
      <c r="M44" s="10">
        <f t="shared" si="13"/>
        <v>1.2</v>
      </c>
      <c r="N44" s="10">
        <f t="shared" si="8"/>
        <v>0</v>
      </c>
      <c r="O44" s="10">
        <v>0</v>
      </c>
      <c r="P44" s="10">
        <f t="shared" si="9"/>
        <v>7.2</v>
      </c>
      <c r="Q44" s="17">
        <v>8.0812499999999936</v>
      </c>
      <c r="R44" s="18">
        <f t="shared" si="10"/>
        <v>15.281249999999993</v>
      </c>
      <c r="S44" s="19">
        <f t="shared" si="11"/>
        <v>1.875</v>
      </c>
      <c r="T44" s="20">
        <f t="shared" si="12"/>
        <v>13.406249999999993</v>
      </c>
      <c r="U44" s="4"/>
      <c r="V44" s="4"/>
      <c r="W44" s="4"/>
    </row>
    <row r="45" spans="1:29" ht="17.399999999999999">
      <c r="A45" s="9">
        <v>1</v>
      </c>
      <c r="B45" s="8">
        <v>216</v>
      </c>
      <c r="C45" s="8">
        <v>395700385</v>
      </c>
      <c r="D45" s="42" t="s">
        <v>88</v>
      </c>
      <c r="E45" s="2"/>
      <c r="F45" s="10">
        <v>4</v>
      </c>
      <c r="G45" s="10">
        <v>1</v>
      </c>
      <c r="H45" s="50">
        <v>0</v>
      </c>
      <c r="I45" s="50">
        <v>0</v>
      </c>
      <c r="J45" s="50">
        <v>0</v>
      </c>
      <c r="K45" s="14" t="s">
        <v>29</v>
      </c>
      <c r="L45" s="11">
        <f t="shared" si="7"/>
        <v>6</v>
      </c>
      <c r="M45" s="10">
        <f t="shared" si="13"/>
        <v>1.2</v>
      </c>
      <c r="N45" s="10">
        <f t="shared" si="8"/>
        <v>0</v>
      </c>
      <c r="O45" s="10">
        <v>0</v>
      </c>
      <c r="P45" s="10">
        <f t="shared" si="9"/>
        <v>7.2</v>
      </c>
      <c r="Q45" s="17">
        <v>7.5377016129032093</v>
      </c>
      <c r="R45" s="18">
        <f t="shared" si="10"/>
        <v>14.737701612903209</v>
      </c>
      <c r="S45" s="19">
        <f t="shared" si="11"/>
        <v>1.875</v>
      </c>
      <c r="T45" s="20">
        <f t="shared" si="12"/>
        <v>12.862701612903209</v>
      </c>
      <c r="U45" s="4"/>
      <c r="V45" s="4"/>
      <c r="W45" s="4"/>
    </row>
    <row r="46" spans="1:29" ht="17.399999999999999">
      <c r="A46" s="9">
        <v>1</v>
      </c>
      <c r="B46" s="8">
        <v>182</v>
      </c>
      <c r="C46" s="8">
        <v>828260319</v>
      </c>
      <c r="D46" s="42" t="s">
        <v>146</v>
      </c>
      <c r="E46" s="42" t="s">
        <v>134</v>
      </c>
      <c r="F46" s="10">
        <v>4</v>
      </c>
      <c r="G46" s="10">
        <v>1</v>
      </c>
      <c r="H46" s="50">
        <v>0</v>
      </c>
      <c r="I46" s="50">
        <v>0</v>
      </c>
      <c r="J46" s="50">
        <v>1</v>
      </c>
      <c r="K46" s="14" t="s">
        <v>29</v>
      </c>
      <c r="L46" s="11">
        <f t="shared" si="7"/>
        <v>6</v>
      </c>
      <c r="M46" s="10">
        <f t="shared" si="13"/>
        <v>1.2</v>
      </c>
      <c r="N46" s="10">
        <f t="shared" si="8"/>
        <v>0.4</v>
      </c>
      <c r="O46" s="10">
        <v>0</v>
      </c>
      <c r="P46" s="10">
        <f t="shared" si="9"/>
        <v>7.6000000000000005</v>
      </c>
      <c r="Q46" s="17">
        <v>6.5317500000000166</v>
      </c>
      <c r="R46" s="18">
        <f t="shared" si="10"/>
        <v>14.131750000000018</v>
      </c>
      <c r="S46" s="19">
        <f t="shared" si="11"/>
        <v>1.875</v>
      </c>
      <c r="T46" s="20">
        <f t="shared" si="12"/>
        <v>12.256750000000018</v>
      </c>
      <c r="U46" s="4"/>
      <c r="V46" s="4"/>
      <c r="W46" s="4"/>
    </row>
    <row r="47" spans="1:29" ht="17.399999999999999">
      <c r="A47" s="9">
        <v>1</v>
      </c>
      <c r="B47" s="8">
        <v>243</v>
      </c>
      <c r="C47" s="8">
        <v>11135522555</v>
      </c>
      <c r="D47" s="42" t="s">
        <v>133</v>
      </c>
      <c r="F47" s="10">
        <v>3</v>
      </c>
      <c r="G47" s="10">
        <v>1</v>
      </c>
      <c r="H47" s="50">
        <v>0</v>
      </c>
      <c r="I47" s="50">
        <v>0</v>
      </c>
      <c r="J47" s="50">
        <v>0</v>
      </c>
      <c r="K47" s="14" t="s">
        <v>29</v>
      </c>
      <c r="L47" s="11">
        <f t="shared" si="7"/>
        <v>4</v>
      </c>
      <c r="M47" s="10">
        <f t="shared" si="13"/>
        <v>1.2</v>
      </c>
      <c r="N47" s="10">
        <f t="shared" si="8"/>
        <v>0</v>
      </c>
      <c r="O47" s="10">
        <v>0</v>
      </c>
      <c r="P47" s="10">
        <f t="shared" si="9"/>
        <v>5.2</v>
      </c>
      <c r="Q47" s="17">
        <v>8.5062499999999979</v>
      </c>
      <c r="R47" s="18">
        <f t="shared" si="10"/>
        <v>13.706249999999997</v>
      </c>
      <c r="S47" s="19">
        <f t="shared" si="11"/>
        <v>1.875</v>
      </c>
      <c r="T47" s="20">
        <f t="shared" si="12"/>
        <v>11.831249999999997</v>
      </c>
      <c r="U47" s="4"/>
      <c r="V47" s="4"/>
      <c r="W47" s="4"/>
    </row>
    <row r="48" spans="1:29" ht="20.399999999999999">
      <c r="A48" s="86">
        <v>1</v>
      </c>
      <c r="B48" s="8">
        <v>186</v>
      </c>
      <c r="C48" s="8">
        <v>595953188</v>
      </c>
      <c r="D48" s="83" t="s">
        <v>157</v>
      </c>
      <c r="E48" s="87" t="s">
        <v>156</v>
      </c>
      <c r="F48" s="10">
        <v>2</v>
      </c>
      <c r="G48" s="10">
        <v>1</v>
      </c>
      <c r="H48" s="50">
        <v>0</v>
      </c>
      <c r="I48" s="50">
        <v>0</v>
      </c>
      <c r="J48" s="50">
        <v>0</v>
      </c>
      <c r="K48" s="14" t="s">
        <v>29</v>
      </c>
      <c r="L48" s="91">
        <f t="shared" si="7"/>
        <v>2</v>
      </c>
      <c r="M48" s="88">
        <f t="shared" si="13"/>
        <v>1.2</v>
      </c>
      <c r="N48" s="88">
        <f t="shared" si="8"/>
        <v>0</v>
      </c>
      <c r="O48" s="88">
        <v>0</v>
      </c>
      <c r="P48" s="88">
        <f t="shared" si="9"/>
        <v>3.2</v>
      </c>
      <c r="Q48" s="92">
        <v>10.505853174603155</v>
      </c>
      <c r="R48" s="18">
        <f t="shared" si="10"/>
        <v>13.705853174603156</v>
      </c>
      <c r="S48" s="93">
        <f t="shared" si="11"/>
        <v>1.875</v>
      </c>
      <c r="T48" s="94">
        <f t="shared" si="12"/>
        <v>11.830853174603156</v>
      </c>
      <c r="U48" s="37"/>
    </row>
    <row r="49" spans="1:23" ht="17.399999999999999" hidden="1">
      <c r="A49" s="9">
        <v>0</v>
      </c>
      <c r="B49" s="8">
        <v>193</v>
      </c>
      <c r="C49" s="8">
        <v>2125731287</v>
      </c>
      <c r="D49" s="42" t="s">
        <v>72</v>
      </c>
      <c r="E49" s="47"/>
      <c r="F49" s="10">
        <v>0</v>
      </c>
      <c r="G49" s="10">
        <v>0</v>
      </c>
      <c r="H49" s="50">
        <v>0</v>
      </c>
      <c r="I49" s="50">
        <v>0</v>
      </c>
      <c r="J49" s="50">
        <v>0</v>
      </c>
      <c r="K49" s="39" t="s">
        <v>30</v>
      </c>
      <c r="L49" s="11">
        <f t="shared" si="7"/>
        <v>0</v>
      </c>
      <c r="M49" s="10">
        <f t="shared" si="13"/>
        <v>0</v>
      </c>
      <c r="N49" s="10">
        <f t="shared" si="8"/>
        <v>0</v>
      </c>
      <c r="O49" s="10">
        <v>0</v>
      </c>
      <c r="P49" s="10">
        <f t="shared" si="9"/>
        <v>0</v>
      </c>
      <c r="Q49" s="17">
        <v>17.812499999999996</v>
      </c>
      <c r="R49" s="18">
        <f t="shared" si="10"/>
        <v>17.812499999999996</v>
      </c>
      <c r="S49" s="19">
        <f t="shared" si="11"/>
        <v>0</v>
      </c>
      <c r="T49" s="20">
        <f t="shared" si="12"/>
        <v>17.812499999999996</v>
      </c>
    </row>
    <row r="50" spans="1:23" ht="17.399999999999999">
      <c r="A50" s="9">
        <v>1</v>
      </c>
      <c r="B50" s="8">
        <v>239</v>
      </c>
      <c r="C50" s="8">
        <v>416459640</v>
      </c>
      <c r="D50" s="42" t="s">
        <v>122</v>
      </c>
      <c r="F50" s="10">
        <v>0</v>
      </c>
      <c r="G50" s="10">
        <v>0</v>
      </c>
      <c r="H50" s="50">
        <v>0</v>
      </c>
      <c r="I50" s="50">
        <v>0</v>
      </c>
      <c r="J50" s="50">
        <v>0</v>
      </c>
      <c r="K50" s="39" t="s">
        <v>30</v>
      </c>
      <c r="L50" s="11">
        <f t="shared" si="7"/>
        <v>0</v>
      </c>
      <c r="M50" s="10">
        <f t="shared" si="13"/>
        <v>0</v>
      </c>
      <c r="N50" s="10">
        <f t="shared" si="8"/>
        <v>0</v>
      </c>
      <c r="O50" s="10">
        <v>0</v>
      </c>
      <c r="P50" s="10">
        <f t="shared" si="9"/>
        <v>0</v>
      </c>
      <c r="Q50" s="17">
        <v>13.668749999999999</v>
      </c>
      <c r="R50" s="18">
        <f t="shared" si="10"/>
        <v>13.668749999999999</v>
      </c>
      <c r="S50" s="19">
        <f t="shared" si="11"/>
        <v>0</v>
      </c>
      <c r="T50" s="20">
        <f t="shared" si="12"/>
        <v>13.668749999999999</v>
      </c>
    </row>
    <row r="51" spans="1:23" ht="17.399999999999999" hidden="1">
      <c r="A51" s="9">
        <v>0</v>
      </c>
      <c r="B51" s="8">
        <v>224</v>
      </c>
      <c r="C51" s="8">
        <v>862562360</v>
      </c>
      <c r="D51" s="42" t="s">
        <v>129</v>
      </c>
      <c r="E51" s="42" t="s">
        <v>106</v>
      </c>
      <c r="F51" s="10">
        <v>0</v>
      </c>
      <c r="G51" s="10">
        <v>0</v>
      </c>
      <c r="H51" s="50">
        <v>0</v>
      </c>
      <c r="I51" s="50">
        <v>0</v>
      </c>
      <c r="J51" s="50">
        <v>0</v>
      </c>
      <c r="K51" s="39" t="s">
        <v>30</v>
      </c>
      <c r="L51" s="11">
        <f t="shared" si="7"/>
        <v>0</v>
      </c>
      <c r="M51" s="10">
        <f t="shared" si="13"/>
        <v>0</v>
      </c>
      <c r="N51" s="10">
        <f t="shared" si="8"/>
        <v>0</v>
      </c>
      <c r="O51" s="10">
        <v>0</v>
      </c>
      <c r="P51" s="10">
        <f t="shared" si="9"/>
        <v>0</v>
      </c>
      <c r="Q51" s="17">
        <v>18.860354477611939</v>
      </c>
      <c r="R51" s="18">
        <f t="shared" si="10"/>
        <v>18.860354477611939</v>
      </c>
      <c r="S51" s="19">
        <f t="shared" si="11"/>
        <v>0</v>
      </c>
      <c r="T51" s="20">
        <f t="shared" si="12"/>
        <v>18.860354477611939</v>
      </c>
    </row>
    <row r="52" spans="1:23" ht="17.399999999999999">
      <c r="A52" s="9">
        <v>1</v>
      </c>
      <c r="B52" s="9">
        <v>10</v>
      </c>
      <c r="C52" s="8">
        <v>2108977014</v>
      </c>
      <c r="D52" s="42" t="s">
        <v>57</v>
      </c>
      <c r="E52" s="42" t="s">
        <v>8</v>
      </c>
      <c r="F52" s="10">
        <v>3</v>
      </c>
      <c r="G52" s="10">
        <v>1</v>
      </c>
      <c r="H52" s="50">
        <v>0</v>
      </c>
      <c r="I52" s="50">
        <v>0</v>
      </c>
      <c r="J52" s="50">
        <v>0</v>
      </c>
      <c r="K52" s="14" t="s">
        <v>29</v>
      </c>
      <c r="L52" s="11">
        <f t="shared" si="7"/>
        <v>4</v>
      </c>
      <c r="M52" s="10">
        <f t="shared" si="13"/>
        <v>1.2</v>
      </c>
      <c r="N52" s="10">
        <f t="shared" si="8"/>
        <v>0</v>
      </c>
      <c r="O52" s="10">
        <v>0</v>
      </c>
      <c r="P52" s="10">
        <f t="shared" si="9"/>
        <v>5.2</v>
      </c>
      <c r="Q52" s="17">
        <v>8.4375000000000107</v>
      </c>
      <c r="R52" s="18">
        <f t="shared" si="10"/>
        <v>13.63750000000001</v>
      </c>
      <c r="S52" s="19">
        <f t="shared" si="11"/>
        <v>1.875</v>
      </c>
      <c r="T52" s="20">
        <f t="shared" si="12"/>
        <v>11.76250000000001</v>
      </c>
      <c r="U52" s="40"/>
      <c r="V52" s="40"/>
      <c r="W52" s="40"/>
    </row>
    <row r="53" spans="1:23" ht="17.399999999999999">
      <c r="A53" s="9">
        <v>1</v>
      </c>
      <c r="B53" s="8">
        <v>195</v>
      </c>
      <c r="C53" s="8">
        <v>1634663314</v>
      </c>
      <c r="D53" s="42" t="s">
        <v>73</v>
      </c>
      <c r="E53" s="47"/>
      <c r="F53" s="10">
        <v>4</v>
      </c>
      <c r="G53" s="10">
        <v>1</v>
      </c>
      <c r="H53" s="50">
        <v>0</v>
      </c>
      <c r="I53" s="50">
        <v>0</v>
      </c>
      <c r="J53" s="50">
        <v>0</v>
      </c>
      <c r="K53" s="14" t="s">
        <v>29</v>
      </c>
      <c r="L53" s="11">
        <f t="shared" si="7"/>
        <v>6</v>
      </c>
      <c r="M53" s="10">
        <f t="shared" si="13"/>
        <v>1.2</v>
      </c>
      <c r="N53" s="10">
        <f t="shared" si="8"/>
        <v>0</v>
      </c>
      <c r="O53" s="10">
        <v>0</v>
      </c>
      <c r="P53" s="10">
        <f t="shared" si="9"/>
        <v>7.2</v>
      </c>
      <c r="Q53" s="17">
        <v>5.1682499999999827</v>
      </c>
      <c r="R53" s="18">
        <f t="shared" si="10"/>
        <v>12.368249999999982</v>
      </c>
      <c r="S53" s="19">
        <f t="shared" si="11"/>
        <v>1.875</v>
      </c>
      <c r="T53" s="20">
        <f t="shared" si="12"/>
        <v>10.493249999999982</v>
      </c>
    </row>
    <row r="54" spans="1:23" ht="17.399999999999999">
      <c r="A54" s="9">
        <v>1</v>
      </c>
      <c r="B54" s="8">
        <v>249</v>
      </c>
      <c r="C54" s="8">
        <v>1892505535</v>
      </c>
      <c r="D54" s="83" t="s">
        <v>149</v>
      </c>
      <c r="F54" s="10">
        <v>1</v>
      </c>
      <c r="G54" s="10">
        <v>1</v>
      </c>
      <c r="H54" s="50">
        <v>0</v>
      </c>
      <c r="I54" s="50">
        <v>0</v>
      </c>
      <c r="J54" s="50">
        <v>0</v>
      </c>
      <c r="K54" s="14" t="s">
        <v>29</v>
      </c>
      <c r="L54" s="11">
        <f t="shared" si="7"/>
        <v>1</v>
      </c>
      <c r="M54" s="10">
        <f t="shared" si="13"/>
        <v>1.2</v>
      </c>
      <c r="N54" s="10">
        <f t="shared" si="8"/>
        <v>0</v>
      </c>
      <c r="O54" s="10">
        <v>0</v>
      </c>
      <c r="P54" s="10">
        <f t="shared" si="9"/>
        <v>2.2000000000000002</v>
      </c>
      <c r="Q54" s="17">
        <v>9.4070714285714185</v>
      </c>
      <c r="R54" s="18">
        <f t="shared" si="10"/>
        <v>11.60707142857142</v>
      </c>
      <c r="S54" s="19">
        <f t="shared" si="11"/>
        <v>1.875</v>
      </c>
      <c r="T54" s="20">
        <f t="shared" si="12"/>
        <v>9.7320714285714196</v>
      </c>
    </row>
    <row r="55" spans="1:23" ht="17.399999999999999">
      <c r="A55" s="9">
        <v>1</v>
      </c>
      <c r="B55" s="8">
        <v>242</v>
      </c>
      <c r="C55" s="8">
        <v>1381736232</v>
      </c>
      <c r="D55" s="42" t="s">
        <v>144</v>
      </c>
      <c r="E55" s="42" t="s">
        <v>125</v>
      </c>
      <c r="F55" s="10">
        <v>0</v>
      </c>
      <c r="G55" s="10">
        <v>0</v>
      </c>
      <c r="H55" s="50">
        <v>0</v>
      </c>
      <c r="I55" s="50">
        <v>0</v>
      </c>
      <c r="J55" s="50">
        <v>0</v>
      </c>
      <c r="K55" s="39" t="s">
        <v>30</v>
      </c>
      <c r="L55" s="11">
        <f t="shared" si="7"/>
        <v>0</v>
      </c>
      <c r="M55" s="10">
        <f t="shared" si="13"/>
        <v>0</v>
      </c>
      <c r="N55" s="10">
        <f t="shared" si="8"/>
        <v>0</v>
      </c>
      <c r="O55" s="10">
        <v>0</v>
      </c>
      <c r="P55" s="10">
        <f t="shared" si="9"/>
        <v>0</v>
      </c>
      <c r="Q55" s="17">
        <v>10.768749999999986</v>
      </c>
      <c r="R55" s="18">
        <f t="shared" si="10"/>
        <v>10.768749999999986</v>
      </c>
      <c r="S55" s="19">
        <f t="shared" si="11"/>
        <v>0</v>
      </c>
      <c r="T55" s="20">
        <f t="shared" si="12"/>
        <v>10.768749999999986</v>
      </c>
    </row>
    <row r="56" spans="1:23" ht="17.399999999999999">
      <c r="A56" s="9">
        <v>1</v>
      </c>
      <c r="B56" s="8">
        <v>223</v>
      </c>
      <c r="C56" s="8">
        <v>784792167</v>
      </c>
      <c r="D56" s="42" t="s">
        <v>98</v>
      </c>
      <c r="E56" s="42"/>
      <c r="F56" s="10">
        <v>0</v>
      </c>
      <c r="G56" s="10">
        <v>0</v>
      </c>
      <c r="H56" s="50">
        <v>0</v>
      </c>
      <c r="I56" s="50">
        <v>0</v>
      </c>
      <c r="J56" s="50">
        <v>0</v>
      </c>
      <c r="K56" s="39" t="s">
        <v>30</v>
      </c>
      <c r="L56" s="11">
        <f t="shared" si="7"/>
        <v>0</v>
      </c>
      <c r="M56" s="10">
        <f t="shared" si="13"/>
        <v>0</v>
      </c>
      <c r="N56" s="10">
        <f t="shared" si="8"/>
        <v>0</v>
      </c>
      <c r="O56" s="10">
        <v>0</v>
      </c>
      <c r="P56" s="10">
        <f t="shared" si="9"/>
        <v>0</v>
      </c>
      <c r="Q56" s="17">
        <v>10.624999999999996</v>
      </c>
      <c r="R56" s="18">
        <f t="shared" si="10"/>
        <v>10.624999999999996</v>
      </c>
      <c r="S56" s="19">
        <f t="shared" si="11"/>
        <v>0</v>
      </c>
      <c r="T56" s="20">
        <f t="shared" si="12"/>
        <v>10.624999999999996</v>
      </c>
    </row>
    <row r="57" spans="1:23" ht="17.399999999999999" hidden="1">
      <c r="A57" s="9">
        <v>0</v>
      </c>
      <c r="B57" s="8">
        <v>198</v>
      </c>
      <c r="C57" s="8">
        <v>723448640</v>
      </c>
      <c r="D57" s="42" t="s">
        <v>75</v>
      </c>
      <c r="E57" s="47"/>
      <c r="F57" s="10">
        <v>0</v>
      </c>
      <c r="G57" s="10">
        <v>0</v>
      </c>
      <c r="H57" s="50">
        <v>0</v>
      </c>
      <c r="I57" s="50">
        <v>0</v>
      </c>
      <c r="J57" s="50">
        <v>0</v>
      </c>
      <c r="K57" s="39" t="s">
        <v>30</v>
      </c>
      <c r="L57" s="11">
        <f t="shared" si="7"/>
        <v>0</v>
      </c>
      <c r="M57" s="10">
        <f t="shared" si="13"/>
        <v>0</v>
      </c>
      <c r="N57" s="10">
        <f t="shared" si="8"/>
        <v>0</v>
      </c>
      <c r="O57" s="10">
        <v>0</v>
      </c>
      <c r="P57" s="10">
        <f t="shared" si="9"/>
        <v>0</v>
      </c>
      <c r="Q57" s="17">
        <v>18.01874999999999</v>
      </c>
      <c r="R57" s="18">
        <f t="shared" si="10"/>
        <v>18.01874999999999</v>
      </c>
      <c r="S57" s="19">
        <f t="shared" si="11"/>
        <v>0</v>
      </c>
      <c r="T57" s="20">
        <f t="shared" si="12"/>
        <v>18.01874999999999</v>
      </c>
    </row>
    <row r="58" spans="1:23" ht="17.399999999999999" hidden="1">
      <c r="A58" s="9">
        <v>0</v>
      </c>
      <c r="B58" s="8">
        <v>222</v>
      </c>
      <c r="C58" s="8">
        <v>1945277617</v>
      </c>
      <c r="D58" s="42" t="s">
        <v>97</v>
      </c>
      <c r="E58" s="42"/>
      <c r="F58" s="10">
        <v>0</v>
      </c>
      <c r="G58" s="10">
        <v>0</v>
      </c>
      <c r="H58" s="50">
        <v>0</v>
      </c>
      <c r="I58" s="50">
        <v>0</v>
      </c>
      <c r="J58" s="50">
        <v>0</v>
      </c>
      <c r="K58" s="39" t="s">
        <v>30</v>
      </c>
      <c r="L58" s="11">
        <f t="shared" si="7"/>
        <v>0</v>
      </c>
      <c r="M58" s="10">
        <f t="shared" si="13"/>
        <v>0</v>
      </c>
      <c r="N58" s="10">
        <f t="shared" si="8"/>
        <v>0</v>
      </c>
      <c r="O58" s="10">
        <v>0</v>
      </c>
      <c r="P58" s="10">
        <f t="shared" si="9"/>
        <v>0</v>
      </c>
      <c r="Q58" s="17">
        <v>15.637727649769573</v>
      </c>
      <c r="R58" s="18">
        <f t="shared" si="10"/>
        <v>15.637727649769573</v>
      </c>
      <c r="S58" s="19">
        <f t="shared" si="11"/>
        <v>0</v>
      </c>
      <c r="T58" s="20">
        <f t="shared" si="12"/>
        <v>15.637727649769573</v>
      </c>
    </row>
    <row r="59" spans="1:23" ht="17.399999999999999">
      <c r="A59" s="9">
        <v>1</v>
      </c>
      <c r="B59" s="8">
        <v>118</v>
      </c>
      <c r="C59" s="8">
        <v>2018112397</v>
      </c>
      <c r="D59" s="42" t="s">
        <v>136</v>
      </c>
      <c r="E59" s="42" t="s">
        <v>54</v>
      </c>
      <c r="F59" s="10">
        <v>0</v>
      </c>
      <c r="G59" s="10">
        <v>0</v>
      </c>
      <c r="H59" s="50">
        <v>0</v>
      </c>
      <c r="I59" s="50">
        <v>0</v>
      </c>
      <c r="J59" s="50">
        <v>0</v>
      </c>
      <c r="K59" s="39" t="s">
        <v>30</v>
      </c>
      <c r="L59" s="11">
        <f t="shared" si="7"/>
        <v>0</v>
      </c>
      <c r="M59" s="10">
        <f t="shared" si="13"/>
        <v>0</v>
      </c>
      <c r="N59" s="10">
        <f t="shared" si="8"/>
        <v>0</v>
      </c>
      <c r="O59" s="10">
        <v>0</v>
      </c>
      <c r="P59" s="10">
        <f t="shared" si="9"/>
        <v>0</v>
      </c>
      <c r="Q59" s="17">
        <v>9.7312499999999815</v>
      </c>
      <c r="R59" s="18">
        <f t="shared" si="10"/>
        <v>9.7312499999999815</v>
      </c>
      <c r="S59" s="19">
        <f t="shared" si="11"/>
        <v>0</v>
      </c>
      <c r="T59" s="20">
        <f t="shared" si="12"/>
        <v>9.7312499999999815</v>
      </c>
      <c r="U59" s="40"/>
      <c r="V59" s="40"/>
      <c r="W59" s="85"/>
    </row>
    <row r="60" spans="1:23" ht="17.399999999999999">
      <c r="A60" s="9">
        <v>1</v>
      </c>
      <c r="B60" s="8">
        <v>250</v>
      </c>
      <c r="C60" s="8">
        <v>1183251323</v>
      </c>
      <c r="D60" s="83" t="s">
        <v>150</v>
      </c>
      <c r="F60" s="10">
        <v>0</v>
      </c>
      <c r="G60" s="10">
        <v>0</v>
      </c>
      <c r="H60" s="50">
        <v>0</v>
      </c>
      <c r="I60" s="50">
        <v>0</v>
      </c>
      <c r="J60" s="50">
        <v>0</v>
      </c>
      <c r="K60" s="39" t="s">
        <v>30</v>
      </c>
      <c r="L60" s="11">
        <f t="shared" si="7"/>
        <v>0</v>
      </c>
      <c r="M60" s="10">
        <f t="shared" si="13"/>
        <v>0</v>
      </c>
      <c r="N60" s="10">
        <f t="shared" si="8"/>
        <v>0</v>
      </c>
      <c r="O60" s="10">
        <v>0</v>
      </c>
      <c r="P60" s="10">
        <f t="shared" si="9"/>
        <v>0</v>
      </c>
      <c r="Q60" s="17">
        <v>9.6637658730158567</v>
      </c>
      <c r="R60" s="18">
        <f t="shared" si="10"/>
        <v>9.6637658730158567</v>
      </c>
      <c r="S60" s="19">
        <f t="shared" si="11"/>
        <v>0</v>
      </c>
      <c r="T60" s="20">
        <f t="shared" si="12"/>
        <v>9.6637658730158567</v>
      </c>
    </row>
    <row r="61" spans="1:23" ht="17.399999999999999">
      <c r="A61" s="9">
        <v>1</v>
      </c>
      <c r="B61" s="8">
        <v>252</v>
      </c>
      <c r="C61" s="8">
        <v>1574741700</v>
      </c>
      <c r="D61" s="83" t="s">
        <v>152</v>
      </c>
      <c r="F61" s="10">
        <v>1</v>
      </c>
      <c r="G61" s="10">
        <v>0</v>
      </c>
      <c r="H61" s="50">
        <v>0</v>
      </c>
      <c r="I61" s="50">
        <v>0</v>
      </c>
      <c r="J61" s="50">
        <v>0</v>
      </c>
      <c r="K61" s="14" t="s">
        <v>29</v>
      </c>
      <c r="L61" s="11">
        <f t="shared" si="7"/>
        <v>1</v>
      </c>
      <c r="M61" s="10">
        <f t="shared" si="13"/>
        <v>0</v>
      </c>
      <c r="N61" s="10">
        <f t="shared" si="8"/>
        <v>0</v>
      </c>
      <c r="O61" s="10">
        <v>0</v>
      </c>
      <c r="P61" s="10">
        <f t="shared" si="9"/>
        <v>1</v>
      </c>
      <c r="Q61" s="17">
        <v>8.5145833333333307</v>
      </c>
      <c r="R61" s="18">
        <f t="shared" si="10"/>
        <v>9.5145833333333307</v>
      </c>
      <c r="S61" s="19">
        <f t="shared" si="11"/>
        <v>1.875</v>
      </c>
      <c r="T61" s="20">
        <f t="shared" si="12"/>
        <v>7.6395833333333307</v>
      </c>
    </row>
    <row r="62" spans="1:23" ht="17.399999999999999">
      <c r="A62" s="9">
        <v>1</v>
      </c>
      <c r="B62" s="8">
        <v>219</v>
      </c>
      <c r="C62" s="8">
        <v>1128309198</v>
      </c>
      <c r="D62" s="42" t="s">
        <v>93</v>
      </c>
      <c r="E62" s="47"/>
      <c r="F62" s="10">
        <v>0</v>
      </c>
      <c r="G62" s="10">
        <v>0</v>
      </c>
      <c r="H62" s="50">
        <v>0</v>
      </c>
      <c r="I62" s="50">
        <v>0</v>
      </c>
      <c r="J62" s="50">
        <v>0</v>
      </c>
      <c r="K62" s="39" t="s">
        <v>30</v>
      </c>
      <c r="L62" s="11">
        <f t="shared" si="7"/>
        <v>0</v>
      </c>
      <c r="M62" s="10">
        <f t="shared" si="13"/>
        <v>0</v>
      </c>
      <c r="N62" s="10">
        <f t="shared" si="8"/>
        <v>0</v>
      </c>
      <c r="O62" s="10">
        <v>0</v>
      </c>
      <c r="P62" s="10">
        <f t="shared" si="9"/>
        <v>0</v>
      </c>
      <c r="Q62" s="17">
        <v>9.4499999999999957</v>
      </c>
      <c r="R62" s="18">
        <f t="shared" si="10"/>
        <v>9.4499999999999957</v>
      </c>
      <c r="S62" s="19">
        <f t="shared" si="11"/>
        <v>0</v>
      </c>
      <c r="T62" s="20">
        <f t="shared" si="12"/>
        <v>9.4499999999999957</v>
      </c>
    </row>
    <row r="63" spans="1:23" ht="17.399999999999999">
      <c r="A63" s="9">
        <v>1</v>
      </c>
      <c r="B63" s="8">
        <v>156</v>
      </c>
      <c r="C63" s="8">
        <v>1744610165</v>
      </c>
      <c r="D63" s="42" t="s">
        <v>135</v>
      </c>
      <c r="E63" s="42" t="s">
        <v>64</v>
      </c>
      <c r="F63" s="10">
        <v>0</v>
      </c>
      <c r="G63" s="10">
        <v>0</v>
      </c>
      <c r="H63" s="50">
        <v>0</v>
      </c>
      <c r="I63" s="50">
        <v>0</v>
      </c>
      <c r="J63" s="50">
        <v>0</v>
      </c>
      <c r="K63" s="39" t="s">
        <v>30</v>
      </c>
      <c r="L63" s="11">
        <f t="shared" si="7"/>
        <v>0</v>
      </c>
      <c r="M63" s="10">
        <f t="shared" si="13"/>
        <v>0</v>
      </c>
      <c r="N63" s="10">
        <f t="shared" si="8"/>
        <v>0</v>
      </c>
      <c r="O63" s="10">
        <v>0</v>
      </c>
      <c r="P63" s="10">
        <f t="shared" si="9"/>
        <v>0</v>
      </c>
      <c r="Q63" s="17">
        <v>8.2237661290322386</v>
      </c>
      <c r="R63" s="18">
        <f t="shared" si="10"/>
        <v>8.2237661290322386</v>
      </c>
      <c r="S63" s="19">
        <f t="shared" si="11"/>
        <v>0</v>
      </c>
      <c r="T63" s="20">
        <f t="shared" si="12"/>
        <v>8.2237661290322386</v>
      </c>
    </row>
    <row r="64" spans="1:23" ht="17.399999999999999" hidden="1">
      <c r="A64" s="9">
        <v>0</v>
      </c>
      <c r="B64" s="8">
        <v>226</v>
      </c>
      <c r="C64" s="8">
        <v>1238792963</v>
      </c>
      <c r="D64" s="42" t="s">
        <v>108</v>
      </c>
      <c r="E64" s="42"/>
      <c r="F64" s="10">
        <v>0</v>
      </c>
      <c r="G64" s="10">
        <v>0</v>
      </c>
      <c r="H64" s="50">
        <v>0</v>
      </c>
      <c r="I64" s="50">
        <v>0</v>
      </c>
      <c r="J64" s="50">
        <v>0</v>
      </c>
      <c r="K64" s="39" t="s">
        <v>30</v>
      </c>
      <c r="L64" s="11">
        <f t="shared" si="7"/>
        <v>0</v>
      </c>
      <c r="M64" s="10">
        <f t="shared" si="13"/>
        <v>0</v>
      </c>
      <c r="N64" s="10">
        <f t="shared" si="8"/>
        <v>0</v>
      </c>
      <c r="O64" s="10">
        <v>0</v>
      </c>
      <c r="P64" s="10">
        <f t="shared" si="9"/>
        <v>0</v>
      </c>
      <c r="Q64" s="17">
        <v>18.368749999999999</v>
      </c>
      <c r="R64" s="18">
        <f t="shared" si="10"/>
        <v>18.368749999999999</v>
      </c>
      <c r="S64" s="19">
        <f t="shared" si="11"/>
        <v>0</v>
      </c>
      <c r="T64" s="20">
        <f t="shared" si="12"/>
        <v>18.368749999999999</v>
      </c>
    </row>
    <row r="65" spans="1:23" ht="17.399999999999999" hidden="1">
      <c r="A65" s="9">
        <v>0</v>
      </c>
      <c r="B65" s="8">
        <v>167</v>
      </c>
      <c r="C65" s="8">
        <v>1173807161</v>
      </c>
      <c r="D65" s="42" t="s">
        <v>138</v>
      </c>
      <c r="E65" s="42" t="s">
        <v>48</v>
      </c>
      <c r="F65" s="10">
        <v>0</v>
      </c>
      <c r="G65" s="10">
        <v>0</v>
      </c>
      <c r="H65" s="50">
        <v>0</v>
      </c>
      <c r="I65" s="50">
        <v>0</v>
      </c>
      <c r="J65" s="50">
        <v>0</v>
      </c>
      <c r="K65" s="39" t="s">
        <v>30</v>
      </c>
      <c r="L65" s="11">
        <f t="shared" si="7"/>
        <v>0</v>
      </c>
      <c r="M65" s="10">
        <f t="shared" si="13"/>
        <v>0</v>
      </c>
      <c r="N65" s="10">
        <f t="shared" si="8"/>
        <v>0</v>
      </c>
      <c r="O65" s="10">
        <v>0</v>
      </c>
      <c r="P65" s="10">
        <f t="shared" si="9"/>
        <v>0</v>
      </c>
      <c r="Q65" s="17">
        <v>28.224999999999977</v>
      </c>
      <c r="R65" s="18">
        <f t="shared" si="10"/>
        <v>28.224999999999977</v>
      </c>
      <c r="S65" s="19">
        <f t="shared" si="11"/>
        <v>0</v>
      </c>
      <c r="T65" s="20">
        <f t="shared" si="12"/>
        <v>28.224999999999977</v>
      </c>
    </row>
    <row r="66" spans="1:23" ht="17.399999999999999">
      <c r="A66" s="9">
        <v>1</v>
      </c>
      <c r="B66" s="8">
        <v>241</v>
      </c>
      <c r="C66" s="8">
        <v>1136259669</v>
      </c>
      <c r="D66" s="42" t="s">
        <v>124</v>
      </c>
      <c r="F66" s="10">
        <v>1</v>
      </c>
      <c r="G66" s="10">
        <v>1</v>
      </c>
      <c r="H66" s="50">
        <v>0</v>
      </c>
      <c r="I66" s="50">
        <v>0</v>
      </c>
      <c r="J66" s="50">
        <v>0</v>
      </c>
      <c r="K66" s="14" t="s">
        <v>29</v>
      </c>
      <c r="L66" s="11">
        <f t="shared" si="7"/>
        <v>1</v>
      </c>
      <c r="M66" s="10">
        <f t="shared" si="13"/>
        <v>1.2</v>
      </c>
      <c r="N66" s="10">
        <f t="shared" si="8"/>
        <v>0</v>
      </c>
      <c r="O66" s="10">
        <v>0</v>
      </c>
      <c r="P66" s="10">
        <f t="shared" si="9"/>
        <v>2.2000000000000002</v>
      </c>
      <c r="Q66" s="17">
        <v>5.3937499999999829</v>
      </c>
      <c r="R66" s="18">
        <f t="shared" si="10"/>
        <v>7.5937499999999831</v>
      </c>
      <c r="S66" s="19">
        <f t="shared" si="11"/>
        <v>1.875</v>
      </c>
      <c r="T66" s="20">
        <f t="shared" si="12"/>
        <v>5.7187499999999831</v>
      </c>
    </row>
    <row r="67" spans="1:23" ht="17.399999999999999">
      <c r="A67" s="9">
        <v>1</v>
      </c>
      <c r="B67" s="8">
        <v>234</v>
      </c>
      <c r="C67" s="8">
        <v>1333428907</v>
      </c>
      <c r="D67" s="42" t="s">
        <v>128</v>
      </c>
      <c r="E67" s="42" t="s">
        <v>115</v>
      </c>
      <c r="F67" s="10">
        <v>2</v>
      </c>
      <c r="G67" s="10">
        <v>0</v>
      </c>
      <c r="H67" s="50">
        <v>0</v>
      </c>
      <c r="I67" s="50">
        <v>0</v>
      </c>
      <c r="J67" s="50">
        <v>0</v>
      </c>
      <c r="K67" s="14" t="s">
        <v>29</v>
      </c>
      <c r="L67" s="11">
        <f t="shared" si="7"/>
        <v>2</v>
      </c>
      <c r="M67" s="10">
        <f t="shared" si="13"/>
        <v>0</v>
      </c>
      <c r="N67" s="10">
        <f t="shared" si="8"/>
        <v>0</v>
      </c>
      <c r="O67" s="10">
        <v>0</v>
      </c>
      <c r="P67" s="10">
        <f t="shared" si="9"/>
        <v>2</v>
      </c>
      <c r="Q67" s="17">
        <v>3.9375</v>
      </c>
      <c r="R67" s="18">
        <f t="shared" si="10"/>
        <v>5.9375</v>
      </c>
      <c r="S67" s="19">
        <f t="shared" si="11"/>
        <v>1.875</v>
      </c>
      <c r="T67" s="20">
        <f t="shared" si="12"/>
        <v>4.0625</v>
      </c>
    </row>
    <row r="68" spans="1:23" ht="17.399999999999999">
      <c r="A68" s="9">
        <v>1</v>
      </c>
      <c r="B68" s="9">
        <v>92</v>
      </c>
      <c r="C68" s="8">
        <v>1367873925</v>
      </c>
      <c r="D68" s="42" t="s">
        <v>80</v>
      </c>
      <c r="E68" s="42" t="s">
        <v>31</v>
      </c>
      <c r="F68" s="10">
        <v>2</v>
      </c>
      <c r="G68" s="10">
        <v>1</v>
      </c>
      <c r="H68" s="50">
        <v>0</v>
      </c>
      <c r="I68" s="50">
        <v>0</v>
      </c>
      <c r="J68" s="50">
        <v>0</v>
      </c>
      <c r="K68" s="14" t="s">
        <v>29</v>
      </c>
      <c r="L68" s="11">
        <f t="shared" si="7"/>
        <v>2</v>
      </c>
      <c r="M68" s="10">
        <f t="shared" si="13"/>
        <v>1.2</v>
      </c>
      <c r="N68" s="10">
        <f t="shared" si="8"/>
        <v>0</v>
      </c>
      <c r="O68" s="10">
        <v>0</v>
      </c>
      <c r="P68" s="10">
        <f t="shared" si="9"/>
        <v>3.2</v>
      </c>
      <c r="Q68" s="17">
        <v>2.6937499999999872</v>
      </c>
      <c r="R68" s="18">
        <f t="shared" si="10"/>
        <v>5.8937499999999874</v>
      </c>
      <c r="S68" s="19">
        <f t="shared" si="11"/>
        <v>1.875</v>
      </c>
      <c r="T68" s="20">
        <f t="shared" si="12"/>
        <v>4.0187499999999874</v>
      </c>
      <c r="U68" s="40"/>
      <c r="V68" s="40"/>
      <c r="W68" s="41"/>
    </row>
    <row r="69" spans="1:23" ht="17.399999999999999">
      <c r="A69" s="9">
        <v>1</v>
      </c>
      <c r="B69" s="8">
        <v>200</v>
      </c>
      <c r="C69" s="8">
        <v>967589156</v>
      </c>
      <c r="D69" s="42" t="s">
        <v>76</v>
      </c>
      <c r="E69" s="47"/>
      <c r="F69" s="10">
        <v>1</v>
      </c>
      <c r="G69" s="10">
        <v>1</v>
      </c>
      <c r="H69" s="50">
        <v>0</v>
      </c>
      <c r="I69" s="50">
        <v>0</v>
      </c>
      <c r="J69" s="50">
        <v>0</v>
      </c>
      <c r="K69" s="14" t="s">
        <v>29</v>
      </c>
      <c r="L69" s="11">
        <f t="shared" ref="L69:L83" si="14">F69+IF(F69&gt;2,(F69-2)*1,0)</f>
        <v>1</v>
      </c>
      <c r="M69" s="10">
        <f t="shared" si="13"/>
        <v>1.2</v>
      </c>
      <c r="N69" s="10">
        <f t="shared" ref="N69:N83" si="15">SUM(H69:J69)*$Y$18</f>
        <v>0</v>
      </c>
      <c r="O69" s="10">
        <v>0</v>
      </c>
      <c r="P69" s="10">
        <f t="shared" ref="P69:P83" si="16">SUM(M69+L69+O69+N69)</f>
        <v>2.2000000000000002</v>
      </c>
      <c r="Q69" s="17">
        <v>3.3437500000000107</v>
      </c>
      <c r="R69" s="18">
        <f t="shared" ref="R69:R83" si="17">P69+Q69</f>
        <v>5.5437500000000108</v>
      </c>
      <c r="S69" s="19">
        <f t="shared" ref="S69:S83" si="18">VLOOKUP(K69,$X$3:$Y$10,2,FALSE)</f>
        <v>1.875</v>
      </c>
      <c r="T69" s="20">
        <f t="shared" ref="T69:T83" si="19">R69-S69</f>
        <v>3.6687500000000108</v>
      </c>
    </row>
    <row r="70" spans="1:23" ht="20.399999999999999">
      <c r="A70" s="70">
        <v>1</v>
      </c>
      <c r="B70" s="8">
        <v>213</v>
      </c>
      <c r="C70" s="8">
        <v>311361673</v>
      </c>
      <c r="D70" s="42" t="s">
        <v>55</v>
      </c>
      <c r="E70" s="2"/>
      <c r="F70" s="10">
        <v>0</v>
      </c>
      <c r="G70" s="10">
        <v>0</v>
      </c>
      <c r="H70" s="50">
        <v>0</v>
      </c>
      <c r="I70" s="50">
        <v>0</v>
      </c>
      <c r="J70" s="50">
        <v>0</v>
      </c>
      <c r="K70" s="39" t="s">
        <v>30</v>
      </c>
      <c r="L70" s="11">
        <f t="shared" si="14"/>
        <v>0</v>
      </c>
      <c r="M70" s="10">
        <f t="shared" ref="M70:M83" si="20">G70*$Y$14</f>
        <v>0</v>
      </c>
      <c r="N70" s="10">
        <f t="shared" si="15"/>
        <v>0</v>
      </c>
      <c r="O70" s="10">
        <v>0</v>
      </c>
      <c r="P70" s="10">
        <f t="shared" si="16"/>
        <v>0</v>
      </c>
      <c r="Q70" s="17">
        <v>5.2687499999999954</v>
      </c>
      <c r="R70" s="18">
        <f t="shared" si="17"/>
        <v>5.2687499999999954</v>
      </c>
      <c r="S70" s="19">
        <f t="shared" si="18"/>
        <v>0</v>
      </c>
      <c r="T70" s="20">
        <f t="shared" si="19"/>
        <v>5.2687499999999954</v>
      </c>
    </row>
    <row r="71" spans="1:23" ht="17.399999999999999">
      <c r="A71" s="9">
        <v>1</v>
      </c>
      <c r="B71" s="8">
        <v>192</v>
      </c>
      <c r="C71" s="8">
        <v>1725281178</v>
      </c>
      <c r="D71" s="42" t="s">
        <v>71</v>
      </c>
      <c r="E71" s="47"/>
      <c r="F71" s="10">
        <v>0</v>
      </c>
      <c r="G71" s="10">
        <v>0</v>
      </c>
      <c r="H71" s="50">
        <v>0</v>
      </c>
      <c r="I71" s="50">
        <v>0</v>
      </c>
      <c r="J71" s="50">
        <v>0</v>
      </c>
      <c r="K71" s="39" t="s">
        <v>30</v>
      </c>
      <c r="L71" s="11">
        <f t="shared" si="14"/>
        <v>0</v>
      </c>
      <c r="M71" s="10">
        <f t="shared" si="20"/>
        <v>0</v>
      </c>
      <c r="N71" s="10">
        <f t="shared" si="15"/>
        <v>0</v>
      </c>
      <c r="O71" s="10">
        <v>0</v>
      </c>
      <c r="P71" s="10">
        <f t="shared" si="16"/>
        <v>0</v>
      </c>
      <c r="Q71" s="17">
        <v>3.1437499999999954</v>
      </c>
      <c r="R71" s="18">
        <f t="shared" si="17"/>
        <v>3.1437499999999954</v>
      </c>
      <c r="S71" s="19">
        <f t="shared" si="18"/>
        <v>0</v>
      </c>
      <c r="T71" s="20">
        <f t="shared" si="19"/>
        <v>3.1437499999999954</v>
      </c>
    </row>
    <row r="72" spans="1:23" ht="20.399999999999999">
      <c r="A72" s="70">
        <v>1</v>
      </c>
      <c r="B72" s="8">
        <v>220</v>
      </c>
      <c r="C72" s="8">
        <v>353335311</v>
      </c>
      <c r="D72" s="42" t="s">
        <v>94</v>
      </c>
      <c r="E72" s="44"/>
      <c r="F72" s="10">
        <v>0</v>
      </c>
      <c r="G72" s="10">
        <v>0</v>
      </c>
      <c r="H72" s="50">
        <v>0</v>
      </c>
      <c r="I72" s="50">
        <v>0</v>
      </c>
      <c r="J72" s="50">
        <v>0</v>
      </c>
      <c r="K72" s="39" t="s">
        <v>30</v>
      </c>
      <c r="L72" s="11">
        <f t="shared" si="14"/>
        <v>0</v>
      </c>
      <c r="M72" s="10">
        <f t="shared" si="20"/>
        <v>0</v>
      </c>
      <c r="N72" s="10">
        <f t="shared" si="15"/>
        <v>0</v>
      </c>
      <c r="O72" s="10">
        <v>0</v>
      </c>
      <c r="P72" s="10">
        <f t="shared" si="16"/>
        <v>0</v>
      </c>
      <c r="Q72" s="17">
        <v>2.0310546874999984</v>
      </c>
      <c r="R72" s="18">
        <f t="shared" si="17"/>
        <v>2.0310546874999984</v>
      </c>
      <c r="S72" s="19">
        <f t="shared" si="18"/>
        <v>0</v>
      </c>
      <c r="T72" s="20">
        <f t="shared" si="19"/>
        <v>2.0310546874999984</v>
      </c>
    </row>
    <row r="73" spans="1:23" ht="17.399999999999999">
      <c r="A73" s="9">
        <v>1</v>
      </c>
      <c r="B73" s="8">
        <v>233</v>
      </c>
      <c r="C73" s="8">
        <v>1963965829</v>
      </c>
      <c r="D73" s="42" t="s">
        <v>114</v>
      </c>
      <c r="F73" s="10">
        <v>0</v>
      </c>
      <c r="G73" s="10">
        <v>0</v>
      </c>
      <c r="H73" s="50">
        <v>0</v>
      </c>
      <c r="I73" s="50">
        <v>0</v>
      </c>
      <c r="J73" s="50">
        <v>0</v>
      </c>
      <c r="K73" s="39" t="s">
        <v>30</v>
      </c>
      <c r="L73" s="11">
        <f t="shared" si="14"/>
        <v>0</v>
      </c>
      <c r="M73" s="10">
        <f t="shared" si="20"/>
        <v>0</v>
      </c>
      <c r="N73" s="10">
        <f t="shared" si="15"/>
        <v>0</v>
      </c>
      <c r="O73" s="10">
        <v>0</v>
      </c>
      <c r="P73" s="10">
        <f t="shared" si="16"/>
        <v>0</v>
      </c>
      <c r="Q73" s="17">
        <v>2.0000000000000018</v>
      </c>
      <c r="R73" s="18">
        <f t="shared" si="17"/>
        <v>2.0000000000000018</v>
      </c>
      <c r="S73" s="19">
        <f t="shared" si="18"/>
        <v>0</v>
      </c>
      <c r="T73" s="20">
        <f t="shared" si="19"/>
        <v>2.0000000000000018</v>
      </c>
    </row>
    <row r="74" spans="1:23" ht="17.399999999999999">
      <c r="A74" s="70">
        <v>1</v>
      </c>
      <c r="B74" s="8">
        <v>207</v>
      </c>
      <c r="C74" s="8">
        <v>721273803</v>
      </c>
      <c r="D74" s="42" t="s">
        <v>81</v>
      </c>
      <c r="E74" s="47"/>
      <c r="F74" s="10">
        <v>0</v>
      </c>
      <c r="G74" s="10">
        <v>0</v>
      </c>
      <c r="H74" s="50">
        <v>0</v>
      </c>
      <c r="I74" s="50">
        <v>0</v>
      </c>
      <c r="J74" s="50">
        <v>0</v>
      </c>
      <c r="K74" s="39" t="s">
        <v>30</v>
      </c>
      <c r="L74" s="11">
        <f t="shared" si="14"/>
        <v>0</v>
      </c>
      <c r="M74" s="10">
        <f t="shared" si="20"/>
        <v>0</v>
      </c>
      <c r="N74" s="10">
        <f t="shared" si="15"/>
        <v>0</v>
      </c>
      <c r="O74" s="10">
        <v>0</v>
      </c>
      <c r="P74" s="10">
        <f t="shared" si="16"/>
        <v>0</v>
      </c>
      <c r="Q74" s="17">
        <v>1.425</v>
      </c>
      <c r="R74" s="18">
        <f t="shared" si="17"/>
        <v>1.425</v>
      </c>
      <c r="S74" s="19">
        <f t="shared" si="18"/>
        <v>0</v>
      </c>
      <c r="T74" s="20">
        <f t="shared" si="19"/>
        <v>1.425</v>
      </c>
    </row>
    <row r="75" spans="1:23" ht="17.399999999999999">
      <c r="A75" s="9">
        <v>1</v>
      </c>
      <c r="B75" s="8">
        <v>242</v>
      </c>
      <c r="C75" s="8">
        <v>250098915</v>
      </c>
      <c r="D75" s="42" t="s">
        <v>131</v>
      </c>
      <c r="F75" s="10">
        <v>0</v>
      </c>
      <c r="G75" s="10">
        <v>0</v>
      </c>
      <c r="H75" s="50">
        <v>0</v>
      </c>
      <c r="I75" s="50">
        <v>0</v>
      </c>
      <c r="J75" s="50">
        <v>0</v>
      </c>
      <c r="K75" s="39" t="s">
        <v>30</v>
      </c>
      <c r="L75" s="11">
        <f t="shared" si="14"/>
        <v>0</v>
      </c>
      <c r="M75" s="10">
        <f t="shared" si="20"/>
        <v>0</v>
      </c>
      <c r="N75" s="10">
        <f t="shared" si="15"/>
        <v>0</v>
      </c>
      <c r="O75" s="10">
        <v>0</v>
      </c>
      <c r="P75" s="10">
        <f t="shared" si="16"/>
        <v>0</v>
      </c>
      <c r="Q75" s="17">
        <v>0.90625</v>
      </c>
      <c r="R75" s="18">
        <f t="shared" si="17"/>
        <v>0.90625</v>
      </c>
      <c r="S75" s="19">
        <f t="shared" si="18"/>
        <v>0</v>
      </c>
      <c r="T75" s="20">
        <f t="shared" si="19"/>
        <v>0.90625</v>
      </c>
    </row>
    <row r="76" spans="1:23" ht="17.399999999999999">
      <c r="A76" s="70">
        <v>1</v>
      </c>
      <c r="B76" s="8">
        <v>242</v>
      </c>
      <c r="C76" s="8">
        <v>1769984287</v>
      </c>
      <c r="D76" s="42" t="s">
        <v>132</v>
      </c>
      <c r="F76" s="10">
        <v>0</v>
      </c>
      <c r="G76" s="10">
        <v>0</v>
      </c>
      <c r="H76" s="50">
        <v>0</v>
      </c>
      <c r="I76" s="50">
        <v>0</v>
      </c>
      <c r="J76" s="50">
        <v>0</v>
      </c>
      <c r="K76" s="39" t="s">
        <v>30</v>
      </c>
      <c r="L76" s="11">
        <f t="shared" si="14"/>
        <v>0</v>
      </c>
      <c r="M76" s="10">
        <f t="shared" si="20"/>
        <v>0</v>
      </c>
      <c r="N76" s="10">
        <f t="shared" si="15"/>
        <v>0</v>
      </c>
      <c r="O76" s="10">
        <v>0</v>
      </c>
      <c r="P76" s="10">
        <f t="shared" si="16"/>
        <v>0</v>
      </c>
      <c r="Q76" s="17">
        <v>0.65000000000000036</v>
      </c>
      <c r="R76" s="18">
        <f t="shared" si="17"/>
        <v>0.65000000000000036</v>
      </c>
      <c r="S76" s="19">
        <f t="shared" si="18"/>
        <v>0</v>
      </c>
      <c r="T76" s="20">
        <f t="shared" si="19"/>
        <v>0.65000000000000036</v>
      </c>
    </row>
    <row r="77" spans="1:23" ht="17.399999999999999">
      <c r="A77" s="9">
        <v>1</v>
      </c>
      <c r="B77" s="8">
        <v>218</v>
      </c>
      <c r="C77" s="8">
        <v>1804880865</v>
      </c>
      <c r="D77" s="42" t="s">
        <v>92</v>
      </c>
      <c r="E77" s="47"/>
      <c r="F77" s="10">
        <v>0</v>
      </c>
      <c r="G77" s="10">
        <v>0</v>
      </c>
      <c r="H77" s="50">
        <v>0</v>
      </c>
      <c r="I77" s="50">
        <v>0</v>
      </c>
      <c r="J77" s="50">
        <v>0</v>
      </c>
      <c r="K77" s="39" t="s">
        <v>30</v>
      </c>
      <c r="L77" s="11">
        <f t="shared" si="14"/>
        <v>0</v>
      </c>
      <c r="M77" s="10">
        <f t="shared" si="20"/>
        <v>0</v>
      </c>
      <c r="N77" s="10">
        <f t="shared" si="15"/>
        <v>0</v>
      </c>
      <c r="O77" s="10">
        <v>0</v>
      </c>
      <c r="P77" s="10">
        <f t="shared" si="16"/>
        <v>0</v>
      </c>
      <c r="Q77" s="17">
        <v>0.11749999999999983</v>
      </c>
      <c r="R77" s="18">
        <f t="shared" si="17"/>
        <v>0.11749999999999983</v>
      </c>
      <c r="S77" s="19">
        <f t="shared" si="18"/>
        <v>0</v>
      </c>
      <c r="T77" s="20">
        <f t="shared" si="19"/>
        <v>0.11749999999999983</v>
      </c>
    </row>
    <row r="78" spans="1:23" ht="17.399999999999999">
      <c r="A78" s="70">
        <v>1</v>
      </c>
      <c r="B78" s="8">
        <v>217</v>
      </c>
      <c r="C78" s="8">
        <v>331155825</v>
      </c>
      <c r="D78" s="46" t="s">
        <v>89</v>
      </c>
      <c r="E78" s="2"/>
      <c r="F78" s="10">
        <v>0</v>
      </c>
      <c r="G78" s="10">
        <v>0</v>
      </c>
      <c r="H78" s="50">
        <v>0</v>
      </c>
      <c r="I78" s="50">
        <v>0</v>
      </c>
      <c r="J78" s="50">
        <v>0</v>
      </c>
      <c r="K78" s="39" t="s">
        <v>30</v>
      </c>
      <c r="L78" s="11">
        <f t="shared" si="14"/>
        <v>0</v>
      </c>
      <c r="M78" s="10">
        <f t="shared" si="20"/>
        <v>0</v>
      </c>
      <c r="N78" s="10">
        <f t="shared" si="15"/>
        <v>0</v>
      </c>
      <c r="O78" s="10">
        <v>0</v>
      </c>
      <c r="P78" s="10">
        <f t="shared" si="16"/>
        <v>0</v>
      </c>
      <c r="Q78" s="17">
        <v>-1.3124999999999984</v>
      </c>
      <c r="R78" s="18">
        <f t="shared" si="17"/>
        <v>-1.3124999999999984</v>
      </c>
      <c r="S78" s="19">
        <f t="shared" si="18"/>
        <v>0</v>
      </c>
      <c r="T78" s="20">
        <f t="shared" si="19"/>
        <v>-1.3124999999999984</v>
      </c>
    </row>
    <row r="79" spans="1:23" ht="17.399999999999999">
      <c r="A79" s="9">
        <v>1</v>
      </c>
      <c r="B79" s="8">
        <v>237</v>
      </c>
      <c r="C79" s="8">
        <v>1331532576</v>
      </c>
      <c r="D79" s="42" t="s">
        <v>119</v>
      </c>
      <c r="F79" s="10">
        <v>0</v>
      </c>
      <c r="G79" s="10">
        <v>0</v>
      </c>
      <c r="H79" s="50">
        <v>0</v>
      </c>
      <c r="I79" s="50">
        <v>0</v>
      </c>
      <c r="J79" s="50">
        <v>0</v>
      </c>
      <c r="K79" s="39" t="s">
        <v>30</v>
      </c>
      <c r="L79" s="11">
        <f t="shared" si="14"/>
        <v>0</v>
      </c>
      <c r="M79" s="10">
        <f t="shared" si="20"/>
        <v>0</v>
      </c>
      <c r="N79" s="10">
        <f t="shared" si="15"/>
        <v>0</v>
      </c>
      <c r="O79" s="10">
        <v>0</v>
      </c>
      <c r="P79" s="10">
        <f t="shared" si="16"/>
        <v>0</v>
      </c>
      <c r="Q79" s="17">
        <v>-2.5499999999999998</v>
      </c>
      <c r="R79" s="18">
        <f t="shared" si="17"/>
        <v>-2.5499999999999998</v>
      </c>
      <c r="S79" s="19">
        <f t="shared" si="18"/>
        <v>0</v>
      </c>
      <c r="T79" s="20">
        <f t="shared" si="19"/>
        <v>-2.5499999999999998</v>
      </c>
    </row>
    <row r="80" spans="1:23" ht="17.399999999999999">
      <c r="A80" s="70">
        <v>1</v>
      </c>
      <c r="B80" s="8">
        <v>228</v>
      </c>
      <c r="C80" s="8">
        <v>1287481910</v>
      </c>
      <c r="D80" s="42" t="s">
        <v>109</v>
      </c>
      <c r="E80" s="42"/>
      <c r="F80" s="10">
        <v>0</v>
      </c>
      <c r="G80" s="10">
        <v>0</v>
      </c>
      <c r="H80" s="50">
        <v>0</v>
      </c>
      <c r="I80" s="50">
        <v>0</v>
      </c>
      <c r="J80" s="50">
        <v>0</v>
      </c>
      <c r="K80" s="39" t="s">
        <v>30</v>
      </c>
      <c r="L80" s="11">
        <f t="shared" si="14"/>
        <v>0</v>
      </c>
      <c r="M80" s="10">
        <f t="shared" si="20"/>
        <v>0</v>
      </c>
      <c r="N80" s="10">
        <f t="shared" si="15"/>
        <v>0</v>
      </c>
      <c r="O80" s="10">
        <v>0</v>
      </c>
      <c r="P80" s="10">
        <f t="shared" si="16"/>
        <v>0</v>
      </c>
      <c r="Q80" s="17">
        <v>-4.1499999999999995</v>
      </c>
      <c r="R80" s="18">
        <f t="shared" si="17"/>
        <v>-4.1499999999999995</v>
      </c>
      <c r="S80" s="19">
        <f t="shared" si="18"/>
        <v>0</v>
      </c>
      <c r="T80" s="20">
        <f t="shared" si="19"/>
        <v>-4.1499999999999995</v>
      </c>
    </row>
    <row r="81" spans="1:23" ht="17.399999999999999">
      <c r="A81" s="9">
        <v>1</v>
      </c>
      <c r="B81" s="8">
        <v>235</v>
      </c>
      <c r="C81" s="8">
        <v>988684940</v>
      </c>
      <c r="D81" s="42" t="s">
        <v>116</v>
      </c>
      <c r="F81" s="10">
        <v>0</v>
      </c>
      <c r="G81" s="10">
        <v>0</v>
      </c>
      <c r="H81" s="50">
        <v>0</v>
      </c>
      <c r="I81" s="50">
        <v>0</v>
      </c>
      <c r="J81" s="50">
        <v>0</v>
      </c>
      <c r="K81" s="39" t="s">
        <v>30</v>
      </c>
      <c r="L81" s="11">
        <f t="shared" si="14"/>
        <v>0</v>
      </c>
      <c r="M81" s="10">
        <f t="shared" si="20"/>
        <v>0</v>
      </c>
      <c r="N81" s="10">
        <f t="shared" si="15"/>
        <v>0</v>
      </c>
      <c r="O81" s="10">
        <v>0</v>
      </c>
      <c r="P81" s="10">
        <f t="shared" si="16"/>
        <v>0</v>
      </c>
      <c r="Q81" s="17">
        <v>-7.125</v>
      </c>
      <c r="R81" s="18">
        <f t="shared" si="17"/>
        <v>-7.125</v>
      </c>
      <c r="S81" s="19">
        <f t="shared" si="18"/>
        <v>0</v>
      </c>
      <c r="T81" s="20">
        <f t="shared" si="19"/>
        <v>-7.125</v>
      </c>
    </row>
    <row r="82" spans="1:23" ht="17.399999999999999">
      <c r="A82" s="70">
        <v>1</v>
      </c>
      <c r="B82" s="8">
        <v>141</v>
      </c>
      <c r="C82" s="8">
        <v>1190305158</v>
      </c>
      <c r="D82" s="42" t="s">
        <v>44</v>
      </c>
      <c r="E82" s="44"/>
      <c r="F82" s="10">
        <v>0</v>
      </c>
      <c r="G82" s="10">
        <v>0</v>
      </c>
      <c r="H82" s="50">
        <v>0</v>
      </c>
      <c r="I82" s="50">
        <v>0</v>
      </c>
      <c r="J82" s="50">
        <v>0</v>
      </c>
      <c r="K82" s="39" t="s">
        <v>30</v>
      </c>
      <c r="L82" s="11">
        <f t="shared" si="14"/>
        <v>0</v>
      </c>
      <c r="M82" s="10">
        <f t="shared" si="20"/>
        <v>0</v>
      </c>
      <c r="N82" s="10">
        <f t="shared" si="15"/>
        <v>0</v>
      </c>
      <c r="O82" s="10">
        <v>0</v>
      </c>
      <c r="P82" s="10">
        <f t="shared" si="16"/>
        <v>0</v>
      </c>
      <c r="Q82" s="17">
        <v>-7.8937500000000043</v>
      </c>
      <c r="R82" s="18">
        <f t="shared" si="17"/>
        <v>-7.8937500000000043</v>
      </c>
      <c r="S82" s="19">
        <f t="shared" si="18"/>
        <v>0</v>
      </c>
      <c r="T82" s="20">
        <f t="shared" si="19"/>
        <v>-7.8937500000000043</v>
      </c>
      <c r="U82" s="40"/>
      <c r="V82" s="40"/>
      <c r="W82" s="41"/>
    </row>
    <row r="83" spans="1:23" ht="17.399999999999999">
      <c r="A83" s="9">
        <v>1</v>
      </c>
      <c r="B83" s="8">
        <v>203</v>
      </c>
      <c r="C83" s="8">
        <v>382695365</v>
      </c>
      <c r="D83" s="42" t="s">
        <v>78</v>
      </c>
      <c r="E83" s="47"/>
      <c r="F83" s="10">
        <v>0</v>
      </c>
      <c r="G83" s="10">
        <v>0</v>
      </c>
      <c r="H83" s="50">
        <v>0</v>
      </c>
      <c r="I83" s="50">
        <v>0</v>
      </c>
      <c r="J83" s="50">
        <v>0</v>
      </c>
      <c r="K83" s="39" t="s">
        <v>30</v>
      </c>
      <c r="L83" s="11">
        <f t="shared" si="14"/>
        <v>0</v>
      </c>
      <c r="M83" s="10">
        <f t="shared" si="20"/>
        <v>0</v>
      </c>
      <c r="N83" s="10">
        <f t="shared" si="15"/>
        <v>0</v>
      </c>
      <c r="O83" s="10">
        <v>0</v>
      </c>
      <c r="P83" s="10">
        <f t="shared" si="16"/>
        <v>0</v>
      </c>
      <c r="Q83" s="17">
        <v>-16.90625</v>
      </c>
      <c r="R83" s="18">
        <f t="shared" si="17"/>
        <v>-16.90625</v>
      </c>
      <c r="S83" s="19">
        <f t="shared" si="18"/>
        <v>0</v>
      </c>
      <c r="T83" s="20">
        <f t="shared" si="19"/>
        <v>-16.90625</v>
      </c>
    </row>
  </sheetData>
  <autoFilter ref="A4:W83" xr:uid="{28593B8F-03E7-4BE1-B554-FC0AADC431B2}">
    <filterColumn colId="0">
      <filters>
        <filter val="1"/>
      </filters>
    </filterColumn>
    <sortState xmlns:xlrd2="http://schemas.microsoft.com/office/spreadsheetml/2017/richdata2" ref="A5:W83">
      <sortCondition descending="1" ref="R4:R83"/>
    </sortState>
  </autoFilter>
  <mergeCells count="5">
    <mergeCell ref="B1:T1"/>
    <mergeCell ref="B2:T2"/>
    <mergeCell ref="B3:E3"/>
    <mergeCell ref="H3:J3"/>
    <mergeCell ref="K3:T3"/>
  </mergeCells>
  <conditionalFormatting sqref="O5:O82 F5:J83">
    <cfRule type="cellIs" dxfId="9" priority="3" operator="lessThan">
      <formula>1</formula>
    </cfRule>
  </conditionalFormatting>
  <conditionalFormatting sqref="O83">
    <cfRule type="cellIs" dxfId="8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142DC-2C4C-4148-A415-E25643A7775C}">
  <sheetPr filterMode="1"/>
  <dimension ref="A1:AC83"/>
  <sheetViews>
    <sheetView zoomScale="70" zoomScaleNormal="70" workbookViewId="0">
      <selection activeCell="T5" sqref="T5:T83"/>
    </sheetView>
  </sheetViews>
  <sheetFormatPr defaultColWidth="9" defaultRowHeight="14.4"/>
  <cols>
    <col min="1" max="1" width="6.44140625" customWidth="1"/>
    <col min="2" max="2" width="6.6640625" style="4" customWidth="1"/>
    <col min="3" max="3" width="19.77734375" style="5" customWidth="1"/>
    <col min="4" max="4" width="21.21875" style="5" customWidth="1"/>
    <col min="5" max="5" width="18.33203125" style="4" customWidth="1"/>
    <col min="6" max="6" width="13.109375" style="4" customWidth="1"/>
    <col min="7" max="7" width="13.77734375" style="4" customWidth="1"/>
    <col min="8" max="8" width="5.77734375" style="4" customWidth="1"/>
    <col min="9" max="9" width="5.88671875" style="4" customWidth="1"/>
    <col min="10" max="10" width="5.77734375" style="4" customWidth="1"/>
    <col min="11" max="11" width="20" style="4" customWidth="1"/>
    <col min="12" max="12" width="9" style="4" customWidth="1"/>
    <col min="13" max="13" width="12.109375" style="4" customWidth="1"/>
    <col min="14" max="14" width="11.33203125" style="4" customWidth="1"/>
    <col min="15" max="15" width="10" style="4" customWidth="1"/>
    <col min="16" max="16" width="9" style="4" customWidth="1"/>
    <col min="17" max="17" width="12.88671875" style="4" customWidth="1"/>
    <col min="18" max="18" width="12" style="4" customWidth="1"/>
    <col min="19" max="19" width="9.21875" style="4" customWidth="1"/>
    <col min="20" max="20" width="12.6640625" style="4" customWidth="1"/>
    <col min="21" max="23" width="11.109375" style="21" customWidth="1"/>
    <col min="24" max="24" width="22.44140625" customWidth="1"/>
  </cols>
  <sheetData>
    <row r="1" spans="1:29" ht="36.6" customHeight="1">
      <c r="B1" s="99" t="str">
        <f>CONCATENATE("157区 活动中心",Y15,"年",Y16,"月",Y17,"日","分包贡献明细"," 统计：一二三")</f>
        <v>157区 活动中心2021年12月11日分包贡献明细 统计：一二三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62"/>
      <c r="V1" s="62"/>
      <c r="W1" s="62"/>
      <c r="X1" s="22" t="s">
        <v>12</v>
      </c>
      <c r="Y1" s="5">
        <v>63</v>
      </c>
      <c r="Z1" s="3"/>
      <c r="AA1" s="3"/>
      <c r="AB1" s="3"/>
      <c r="AC1" s="3"/>
    </row>
    <row r="2" spans="1:29" ht="123" customHeight="1">
      <c r="B2" s="101" t="s">
        <v>126</v>
      </c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63"/>
      <c r="V2" s="63"/>
      <c r="W2" s="63"/>
      <c r="X2" s="23" t="s">
        <v>0</v>
      </c>
      <c r="Y2" s="24" t="s">
        <v>13</v>
      </c>
      <c r="Z2" s="25" t="s">
        <v>14</v>
      </c>
      <c r="AA2" s="25" t="s">
        <v>15</v>
      </c>
      <c r="AB2" s="25" t="s">
        <v>56</v>
      </c>
      <c r="AC2" s="26" t="s">
        <v>16</v>
      </c>
    </row>
    <row r="3" spans="1:29" ht="20.399999999999999">
      <c r="B3" s="104" t="s">
        <v>20</v>
      </c>
      <c r="C3" s="104"/>
      <c r="D3" s="104"/>
      <c r="E3" s="104"/>
      <c r="F3" s="64" t="s">
        <v>17</v>
      </c>
      <c r="G3" s="65" t="s">
        <v>39</v>
      </c>
      <c r="H3" s="105" t="s">
        <v>99</v>
      </c>
      <c r="I3" s="105"/>
      <c r="J3" s="105"/>
      <c r="K3" s="106" t="s">
        <v>21</v>
      </c>
      <c r="L3" s="107"/>
      <c r="M3" s="107"/>
      <c r="N3" s="107"/>
      <c r="O3" s="107"/>
      <c r="P3" s="107"/>
      <c r="Q3" s="107"/>
      <c r="R3" s="107"/>
      <c r="S3" s="107"/>
      <c r="T3" s="108"/>
      <c r="U3" s="61"/>
      <c r="V3" s="61"/>
      <c r="W3" s="61"/>
      <c r="X3" s="27" t="s">
        <v>22</v>
      </c>
      <c r="Y3" s="28">
        <f>AC3/$Y$13</f>
        <v>11.875</v>
      </c>
      <c r="Z3" s="23">
        <v>5</v>
      </c>
      <c r="AA3" s="23">
        <v>7</v>
      </c>
      <c r="AB3" s="23">
        <v>20</v>
      </c>
      <c r="AC3" s="23">
        <v>1900</v>
      </c>
    </row>
    <row r="4" spans="1:29" ht="40.799999999999997">
      <c r="A4" s="95" t="s">
        <v>117</v>
      </c>
      <c r="B4" s="95" t="s">
        <v>2</v>
      </c>
      <c r="C4" s="60" t="s">
        <v>23</v>
      </c>
      <c r="D4" s="95" t="s">
        <v>3</v>
      </c>
      <c r="E4" s="95" t="s">
        <v>4</v>
      </c>
      <c r="F4" s="6" t="s">
        <v>40</v>
      </c>
      <c r="G4" s="7" t="s">
        <v>91</v>
      </c>
      <c r="H4" s="7" t="s">
        <v>100</v>
      </c>
      <c r="I4" s="7" t="s">
        <v>101</v>
      </c>
      <c r="J4" s="7" t="s">
        <v>102</v>
      </c>
      <c r="K4" s="6" t="s">
        <v>5</v>
      </c>
      <c r="L4" s="6" t="s">
        <v>24</v>
      </c>
      <c r="M4" s="7" t="s">
        <v>41</v>
      </c>
      <c r="N4" s="7" t="s">
        <v>104</v>
      </c>
      <c r="O4" s="7" t="s">
        <v>45</v>
      </c>
      <c r="P4" s="15" t="s">
        <v>25</v>
      </c>
      <c r="Q4" s="60" t="s">
        <v>26</v>
      </c>
      <c r="R4" s="16" t="s">
        <v>7</v>
      </c>
      <c r="S4" s="60" t="s">
        <v>6</v>
      </c>
      <c r="T4" s="60" t="s">
        <v>27</v>
      </c>
      <c r="U4" s="60" t="s">
        <v>18</v>
      </c>
      <c r="V4" s="60" t="s">
        <v>19</v>
      </c>
      <c r="W4" s="60" t="s">
        <v>1</v>
      </c>
      <c r="X4" s="29" t="s">
        <v>28</v>
      </c>
      <c r="Y4" s="28">
        <f>AC4/$Y$13</f>
        <v>9.6875</v>
      </c>
      <c r="Z4" s="23">
        <v>4</v>
      </c>
      <c r="AA4" s="23">
        <v>6</v>
      </c>
      <c r="AB4" s="23">
        <v>15</v>
      </c>
      <c r="AC4" s="23">
        <v>1550</v>
      </c>
    </row>
    <row r="5" spans="1:29" s="1" customFormat="1" ht="17.399999999999999">
      <c r="A5" s="9">
        <v>1</v>
      </c>
      <c r="B5" s="8">
        <v>178</v>
      </c>
      <c r="C5" s="8">
        <v>1059185275</v>
      </c>
      <c r="D5" s="42" t="s">
        <v>66</v>
      </c>
      <c r="E5" s="47"/>
      <c r="F5" s="10">
        <v>4</v>
      </c>
      <c r="G5" s="10">
        <v>1</v>
      </c>
      <c r="H5" s="50">
        <v>0</v>
      </c>
      <c r="I5" s="50">
        <v>1</v>
      </c>
      <c r="J5" s="50">
        <v>1</v>
      </c>
      <c r="K5" s="12" t="s">
        <v>51</v>
      </c>
      <c r="L5" s="11">
        <f t="shared" ref="L5:L36" si="0">F5+IF(F5&gt;2,(F5-2)*1,0)</f>
        <v>6</v>
      </c>
      <c r="M5" s="10">
        <f t="shared" ref="M5:M22" si="1">G5*$Y$14</f>
        <v>1.2</v>
      </c>
      <c r="N5" s="10">
        <f t="shared" ref="N5:N36" si="2">SUM(H5:J5)*$Y$18</f>
        <v>0.8</v>
      </c>
      <c r="O5" s="10">
        <v>0</v>
      </c>
      <c r="P5" s="10">
        <f t="shared" ref="P5:P36" si="3">SUM(M5+L5+O5+N5)</f>
        <v>8</v>
      </c>
      <c r="Q5" s="17">
        <v>15.456250000000015</v>
      </c>
      <c r="R5" s="18">
        <f t="shared" ref="R5:R36" si="4">P5+Q5</f>
        <v>23.456250000000015</v>
      </c>
      <c r="S5" s="19">
        <f t="shared" ref="S5:S36" si="5">VLOOKUP(K5,$X$3:$Y$10,2,FALSE)</f>
        <v>8.125</v>
      </c>
      <c r="T5" s="20">
        <f t="shared" ref="T5:T36" si="6">R5-S5</f>
        <v>15.331250000000015</v>
      </c>
      <c r="U5" s="4"/>
      <c r="V5" s="4"/>
      <c r="W5" s="4"/>
      <c r="X5" s="14" t="s">
        <v>29</v>
      </c>
      <c r="Y5" s="28">
        <f>AC5/$Y$13/4</f>
        <v>1.875</v>
      </c>
      <c r="Z5" s="30">
        <v>3</v>
      </c>
      <c r="AA5" s="30">
        <v>5</v>
      </c>
      <c r="AB5" s="30">
        <v>10</v>
      </c>
      <c r="AC5" s="30">
        <v>1200</v>
      </c>
    </row>
    <row r="6" spans="1:29" s="1" customFormat="1" ht="20.399999999999999" hidden="1">
      <c r="A6" s="9">
        <v>0</v>
      </c>
      <c r="B6" s="8">
        <v>229</v>
      </c>
      <c r="C6" s="8">
        <v>1598972736</v>
      </c>
      <c r="D6" s="42" t="s">
        <v>110</v>
      </c>
      <c r="E6" s="42"/>
      <c r="F6" s="10">
        <v>0</v>
      </c>
      <c r="G6" s="10">
        <v>0</v>
      </c>
      <c r="H6" s="50">
        <v>0</v>
      </c>
      <c r="I6" s="50">
        <v>0</v>
      </c>
      <c r="J6" s="50">
        <v>0</v>
      </c>
      <c r="K6" s="39" t="s">
        <v>30</v>
      </c>
      <c r="L6" s="11">
        <f t="shared" si="0"/>
        <v>0</v>
      </c>
      <c r="M6" s="10">
        <f t="shared" si="1"/>
        <v>0</v>
      </c>
      <c r="N6" s="10">
        <f t="shared" si="2"/>
        <v>0</v>
      </c>
      <c r="O6" s="10">
        <v>0</v>
      </c>
      <c r="P6" s="10">
        <f t="shared" si="3"/>
        <v>0</v>
      </c>
      <c r="Q6" s="17">
        <v>10.211999999999989</v>
      </c>
      <c r="R6" s="18">
        <f t="shared" si="4"/>
        <v>10.211999999999989</v>
      </c>
      <c r="S6" s="19">
        <f t="shared" si="5"/>
        <v>0</v>
      </c>
      <c r="T6" s="20">
        <f t="shared" si="6"/>
        <v>10.211999999999989</v>
      </c>
      <c r="U6" s="4"/>
      <c r="V6" s="4"/>
      <c r="W6" s="4"/>
      <c r="X6" s="14"/>
      <c r="Y6" s="28"/>
      <c r="Z6" s="30"/>
      <c r="AA6" s="30"/>
      <c r="AB6" s="30"/>
      <c r="AC6" s="30"/>
    </row>
    <row r="7" spans="1:29" s="1" customFormat="1" ht="17.399999999999999">
      <c r="A7" s="9">
        <v>1</v>
      </c>
      <c r="B7" s="8">
        <v>246</v>
      </c>
      <c r="C7" s="8">
        <v>1192342148</v>
      </c>
      <c r="D7" s="42" t="s">
        <v>141</v>
      </c>
      <c r="E7" s="4"/>
      <c r="F7" s="10">
        <v>4</v>
      </c>
      <c r="G7" s="10">
        <v>1</v>
      </c>
      <c r="H7" s="50">
        <v>0</v>
      </c>
      <c r="I7" s="50">
        <v>0</v>
      </c>
      <c r="J7" s="50">
        <v>0</v>
      </c>
      <c r="K7" s="12" t="s">
        <v>51</v>
      </c>
      <c r="L7" s="11">
        <f t="shared" si="0"/>
        <v>6</v>
      </c>
      <c r="M7" s="10">
        <f t="shared" si="1"/>
        <v>1.2</v>
      </c>
      <c r="N7" s="10">
        <f t="shared" si="2"/>
        <v>0</v>
      </c>
      <c r="O7" s="10">
        <v>0</v>
      </c>
      <c r="P7" s="10">
        <f t="shared" si="3"/>
        <v>7.2</v>
      </c>
      <c r="Q7" s="17">
        <v>15.461904761904758</v>
      </c>
      <c r="R7" s="18">
        <f t="shared" si="4"/>
        <v>22.661904761904758</v>
      </c>
      <c r="S7" s="19">
        <f t="shared" si="5"/>
        <v>8.125</v>
      </c>
      <c r="T7" s="20">
        <f t="shared" si="6"/>
        <v>14.536904761904758</v>
      </c>
      <c r="U7" s="4"/>
      <c r="V7" s="4"/>
      <c r="W7" s="4"/>
      <c r="X7" s="12" t="s">
        <v>51</v>
      </c>
      <c r="Y7" s="28">
        <f>AC7/$Y$13</f>
        <v>8.125</v>
      </c>
      <c r="Z7" s="30">
        <v>4</v>
      </c>
      <c r="AA7" s="30">
        <v>5</v>
      </c>
      <c r="AB7" s="30"/>
      <c r="AC7" s="30">
        <v>1300</v>
      </c>
    </row>
    <row r="8" spans="1:29" s="1" customFormat="1" ht="17.399999999999999">
      <c r="A8" s="9">
        <v>1</v>
      </c>
      <c r="B8" s="8">
        <v>184</v>
      </c>
      <c r="C8" s="8">
        <v>1814130074</v>
      </c>
      <c r="D8" s="42" t="s">
        <v>147</v>
      </c>
      <c r="E8" s="42" t="s">
        <v>67</v>
      </c>
      <c r="F8" s="10">
        <v>4</v>
      </c>
      <c r="G8" s="10">
        <v>1</v>
      </c>
      <c r="H8" s="50">
        <v>0</v>
      </c>
      <c r="I8" s="50">
        <v>0</v>
      </c>
      <c r="J8" s="50">
        <v>0</v>
      </c>
      <c r="K8" s="12" t="s">
        <v>51</v>
      </c>
      <c r="L8" s="11">
        <f t="shared" si="0"/>
        <v>6</v>
      </c>
      <c r="M8" s="10">
        <f t="shared" si="1"/>
        <v>1.2</v>
      </c>
      <c r="N8" s="10">
        <f t="shared" si="2"/>
        <v>0</v>
      </c>
      <c r="O8" s="10">
        <v>0</v>
      </c>
      <c r="P8" s="10">
        <f t="shared" si="3"/>
        <v>7.2</v>
      </c>
      <c r="Q8" s="17">
        <v>14.61349206349206</v>
      </c>
      <c r="R8" s="18">
        <f t="shared" si="4"/>
        <v>21.81349206349206</v>
      </c>
      <c r="S8" s="19">
        <f t="shared" si="5"/>
        <v>8.125</v>
      </c>
      <c r="T8" s="20">
        <f t="shared" si="6"/>
        <v>13.68849206349206</v>
      </c>
      <c r="U8" s="4"/>
      <c r="V8" s="4"/>
      <c r="W8" s="4"/>
      <c r="X8" s="13" t="s">
        <v>52</v>
      </c>
      <c r="Y8" s="28">
        <f>AC8/$Y$13</f>
        <v>6.25</v>
      </c>
      <c r="Z8" s="30">
        <v>3</v>
      </c>
      <c r="AA8" s="30">
        <v>4</v>
      </c>
      <c r="AB8" s="30"/>
      <c r="AC8" s="30">
        <v>1000</v>
      </c>
    </row>
    <row r="9" spans="1:29" s="1" customFormat="1" ht="17.399999999999999">
      <c r="A9" s="9">
        <v>1</v>
      </c>
      <c r="B9" s="8">
        <v>185</v>
      </c>
      <c r="C9" s="8">
        <v>30705222</v>
      </c>
      <c r="D9" s="42" t="s">
        <v>68</v>
      </c>
      <c r="E9" s="47"/>
      <c r="F9" s="10">
        <v>4</v>
      </c>
      <c r="G9" s="10">
        <v>1</v>
      </c>
      <c r="H9" s="50">
        <v>0</v>
      </c>
      <c r="I9" s="50">
        <v>1</v>
      </c>
      <c r="J9" s="50">
        <v>0</v>
      </c>
      <c r="K9" s="12" t="s">
        <v>51</v>
      </c>
      <c r="L9" s="11">
        <f t="shared" si="0"/>
        <v>6</v>
      </c>
      <c r="M9" s="10">
        <f t="shared" si="1"/>
        <v>1.2</v>
      </c>
      <c r="N9" s="10">
        <f t="shared" si="2"/>
        <v>0.4</v>
      </c>
      <c r="O9" s="10">
        <v>0</v>
      </c>
      <c r="P9" s="10">
        <f t="shared" si="3"/>
        <v>7.6000000000000005</v>
      </c>
      <c r="Q9" s="17">
        <v>13.93573694029849</v>
      </c>
      <c r="R9" s="18">
        <f t="shared" si="4"/>
        <v>21.535736940298492</v>
      </c>
      <c r="S9" s="19">
        <f t="shared" si="5"/>
        <v>8.125</v>
      </c>
      <c r="T9" s="20">
        <f t="shared" si="6"/>
        <v>13.410736940298492</v>
      </c>
      <c r="U9" s="4"/>
      <c r="V9" s="4"/>
      <c r="W9" s="4"/>
      <c r="X9" s="14" t="s">
        <v>53</v>
      </c>
      <c r="Y9" s="28">
        <f>AC9/$Y$13/4</f>
        <v>1.09375</v>
      </c>
      <c r="Z9" s="30">
        <v>2</v>
      </c>
      <c r="AA9" s="30">
        <v>3</v>
      </c>
      <c r="AB9" s="30"/>
      <c r="AC9" s="30">
        <v>700</v>
      </c>
    </row>
    <row r="10" spans="1:29" s="1" customFormat="1" ht="17.399999999999999" hidden="1">
      <c r="A10" s="9">
        <v>0</v>
      </c>
      <c r="B10" s="8">
        <v>187</v>
      </c>
      <c r="C10" s="8">
        <v>1241038267</v>
      </c>
      <c r="D10" s="42" t="s">
        <v>69</v>
      </c>
      <c r="E10" s="47"/>
      <c r="F10" s="10">
        <v>0</v>
      </c>
      <c r="G10" s="10">
        <v>0</v>
      </c>
      <c r="H10" s="50">
        <v>0</v>
      </c>
      <c r="I10" s="50">
        <v>0</v>
      </c>
      <c r="J10" s="50">
        <v>0</v>
      </c>
      <c r="K10" s="39" t="s">
        <v>30</v>
      </c>
      <c r="L10" s="11">
        <f t="shared" si="0"/>
        <v>0</v>
      </c>
      <c r="M10" s="10">
        <f t="shared" si="1"/>
        <v>0</v>
      </c>
      <c r="N10" s="10">
        <f t="shared" si="2"/>
        <v>0</v>
      </c>
      <c r="O10" s="10">
        <v>0</v>
      </c>
      <c r="P10" s="10">
        <f t="shared" si="3"/>
        <v>0</v>
      </c>
      <c r="Q10" s="17">
        <v>10.12259615384615</v>
      </c>
      <c r="R10" s="18">
        <f t="shared" si="4"/>
        <v>10.12259615384615</v>
      </c>
      <c r="S10" s="19">
        <f t="shared" si="5"/>
        <v>0</v>
      </c>
      <c r="T10" s="20">
        <f t="shared" si="6"/>
        <v>10.12259615384615</v>
      </c>
      <c r="U10" s="4"/>
      <c r="V10" s="4"/>
      <c r="W10" s="4"/>
      <c r="X10" s="33" t="s">
        <v>30</v>
      </c>
      <c r="Y10" s="2">
        <v>0</v>
      </c>
      <c r="Z10" s="2"/>
      <c r="AA10" s="2"/>
      <c r="AB10" s="2"/>
      <c r="AC10" s="2"/>
    </row>
    <row r="11" spans="1:29" s="1" customFormat="1" ht="17.399999999999999">
      <c r="A11" s="9">
        <v>1</v>
      </c>
      <c r="B11" s="8">
        <v>253</v>
      </c>
      <c r="C11" s="8">
        <v>18663026649</v>
      </c>
      <c r="D11" s="42" t="s">
        <v>153</v>
      </c>
      <c r="E11" s="4"/>
      <c r="F11" s="10">
        <v>4</v>
      </c>
      <c r="G11" s="10">
        <v>1</v>
      </c>
      <c r="H11" s="50">
        <v>0</v>
      </c>
      <c r="I11" s="50">
        <v>0</v>
      </c>
      <c r="J11" s="50">
        <v>0</v>
      </c>
      <c r="K11" s="12" t="s">
        <v>51</v>
      </c>
      <c r="L11" s="11">
        <f t="shared" si="0"/>
        <v>6</v>
      </c>
      <c r="M11" s="10">
        <f t="shared" si="1"/>
        <v>1.2</v>
      </c>
      <c r="N11" s="10">
        <f t="shared" si="2"/>
        <v>0</v>
      </c>
      <c r="O11" s="10">
        <v>0</v>
      </c>
      <c r="P11" s="10">
        <f t="shared" si="3"/>
        <v>7.2</v>
      </c>
      <c r="Q11" s="17">
        <v>14.243749999999999</v>
      </c>
      <c r="R11" s="18">
        <f t="shared" si="4"/>
        <v>21.443749999999998</v>
      </c>
      <c r="S11" s="19">
        <f t="shared" si="5"/>
        <v>8.125</v>
      </c>
      <c r="T11" s="20">
        <f t="shared" si="6"/>
        <v>13.318749999999998</v>
      </c>
      <c r="U11" s="2"/>
      <c r="V11" s="4"/>
      <c r="W11" s="4"/>
      <c r="X11" s="34"/>
    </row>
    <row r="12" spans="1:29" s="1" customFormat="1" ht="17.399999999999999">
      <c r="A12" s="9">
        <v>1</v>
      </c>
      <c r="B12" s="9">
        <v>231</v>
      </c>
      <c r="C12" s="8">
        <v>1725915293</v>
      </c>
      <c r="D12" s="42" t="s">
        <v>112</v>
      </c>
      <c r="E12" s="4"/>
      <c r="F12" s="10">
        <v>4</v>
      </c>
      <c r="G12" s="10">
        <v>1</v>
      </c>
      <c r="H12" s="50">
        <v>0</v>
      </c>
      <c r="I12" s="50">
        <v>0</v>
      </c>
      <c r="J12" s="50">
        <v>0</v>
      </c>
      <c r="K12" s="12" t="s">
        <v>51</v>
      </c>
      <c r="L12" s="11">
        <f t="shared" si="0"/>
        <v>6</v>
      </c>
      <c r="M12" s="10">
        <f t="shared" si="1"/>
        <v>1.2</v>
      </c>
      <c r="N12" s="10">
        <f t="shared" si="2"/>
        <v>0</v>
      </c>
      <c r="O12" s="10">
        <v>0</v>
      </c>
      <c r="P12" s="10">
        <f t="shared" si="3"/>
        <v>7.2</v>
      </c>
      <c r="Q12" s="17">
        <v>14</v>
      </c>
      <c r="R12" s="18">
        <f t="shared" si="4"/>
        <v>21.2</v>
      </c>
      <c r="S12" s="19">
        <f t="shared" si="5"/>
        <v>8.125</v>
      </c>
      <c r="T12" s="20">
        <f t="shared" si="6"/>
        <v>13.074999999999999</v>
      </c>
      <c r="U12" s="4"/>
      <c r="V12" s="4"/>
      <c r="W12" s="4"/>
      <c r="X12" s="35" t="s">
        <v>32</v>
      </c>
      <c r="Y12" s="1">
        <v>15000</v>
      </c>
    </row>
    <row r="13" spans="1:29" s="2" customFormat="1" ht="17.399999999999999">
      <c r="A13" s="9">
        <v>1</v>
      </c>
      <c r="B13" s="8">
        <v>216</v>
      </c>
      <c r="C13" s="8">
        <v>395700385</v>
      </c>
      <c r="D13" s="42" t="s">
        <v>88</v>
      </c>
      <c r="F13" s="10">
        <v>4</v>
      </c>
      <c r="G13" s="10">
        <v>1</v>
      </c>
      <c r="H13" s="50">
        <v>0</v>
      </c>
      <c r="I13" s="50">
        <v>0</v>
      </c>
      <c r="J13" s="50">
        <v>0</v>
      </c>
      <c r="K13" s="12" t="s">
        <v>51</v>
      </c>
      <c r="L13" s="11">
        <f t="shared" si="0"/>
        <v>6</v>
      </c>
      <c r="M13" s="10">
        <f t="shared" si="1"/>
        <v>1.2</v>
      </c>
      <c r="N13" s="10">
        <f t="shared" si="2"/>
        <v>0</v>
      </c>
      <c r="O13" s="10">
        <v>0</v>
      </c>
      <c r="P13" s="10">
        <f t="shared" si="3"/>
        <v>7.2</v>
      </c>
      <c r="Q13" s="17">
        <v>13.668749999999999</v>
      </c>
      <c r="R13" s="18">
        <f t="shared" si="4"/>
        <v>20.868749999999999</v>
      </c>
      <c r="S13" s="19">
        <f t="shared" si="5"/>
        <v>8.125</v>
      </c>
      <c r="T13" s="20">
        <f t="shared" si="6"/>
        <v>12.743749999999999</v>
      </c>
      <c r="U13" s="4"/>
      <c r="V13" s="4"/>
      <c r="W13" s="4"/>
      <c r="X13" s="36" t="s">
        <v>33</v>
      </c>
      <c r="Y13" s="37">
        <v>160</v>
      </c>
      <c r="Z13" s="1"/>
      <c r="AA13" s="1"/>
      <c r="AB13" s="1"/>
      <c r="AC13" s="1"/>
    </row>
    <row r="14" spans="1:29" s="2" customFormat="1" ht="17.399999999999999">
      <c r="A14" s="9">
        <v>1</v>
      </c>
      <c r="B14" s="8">
        <v>209</v>
      </c>
      <c r="C14" s="8">
        <v>1525950050</v>
      </c>
      <c r="D14" s="42" t="s">
        <v>85</v>
      </c>
      <c r="E14" s="42" t="s">
        <v>83</v>
      </c>
      <c r="F14" s="10">
        <v>3</v>
      </c>
      <c r="G14" s="10">
        <v>1</v>
      </c>
      <c r="H14" s="50">
        <v>0</v>
      </c>
      <c r="I14" s="50">
        <v>0</v>
      </c>
      <c r="J14" s="50">
        <v>0</v>
      </c>
      <c r="K14" s="13" t="s">
        <v>52</v>
      </c>
      <c r="L14" s="11">
        <f t="shared" si="0"/>
        <v>4</v>
      </c>
      <c r="M14" s="10">
        <f t="shared" si="1"/>
        <v>1.2</v>
      </c>
      <c r="N14" s="10">
        <f t="shared" si="2"/>
        <v>0</v>
      </c>
      <c r="O14" s="10">
        <v>0</v>
      </c>
      <c r="P14" s="10">
        <f t="shared" si="3"/>
        <v>5.2</v>
      </c>
      <c r="Q14" s="17">
        <v>15.48749999999999</v>
      </c>
      <c r="R14" s="18">
        <f t="shared" si="4"/>
        <v>20.687499999999989</v>
      </c>
      <c r="S14" s="19">
        <f t="shared" si="5"/>
        <v>6.25</v>
      </c>
      <c r="T14" s="20">
        <f t="shared" si="6"/>
        <v>14.437499999999989</v>
      </c>
      <c r="U14" s="4"/>
      <c r="V14" s="4"/>
      <c r="W14" s="4"/>
      <c r="X14" s="38" t="s">
        <v>42</v>
      </c>
      <c r="Y14" s="37">
        <v>1.2</v>
      </c>
      <c r="Z14" s="1"/>
      <c r="AA14" s="1"/>
      <c r="AB14" s="1"/>
      <c r="AC14" s="1"/>
    </row>
    <row r="15" spans="1:29" s="2" customFormat="1" ht="17.399999999999999">
      <c r="A15" s="9">
        <v>1</v>
      </c>
      <c r="B15" s="8">
        <v>240</v>
      </c>
      <c r="C15" s="8">
        <v>289805855</v>
      </c>
      <c r="D15" s="42" t="s">
        <v>158</v>
      </c>
      <c r="E15" s="42" t="s">
        <v>123</v>
      </c>
      <c r="F15" s="10">
        <v>4</v>
      </c>
      <c r="G15" s="10">
        <v>1</v>
      </c>
      <c r="H15" s="50">
        <v>0</v>
      </c>
      <c r="I15" s="50">
        <v>0</v>
      </c>
      <c r="J15" s="50">
        <v>0</v>
      </c>
      <c r="K15" s="13" t="s">
        <v>52</v>
      </c>
      <c r="L15" s="11">
        <f t="shared" si="0"/>
        <v>6</v>
      </c>
      <c r="M15" s="10">
        <f t="shared" si="1"/>
        <v>1.2</v>
      </c>
      <c r="N15" s="10">
        <f t="shared" si="2"/>
        <v>0</v>
      </c>
      <c r="O15" s="10">
        <v>0</v>
      </c>
      <c r="P15" s="10">
        <f t="shared" si="3"/>
        <v>7.2</v>
      </c>
      <c r="Q15" s="17">
        <v>13.424999999999994</v>
      </c>
      <c r="R15" s="18">
        <f t="shared" si="4"/>
        <v>20.624999999999993</v>
      </c>
      <c r="S15" s="19">
        <f t="shared" si="5"/>
        <v>6.25</v>
      </c>
      <c r="T15" s="20">
        <f t="shared" si="6"/>
        <v>14.374999999999993</v>
      </c>
      <c r="U15" s="4"/>
      <c r="V15" s="4"/>
      <c r="W15" s="4"/>
      <c r="X15" s="1" t="s">
        <v>34</v>
      </c>
      <c r="Y15" s="37">
        <v>2021</v>
      </c>
      <c r="Z15" s="1"/>
      <c r="AA15" s="1"/>
      <c r="AB15" s="1"/>
      <c r="AC15" s="1"/>
    </row>
    <row r="16" spans="1:29" s="2" customFormat="1" ht="17.399999999999999">
      <c r="A16" s="9">
        <v>1</v>
      </c>
      <c r="B16" s="8">
        <v>225</v>
      </c>
      <c r="C16" s="8">
        <v>1963965829</v>
      </c>
      <c r="D16" s="42" t="s">
        <v>107</v>
      </c>
      <c r="E16" s="42"/>
      <c r="F16" s="10">
        <v>4</v>
      </c>
      <c r="G16" s="10">
        <v>1</v>
      </c>
      <c r="H16" s="50">
        <v>0</v>
      </c>
      <c r="I16" s="50">
        <v>0</v>
      </c>
      <c r="J16" s="50">
        <v>0</v>
      </c>
      <c r="K16" s="13" t="s">
        <v>52</v>
      </c>
      <c r="L16" s="11">
        <f t="shared" si="0"/>
        <v>6</v>
      </c>
      <c r="M16" s="10">
        <f t="shared" si="1"/>
        <v>1.2</v>
      </c>
      <c r="N16" s="10">
        <f t="shared" si="2"/>
        <v>0</v>
      </c>
      <c r="O16" s="10">
        <v>0</v>
      </c>
      <c r="P16" s="10">
        <f t="shared" si="3"/>
        <v>7.2</v>
      </c>
      <c r="Q16" s="17">
        <v>13.406249999999993</v>
      </c>
      <c r="R16" s="18">
        <f t="shared" si="4"/>
        <v>20.606249999999992</v>
      </c>
      <c r="S16" s="19">
        <f t="shared" si="5"/>
        <v>6.25</v>
      </c>
      <c r="T16" s="20">
        <f t="shared" si="6"/>
        <v>14.356249999999992</v>
      </c>
      <c r="U16" s="4"/>
      <c r="V16" s="4"/>
      <c r="W16" s="4"/>
      <c r="X16" s="1" t="s">
        <v>35</v>
      </c>
      <c r="Y16" s="37">
        <v>12</v>
      </c>
      <c r="Z16" s="1"/>
      <c r="AA16" s="1"/>
      <c r="AB16" s="1"/>
      <c r="AC16" s="1"/>
    </row>
    <row r="17" spans="1:29" s="2" customFormat="1" ht="17.399999999999999">
      <c r="A17" s="9">
        <v>1</v>
      </c>
      <c r="B17" s="9">
        <v>26</v>
      </c>
      <c r="C17" s="8">
        <v>1754932067</v>
      </c>
      <c r="D17" s="42" t="s">
        <v>58</v>
      </c>
      <c r="E17" s="42" t="s">
        <v>9</v>
      </c>
      <c r="F17" s="10">
        <v>3</v>
      </c>
      <c r="G17" s="10">
        <v>1</v>
      </c>
      <c r="H17" s="50">
        <v>0</v>
      </c>
      <c r="I17" s="50">
        <v>1</v>
      </c>
      <c r="J17" s="50">
        <v>1</v>
      </c>
      <c r="K17" s="13" t="s">
        <v>52</v>
      </c>
      <c r="L17" s="11">
        <f t="shared" si="0"/>
        <v>4</v>
      </c>
      <c r="M17" s="10">
        <f t="shared" si="1"/>
        <v>1.2</v>
      </c>
      <c r="N17" s="10">
        <f t="shared" si="2"/>
        <v>0.8</v>
      </c>
      <c r="O17" s="10">
        <v>0</v>
      </c>
      <c r="P17" s="10">
        <f t="shared" si="3"/>
        <v>6</v>
      </c>
      <c r="Q17" s="17">
        <v>14.53749999999998</v>
      </c>
      <c r="R17" s="18">
        <f t="shared" si="4"/>
        <v>20.53749999999998</v>
      </c>
      <c r="S17" s="19">
        <f t="shared" si="5"/>
        <v>6.25</v>
      </c>
      <c r="T17" s="20">
        <f t="shared" si="6"/>
        <v>14.28749999999998</v>
      </c>
      <c r="U17" s="11"/>
      <c r="V17" s="11"/>
      <c r="W17" s="11"/>
      <c r="X17" s="1" t="s">
        <v>36</v>
      </c>
      <c r="Y17" s="37">
        <v>11</v>
      </c>
      <c r="Z17" s="1"/>
      <c r="AA17" s="1"/>
      <c r="AB17" s="1"/>
      <c r="AC17" s="1"/>
    </row>
    <row r="18" spans="1:29" s="2" customFormat="1" ht="17.399999999999999">
      <c r="A18" s="9">
        <v>1</v>
      </c>
      <c r="B18" s="8">
        <v>238</v>
      </c>
      <c r="C18" s="8">
        <v>108179057</v>
      </c>
      <c r="D18" s="42" t="s">
        <v>120</v>
      </c>
      <c r="E18" s="4"/>
      <c r="F18" s="10">
        <v>4</v>
      </c>
      <c r="G18" s="10">
        <v>1</v>
      </c>
      <c r="H18" s="50">
        <v>0</v>
      </c>
      <c r="I18" s="50">
        <v>0</v>
      </c>
      <c r="J18" s="50">
        <v>0</v>
      </c>
      <c r="K18" s="13" t="s">
        <v>52</v>
      </c>
      <c r="L18" s="11">
        <f t="shared" si="0"/>
        <v>6</v>
      </c>
      <c r="M18" s="10">
        <f t="shared" si="1"/>
        <v>1.2</v>
      </c>
      <c r="N18" s="10">
        <f t="shared" si="2"/>
        <v>0</v>
      </c>
      <c r="O18" s="10">
        <v>0</v>
      </c>
      <c r="P18" s="10">
        <f t="shared" si="3"/>
        <v>7.2</v>
      </c>
      <c r="Q18" s="17">
        <v>12.862701612903209</v>
      </c>
      <c r="R18" s="18">
        <f t="shared" si="4"/>
        <v>20.062701612903208</v>
      </c>
      <c r="S18" s="19">
        <f t="shared" si="5"/>
        <v>6.25</v>
      </c>
      <c r="T18" s="20">
        <f t="shared" si="6"/>
        <v>13.812701612903208</v>
      </c>
      <c r="U18" s="4"/>
      <c r="V18" s="4"/>
      <c r="W18" s="4"/>
      <c r="X18" s="51" t="s">
        <v>103</v>
      </c>
      <c r="Y18" s="37">
        <v>0.4</v>
      </c>
      <c r="Z18" s="1"/>
      <c r="AA18" s="1"/>
      <c r="AB18" s="1"/>
      <c r="AC18" s="1"/>
    </row>
    <row r="19" spans="1:29" s="2" customFormat="1" ht="17.399999999999999">
      <c r="A19" s="9">
        <v>1</v>
      </c>
      <c r="B19" s="8">
        <v>174</v>
      </c>
      <c r="C19" s="8">
        <v>775720958</v>
      </c>
      <c r="D19" s="42" t="s">
        <v>79</v>
      </c>
      <c r="E19" s="42" t="s">
        <v>49</v>
      </c>
      <c r="F19" s="10">
        <v>4</v>
      </c>
      <c r="G19" s="10">
        <v>1</v>
      </c>
      <c r="H19" s="50">
        <v>0</v>
      </c>
      <c r="I19" s="50">
        <v>1</v>
      </c>
      <c r="J19" s="50">
        <v>0</v>
      </c>
      <c r="K19" s="13" t="s">
        <v>52</v>
      </c>
      <c r="L19" s="11">
        <f t="shared" si="0"/>
        <v>6</v>
      </c>
      <c r="M19" s="10">
        <f t="shared" si="1"/>
        <v>1.2</v>
      </c>
      <c r="N19" s="10">
        <f t="shared" si="2"/>
        <v>0.4</v>
      </c>
      <c r="O19" s="10">
        <v>0</v>
      </c>
      <c r="P19" s="10">
        <f t="shared" si="3"/>
        <v>7.6000000000000005</v>
      </c>
      <c r="Q19" s="17">
        <v>12.256750000000018</v>
      </c>
      <c r="R19" s="18">
        <f t="shared" si="4"/>
        <v>19.856750000000019</v>
      </c>
      <c r="S19" s="19">
        <f t="shared" si="5"/>
        <v>6.25</v>
      </c>
      <c r="T19" s="20">
        <f t="shared" si="6"/>
        <v>13.606750000000019</v>
      </c>
      <c r="U19" s="4"/>
      <c r="V19" s="4"/>
      <c r="W19" s="4"/>
      <c r="X19" s="1"/>
      <c r="Y19" s="1"/>
      <c r="Z19" s="1"/>
      <c r="AA19" s="1"/>
      <c r="AB19" s="1"/>
      <c r="AC19" s="1"/>
    </row>
    <row r="20" spans="1:29" s="2" customFormat="1" ht="17.399999999999999">
      <c r="A20" s="9">
        <v>1</v>
      </c>
      <c r="B20" s="8">
        <v>182</v>
      </c>
      <c r="C20" s="8">
        <v>828260319</v>
      </c>
      <c r="D20" s="42" t="s">
        <v>146</v>
      </c>
      <c r="E20" s="42" t="s">
        <v>134</v>
      </c>
      <c r="F20" s="10">
        <v>4</v>
      </c>
      <c r="G20" s="10">
        <v>1</v>
      </c>
      <c r="H20" s="50">
        <v>0</v>
      </c>
      <c r="I20" s="50">
        <v>0</v>
      </c>
      <c r="J20" s="50">
        <v>1</v>
      </c>
      <c r="K20" s="13" t="s">
        <v>52</v>
      </c>
      <c r="L20" s="11">
        <f t="shared" si="0"/>
        <v>6</v>
      </c>
      <c r="M20" s="10">
        <f t="shared" si="1"/>
        <v>1.2</v>
      </c>
      <c r="N20" s="10">
        <f t="shared" si="2"/>
        <v>0.4</v>
      </c>
      <c r="O20" s="10">
        <v>0</v>
      </c>
      <c r="P20" s="10">
        <f t="shared" si="3"/>
        <v>7.6000000000000005</v>
      </c>
      <c r="Q20" s="17">
        <v>11.76250000000001</v>
      </c>
      <c r="R20" s="18">
        <f t="shared" si="4"/>
        <v>19.362500000000011</v>
      </c>
      <c r="S20" s="19">
        <f t="shared" si="5"/>
        <v>6.25</v>
      </c>
      <c r="T20" s="20">
        <f t="shared" si="6"/>
        <v>13.112500000000011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7.399999999999999">
      <c r="A21" s="9">
        <v>1</v>
      </c>
      <c r="B21" s="9">
        <v>46</v>
      </c>
      <c r="C21" s="8">
        <v>2109182835</v>
      </c>
      <c r="D21" s="42" t="s">
        <v>59</v>
      </c>
      <c r="E21" s="42" t="s">
        <v>10</v>
      </c>
      <c r="F21" s="10">
        <v>3</v>
      </c>
      <c r="G21" s="10">
        <v>1</v>
      </c>
      <c r="H21" s="50">
        <v>0</v>
      </c>
      <c r="I21" s="50">
        <v>1</v>
      </c>
      <c r="J21" s="50">
        <v>0</v>
      </c>
      <c r="K21" s="14" t="s">
        <v>53</v>
      </c>
      <c r="L21" s="11">
        <f t="shared" si="0"/>
        <v>4</v>
      </c>
      <c r="M21" s="10">
        <f t="shared" si="1"/>
        <v>1.2</v>
      </c>
      <c r="N21" s="10">
        <f t="shared" si="2"/>
        <v>0.4</v>
      </c>
      <c r="O21" s="10">
        <v>0</v>
      </c>
      <c r="P21" s="10">
        <f t="shared" si="3"/>
        <v>5.6000000000000005</v>
      </c>
      <c r="Q21" s="17">
        <v>13.649999999999981</v>
      </c>
      <c r="R21" s="18">
        <f t="shared" si="4"/>
        <v>19.249999999999982</v>
      </c>
      <c r="S21" s="19">
        <f t="shared" si="5"/>
        <v>1.09375</v>
      </c>
      <c r="T21" s="20">
        <f t="shared" si="6"/>
        <v>18.156249999999982</v>
      </c>
      <c r="U21" s="11"/>
      <c r="V21" s="11"/>
      <c r="W21" s="11"/>
      <c r="X21" s="1"/>
      <c r="Y21" s="1"/>
      <c r="Z21" s="1"/>
      <c r="AA21" s="1"/>
      <c r="AB21" s="1"/>
      <c r="AC21" s="1"/>
    </row>
    <row r="22" spans="1:29" s="2" customFormat="1" ht="17.399999999999999">
      <c r="A22" s="9">
        <v>1</v>
      </c>
      <c r="B22" s="8">
        <v>232</v>
      </c>
      <c r="C22" s="8">
        <v>1088909927</v>
      </c>
      <c r="D22" s="42" t="s">
        <v>113</v>
      </c>
      <c r="E22" s="4"/>
      <c r="F22" s="10">
        <v>4</v>
      </c>
      <c r="G22" s="10">
        <v>1</v>
      </c>
      <c r="H22" s="50">
        <v>0</v>
      </c>
      <c r="I22" s="50">
        <v>0</v>
      </c>
      <c r="J22" s="50">
        <v>0</v>
      </c>
      <c r="K22" s="14" t="s">
        <v>53</v>
      </c>
      <c r="L22" s="11">
        <f t="shared" si="0"/>
        <v>6</v>
      </c>
      <c r="M22" s="10">
        <f t="shared" si="1"/>
        <v>1.2</v>
      </c>
      <c r="N22" s="10">
        <f t="shared" si="2"/>
        <v>0</v>
      </c>
      <c r="O22" s="10">
        <v>0</v>
      </c>
      <c r="P22" s="10">
        <f t="shared" si="3"/>
        <v>7.2</v>
      </c>
      <c r="Q22" s="17">
        <v>11.830853174603156</v>
      </c>
      <c r="R22" s="18">
        <f t="shared" si="4"/>
        <v>19.030853174603156</v>
      </c>
      <c r="S22" s="19">
        <f t="shared" si="5"/>
        <v>1.09375</v>
      </c>
      <c r="T22" s="20">
        <f t="shared" si="6"/>
        <v>17.937103174603156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20.399999999999999">
      <c r="A23" s="9">
        <v>1</v>
      </c>
      <c r="B23" s="9">
        <v>49</v>
      </c>
      <c r="C23" s="8">
        <v>311361673</v>
      </c>
      <c r="D23" s="43" t="s">
        <v>105</v>
      </c>
      <c r="E23" s="49" t="s">
        <v>11</v>
      </c>
      <c r="F23" s="10">
        <v>4</v>
      </c>
      <c r="G23" s="10">
        <v>1</v>
      </c>
      <c r="H23" s="50">
        <v>0</v>
      </c>
      <c r="I23" s="50">
        <v>1</v>
      </c>
      <c r="J23" s="50">
        <v>1</v>
      </c>
      <c r="K23" s="14" t="s">
        <v>53</v>
      </c>
      <c r="L23" s="11">
        <f t="shared" si="0"/>
        <v>6</v>
      </c>
      <c r="M23" s="10">
        <f>IF(G23&gt;0,1,0)*$Y$14</f>
        <v>1.2</v>
      </c>
      <c r="N23" s="10">
        <f t="shared" si="2"/>
        <v>0.8</v>
      </c>
      <c r="O23" s="10">
        <v>0</v>
      </c>
      <c r="P23" s="10">
        <f t="shared" si="3"/>
        <v>8</v>
      </c>
      <c r="Q23" s="17">
        <v>10.618749999999991</v>
      </c>
      <c r="R23" s="18">
        <f t="shared" si="4"/>
        <v>18.618749999999991</v>
      </c>
      <c r="S23" s="19">
        <f t="shared" si="5"/>
        <v>1.09375</v>
      </c>
      <c r="T23" s="20">
        <f t="shared" si="6"/>
        <v>17.524999999999991</v>
      </c>
      <c r="U23" s="11"/>
      <c r="V23" s="11"/>
      <c r="W23" s="11"/>
    </row>
    <row r="24" spans="1:29" s="1" customFormat="1" ht="17.399999999999999">
      <c r="A24" s="9">
        <v>1</v>
      </c>
      <c r="B24" s="8">
        <v>255</v>
      </c>
      <c r="C24" s="8">
        <v>812042496</v>
      </c>
      <c r="D24" s="42" t="s">
        <v>155</v>
      </c>
      <c r="E24" s="4"/>
      <c r="F24" s="10">
        <v>2</v>
      </c>
      <c r="G24" s="10">
        <v>1</v>
      </c>
      <c r="H24" s="50">
        <v>0</v>
      </c>
      <c r="I24" s="50">
        <v>0</v>
      </c>
      <c r="J24" s="50">
        <v>0</v>
      </c>
      <c r="K24" s="14" t="s">
        <v>53</v>
      </c>
      <c r="L24" s="11">
        <f t="shared" si="0"/>
        <v>2</v>
      </c>
      <c r="M24" s="10">
        <f t="shared" ref="M24:M55" si="7">G24*$Y$14</f>
        <v>1.2</v>
      </c>
      <c r="N24" s="10">
        <f t="shared" si="2"/>
        <v>0</v>
      </c>
      <c r="O24" s="10">
        <v>0</v>
      </c>
      <c r="P24" s="10">
        <f t="shared" si="3"/>
        <v>3.2</v>
      </c>
      <c r="Q24" s="17">
        <v>15.362499999999997</v>
      </c>
      <c r="R24" s="18">
        <f t="shared" si="4"/>
        <v>18.562499999999996</v>
      </c>
      <c r="S24" s="19">
        <f t="shared" si="5"/>
        <v>1.09375</v>
      </c>
      <c r="T24" s="20">
        <f t="shared" si="6"/>
        <v>17.468749999999996</v>
      </c>
      <c r="U24" s="2"/>
      <c r="V24" s="4"/>
      <c r="W24" s="4"/>
    </row>
    <row r="25" spans="1:29" s="1" customFormat="1" ht="17.399999999999999">
      <c r="A25" s="9">
        <v>1</v>
      </c>
      <c r="B25" s="8">
        <v>128</v>
      </c>
      <c r="C25" s="8">
        <v>1214614935</v>
      </c>
      <c r="D25" s="42" t="s">
        <v>62</v>
      </c>
      <c r="E25" s="49" t="s">
        <v>43</v>
      </c>
      <c r="F25" s="10">
        <v>4</v>
      </c>
      <c r="G25" s="10">
        <v>1</v>
      </c>
      <c r="H25" s="50">
        <v>0</v>
      </c>
      <c r="I25" s="50">
        <v>1</v>
      </c>
      <c r="J25" s="50">
        <v>1</v>
      </c>
      <c r="K25" s="14" t="s">
        <v>53</v>
      </c>
      <c r="L25" s="11">
        <f t="shared" si="0"/>
        <v>6</v>
      </c>
      <c r="M25" s="10">
        <f t="shared" si="7"/>
        <v>1.2</v>
      </c>
      <c r="N25" s="10">
        <f t="shared" si="2"/>
        <v>0.8</v>
      </c>
      <c r="O25" s="10">
        <v>0</v>
      </c>
      <c r="P25" s="10">
        <f t="shared" si="3"/>
        <v>8</v>
      </c>
      <c r="Q25" s="17">
        <v>10.203769230769222</v>
      </c>
      <c r="R25" s="18">
        <f t="shared" si="4"/>
        <v>18.203769230769222</v>
      </c>
      <c r="S25" s="19">
        <f t="shared" si="5"/>
        <v>1.09375</v>
      </c>
      <c r="T25" s="20">
        <f t="shared" si="6"/>
        <v>17.110019230769222</v>
      </c>
      <c r="U25" s="11"/>
      <c r="V25" s="11"/>
      <c r="W25" s="31"/>
    </row>
    <row r="26" spans="1:29" s="1" customFormat="1" ht="18.75" customHeight="1">
      <c r="A26" s="9">
        <v>1</v>
      </c>
      <c r="B26" s="8">
        <v>248</v>
      </c>
      <c r="C26" s="8">
        <v>1886132205</v>
      </c>
      <c r="D26" s="42" t="s">
        <v>159</v>
      </c>
      <c r="E26" s="42" t="s">
        <v>143</v>
      </c>
      <c r="F26" s="10">
        <v>4</v>
      </c>
      <c r="G26" s="10">
        <v>1</v>
      </c>
      <c r="H26" s="50">
        <v>0</v>
      </c>
      <c r="I26" s="50">
        <v>1</v>
      </c>
      <c r="J26" s="50">
        <v>1</v>
      </c>
      <c r="K26" s="14" t="s">
        <v>53</v>
      </c>
      <c r="L26" s="11">
        <f t="shared" si="0"/>
        <v>6</v>
      </c>
      <c r="M26" s="10">
        <f t="shared" si="7"/>
        <v>1.2</v>
      </c>
      <c r="N26" s="10">
        <f t="shared" si="2"/>
        <v>0.8</v>
      </c>
      <c r="O26" s="10">
        <v>0</v>
      </c>
      <c r="P26" s="10">
        <f t="shared" si="3"/>
        <v>8</v>
      </c>
      <c r="Q26" s="17">
        <v>10.168749999999989</v>
      </c>
      <c r="R26" s="18">
        <f t="shared" si="4"/>
        <v>18.168749999999989</v>
      </c>
      <c r="S26" s="19">
        <f t="shared" si="5"/>
        <v>1.09375</v>
      </c>
      <c r="T26" s="20">
        <f t="shared" si="6"/>
        <v>17.074999999999989</v>
      </c>
      <c r="U26" s="4"/>
      <c r="V26" s="4"/>
      <c r="W26" s="4"/>
    </row>
    <row r="27" spans="1:29" s="1" customFormat="1" ht="17.399999999999999">
      <c r="A27" s="9">
        <v>1</v>
      </c>
      <c r="B27" s="8">
        <v>247</v>
      </c>
      <c r="C27" s="8">
        <v>520310894</v>
      </c>
      <c r="D27" s="42" t="s">
        <v>142</v>
      </c>
      <c r="E27" s="4"/>
      <c r="F27" s="10">
        <v>4</v>
      </c>
      <c r="G27" s="10">
        <v>1</v>
      </c>
      <c r="H27" s="50">
        <v>0</v>
      </c>
      <c r="I27" s="50">
        <v>1</v>
      </c>
      <c r="J27" s="50">
        <v>1</v>
      </c>
      <c r="K27" s="14" t="s">
        <v>53</v>
      </c>
      <c r="L27" s="11">
        <f t="shared" si="0"/>
        <v>6</v>
      </c>
      <c r="M27" s="10">
        <f t="shared" si="7"/>
        <v>1.2</v>
      </c>
      <c r="N27" s="10">
        <f t="shared" si="2"/>
        <v>0.8</v>
      </c>
      <c r="O27" s="10">
        <v>0</v>
      </c>
      <c r="P27" s="10">
        <f t="shared" si="3"/>
        <v>8</v>
      </c>
      <c r="Q27" s="17">
        <v>10.118749999999995</v>
      </c>
      <c r="R27" s="18">
        <f t="shared" si="4"/>
        <v>18.118749999999995</v>
      </c>
      <c r="S27" s="19">
        <f t="shared" si="5"/>
        <v>1.09375</v>
      </c>
      <c r="T27" s="20">
        <f t="shared" si="6"/>
        <v>17.024999999999995</v>
      </c>
      <c r="U27" s="4"/>
      <c r="V27" s="4"/>
      <c r="W27" s="4"/>
    </row>
    <row r="28" spans="1:29" s="1" customFormat="1" ht="20.399999999999999">
      <c r="A28" s="9">
        <v>1</v>
      </c>
      <c r="B28" s="8">
        <v>214</v>
      </c>
      <c r="C28" s="8">
        <v>2130976604</v>
      </c>
      <c r="D28" s="42" t="s">
        <v>86</v>
      </c>
      <c r="E28" s="2"/>
      <c r="F28" s="10">
        <v>2</v>
      </c>
      <c r="G28" s="10">
        <v>1</v>
      </c>
      <c r="H28" s="50">
        <v>0</v>
      </c>
      <c r="I28" s="50">
        <v>0</v>
      </c>
      <c r="J28" s="50">
        <v>0</v>
      </c>
      <c r="K28" s="14" t="s">
        <v>53</v>
      </c>
      <c r="L28" s="11">
        <f t="shared" si="0"/>
        <v>2</v>
      </c>
      <c r="M28" s="10">
        <f t="shared" si="7"/>
        <v>1.2</v>
      </c>
      <c r="N28" s="10">
        <f t="shared" si="2"/>
        <v>0</v>
      </c>
      <c r="O28" s="10">
        <v>0</v>
      </c>
      <c r="P28" s="10">
        <f t="shared" si="3"/>
        <v>3.2</v>
      </c>
      <c r="Q28" s="17">
        <v>14.180000000000014</v>
      </c>
      <c r="R28" s="18">
        <f t="shared" si="4"/>
        <v>17.380000000000013</v>
      </c>
      <c r="S28" s="19">
        <f t="shared" si="5"/>
        <v>1.09375</v>
      </c>
      <c r="T28" s="20">
        <f t="shared" si="6"/>
        <v>16.286250000000013</v>
      </c>
      <c r="U28" s="4"/>
      <c r="V28" s="4"/>
      <c r="W28" s="4"/>
    </row>
    <row r="29" spans="1:29" s="2" customFormat="1" ht="17.399999999999999" hidden="1">
      <c r="A29" s="9">
        <v>0</v>
      </c>
      <c r="B29" s="8">
        <v>196</v>
      </c>
      <c r="C29" s="8">
        <v>1065641844</v>
      </c>
      <c r="D29" s="42" t="s">
        <v>74</v>
      </c>
      <c r="E29" s="47"/>
      <c r="F29" s="10">
        <v>0</v>
      </c>
      <c r="G29" s="10">
        <v>0</v>
      </c>
      <c r="H29" s="50">
        <v>0</v>
      </c>
      <c r="I29" s="50">
        <v>0</v>
      </c>
      <c r="J29" s="50">
        <v>0</v>
      </c>
      <c r="K29" s="39" t="s">
        <v>30</v>
      </c>
      <c r="L29" s="11">
        <f t="shared" si="0"/>
        <v>0</v>
      </c>
      <c r="M29" s="10">
        <f t="shared" si="7"/>
        <v>0</v>
      </c>
      <c r="N29" s="10">
        <f t="shared" si="2"/>
        <v>0</v>
      </c>
      <c r="O29" s="10">
        <v>0</v>
      </c>
      <c r="P29" s="10">
        <f t="shared" si="3"/>
        <v>0</v>
      </c>
      <c r="Q29" s="17">
        <v>15.195932539682534</v>
      </c>
      <c r="R29" s="18">
        <f t="shared" si="4"/>
        <v>15.195932539682534</v>
      </c>
      <c r="S29" s="19">
        <f t="shared" si="5"/>
        <v>0</v>
      </c>
      <c r="T29" s="20">
        <f t="shared" si="6"/>
        <v>15.195932539682534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20.399999999999999">
      <c r="A30" s="9">
        <v>1</v>
      </c>
      <c r="B30" s="8">
        <v>221</v>
      </c>
      <c r="C30" s="8">
        <v>790956883</v>
      </c>
      <c r="D30" s="42" t="s">
        <v>96</v>
      </c>
      <c r="E30" s="42" t="s">
        <v>95</v>
      </c>
      <c r="F30" s="10">
        <v>4</v>
      </c>
      <c r="G30" s="10">
        <v>1</v>
      </c>
      <c r="H30" s="50">
        <v>0</v>
      </c>
      <c r="I30" s="50">
        <v>0</v>
      </c>
      <c r="J30" s="50">
        <v>0</v>
      </c>
      <c r="K30" s="14" t="s">
        <v>53</v>
      </c>
      <c r="L30" s="11">
        <f t="shared" si="0"/>
        <v>6</v>
      </c>
      <c r="M30" s="10">
        <f t="shared" si="7"/>
        <v>1.2</v>
      </c>
      <c r="N30" s="10">
        <f t="shared" si="2"/>
        <v>0</v>
      </c>
      <c r="O30" s="10">
        <v>0</v>
      </c>
      <c r="P30" s="10">
        <f t="shared" si="3"/>
        <v>7.2</v>
      </c>
      <c r="Q30" s="17">
        <v>10.146153846153847</v>
      </c>
      <c r="R30" s="18">
        <f t="shared" si="4"/>
        <v>17.346153846153847</v>
      </c>
      <c r="S30" s="19">
        <f t="shared" si="5"/>
        <v>1.09375</v>
      </c>
      <c r="T30" s="20">
        <f t="shared" si="6"/>
        <v>16.252403846153847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7.399999999999999">
      <c r="A31" s="9">
        <v>1</v>
      </c>
      <c r="B31" s="8">
        <v>251</v>
      </c>
      <c r="C31" s="8">
        <v>26962972</v>
      </c>
      <c r="D31" s="42" t="s">
        <v>151</v>
      </c>
      <c r="E31" s="4"/>
      <c r="F31" s="10">
        <v>2</v>
      </c>
      <c r="G31" s="10">
        <v>0</v>
      </c>
      <c r="H31" s="50">
        <v>0</v>
      </c>
      <c r="I31" s="50">
        <v>0</v>
      </c>
      <c r="J31" s="50">
        <v>0</v>
      </c>
      <c r="K31" s="14" t="s">
        <v>53</v>
      </c>
      <c r="L31" s="11">
        <f t="shared" si="0"/>
        <v>2</v>
      </c>
      <c r="M31" s="10">
        <f t="shared" si="7"/>
        <v>0</v>
      </c>
      <c r="N31" s="10">
        <f t="shared" si="2"/>
        <v>0</v>
      </c>
      <c r="O31" s="10">
        <v>0</v>
      </c>
      <c r="P31" s="10">
        <f t="shared" si="3"/>
        <v>2</v>
      </c>
      <c r="Q31" s="17">
        <v>14.368749999999991</v>
      </c>
      <c r="R31" s="18">
        <f t="shared" si="4"/>
        <v>16.368749999999991</v>
      </c>
      <c r="S31" s="19">
        <f t="shared" si="5"/>
        <v>1.09375</v>
      </c>
      <c r="T31" s="20">
        <f t="shared" si="6"/>
        <v>15.274999999999991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7.399999999999999">
      <c r="A32" s="9">
        <v>1</v>
      </c>
      <c r="B32" s="8">
        <v>202</v>
      </c>
      <c r="C32" s="8">
        <v>471245585</v>
      </c>
      <c r="D32" s="42" t="s">
        <v>77</v>
      </c>
      <c r="E32" s="47"/>
      <c r="F32" s="10">
        <v>4</v>
      </c>
      <c r="G32" s="10">
        <v>1</v>
      </c>
      <c r="H32" s="50">
        <v>0</v>
      </c>
      <c r="I32" s="50">
        <v>0</v>
      </c>
      <c r="J32" s="50">
        <v>0</v>
      </c>
      <c r="K32" s="14" t="s">
        <v>53</v>
      </c>
      <c r="L32" s="11">
        <f t="shared" si="0"/>
        <v>6</v>
      </c>
      <c r="M32" s="10">
        <f t="shared" si="7"/>
        <v>1.2</v>
      </c>
      <c r="N32" s="10">
        <f t="shared" si="2"/>
        <v>0</v>
      </c>
      <c r="O32" s="10">
        <v>0</v>
      </c>
      <c r="P32" s="10">
        <f t="shared" si="3"/>
        <v>7.2</v>
      </c>
      <c r="Q32" s="17">
        <v>8.9971153846153697</v>
      </c>
      <c r="R32" s="18">
        <f t="shared" si="4"/>
        <v>16.197115384615369</v>
      </c>
      <c r="S32" s="19">
        <f t="shared" si="5"/>
        <v>1.09375</v>
      </c>
      <c r="T32" s="20">
        <f t="shared" si="6"/>
        <v>15.103365384615369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7.399999999999999">
      <c r="A33" s="9">
        <v>1</v>
      </c>
      <c r="B33" s="8">
        <v>244</v>
      </c>
      <c r="C33" s="8">
        <v>573211380</v>
      </c>
      <c r="D33" s="42" t="s">
        <v>139</v>
      </c>
      <c r="E33" s="4"/>
      <c r="F33" s="10">
        <v>4</v>
      </c>
      <c r="G33" s="10">
        <v>1</v>
      </c>
      <c r="H33" s="50">
        <v>0</v>
      </c>
      <c r="I33" s="50">
        <v>0</v>
      </c>
      <c r="J33" s="50">
        <v>0</v>
      </c>
      <c r="K33" s="14" t="s">
        <v>53</v>
      </c>
      <c r="L33" s="11">
        <f t="shared" si="0"/>
        <v>6</v>
      </c>
      <c r="M33" s="10">
        <f t="shared" si="7"/>
        <v>1.2</v>
      </c>
      <c r="N33" s="10">
        <f t="shared" si="2"/>
        <v>0</v>
      </c>
      <c r="O33" s="10">
        <v>0</v>
      </c>
      <c r="P33" s="10">
        <f t="shared" si="3"/>
        <v>7.2</v>
      </c>
      <c r="Q33" s="17">
        <v>8.9375000000000142</v>
      </c>
      <c r="R33" s="18">
        <f t="shared" si="4"/>
        <v>16.137500000000014</v>
      </c>
      <c r="S33" s="19">
        <f t="shared" si="5"/>
        <v>1.09375</v>
      </c>
      <c r="T33" s="20">
        <f t="shared" si="6"/>
        <v>15.043750000000014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7.399999999999999">
      <c r="A34" s="9">
        <v>1</v>
      </c>
      <c r="B34" s="8">
        <v>215</v>
      </c>
      <c r="C34" s="8">
        <v>289805855</v>
      </c>
      <c r="D34" s="42" t="s">
        <v>145</v>
      </c>
      <c r="E34" s="42" t="s">
        <v>87</v>
      </c>
      <c r="F34" s="10">
        <v>4</v>
      </c>
      <c r="G34" s="10">
        <v>1</v>
      </c>
      <c r="H34" s="50">
        <v>0</v>
      </c>
      <c r="I34" s="50">
        <v>1</v>
      </c>
      <c r="J34" s="50">
        <v>1</v>
      </c>
      <c r="K34" s="14" t="s">
        <v>53</v>
      </c>
      <c r="L34" s="11">
        <f t="shared" si="0"/>
        <v>6</v>
      </c>
      <c r="M34" s="10">
        <f t="shared" si="7"/>
        <v>1.2</v>
      </c>
      <c r="N34" s="10">
        <f t="shared" si="2"/>
        <v>0.8</v>
      </c>
      <c r="O34" s="10">
        <v>0</v>
      </c>
      <c r="P34" s="10">
        <f t="shared" si="3"/>
        <v>8</v>
      </c>
      <c r="Q34" s="17">
        <v>7.7999999999999865</v>
      </c>
      <c r="R34" s="18">
        <f t="shared" si="4"/>
        <v>15.799999999999986</v>
      </c>
      <c r="S34" s="19">
        <f t="shared" si="5"/>
        <v>1.09375</v>
      </c>
      <c r="T34" s="20">
        <f t="shared" si="6"/>
        <v>14.706249999999986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7.399999999999999">
      <c r="A35" s="9">
        <v>1</v>
      </c>
      <c r="B35" s="8">
        <v>110</v>
      </c>
      <c r="C35" s="8">
        <v>1968703358</v>
      </c>
      <c r="D35" s="42" t="s">
        <v>60</v>
      </c>
      <c r="E35" s="42" t="s">
        <v>38</v>
      </c>
      <c r="F35" s="10">
        <v>4</v>
      </c>
      <c r="G35" s="10">
        <v>1</v>
      </c>
      <c r="H35" s="50">
        <v>0</v>
      </c>
      <c r="I35" s="50">
        <v>0</v>
      </c>
      <c r="J35" s="50">
        <v>1</v>
      </c>
      <c r="K35" s="14" t="s">
        <v>53</v>
      </c>
      <c r="L35" s="11">
        <f t="shared" si="0"/>
        <v>6</v>
      </c>
      <c r="M35" s="10">
        <f t="shared" si="7"/>
        <v>1.2</v>
      </c>
      <c r="N35" s="10">
        <f t="shared" si="2"/>
        <v>0.4</v>
      </c>
      <c r="O35" s="10">
        <v>0</v>
      </c>
      <c r="P35" s="10">
        <f t="shared" si="3"/>
        <v>7.6000000000000005</v>
      </c>
      <c r="Q35" s="17">
        <v>8.1699316239316211</v>
      </c>
      <c r="R35" s="18">
        <f t="shared" si="4"/>
        <v>15.769931623931623</v>
      </c>
      <c r="S35" s="19">
        <f t="shared" si="5"/>
        <v>1.09375</v>
      </c>
      <c r="T35" s="20">
        <f t="shared" si="6"/>
        <v>14.676181623931623</v>
      </c>
      <c r="U35" s="11"/>
      <c r="V35" s="11"/>
      <c r="W35" s="17"/>
      <c r="X35" s="1"/>
      <c r="Y35" s="1"/>
      <c r="Z35" s="1"/>
      <c r="AA35" s="1"/>
      <c r="AB35" s="1"/>
      <c r="AC35" s="1"/>
    </row>
    <row r="36" spans="1:29" s="2" customFormat="1" ht="17.399999999999999">
      <c r="A36" s="9">
        <v>1</v>
      </c>
      <c r="B36" s="8">
        <v>254</v>
      </c>
      <c r="C36" s="8">
        <v>674501489</v>
      </c>
      <c r="D36" s="42" t="s">
        <v>154</v>
      </c>
      <c r="E36" s="4"/>
      <c r="F36" s="10">
        <v>4</v>
      </c>
      <c r="G36" s="10">
        <v>1</v>
      </c>
      <c r="H36" s="50">
        <v>0</v>
      </c>
      <c r="I36" s="50">
        <v>0</v>
      </c>
      <c r="J36" s="50">
        <v>0</v>
      </c>
      <c r="K36" s="14" t="s">
        <v>53</v>
      </c>
      <c r="L36" s="11">
        <f t="shared" si="0"/>
        <v>6</v>
      </c>
      <c r="M36" s="10">
        <f t="shared" si="7"/>
        <v>1.2</v>
      </c>
      <c r="N36" s="10">
        <f t="shared" si="2"/>
        <v>0</v>
      </c>
      <c r="O36" s="10">
        <v>0</v>
      </c>
      <c r="P36" s="10">
        <f t="shared" si="3"/>
        <v>7.2</v>
      </c>
      <c r="Q36" s="17">
        <v>8.5249999999999915</v>
      </c>
      <c r="R36" s="18">
        <f t="shared" si="4"/>
        <v>15.724999999999991</v>
      </c>
      <c r="S36" s="19">
        <f t="shared" si="5"/>
        <v>1.09375</v>
      </c>
      <c r="T36" s="20">
        <f t="shared" si="6"/>
        <v>14.631249999999991</v>
      </c>
      <c r="V36" s="4"/>
      <c r="W36" s="4"/>
      <c r="X36" s="1"/>
      <c r="Y36" s="1"/>
      <c r="Z36" s="1"/>
      <c r="AA36" s="1"/>
      <c r="AB36" s="1"/>
      <c r="AC36" s="1"/>
    </row>
    <row r="37" spans="1:29" s="1" customFormat="1" ht="17.399999999999999" hidden="1">
      <c r="A37" s="9">
        <v>0</v>
      </c>
      <c r="B37" s="8">
        <v>155</v>
      </c>
      <c r="C37" s="8">
        <v>1532576874</v>
      </c>
      <c r="D37" s="42" t="s">
        <v>63</v>
      </c>
      <c r="E37" s="42" t="s">
        <v>46</v>
      </c>
      <c r="F37" s="10">
        <v>0</v>
      </c>
      <c r="G37" s="10">
        <v>0</v>
      </c>
      <c r="H37" s="50">
        <v>0</v>
      </c>
      <c r="I37" s="50">
        <v>0</v>
      </c>
      <c r="J37" s="50">
        <v>0</v>
      </c>
      <c r="K37" s="39" t="s">
        <v>30</v>
      </c>
      <c r="L37" s="11">
        <f t="shared" ref="L37:L68" si="8">F37+IF(F37&gt;2,(F37-2)*1,0)</f>
        <v>0</v>
      </c>
      <c r="M37" s="10">
        <f t="shared" si="7"/>
        <v>0</v>
      </c>
      <c r="N37" s="10">
        <f t="shared" ref="N37:N68" si="9">SUM(H37:J37)*$Y$18</f>
        <v>0</v>
      </c>
      <c r="O37" s="10">
        <v>0</v>
      </c>
      <c r="P37" s="10">
        <f t="shared" ref="P37:P68" si="10">SUM(M37+L37+O37+N37)</f>
        <v>0</v>
      </c>
      <c r="Q37" s="17">
        <v>13.749999999999982</v>
      </c>
      <c r="R37" s="18">
        <f t="shared" ref="R37:R68" si="11">P37+Q37</f>
        <v>13.749999999999982</v>
      </c>
      <c r="S37" s="19">
        <f t="shared" ref="S37:S68" si="12">VLOOKUP(K37,$X$3:$Y$10,2,FALSE)</f>
        <v>0</v>
      </c>
      <c r="T37" s="20">
        <f t="shared" ref="T37:T68" si="13">R37-S37</f>
        <v>13.749999999999982</v>
      </c>
      <c r="U37" s="4"/>
      <c r="V37" s="4"/>
      <c r="W37" s="4"/>
    </row>
    <row r="38" spans="1:29" s="2" customFormat="1" ht="17.399999999999999">
      <c r="A38" s="9">
        <v>1</v>
      </c>
      <c r="B38" s="8">
        <v>243</v>
      </c>
      <c r="C38" s="8">
        <v>11135522555</v>
      </c>
      <c r="D38" s="42" t="s">
        <v>133</v>
      </c>
      <c r="E38" s="4"/>
      <c r="F38" s="10">
        <v>3</v>
      </c>
      <c r="G38" s="10">
        <v>1</v>
      </c>
      <c r="H38" s="50">
        <v>0</v>
      </c>
      <c r="I38" s="50">
        <v>0</v>
      </c>
      <c r="J38" s="50">
        <v>0</v>
      </c>
      <c r="K38" s="14" t="s">
        <v>53</v>
      </c>
      <c r="L38" s="11">
        <f t="shared" si="8"/>
        <v>4</v>
      </c>
      <c r="M38" s="10">
        <f t="shared" si="7"/>
        <v>1.2</v>
      </c>
      <c r="N38" s="10">
        <f t="shared" si="9"/>
        <v>0</v>
      </c>
      <c r="O38" s="10">
        <v>0</v>
      </c>
      <c r="P38" s="10">
        <f t="shared" si="10"/>
        <v>5.2</v>
      </c>
      <c r="Q38" s="17">
        <v>10.493249999999982</v>
      </c>
      <c r="R38" s="18">
        <f t="shared" si="11"/>
        <v>15.693249999999981</v>
      </c>
      <c r="S38" s="19">
        <f t="shared" si="12"/>
        <v>1.09375</v>
      </c>
      <c r="T38" s="20">
        <f t="shared" si="13"/>
        <v>14.599499999999981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7.399999999999999">
      <c r="A39" s="9">
        <v>1</v>
      </c>
      <c r="B39" s="8">
        <v>116</v>
      </c>
      <c r="C39" s="8">
        <v>2122596917</v>
      </c>
      <c r="D39" s="42" t="s">
        <v>61</v>
      </c>
      <c r="E39" s="42" t="s">
        <v>37</v>
      </c>
      <c r="F39" s="10">
        <v>2</v>
      </c>
      <c r="G39" s="10">
        <v>1</v>
      </c>
      <c r="H39" s="50">
        <v>0</v>
      </c>
      <c r="I39" s="50">
        <v>0</v>
      </c>
      <c r="J39" s="50">
        <v>1</v>
      </c>
      <c r="K39" s="14" t="s">
        <v>53</v>
      </c>
      <c r="L39" s="11">
        <f t="shared" si="8"/>
        <v>2</v>
      </c>
      <c r="M39" s="10">
        <f t="shared" si="7"/>
        <v>1.2</v>
      </c>
      <c r="N39" s="10">
        <f t="shared" si="9"/>
        <v>0.4</v>
      </c>
      <c r="O39" s="10">
        <v>0</v>
      </c>
      <c r="P39" s="10">
        <f t="shared" si="10"/>
        <v>3.6</v>
      </c>
      <c r="Q39" s="17">
        <v>11.831249999999997</v>
      </c>
      <c r="R39" s="18">
        <f t="shared" si="11"/>
        <v>15.431249999999997</v>
      </c>
      <c r="S39" s="19">
        <f t="shared" si="12"/>
        <v>1.09375</v>
      </c>
      <c r="T39" s="20">
        <f t="shared" si="13"/>
        <v>14.337499999999997</v>
      </c>
      <c r="U39" s="11"/>
      <c r="V39" s="11"/>
      <c r="W39" s="32"/>
    </row>
    <row r="40" spans="1:29" ht="17.399999999999999">
      <c r="A40" s="9">
        <v>1</v>
      </c>
      <c r="B40" s="8">
        <v>242</v>
      </c>
      <c r="C40" s="8">
        <v>1381736232</v>
      </c>
      <c r="D40" s="42" t="s">
        <v>144</v>
      </c>
      <c r="E40" s="42" t="s">
        <v>125</v>
      </c>
      <c r="F40" s="10">
        <v>4</v>
      </c>
      <c r="G40" s="10">
        <v>1</v>
      </c>
      <c r="H40" s="50">
        <v>0</v>
      </c>
      <c r="I40" s="50">
        <v>0</v>
      </c>
      <c r="J40" s="50">
        <v>0</v>
      </c>
      <c r="K40" s="14" t="s">
        <v>53</v>
      </c>
      <c r="L40" s="11">
        <f t="shared" si="8"/>
        <v>6</v>
      </c>
      <c r="M40" s="10">
        <f t="shared" si="7"/>
        <v>1.2</v>
      </c>
      <c r="N40" s="10">
        <f t="shared" si="9"/>
        <v>0</v>
      </c>
      <c r="O40" s="10">
        <v>0</v>
      </c>
      <c r="P40" s="10">
        <f t="shared" si="10"/>
        <v>7.2</v>
      </c>
      <c r="Q40" s="17">
        <v>8.2237661290322386</v>
      </c>
      <c r="R40" s="18">
        <f t="shared" si="11"/>
        <v>15.423766129032238</v>
      </c>
      <c r="S40" s="19">
        <f t="shared" si="12"/>
        <v>1.09375</v>
      </c>
      <c r="T40" s="20">
        <f t="shared" si="13"/>
        <v>14.330016129032238</v>
      </c>
      <c r="U40" s="4"/>
      <c r="V40" s="4"/>
      <c r="W40" s="4"/>
    </row>
    <row r="41" spans="1:29" ht="17.399999999999999">
      <c r="A41" s="9">
        <v>1</v>
      </c>
      <c r="B41" s="8">
        <v>208</v>
      </c>
      <c r="C41" s="8">
        <v>92129464</v>
      </c>
      <c r="D41" s="42" t="s">
        <v>148</v>
      </c>
      <c r="E41" s="42" t="s">
        <v>82</v>
      </c>
      <c r="F41" s="10">
        <v>4</v>
      </c>
      <c r="G41" s="10">
        <v>1</v>
      </c>
      <c r="H41" s="50">
        <v>0</v>
      </c>
      <c r="I41" s="50">
        <v>0</v>
      </c>
      <c r="J41" s="50">
        <v>0</v>
      </c>
      <c r="K41" s="14" t="s">
        <v>53</v>
      </c>
      <c r="L41" s="11">
        <f t="shared" si="8"/>
        <v>6</v>
      </c>
      <c r="M41" s="10">
        <f t="shared" si="7"/>
        <v>1.2</v>
      </c>
      <c r="N41" s="10">
        <f t="shared" si="9"/>
        <v>0</v>
      </c>
      <c r="O41" s="10">
        <v>0</v>
      </c>
      <c r="P41" s="10">
        <f t="shared" si="10"/>
        <v>7.2</v>
      </c>
      <c r="Q41" s="17">
        <v>8.0187499999999794</v>
      </c>
      <c r="R41" s="18">
        <f t="shared" si="11"/>
        <v>15.218749999999979</v>
      </c>
      <c r="S41" s="19">
        <f t="shared" si="12"/>
        <v>1.09375</v>
      </c>
      <c r="T41" s="20">
        <f t="shared" si="13"/>
        <v>14.124999999999979</v>
      </c>
      <c r="U41" s="4"/>
      <c r="V41" s="4"/>
      <c r="W41" s="4"/>
    </row>
    <row r="42" spans="1:29" ht="17.399999999999999">
      <c r="A42" s="9">
        <v>1</v>
      </c>
      <c r="B42" s="8">
        <v>236</v>
      </c>
      <c r="C42" s="8">
        <v>1968448898</v>
      </c>
      <c r="D42" s="42" t="s">
        <v>118</v>
      </c>
      <c r="F42" s="10">
        <v>4</v>
      </c>
      <c r="G42" s="10">
        <v>1</v>
      </c>
      <c r="H42" s="50">
        <v>0</v>
      </c>
      <c r="I42" s="50">
        <v>0</v>
      </c>
      <c r="J42" s="50">
        <v>0</v>
      </c>
      <c r="K42" s="14" t="s">
        <v>53</v>
      </c>
      <c r="L42" s="11">
        <f t="shared" si="8"/>
        <v>6</v>
      </c>
      <c r="M42" s="10">
        <f t="shared" si="7"/>
        <v>1.2</v>
      </c>
      <c r="N42" s="10">
        <f t="shared" si="9"/>
        <v>0</v>
      </c>
      <c r="O42" s="10">
        <v>0</v>
      </c>
      <c r="P42" s="10">
        <f t="shared" si="10"/>
        <v>7.2</v>
      </c>
      <c r="Q42" s="17">
        <v>8.0124999999999993</v>
      </c>
      <c r="R42" s="18">
        <f t="shared" si="11"/>
        <v>15.212499999999999</v>
      </c>
      <c r="S42" s="19">
        <f t="shared" si="12"/>
        <v>1.09375</v>
      </c>
      <c r="T42" s="20">
        <f t="shared" si="13"/>
        <v>14.118749999999999</v>
      </c>
      <c r="U42" s="4"/>
      <c r="V42" s="4"/>
      <c r="W42" s="4"/>
    </row>
    <row r="43" spans="1:29" ht="17.399999999999999">
      <c r="A43" s="9">
        <v>1</v>
      </c>
      <c r="B43" s="8">
        <v>189</v>
      </c>
      <c r="C43" s="8">
        <v>522812489</v>
      </c>
      <c r="D43" s="42" t="s">
        <v>70</v>
      </c>
      <c r="E43" s="47"/>
      <c r="F43" s="10">
        <v>4</v>
      </c>
      <c r="G43" s="10">
        <v>1</v>
      </c>
      <c r="H43" s="50">
        <v>0</v>
      </c>
      <c r="I43" s="50">
        <v>0</v>
      </c>
      <c r="J43" s="50">
        <v>0</v>
      </c>
      <c r="K43" s="14" t="s">
        <v>53</v>
      </c>
      <c r="L43" s="11">
        <f t="shared" si="8"/>
        <v>6</v>
      </c>
      <c r="M43" s="10">
        <f t="shared" si="7"/>
        <v>1.2</v>
      </c>
      <c r="N43" s="10">
        <f t="shared" si="9"/>
        <v>0</v>
      </c>
      <c r="O43" s="10">
        <v>0</v>
      </c>
      <c r="P43" s="10">
        <f t="shared" si="10"/>
        <v>7.2</v>
      </c>
      <c r="Q43" s="17">
        <v>7.850499999999986</v>
      </c>
      <c r="R43" s="18">
        <f t="shared" si="11"/>
        <v>15.050499999999985</v>
      </c>
      <c r="S43" s="19">
        <f t="shared" si="12"/>
        <v>1.09375</v>
      </c>
      <c r="T43" s="20">
        <f t="shared" si="13"/>
        <v>13.956749999999985</v>
      </c>
      <c r="U43" s="4"/>
      <c r="V43" s="4"/>
      <c r="W43" s="4"/>
    </row>
    <row r="44" spans="1:29" ht="17.399999999999999">
      <c r="A44" s="9">
        <v>1</v>
      </c>
      <c r="B44" s="9">
        <v>230</v>
      </c>
      <c r="C44" s="8">
        <v>1076026693</v>
      </c>
      <c r="D44" s="42" t="s">
        <v>111</v>
      </c>
      <c r="F44" s="10">
        <v>4</v>
      </c>
      <c r="G44" s="10">
        <v>1</v>
      </c>
      <c r="H44" s="50">
        <v>0</v>
      </c>
      <c r="I44" s="50">
        <v>0</v>
      </c>
      <c r="J44" s="50">
        <v>0</v>
      </c>
      <c r="K44" s="14" t="s">
        <v>53</v>
      </c>
      <c r="L44" s="11">
        <f t="shared" si="8"/>
        <v>6</v>
      </c>
      <c r="M44" s="10">
        <f t="shared" si="7"/>
        <v>1.2</v>
      </c>
      <c r="N44" s="10">
        <f t="shared" si="9"/>
        <v>0</v>
      </c>
      <c r="O44" s="10">
        <v>0</v>
      </c>
      <c r="P44" s="10">
        <f t="shared" si="10"/>
        <v>7.2</v>
      </c>
      <c r="Q44" s="17">
        <v>7.8062499999999915</v>
      </c>
      <c r="R44" s="18">
        <f t="shared" si="11"/>
        <v>15.006249999999991</v>
      </c>
      <c r="S44" s="19">
        <f t="shared" si="12"/>
        <v>1.09375</v>
      </c>
      <c r="T44" s="20">
        <f t="shared" si="13"/>
        <v>13.912499999999991</v>
      </c>
      <c r="U44" s="4"/>
      <c r="V44" s="4"/>
      <c r="W44" s="4"/>
    </row>
    <row r="45" spans="1:29" ht="20.399999999999999">
      <c r="A45" s="86">
        <v>1</v>
      </c>
      <c r="B45" s="8">
        <v>186</v>
      </c>
      <c r="C45" s="8">
        <v>595953188</v>
      </c>
      <c r="D45" s="42" t="s">
        <v>157</v>
      </c>
      <c r="E45" s="87" t="s">
        <v>156</v>
      </c>
      <c r="F45" s="10">
        <v>3</v>
      </c>
      <c r="G45" s="10">
        <v>1</v>
      </c>
      <c r="H45" s="50">
        <v>0</v>
      </c>
      <c r="I45" s="50">
        <v>0</v>
      </c>
      <c r="J45" s="50">
        <v>0</v>
      </c>
      <c r="K45" s="14" t="s">
        <v>53</v>
      </c>
      <c r="L45" s="91">
        <f t="shared" si="8"/>
        <v>4</v>
      </c>
      <c r="M45" s="88">
        <f t="shared" si="7"/>
        <v>1.2</v>
      </c>
      <c r="N45" s="88">
        <f t="shared" si="9"/>
        <v>0</v>
      </c>
      <c r="O45" s="88">
        <v>0</v>
      </c>
      <c r="P45" s="88">
        <f t="shared" si="10"/>
        <v>5.2</v>
      </c>
      <c r="Q45" s="92">
        <v>9.7320714285714196</v>
      </c>
      <c r="R45" s="18">
        <f t="shared" si="11"/>
        <v>14.932071428571419</v>
      </c>
      <c r="S45" s="93">
        <f t="shared" si="12"/>
        <v>1.09375</v>
      </c>
      <c r="T45" s="94">
        <f t="shared" si="13"/>
        <v>13.838321428571419</v>
      </c>
      <c r="U45" s="2"/>
      <c r="V45" s="4"/>
      <c r="W45" s="4"/>
    </row>
    <row r="46" spans="1:29" ht="17.399999999999999">
      <c r="A46" s="9">
        <v>1</v>
      </c>
      <c r="B46" s="8">
        <v>195</v>
      </c>
      <c r="C46" s="8">
        <v>1634663314</v>
      </c>
      <c r="D46" s="42" t="s">
        <v>73</v>
      </c>
      <c r="E46" s="47"/>
      <c r="F46" s="10">
        <v>4</v>
      </c>
      <c r="G46" s="10">
        <v>1</v>
      </c>
      <c r="H46" s="50">
        <v>0</v>
      </c>
      <c r="I46" s="50">
        <v>0</v>
      </c>
      <c r="J46" s="50">
        <v>0</v>
      </c>
      <c r="K46" s="14" t="s">
        <v>53</v>
      </c>
      <c r="L46" s="11">
        <f t="shared" si="8"/>
        <v>6</v>
      </c>
      <c r="M46" s="10">
        <f t="shared" si="7"/>
        <v>1.2</v>
      </c>
      <c r="N46" s="10">
        <f t="shared" si="9"/>
        <v>0</v>
      </c>
      <c r="O46" s="10">
        <v>0</v>
      </c>
      <c r="P46" s="10">
        <f t="shared" si="10"/>
        <v>7.2</v>
      </c>
      <c r="Q46" s="17">
        <v>7.6395833333333307</v>
      </c>
      <c r="R46" s="18">
        <f t="shared" si="11"/>
        <v>14.83958333333333</v>
      </c>
      <c r="S46" s="19">
        <f t="shared" si="12"/>
        <v>1.09375</v>
      </c>
      <c r="T46" s="20">
        <f t="shared" si="13"/>
        <v>13.74583333333333</v>
      </c>
      <c r="U46" s="4"/>
      <c r="V46" s="4"/>
      <c r="W46" s="4"/>
    </row>
    <row r="47" spans="1:29" ht="17.399999999999999">
      <c r="A47" s="9">
        <v>1</v>
      </c>
      <c r="B47" s="8">
        <v>249</v>
      </c>
      <c r="C47" s="8">
        <v>1892505535</v>
      </c>
      <c r="D47" s="42" t="s">
        <v>149</v>
      </c>
      <c r="F47" s="10">
        <v>3</v>
      </c>
      <c r="G47" s="10">
        <v>1</v>
      </c>
      <c r="H47" s="50">
        <v>0</v>
      </c>
      <c r="I47" s="50">
        <v>0</v>
      </c>
      <c r="J47" s="50">
        <v>0</v>
      </c>
      <c r="K47" s="14" t="s">
        <v>53</v>
      </c>
      <c r="L47" s="11">
        <f t="shared" si="8"/>
        <v>4</v>
      </c>
      <c r="M47" s="10">
        <f t="shared" si="7"/>
        <v>1.2</v>
      </c>
      <c r="N47" s="10">
        <f t="shared" si="9"/>
        <v>0</v>
      </c>
      <c r="O47" s="10">
        <v>0</v>
      </c>
      <c r="P47" s="10">
        <f t="shared" si="10"/>
        <v>5.2</v>
      </c>
      <c r="Q47" s="17">
        <v>9.4499999999999957</v>
      </c>
      <c r="R47" s="18">
        <f t="shared" si="11"/>
        <v>14.649999999999995</v>
      </c>
      <c r="S47" s="19">
        <f t="shared" si="12"/>
        <v>1.09375</v>
      </c>
      <c r="T47" s="20">
        <f t="shared" si="13"/>
        <v>13.556249999999995</v>
      </c>
      <c r="U47" s="4"/>
      <c r="V47" s="4"/>
      <c r="W47" s="4"/>
    </row>
    <row r="48" spans="1:29" ht="17.399999999999999">
      <c r="A48" s="9">
        <v>1</v>
      </c>
      <c r="B48" s="8">
        <v>245</v>
      </c>
      <c r="C48" s="8">
        <v>603472651</v>
      </c>
      <c r="D48" s="42" t="s">
        <v>140</v>
      </c>
      <c r="F48" s="10">
        <v>4</v>
      </c>
      <c r="G48" s="10">
        <v>0</v>
      </c>
      <c r="H48" s="50">
        <v>0</v>
      </c>
      <c r="I48" s="50">
        <v>0</v>
      </c>
      <c r="J48" s="50">
        <v>0</v>
      </c>
      <c r="K48" s="14" t="s">
        <v>53</v>
      </c>
      <c r="L48" s="11">
        <f t="shared" si="8"/>
        <v>6</v>
      </c>
      <c r="M48" s="10">
        <f t="shared" si="7"/>
        <v>0</v>
      </c>
      <c r="N48" s="10">
        <f t="shared" si="9"/>
        <v>0</v>
      </c>
      <c r="O48" s="10">
        <v>0</v>
      </c>
      <c r="P48" s="10">
        <f t="shared" si="10"/>
        <v>6</v>
      </c>
      <c r="Q48" s="17">
        <v>8.4937499999999844</v>
      </c>
      <c r="R48" s="18">
        <f t="shared" si="11"/>
        <v>14.493749999999984</v>
      </c>
      <c r="S48" s="19">
        <f t="shared" si="12"/>
        <v>1.09375</v>
      </c>
      <c r="T48" s="20">
        <f t="shared" si="13"/>
        <v>13.399999999999984</v>
      </c>
    </row>
    <row r="49" spans="1:23" ht="17.399999999999999" hidden="1">
      <c r="A49" s="9">
        <v>0</v>
      </c>
      <c r="B49" s="8">
        <v>193</v>
      </c>
      <c r="C49" s="8">
        <v>2125731287</v>
      </c>
      <c r="D49" s="42" t="s">
        <v>72</v>
      </c>
      <c r="E49" s="47"/>
      <c r="F49" s="10">
        <v>0</v>
      </c>
      <c r="G49" s="10">
        <v>0</v>
      </c>
      <c r="H49" s="50">
        <v>0</v>
      </c>
      <c r="I49" s="50">
        <v>0</v>
      </c>
      <c r="J49" s="50">
        <v>0</v>
      </c>
      <c r="K49" s="39" t="s">
        <v>30</v>
      </c>
      <c r="L49" s="11">
        <f t="shared" si="8"/>
        <v>0</v>
      </c>
      <c r="M49" s="10">
        <f t="shared" si="7"/>
        <v>0</v>
      </c>
      <c r="N49" s="10">
        <f t="shared" si="9"/>
        <v>0</v>
      </c>
      <c r="O49" s="10">
        <v>0</v>
      </c>
      <c r="P49" s="10">
        <f t="shared" si="10"/>
        <v>0</v>
      </c>
      <c r="Q49" s="17">
        <v>10.768749999999986</v>
      </c>
      <c r="R49" s="18">
        <f t="shared" si="11"/>
        <v>10.768749999999986</v>
      </c>
      <c r="S49" s="19">
        <f t="shared" si="12"/>
        <v>0</v>
      </c>
      <c r="T49" s="20">
        <f t="shared" si="13"/>
        <v>10.768749999999986</v>
      </c>
    </row>
    <row r="50" spans="1:23" ht="17.399999999999999">
      <c r="A50" s="9">
        <v>1</v>
      </c>
      <c r="B50" s="8">
        <v>172</v>
      </c>
      <c r="C50" s="8">
        <v>724061220</v>
      </c>
      <c r="D50" s="42" t="s">
        <v>65</v>
      </c>
      <c r="E50" s="42" t="s">
        <v>50</v>
      </c>
      <c r="F50" s="10">
        <v>3</v>
      </c>
      <c r="G50" s="10">
        <v>1</v>
      </c>
      <c r="H50" s="50">
        <v>0</v>
      </c>
      <c r="I50" s="50">
        <v>0</v>
      </c>
      <c r="J50" s="50">
        <v>0</v>
      </c>
      <c r="K50" s="14" t="s">
        <v>53</v>
      </c>
      <c r="L50" s="11">
        <f t="shared" si="8"/>
        <v>4</v>
      </c>
      <c r="M50" s="10">
        <f t="shared" si="7"/>
        <v>1.2</v>
      </c>
      <c r="N50" s="10">
        <f t="shared" si="9"/>
        <v>0</v>
      </c>
      <c r="O50" s="10">
        <v>0</v>
      </c>
      <c r="P50" s="10">
        <f t="shared" si="10"/>
        <v>5.2</v>
      </c>
      <c r="Q50" s="17">
        <v>8.7749999999999844</v>
      </c>
      <c r="R50" s="18">
        <f t="shared" si="11"/>
        <v>13.974999999999984</v>
      </c>
      <c r="S50" s="19">
        <f t="shared" si="12"/>
        <v>1.09375</v>
      </c>
      <c r="T50" s="20">
        <f t="shared" si="13"/>
        <v>12.881249999999984</v>
      </c>
    </row>
    <row r="51" spans="1:23" ht="17.399999999999999" hidden="1">
      <c r="A51" s="9">
        <v>0</v>
      </c>
      <c r="B51" s="8">
        <v>224</v>
      </c>
      <c r="C51" s="8">
        <v>862562360</v>
      </c>
      <c r="D51" s="42" t="s">
        <v>129</v>
      </c>
      <c r="E51" s="42" t="s">
        <v>106</v>
      </c>
      <c r="F51" s="10">
        <v>0</v>
      </c>
      <c r="G51" s="10">
        <v>0</v>
      </c>
      <c r="H51" s="50">
        <v>0</v>
      </c>
      <c r="I51" s="50">
        <v>0</v>
      </c>
      <c r="J51" s="50">
        <v>0</v>
      </c>
      <c r="K51" s="39" t="s">
        <v>30</v>
      </c>
      <c r="L51" s="11">
        <f t="shared" si="8"/>
        <v>0</v>
      </c>
      <c r="M51" s="10">
        <f t="shared" si="7"/>
        <v>0</v>
      </c>
      <c r="N51" s="10">
        <f t="shared" si="9"/>
        <v>0</v>
      </c>
      <c r="O51" s="10">
        <v>0</v>
      </c>
      <c r="P51" s="10">
        <f t="shared" si="10"/>
        <v>0</v>
      </c>
      <c r="Q51" s="17">
        <v>9.7312499999999815</v>
      </c>
      <c r="R51" s="18">
        <f t="shared" si="11"/>
        <v>9.7312499999999815</v>
      </c>
      <c r="S51" s="19">
        <f t="shared" si="12"/>
        <v>0</v>
      </c>
      <c r="T51" s="20">
        <f t="shared" si="13"/>
        <v>9.7312499999999815</v>
      </c>
    </row>
    <row r="52" spans="1:23" ht="17.399999999999999">
      <c r="A52" s="9">
        <v>1</v>
      </c>
      <c r="B52" s="9">
        <v>10</v>
      </c>
      <c r="C52" s="8">
        <v>2108977014</v>
      </c>
      <c r="D52" s="42" t="s">
        <v>57</v>
      </c>
      <c r="E52" s="42" t="s">
        <v>8</v>
      </c>
      <c r="F52" s="10">
        <v>1</v>
      </c>
      <c r="G52" s="10">
        <v>1</v>
      </c>
      <c r="H52" s="50">
        <v>0</v>
      </c>
      <c r="I52" s="50">
        <v>0</v>
      </c>
      <c r="J52" s="50">
        <v>0</v>
      </c>
      <c r="K52" s="14" t="s">
        <v>53</v>
      </c>
      <c r="L52" s="11">
        <f t="shared" si="8"/>
        <v>1</v>
      </c>
      <c r="M52" s="10">
        <f t="shared" si="7"/>
        <v>1.2</v>
      </c>
      <c r="N52" s="10">
        <f t="shared" si="9"/>
        <v>0</v>
      </c>
      <c r="O52" s="10">
        <v>0</v>
      </c>
      <c r="P52" s="10">
        <f t="shared" si="10"/>
        <v>2.2000000000000002</v>
      </c>
      <c r="Q52" s="17">
        <v>9.6637658730158567</v>
      </c>
      <c r="R52" s="18">
        <f t="shared" si="11"/>
        <v>11.863765873015858</v>
      </c>
      <c r="S52" s="19">
        <f t="shared" si="12"/>
        <v>1.09375</v>
      </c>
      <c r="T52" s="20">
        <f t="shared" si="13"/>
        <v>10.770015873015858</v>
      </c>
      <c r="U52" s="40"/>
      <c r="V52" s="40"/>
      <c r="W52" s="40"/>
    </row>
    <row r="53" spans="1:23" ht="17.399999999999999">
      <c r="A53" s="9">
        <v>1</v>
      </c>
      <c r="B53" s="8">
        <v>183</v>
      </c>
      <c r="C53" s="8">
        <v>1250030371</v>
      </c>
      <c r="D53" s="42" t="s">
        <v>130</v>
      </c>
      <c r="E53" s="42" t="s">
        <v>121</v>
      </c>
      <c r="F53" s="10">
        <v>2</v>
      </c>
      <c r="G53" s="10">
        <v>1</v>
      </c>
      <c r="H53" s="50">
        <v>0</v>
      </c>
      <c r="I53" s="50">
        <v>0</v>
      </c>
      <c r="J53" s="50">
        <v>0</v>
      </c>
      <c r="K53" s="14" t="s">
        <v>53</v>
      </c>
      <c r="L53" s="11">
        <f t="shared" si="8"/>
        <v>2</v>
      </c>
      <c r="M53" s="10">
        <f t="shared" si="7"/>
        <v>1.2</v>
      </c>
      <c r="N53" s="10">
        <f t="shared" si="9"/>
        <v>0</v>
      </c>
      <c r="O53" s="10">
        <v>0</v>
      </c>
      <c r="P53" s="10">
        <f t="shared" si="10"/>
        <v>3.2</v>
      </c>
      <c r="Q53" s="17">
        <v>7.7872307692307601</v>
      </c>
      <c r="R53" s="18">
        <f t="shared" si="11"/>
        <v>10.987230769230759</v>
      </c>
      <c r="S53" s="19">
        <f t="shared" si="12"/>
        <v>1.09375</v>
      </c>
      <c r="T53" s="20">
        <f t="shared" si="13"/>
        <v>9.8934807692307594</v>
      </c>
    </row>
    <row r="54" spans="1:23" ht="17.399999999999999">
      <c r="A54" s="9">
        <v>1</v>
      </c>
      <c r="B54" s="8">
        <v>239</v>
      </c>
      <c r="C54" s="8">
        <v>416459640</v>
      </c>
      <c r="D54" s="42" t="s">
        <v>122</v>
      </c>
      <c r="F54" s="10">
        <v>0</v>
      </c>
      <c r="G54" s="10">
        <v>0</v>
      </c>
      <c r="H54" s="50">
        <v>0</v>
      </c>
      <c r="I54" s="50">
        <v>0</v>
      </c>
      <c r="J54" s="50">
        <v>0</v>
      </c>
      <c r="K54" s="39" t="s">
        <v>30</v>
      </c>
      <c r="L54" s="11">
        <f t="shared" si="8"/>
        <v>0</v>
      </c>
      <c r="M54" s="10">
        <f t="shared" si="7"/>
        <v>0</v>
      </c>
      <c r="N54" s="10">
        <f t="shared" si="9"/>
        <v>0</v>
      </c>
      <c r="O54" s="10">
        <v>0</v>
      </c>
      <c r="P54" s="10">
        <f t="shared" si="10"/>
        <v>0</v>
      </c>
      <c r="Q54" s="17">
        <v>10.624999999999996</v>
      </c>
      <c r="R54" s="18">
        <f t="shared" si="11"/>
        <v>10.624999999999996</v>
      </c>
      <c r="S54" s="19">
        <f t="shared" si="12"/>
        <v>0</v>
      </c>
      <c r="T54" s="20">
        <f t="shared" si="13"/>
        <v>10.624999999999996</v>
      </c>
    </row>
    <row r="55" spans="1:23" ht="17.399999999999999">
      <c r="A55" s="9">
        <v>1</v>
      </c>
      <c r="B55" s="8">
        <v>156</v>
      </c>
      <c r="C55" s="8">
        <v>1744610165</v>
      </c>
      <c r="D55" s="42" t="s">
        <v>135</v>
      </c>
      <c r="E55" s="42" t="s">
        <v>64</v>
      </c>
      <c r="F55" s="10">
        <v>4</v>
      </c>
      <c r="G55" s="10">
        <v>1</v>
      </c>
      <c r="H55" s="50">
        <v>0</v>
      </c>
      <c r="I55" s="50">
        <v>0</v>
      </c>
      <c r="J55" s="50">
        <v>0</v>
      </c>
      <c r="K55" s="14" t="s">
        <v>53</v>
      </c>
      <c r="L55" s="11">
        <f t="shared" si="8"/>
        <v>6</v>
      </c>
      <c r="M55" s="10">
        <f t="shared" si="7"/>
        <v>1.2</v>
      </c>
      <c r="N55" s="10">
        <f t="shared" si="9"/>
        <v>0</v>
      </c>
      <c r="O55" s="10">
        <v>0</v>
      </c>
      <c r="P55" s="10">
        <f t="shared" si="10"/>
        <v>7.2</v>
      </c>
      <c r="Q55" s="17">
        <v>2.0000000000000018</v>
      </c>
      <c r="R55" s="18">
        <f t="shared" si="11"/>
        <v>9.2000000000000028</v>
      </c>
      <c r="S55" s="19">
        <f t="shared" si="12"/>
        <v>1.09375</v>
      </c>
      <c r="T55" s="20">
        <f t="shared" si="13"/>
        <v>8.1062500000000028</v>
      </c>
    </row>
    <row r="56" spans="1:23" ht="17.399999999999999">
      <c r="A56" s="9">
        <v>1</v>
      </c>
      <c r="B56" s="8">
        <v>250</v>
      </c>
      <c r="C56" s="8">
        <v>1183251323</v>
      </c>
      <c r="D56" s="42" t="s">
        <v>150</v>
      </c>
      <c r="F56" s="10">
        <v>2</v>
      </c>
      <c r="G56" s="10">
        <v>1</v>
      </c>
      <c r="H56" s="50">
        <v>0</v>
      </c>
      <c r="I56" s="50">
        <v>0</v>
      </c>
      <c r="J56" s="50">
        <v>0</v>
      </c>
      <c r="K56" s="14" t="s">
        <v>53</v>
      </c>
      <c r="L56" s="11">
        <f t="shared" si="8"/>
        <v>2</v>
      </c>
      <c r="M56" s="10">
        <f t="shared" ref="M56:M83" si="14">G56*$Y$14</f>
        <v>1.2</v>
      </c>
      <c r="N56" s="10">
        <f t="shared" si="9"/>
        <v>0</v>
      </c>
      <c r="O56" s="10">
        <v>0</v>
      </c>
      <c r="P56" s="10">
        <f t="shared" si="10"/>
        <v>3.2</v>
      </c>
      <c r="Q56" s="17">
        <v>5.2687499999999954</v>
      </c>
      <c r="R56" s="18">
        <f t="shared" si="11"/>
        <v>8.4687499999999964</v>
      </c>
      <c r="S56" s="19">
        <f t="shared" si="12"/>
        <v>1.09375</v>
      </c>
      <c r="T56" s="20">
        <f t="shared" si="13"/>
        <v>7.3749999999999964</v>
      </c>
    </row>
    <row r="57" spans="1:23" ht="17.399999999999999" hidden="1">
      <c r="A57" s="9">
        <v>0</v>
      </c>
      <c r="B57" s="8">
        <v>198</v>
      </c>
      <c r="C57" s="8">
        <v>723448640</v>
      </c>
      <c r="D57" s="42" t="s">
        <v>75</v>
      </c>
      <c r="E57" s="47"/>
      <c r="F57" s="10">
        <v>0</v>
      </c>
      <c r="G57" s="10">
        <v>0</v>
      </c>
      <c r="H57" s="50">
        <v>0</v>
      </c>
      <c r="I57" s="50">
        <v>0</v>
      </c>
      <c r="J57" s="50">
        <v>0</v>
      </c>
      <c r="K57" s="39" t="s">
        <v>30</v>
      </c>
      <c r="L57" s="11">
        <f t="shared" si="8"/>
        <v>0</v>
      </c>
      <c r="M57" s="10">
        <f t="shared" si="14"/>
        <v>0</v>
      </c>
      <c r="N57" s="10">
        <f t="shared" si="9"/>
        <v>0</v>
      </c>
      <c r="O57" s="10">
        <v>0</v>
      </c>
      <c r="P57" s="10">
        <f t="shared" si="10"/>
        <v>0</v>
      </c>
      <c r="Q57" s="17">
        <v>4.0625</v>
      </c>
      <c r="R57" s="18">
        <f t="shared" si="11"/>
        <v>4.0625</v>
      </c>
      <c r="S57" s="19">
        <f t="shared" si="12"/>
        <v>0</v>
      </c>
      <c r="T57" s="20">
        <f t="shared" si="13"/>
        <v>4.0625</v>
      </c>
    </row>
    <row r="58" spans="1:23" ht="17.399999999999999" hidden="1">
      <c r="A58" s="9">
        <v>0</v>
      </c>
      <c r="B58" s="8">
        <v>222</v>
      </c>
      <c r="C58" s="8">
        <v>1945277617</v>
      </c>
      <c r="D58" s="42" t="s">
        <v>97</v>
      </c>
      <c r="E58" s="42"/>
      <c r="F58" s="10">
        <v>0</v>
      </c>
      <c r="G58" s="10">
        <v>0</v>
      </c>
      <c r="H58" s="50">
        <v>0</v>
      </c>
      <c r="I58" s="50">
        <v>0</v>
      </c>
      <c r="J58" s="50">
        <v>0</v>
      </c>
      <c r="K58" s="39" t="s">
        <v>30</v>
      </c>
      <c r="L58" s="11">
        <f t="shared" si="8"/>
        <v>0</v>
      </c>
      <c r="M58" s="10">
        <f t="shared" si="14"/>
        <v>0</v>
      </c>
      <c r="N58" s="10">
        <f t="shared" si="9"/>
        <v>0</v>
      </c>
      <c r="O58" s="10">
        <v>0</v>
      </c>
      <c r="P58" s="10">
        <f t="shared" si="10"/>
        <v>0</v>
      </c>
      <c r="Q58" s="17">
        <v>4.0187499999999874</v>
      </c>
      <c r="R58" s="18">
        <f t="shared" si="11"/>
        <v>4.0187499999999874</v>
      </c>
      <c r="S58" s="19">
        <f t="shared" si="12"/>
        <v>0</v>
      </c>
      <c r="T58" s="20">
        <f t="shared" si="13"/>
        <v>4.0187499999999874</v>
      </c>
    </row>
    <row r="59" spans="1:23" ht="17.399999999999999">
      <c r="A59" s="9">
        <v>1</v>
      </c>
      <c r="B59" s="8">
        <v>212</v>
      </c>
      <c r="C59" s="8">
        <v>2133045883</v>
      </c>
      <c r="D59" s="42" t="s">
        <v>137</v>
      </c>
      <c r="E59" s="42" t="s">
        <v>84</v>
      </c>
      <c r="F59" s="10">
        <v>0</v>
      </c>
      <c r="G59" s="10">
        <v>0</v>
      </c>
      <c r="H59" s="50">
        <v>0</v>
      </c>
      <c r="I59" s="50">
        <v>0</v>
      </c>
      <c r="J59" s="50">
        <v>0</v>
      </c>
      <c r="K59" s="39" t="s">
        <v>30</v>
      </c>
      <c r="L59" s="11">
        <f t="shared" si="8"/>
        <v>0</v>
      </c>
      <c r="M59" s="10">
        <f t="shared" si="14"/>
        <v>0</v>
      </c>
      <c r="N59" s="10">
        <f t="shared" si="9"/>
        <v>0</v>
      </c>
      <c r="O59" s="10">
        <v>0</v>
      </c>
      <c r="P59" s="10">
        <f t="shared" si="10"/>
        <v>0</v>
      </c>
      <c r="Q59" s="17">
        <v>7.9874999999999901</v>
      </c>
      <c r="R59" s="18">
        <f t="shared" si="11"/>
        <v>7.9874999999999901</v>
      </c>
      <c r="S59" s="19">
        <f t="shared" si="12"/>
        <v>0</v>
      </c>
      <c r="T59" s="20">
        <f t="shared" si="13"/>
        <v>7.9874999999999901</v>
      </c>
    </row>
    <row r="60" spans="1:23" ht="17.399999999999999">
      <c r="A60" s="9">
        <v>1</v>
      </c>
      <c r="B60" s="8">
        <v>223</v>
      </c>
      <c r="C60" s="8">
        <v>784792167</v>
      </c>
      <c r="D60" s="42" t="s">
        <v>98</v>
      </c>
      <c r="E60" s="42"/>
      <c r="F60" s="10">
        <v>0</v>
      </c>
      <c r="G60" s="10">
        <v>0</v>
      </c>
      <c r="H60" s="50">
        <v>0</v>
      </c>
      <c r="I60" s="50">
        <v>0</v>
      </c>
      <c r="J60" s="50">
        <v>0</v>
      </c>
      <c r="K60" s="39" t="s">
        <v>30</v>
      </c>
      <c r="L60" s="11">
        <f t="shared" si="8"/>
        <v>0</v>
      </c>
      <c r="M60" s="10">
        <f t="shared" si="14"/>
        <v>0</v>
      </c>
      <c r="N60" s="10">
        <f t="shared" si="9"/>
        <v>0</v>
      </c>
      <c r="O60" s="10">
        <v>0</v>
      </c>
      <c r="P60" s="10">
        <f t="shared" si="10"/>
        <v>0</v>
      </c>
      <c r="Q60" s="17">
        <v>5.7187499999999831</v>
      </c>
      <c r="R60" s="18">
        <f t="shared" si="11"/>
        <v>5.7187499999999831</v>
      </c>
      <c r="S60" s="19">
        <f t="shared" si="12"/>
        <v>0</v>
      </c>
      <c r="T60" s="20">
        <f t="shared" si="13"/>
        <v>5.7187499999999831</v>
      </c>
    </row>
    <row r="61" spans="1:23" ht="17.399999999999999">
      <c r="A61" s="9">
        <v>1</v>
      </c>
      <c r="B61" s="8">
        <v>252</v>
      </c>
      <c r="C61" s="8">
        <v>1574741700</v>
      </c>
      <c r="D61" s="42" t="s">
        <v>152</v>
      </c>
      <c r="F61" s="10">
        <v>0</v>
      </c>
      <c r="G61" s="10">
        <v>1</v>
      </c>
      <c r="H61" s="50">
        <v>0</v>
      </c>
      <c r="I61" s="50">
        <v>0</v>
      </c>
      <c r="J61" s="50">
        <v>0</v>
      </c>
      <c r="K61" s="39" t="s">
        <v>30</v>
      </c>
      <c r="L61" s="11">
        <f t="shared" si="8"/>
        <v>0</v>
      </c>
      <c r="M61" s="10">
        <f t="shared" si="14"/>
        <v>1.2</v>
      </c>
      <c r="N61" s="10">
        <f t="shared" si="9"/>
        <v>0</v>
      </c>
      <c r="O61" s="10">
        <v>0</v>
      </c>
      <c r="P61" s="10">
        <f t="shared" si="10"/>
        <v>1.2</v>
      </c>
      <c r="Q61" s="17">
        <v>3.1437499999999954</v>
      </c>
      <c r="R61" s="18">
        <f t="shared" si="11"/>
        <v>4.3437499999999956</v>
      </c>
      <c r="S61" s="19">
        <f t="shared" si="12"/>
        <v>0</v>
      </c>
      <c r="T61" s="20">
        <f t="shared" si="13"/>
        <v>4.3437499999999956</v>
      </c>
    </row>
    <row r="62" spans="1:23" ht="17.399999999999999">
      <c r="A62" s="9">
        <v>1</v>
      </c>
      <c r="B62" s="9">
        <v>92</v>
      </c>
      <c r="C62" s="8">
        <v>1367873925</v>
      </c>
      <c r="D62" s="42" t="s">
        <v>80</v>
      </c>
      <c r="E62" s="42" t="s">
        <v>31</v>
      </c>
      <c r="F62" s="10">
        <v>3</v>
      </c>
      <c r="G62" s="10">
        <v>1</v>
      </c>
      <c r="H62" s="50">
        <v>0</v>
      </c>
      <c r="I62" s="50">
        <v>0</v>
      </c>
      <c r="J62" s="50">
        <v>0</v>
      </c>
      <c r="K62" s="14" t="s">
        <v>53</v>
      </c>
      <c r="L62" s="11">
        <f t="shared" si="8"/>
        <v>4</v>
      </c>
      <c r="M62" s="10">
        <f t="shared" si="14"/>
        <v>1.2</v>
      </c>
      <c r="N62" s="10">
        <f t="shared" si="9"/>
        <v>0</v>
      </c>
      <c r="O62" s="10">
        <v>0</v>
      </c>
      <c r="P62" s="10">
        <f t="shared" si="10"/>
        <v>5.2</v>
      </c>
      <c r="Q62" s="17">
        <v>-1.3124999999999984</v>
      </c>
      <c r="R62" s="18">
        <f t="shared" si="11"/>
        <v>3.887500000000002</v>
      </c>
      <c r="S62" s="19">
        <f t="shared" si="12"/>
        <v>1.09375</v>
      </c>
      <c r="T62" s="20">
        <f t="shared" si="13"/>
        <v>2.793750000000002</v>
      </c>
      <c r="U62" s="40"/>
      <c r="V62" s="40"/>
      <c r="W62" s="41"/>
    </row>
    <row r="63" spans="1:23" ht="17.399999999999999">
      <c r="A63" s="9">
        <v>1</v>
      </c>
      <c r="B63" s="8">
        <v>118</v>
      </c>
      <c r="C63" s="8">
        <v>2018112397</v>
      </c>
      <c r="D63" s="42" t="s">
        <v>136</v>
      </c>
      <c r="E63" s="42" t="s">
        <v>54</v>
      </c>
      <c r="F63" s="10">
        <v>0</v>
      </c>
      <c r="G63" s="10">
        <v>0</v>
      </c>
      <c r="H63" s="50">
        <v>0</v>
      </c>
      <c r="I63" s="50">
        <v>0</v>
      </c>
      <c r="J63" s="50">
        <v>0</v>
      </c>
      <c r="K63" s="39" t="s">
        <v>30</v>
      </c>
      <c r="L63" s="11">
        <f t="shared" si="8"/>
        <v>0</v>
      </c>
      <c r="M63" s="10">
        <f t="shared" si="14"/>
        <v>0</v>
      </c>
      <c r="N63" s="10">
        <f t="shared" si="9"/>
        <v>0</v>
      </c>
      <c r="O63" s="10">
        <v>0</v>
      </c>
      <c r="P63" s="10">
        <f t="shared" si="10"/>
        <v>0</v>
      </c>
      <c r="Q63" s="17">
        <v>3.6687500000000108</v>
      </c>
      <c r="R63" s="18">
        <f t="shared" si="11"/>
        <v>3.6687500000000108</v>
      </c>
      <c r="S63" s="19">
        <f t="shared" si="12"/>
        <v>0</v>
      </c>
      <c r="T63" s="20">
        <f t="shared" si="13"/>
        <v>3.6687500000000108</v>
      </c>
      <c r="U63" s="40"/>
      <c r="V63" s="40"/>
      <c r="W63" s="85"/>
    </row>
    <row r="64" spans="1:23" ht="17.399999999999999" hidden="1">
      <c r="A64" s="9">
        <v>0</v>
      </c>
      <c r="B64" s="8">
        <v>226</v>
      </c>
      <c r="C64" s="8">
        <v>1238792963</v>
      </c>
      <c r="D64" s="42" t="s">
        <v>108</v>
      </c>
      <c r="E64" s="42"/>
      <c r="F64" s="10">
        <v>0</v>
      </c>
      <c r="G64" s="10">
        <v>0</v>
      </c>
      <c r="H64" s="50">
        <v>0</v>
      </c>
      <c r="I64" s="50">
        <v>0</v>
      </c>
      <c r="J64" s="50">
        <v>0</v>
      </c>
      <c r="K64" s="39" t="s">
        <v>30</v>
      </c>
      <c r="L64" s="11">
        <f t="shared" si="8"/>
        <v>0</v>
      </c>
      <c r="M64" s="10">
        <f t="shared" si="14"/>
        <v>0</v>
      </c>
      <c r="N64" s="10">
        <f t="shared" si="9"/>
        <v>0</v>
      </c>
      <c r="O64" s="10">
        <v>0</v>
      </c>
      <c r="P64" s="10">
        <f t="shared" si="10"/>
        <v>0</v>
      </c>
      <c r="Q64" s="17">
        <v>1.425</v>
      </c>
      <c r="R64" s="18">
        <f t="shared" si="11"/>
        <v>1.425</v>
      </c>
      <c r="S64" s="19">
        <f t="shared" si="12"/>
        <v>0</v>
      </c>
      <c r="T64" s="20">
        <f t="shared" si="13"/>
        <v>1.425</v>
      </c>
    </row>
    <row r="65" spans="1:20" ht="17.399999999999999" hidden="1">
      <c r="A65" s="9">
        <v>0</v>
      </c>
      <c r="B65" s="8">
        <v>167</v>
      </c>
      <c r="C65" s="8">
        <v>1173807161</v>
      </c>
      <c r="D65" s="42" t="s">
        <v>138</v>
      </c>
      <c r="E65" s="42" t="s">
        <v>48</v>
      </c>
      <c r="F65" s="10">
        <v>0</v>
      </c>
      <c r="G65" s="10">
        <v>0</v>
      </c>
      <c r="H65" s="50">
        <v>0</v>
      </c>
      <c r="I65" s="50">
        <v>0</v>
      </c>
      <c r="J65" s="50">
        <v>0</v>
      </c>
      <c r="K65" s="39" t="s">
        <v>30</v>
      </c>
      <c r="L65" s="11">
        <f t="shared" si="8"/>
        <v>0</v>
      </c>
      <c r="M65" s="10">
        <f t="shared" si="14"/>
        <v>0</v>
      </c>
      <c r="N65" s="10">
        <f t="shared" si="9"/>
        <v>0</v>
      </c>
      <c r="O65" s="10">
        <v>0</v>
      </c>
      <c r="P65" s="10">
        <f t="shared" si="10"/>
        <v>0</v>
      </c>
      <c r="Q65" s="17">
        <v>0.90625</v>
      </c>
      <c r="R65" s="18">
        <f t="shared" si="11"/>
        <v>0.90625</v>
      </c>
      <c r="S65" s="19">
        <f t="shared" si="12"/>
        <v>0</v>
      </c>
      <c r="T65" s="20">
        <f t="shared" si="13"/>
        <v>0.90625</v>
      </c>
    </row>
    <row r="66" spans="1:20" ht="17.399999999999999">
      <c r="A66" s="9">
        <v>1</v>
      </c>
      <c r="B66" s="8">
        <v>234</v>
      </c>
      <c r="C66" s="8">
        <v>1333428907</v>
      </c>
      <c r="D66" s="42" t="s">
        <v>128</v>
      </c>
      <c r="E66" s="42" t="s">
        <v>115</v>
      </c>
      <c r="F66" s="10">
        <v>2</v>
      </c>
      <c r="G66" s="10">
        <v>0</v>
      </c>
      <c r="H66" s="50">
        <v>0</v>
      </c>
      <c r="I66" s="50">
        <v>0</v>
      </c>
      <c r="J66" s="50">
        <v>0</v>
      </c>
      <c r="K66" s="14" t="s">
        <v>53</v>
      </c>
      <c r="L66" s="11">
        <f t="shared" si="8"/>
        <v>2</v>
      </c>
      <c r="M66" s="10">
        <f t="shared" si="14"/>
        <v>0</v>
      </c>
      <c r="N66" s="10">
        <f t="shared" si="9"/>
        <v>0</v>
      </c>
      <c r="O66" s="10">
        <v>0</v>
      </c>
      <c r="P66" s="10">
        <f t="shared" si="10"/>
        <v>2</v>
      </c>
      <c r="Q66" s="17">
        <v>0.11749999999999983</v>
      </c>
      <c r="R66" s="18">
        <f t="shared" si="11"/>
        <v>2.1174999999999997</v>
      </c>
      <c r="S66" s="19">
        <f t="shared" si="12"/>
        <v>1.09375</v>
      </c>
      <c r="T66" s="20">
        <f t="shared" si="13"/>
        <v>1.0237499999999997</v>
      </c>
    </row>
    <row r="67" spans="1:20" ht="17.399999999999999">
      <c r="A67" s="9">
        <v>1</v>
      </c>
      <c r="B67" s="8">
        <v>219</v>
      </c>
      <c r="C67" s="8">
        <v>1128309198</v>
      </c>
      <c r="D67" s="42" t="s">
        <v>93</v>
      </c>
      <c r="E67" s="47"/>
      <c r="F67" s="10">
        <v>0</v>
      </c>
      <c r="G67" s="10">
        <v>0</v>
      </c>
      <c r="H67" s="50">
        <v>0</v>
      </c>
      <c r="I67" s="50">
        <v>0</v>
      </c>
      <c r="J67" s="50">
        <v>0</v>
      </c>
      <c r="K67" s="39" t="s">
        <v>30</v>
      </c>
      <c r="L67" s="11">
        <f t="shared" si="8"/>
        <v>0</v>
      </c>
      <c r="M67" s="10">
        <f t="shared" si="14"/>
        <v>0</v>
      </c>
      <c r="N67" s="10">
        <f t="shared" si="9"/>
        <v>0</v>
      </c>
      <c r="O67" s="10">
        <v>0</v>
      </c>
      <c r="P67" s="10">
        <f t="shared" si="10"/>
        <v>0</v>
      </c>
      <c r="Q67" s="17">
        <v>2.0310546874999984</v>
      </c>
      <c r="R67" s="18">
        <f t="shared" si="11"/>
        <v>2.0310546874999984</v>
      </c>
      <c r="S67" s="19">
        <f t="shared" si="12"/>
        <v>0</v>
      </c>
      <c r="T67" s="20">
        <f t="shared" si="13"/>
        <v>2.0310546874999984</v>
      </c>
    </row>
    <row r="68" spans="1:20" ht="17.399999999999999">
      <c r="A68" s="9">
        <v>1</v>
      </c>
      <c r="B68" s="8">
        <v>241</v>
      </c>
      <c r="C68" s="8">
        <v>1136259669</v>
      </c>
      <c r="D68" s="42" t="s">
        <v>124</v>
      </c>
      <c r="F68" s="10">
        <v>1</v>
      </c>
      <c r="G68" s="10">
        <v>0</v>
      </c>
      <c r="H68" s="50">
        <v>0</v>
      </c>
      <c r="I68" s="50">
        <v>0</v>
      </c>
      <c r="J68" s="50">
        <v>0</v>
      </c>
      <c r="K68" s="14" t="s">
        <v>53</v>
      </c>
      <c r="L68" s="11">
        <f t="shared" si="8"/>
        <v>1</v>
      </c>
      <c r="M68" s="10">
        <f t="shared" si="14"/>
        <v>0</v>
      </c>
      <c r="N68" s="10">
        <f t="shared" si="9"/>
        <v>0</v>
      </c>
      <c r="O68" s="10">
        <v>0</v>
      </c>
      <c r="P68" s="10">
        <f t="shared" si="10"/>
        <v>1</v>
      </c>
      <c r="Q68" s="17">
        <v>0.65000000000000036</v>
      </c>
      <c r="R68" s="18">
        <f t="shared" si="11"/>
        <v>1.6500000000000004</v>
      </c>
      <c r="S68" s="19">
        <f t="shared" si="12"/>
        <v>1.09375</v>
      </c>
      <c r="T68" s="20">
        <f t="shared" si="13"/>
        <v>0.55625000000000036</v>
      </c>
    </row>
    <row r="69" spans="1:20" ht="17.399999999999999">
      <c r="A69" s="9">
        <v>1</v>
      </c>
      <c r="B69" s="8">
        <v>207</v>
      </c>
      <c r="C69" s="8">
        <v>721273803</v>
      </c>
      <c r="D69" s="42" t="s">
        <v>81</v>
      </c>
      <c r="E69" s="47"/>
      <c r="F69" s="10">
        <v>0</v>
      </c>
      <c r="G69" s="10">
        <v>0</v>
      </c>
      <c r="H69" s="50">
        <v>0</v>
      </c>
      <c r="I69" s="50">
        <v>0</v>
      </c>
      <c r="J69" s="50">
        <v>0</v>
      </c>
      <c r="K69" s="39" t="s">
        <v>30</v>
      </c>
      <c r="L69" s="11">
        <f t="shared" ref="L69:L83" si="15">F69+IF(F69&gt;2,(F69-2)*1,0)</f>
        <v>0</v>
      </c>
      <c r="M69" s="10">
        <f t="shared" si="14"/>
        <v>0</v>
      </c>
      <c r="N69" s="10">
        <f t="shared" ref="N69:N83" si="16">SUM(H69:J69)*$Y$18</f>
        <v>0</v>
      </c>
      <c r="O69" s="10">
        <v>0</v>
      </c>
      <c r="P69" s="10">
        <f t="shared" ref="P69:P83" si="17">SUM(M69+L69+O69+N69)</f>
        <v>0</v>
      </c>
      <c r="Q69" s="17">
        <v>1.425</v>
      </c>
      <c r="R69" s="18">
        <f t="shared" ref="R69:R83" si="18">P69+Q69</f>
        <v>1.425</v>
      </c>
      <c r="S69" s="19">
        <f t="shared" ref="S69:S83" si="19">VLOOKUP(K69,$X$3:$Y$10,2,FALSE)</f>
        <v>0</v>
      </c>
      <c r="T69" s="20">
        <f t="shared" ref="T69:T83" si="20">R69-S69</f>
        <v>1.425</v>
      </c>
    </row>
    <row r="70" spans="1:20" ht="17.399999999999999">
      <c r="A70" s="70">
        <v>1</v>
      </c>
      <c r="B70" s="8">
        <v>242</v>
      </c>
      <c r="C70" s="8">
        <v>250098915</v>
      </c>
      <c r="D70" s="42" t="s">
        <v>131</v>
      </c>
      <c r="F70" s="10">
        <v>0</v>
      </c>
      <c r="G70" s="10">
        <v>0</v>
      </c>
      <c r="H70" s="50">
        <v>0</v>
      </c>
      <c r="I70" s="50">
        <v>0</v>
      </c>
      <c r="J70" s="50">
        <v>0</v>
      </c>
      <c r="K70" s="39" t="s">
        <v>30</v>
      </c>
      <c r="L70" s="11">
        <f t="shared" si="15"/>
        <v>0</v>
      </c>
      <c r="M70" s="10">
        <f t="shared" si="14"/>
        <v>0</v>
      </c>
      <c r="N70" s="10">
        <f t="shared" si="16"/>
        <v>0</v>
      </c>
      <c r="O70" s="10">
        <v>0</v>
      </c>
      <c r="P70" s="10">
        <f t="shared" si="17"/>
        <v>0</v>
      </c>
      <c r="Q70" s="17">
        <v>0.90625</v>
      </c>
      <c r="R70" s="18">
        <f t="shared" si="18"/>
        <v>0.90625</v>
      </c>
      <c r="S70" s="19">
        <f t="shared" si="19"/>
        <v>0</v>
      </c>
      <c r="T70" s="20">
        <f t="shared" si="20"/>
        <v>0.90625</v>
      </c>
    </row>
    <row r="71" spans="1:20" ht="17.399999999999999">
      <c r="A71" s="9">
        <v>1</v>
      </c>
      <c r="B71" s="8">
        <v>242</v>
      </c>
      <c r="C71" s="8">
        <v>1769984287</v>
      </c>
      <c r="D71" s="42" t="s">
        <v>132</v>
      </c>
      <c r="F71" s="10">
        <v>0</v>
      </c>
      <c r="G71" s="10">
        <v>0</v>
      </c>
      <c r="H71" s="50">
        <v>0</v>
      </c>
      <c r="I71" s="50">
        <v>0</v>
      </c>
      <c r="J71" s="50">
        <v>0</v>
      </c>
      <c r="K71" s="39" t="s">
        <v>30</v>
      </c>
      <c r="L71" s="11">
        <f t="shared" si="15"/>
        <v>0</v>
      </c>
      <c r="M71" s="10">
        <f t="shared" si="14"/>
        <v>0</v>
      </c>
      <c r="N71" s="10">
        <f t="shared" si="16"/>
        <v>0</v>
      </c>
      <c r="O71" s="10">
        <v>0</v>
      </c>
      <c r="P71" s="10">
        <f t="shared" si="17"/>
        <v>0</v>
      </c>
      <c r="Q71" s="17">
        <v>0.65000000000000036</v>
      </c>
      <c r="R71" s="18">
        <f t="shared" si="18"/>
        <v>0.65000000000000036</v>
      </c>
      <c r="S71" s="19">
        <f t="shared" si="19"/>
        <v>0</v>
      </c>
      <c r="T71" s="20">
        <f t="shared" si="20"/>
        <v>0.65000000000000036</v>
      </c>
    </row>
    <row r="72" spans="1:20" ht="17.399999999999999">
      <c r="A72" s="70">
        <v>1</v>
      </c>
      <c r="B72" s="8">
        <v>218</v>
      </c>
      <c r="C72" s="8">
        <v>1804880865</v>
      </c>
      <c r="D72" s="42" t="s">
        <v>92</v>
      </c>
      <c r="E72" s="47"/>
      <c r="F72" s="10">
        <v>0</v>
      </c>
      <c r="G72" s="10">
        <v>0</v>
      </c>
      <c r="H72" s="50">
        <v>0</v>
      </c>
      <c r="I72" s="50">
        <v>0</v>
      </c>
      <c r="J72" s="50">
        <v>0</v>
      </c>
      <c r="K72" s="39" t="s">
        <v>30</v>
      </c>
      <c r="L72" s="11">
        <f t="shared" si="15"/>
        <v>0</v>
      </c>
      <c r="M72" s="10">
        <f t="shared" si="14"/>
        <v>0</v>
      </c>
      <c r="N72" s="10">
        <f t="shared" si="16"/>
        <v>0</v>
      </c>
      <c r="O72" s="10">
        <v>0</v>
      </c>
      <c r="P72" s="10">
        <f t="shared" si="17"/>
        <v>0</v>
      </c>
      <c r="Q72" s="17">
        <v>0.11749999999999983</v>
      </c>
      <c r="R72" s="18">
        <f t="shared" si="18"/>
        <v>0.11749999999999983</v>
      </c>
      <c r="S72" s="19">
        <f t="shared" si="19"/>
        <v>0</v>
      </c>
      <c r="T72" s="20">
        <f t="shared" si="20"/>
        <v>0.11749999999999983</v>
      </c>
    </row>
    <row r="73" spans="1:20" ht="17.399999999999999">
      <c r="A73" s="9">
        <v>1</v>
      </c>
      <c r="B73" s="8">
        <v>217</v>
      </c>
      <c r="C73" s="8">
        <v>331155825</v>
      </c>
      <c r="D73" s="46" t="s">
        <v>89</v>
      </c>
      <c r="E73" s="2"/>
      <c r="F73" s="10">
        <v>0</v>
      </c>
      <c r="G73" s="10">
        <v>0</v>
      </c>
      <c r="H73" s="50">
        <v>0</v>
      </c>
      <c r="I73" s="50">
        <v>0</v>
      </c>
      <c r="J73" s="50">
        <v>0</v>
      </c>
      <c r="K73" s="39" t="s">
        <v>30</v>
      </c>
      <c r="L73" s="11">
        <f t="shared" si="15"/>
        <v>0</v>
      </c>
      <c r="M73" s="10">
        <f t="shared" si="14"/>
        <v>0</v>
      </c>
      <c r="N73" s="10">
        <f t="shared" si="16"/>
        <v>0</v>
      </c>
      <c r="O73" s="10">
        <v>0</v>
      </c>
      <c r="P73" s="10">
        <f t="shared" si="17"/>
        <v>0</v>
      </c>
      <c r="Q73" s="17">
        <v>-1.3124999999999984</v>
      </c>
      <c r="R73" s="18">
        <f t="shared" si="18"/>
        <v>-1.3124999999999984</v>
      </c>
      <c r="S73" s="19">
        <f t="shared" si="19"/>
        <v>0</v>
      </c>
      <c r="T73" s="20">
        <f t="shared" si="20"/>
        <v>-1.3124999999999984</v>
      </c>
    </row>
    <row r="74" spans="1:20" ht="17.399999999999999">
      <c r="A74" s="70">
        <v>1</v>
      </c>
      <c r="B74" s="8">
        <v>237</v>
      </c>
      <c r="C74" s="8">
        <v>1331532576</v>
      </c>
      <c r="D74" s="42" t="s">
        <v>119</v>
      </c>
      <c r="F74" s="10">
        <v>0</v>
      </c>
      <c r="G74" s="10">
        <v>0</v>
      </c>
      <c r="H74" s="50">
        <v>0</v>
      </c>
      <c r="I74" s="50">
        <v>0</v>
      </c>
      <c r="J74" s="50">
        <v>0</v>
      </c>
      <c r="K74" s="39" t="s">
        <v>30</v>
      </c>
      <c r="L74" s="11">
        <f t="shared" si="15"/>
        <v>0</v>
      </c>
      <c r="M74" s="10">
        <f t="shared" si="14"/>
        <v>0</v>
      </c>
      <c r="N74" s="10">
        <f t="shared" si="16"/>
        <v>0</v>
      </c>
      <c r="O74" s="10">
        <v>0</v>
      </c>
      <c r="P74" s="10">
        <f t="shared" si="17"/>
        <v>0</v>
      </c>
      <c r="Q74" s="17">
        <v>-2.5499999999999998</v>
      </c>
      <c r="R74" s="18">
        <f t="shared" si="18"/>
        <v>-2.5499999999999998</v>
      </c>
      <c r="S74" s="19">
        <f t="shared" si="19"/>
        <v>0</v>
      </c>
      <c r="T74" s="20">
        <f t="shared" si="20"/>
        <v>-2.5499999999999998</v>
      </c>
    </row>
    <row r="75" spans="1:20" ht="17.399999999999999">
      <c r="A75" s="9">
        <v>1</v>
      </c>
      <c r="B75" s="8">
        <v>200</v>
      </c>
      <c r="C75" s="8">
        <v>967589156</v>
      </c>
      <c r="D75" s="42" t="s">
        <v>76</v>
      </c>
      <c r="E75" s="47"/>
      <c r="F75" s="10">
        <v>0</v>
      </c>
      <c r="G75" s="10">
        <v>0</v>
      </c>
      <c r="H75" s="50">
        <v>0</v>
      </c>
      <c r="I75" s="50">
        <v>0</v>
      </c>
      <c r="J75" s="50">
        <v>0</v>
      </c>
      <c r="K75" s="39" t="s">
        <v>30</v>
      </c>
      <c r="L75" s="11">
        <f t="shared" si="15"/>
        <v>0</v>
      </c>
      <c r="M75" s="10">
        <f t="shared" si="14"/>
        <v>0</v>
      </c>
      <c r="N75" s="10">
        <f t="shared" si="16"/>
        <v>0</v>
      </c>
      <c r="O75" s="10">
        <v>0</v>
      </c>
      <c r="P75" s="10">
        <f t="shared" si="17"/>
        <v>0</v>
      </c>
      <c r="Q75" s="17">
        <v>-2.5499999999999998</v>
      </c>
      <c r="R75" s="18">
        <f t="shared" si="18"/>
        <v>-2.5499999999999998</v>
      </c>
      <c r="S75" s="19">
        <f t="shared" si="19"/>
        <v>0</v>
      </c>
      <c r="T75" s="20">
        <f t="shared" si="20"/>
        <v>-2.5499999999999998</v>
      </c>
    </row>
    <row r="76" spans="1:20" ht="20.399999999999999">
      <c r="A76" s="70">
        <v>1</v>
      </c>
      <c r="B76" s="8">
        <v>213</v>
      </c>
      <c r="C76" s="8">
        <v>311361673</v>
      </c>
      <c r="D76" s="42" t="s">
        <v>55</v>
      </c>
      <c r="E76" s="2"/>
      <c r="F76" s="10">
        <v>0</v>
      </c>
      <c r="G76" s="10">
        <v>0</v>
      </c>
      <c r="H76" s="50">
        <v>0</v>
      </c>
      <c r="I76" s="50">
        <v>0</v>
      </c>
      <c r="J76" s="50">
        <v>0</v>
      </c>
      <c r="K76" s="39" t="s">
        <v>30</v>
      </c>
      <c r="L76" s="11">
        <f t="shared" si="15"/>
        <v>0</v>
      </c>
      <c r="M76" s="10">
        <f t="shared" si="14"/>
        <v>0</v>
      </c>
      <c r="N76" s="10">
        <f t="shared" si="16"/>
        <v>0</v>
      </c>
      <c r="O76" s="10">
        <v>0</v>
      </c>
      <c r="P76" s="10">
        <f t="shared" si="17"/>
        <v>0</v>
      </c>
      <c r="Q76" s="17">
        <v>-4.1499999999999995</v>
      </c>
      <c r="R76" s="18">
        <f t="shared" si="18"/>
        <v>-4.1499999999999995</v>
      </c>
      <c r="S76" s="19">
        <f t="shared" si="19"/>
        <v>0</v>
      </c>
      <c r="T76" s="20">
        <f t="shared" si="20"/>
        <v>-4.1499999999999995</v>
      </c>
    </row>
    <row r="77" spans="1:20" ht="17.399999999999999">
      <c r="A77" s="9">
        <v>1</v>
      </c>
      <c r="B77" s="8">
        <v>228</v>
      </c>
      <c r="C77" s="8">
        <v>1287481910</v>
      </c>
      <c r="D77" s="42" t="s">
        <v>109</v>
      </c>
      <c r="E77" s="42"/>
      <c r="F77" s="10">
        <v>0</v>
      </c>
      <c r="G77" s="10">
        <v>0</v>
      </c>
      <c r="H77" s="50">
        <v>0</v>
      </c>
      <c r="I77" s="50">
        <v>0</v>
      </c>
      <c r="J77" s="50">
        <v>0</v>
      </c>
      <c r="K77" s="39" t="s">
        <v>30</v>
      </c>
      <c r="L77" s="11">
        <f t="shared" si="15"/>
        <v>0</v>
      </c>
      <c r="M77" s="10">
        <f t="shared" si="14"/>
        <v>0</v>
      </c>
      <c r="N77" s="10">
        <f t="shared" si="16"/>
        <v>0</v>
      </c>
      <c r="O77" s="10">
        <v>0</v>
      </c>
      <c r="P77" s="10">
        <f t="shared" si="17"/>
        <v>0</v>
      </c>
      <c r="Q77" s="17">
        <v>-4.1499999999999995</v>
      </c>
      <c r="R77" s="18">
        <f t="shared" si="18"/>
        <v>-4.1499999999999995</v>
      </c>
      <c r="S77" s="19">
        <f t="shared" si="19"/>
        <v>0</v>
      </c>
      <c r="T77" s="20">
        <f t="shared" si="20"/>
        <v>-4.1499999999999995</v>
      </c>
    </row>
    <row r="78" spans="1:20" ht="17.399999999999999">
      <c r="A78" s="70">
        <v>1</v>
      </c>
      <c r="B78" s="8">
        <v>192</v>
      </c>
      <c r="C78" s="8">
        <v>1725281178</v>
      </c>
      <c r="D78" s="42" t="s">
        <v>71</v>
      </c>
      <c r="E78" s="47"/>
      <c r="F78" s="10">
        <v>0</v>
      </c>
      <c r="G78" s="10">
        <v>0</v>
      </c>
      <c r="H78" s="50">
        <v>0</v>
      </c>
      <c r="I78" s="50">
        <v>0</v>
      </c>
      <c r="J78" s="50">
        <v>0</v>
      </c>
      <c r="K78" s="39" t="s">
        <v>30</v>
      </c>
      <c r="L78" s="11">
        <f t="shared" si="15"/>
        <v>0</v>
      </c>
      <c r="M78" s="10">
        <f t="shared" si="14"/>
        <v>0</v>
      </c>
      <c r="N78" s="10">
        <f t="shared" si="16"/>
        <v>0</v>
      </c>
      <c r="O78" s="10">
        <v>0</v>
      </c>
      <c r="P78" s="10">
        <f t="shared" si="17"/>
        <v>0</v>
      </c>
      <c r="Q78" s="17">
        <v>-7.125</v>
      </c>
      <c r="R78" s="18">
        <f t="shared" si="18"/>
        <v>-7.125</v>
      </c>
      <c r="S78" s="19">
        <f t="shared" si="19"/>
        <v>0</v>
      </c>
      <c r="T78" s="20">
        <f t="shared" si="20"/>
        <v>-7.125</v>
      </c>
    </row>
    <row r="79" spans="1:20" ht="17.399999999999999">
      <c r="A79" s="9">
        <v>1</v>
      </c>
      <c r="B79" s="8">
        <v>235</v>
      </c>
      <c r="C79" s="8">
        <v>988684940</v>
      </c>
      <c r="D79" s="42" t="s">
        <v>116</v>
      </c>
      <c r="F79" s="10">
        <v>0</v>
      </c>
      <c r="G79" s="10">
        <v>0</v>
      </c>
      <c r="H79" s="50">
        <v>0</v>
      </c>
      <c r="I79" s="50">
        <v>0</v>
      </c>
      <c r="J79" s="50">
        <v>0</v>
      </c>
      <c r="K79" s="39" t="s">
        <v>30</v>
      </c>
      <c r="L79" s="11">
        <f t="shared" si="15"/>
        <v>0</v>
      </c>
      <c r="M79" s="10">
        <f t="shared" si="14"/>
        <v>0</v>
      </c>
      <c r="N79" s="10">
        <f t="shared" si="16"/>
        <v>0</v>
      </c>
      <c r="O79" s="10">
        <v>0</v>
      </c>
      <c r="P79" s="10">
        <f t="shared" si="17"/>
        <v>0</v>
      </c>
      <c r="Q79" s="17">
        <v>-7.125</v>
      </c>
      <c r="R79" s="18">
        <f t="shared" si="18"/>
        <v>-7.125</v>
      </c>
      <c r="S79" s="19">
        <f t="shared" si="19"/>
        <v>0</v>
      </c>
      <c r="T79" s="20">
        <f t="shared" si="20"/>
        <v>-7.125</v>
      </c>
    </row>
    <row r="80" spans="1:20" ht="20.399999999999999">
      <c r="A80" s="70">
        <v>1</v>
      </c>
      <c r="B80" s="8">
        <v>220</v>
      </c>
      <c r="C80" s="8">
        <v>353335311</v>
      </c>
      <c r="D80" s="42" t="s">
        <v>94</v>
      </c>
      <c r="E80" s="44"/>
      <c r="F80" s="10">
        <v>0</v>
      </c>
      <c r="G80" s="10">
        <v>0</v>
      </c>
      <c r="H80" s="50">
        <v>0</v>
      </c>
      <c r="I80" s="50">
        <v>0</v>
      </c>
      <c r="J80" s="50">
        <v>0</v>
      </c>
      <c r="K80" s="39" t="s">
        <v>30</v>
      </c>
      <c r="L80" s="11">
        <f t="shared" si="15"/>
        <v>0</v>
      </c>
      <c r="M80" s="10">
        <f t="shared" si="14"/>
        <v>0</v>
      </c>
      <c r="N80" s="10">
        <f t="shared" si="16"/>
        <v>0</v>
      </c>
      <c r="O80" s="10">
        <v>0</v>
      </c>
      <c r="P80" s="10">
        <f t="shared" si="17"/>
        <v>0</v>
      </c>
      <c r="Q80" s="17">
        <v>-7.8937500000000043</v>
      </c>
      <c r="R80" s="18">
        <f t="shared" si="18"/>
        <v>-7.8937500000000043</v>
      </c>
      <c r="S80" s="19">
        <f t="shared" si="19"/>
        <v>0</v>
      </c>
      <c r="T80" s="20">
        <f t="shared" si="20"/>
        <v>-7.8937500000000043</v>
      </c>
    </row>
    <row r="81" spans="1:23" ht="17.399999999999999">
      <c r="A81" s="9">
        <v>1</v>
      </c>
      <c r="B81" s="8">
        <v>141</v>
      </c>
      <c r="C81" s="8">
        <v>1190305158</v>
      </c>
      <c r="D81" s="42" t="s">
        <v>44</v>
      </c>
      <c r="E81" s="44"/>
      <c r="F81" s="10">
        <v>0</v>
      </c>
      <c r="G81" s="10">
        <v>0</v>
      </c>
      <c r="H81" s="50">
        <v>0</v>
      </c>
      <c r="I81" s="50">
        <v>0</v>
      </c>
      <c r="J81" s="50">
        <v>0</v>
      </c>
      <c r="K81" s="39" t="s">
        <v>30</v>
      </c>
      <c r="L81" s="11">
        <f t="shared" si="15"/>
        <v>0</v>
      </c>
      <c r="M81" s="10">
        <f t="shared" si="14"/>
        <v>0</v>
      </c>
      <c r="N81" s="10">
        <f t="shared" si="16"/>
        <v>0</v>
      </c>
      <c r="O81" s="10">
        <v>0</v>
      </c>
      <c r="P81" s="10">
        <f t="shared" si="17"/>
        <v>0</v>
      </c>
      <c r="Q81" s="17">
        <v>-7.8937500000000043</v>
      </c>
      <c r="R81" s="18">
        <f t="shared" si="18"/>
        <v>-7.8937500000000043</v>
      </c>
      <c r="S81" s="19">
        <f t="shared" si="19"/>
        <v>0</v>
      </c>
      <c r="T81" s="20">
        <f t="shared" si="20"/>
        <v>-7.8937500000000043</v>
      </c>
      <c r="U81" s="40"/>
      <c r="V81" s="40"/>
      <c r="W81" s="41"/>
    </row>
    <row r="82" spans="1:23" ht="17.399999999999999">
      <c r="A82" s="70">
        <v>1</v>
      </c>
      <c r="B82" s="8">
        <v>203</v>
      </c>
      <c r="C82" s="8">
        <v>382695365</v>
      </c>
      <c r="D82" s="42" t="s">
        <v>78</v>
      </c>
      <c r="E82" s="47"/>
      <c r="F82" s="10">
        <v>0</v>
      </c>
      <c r="G82" s="10">
        <v>0</v>
      </c>
      <c r="H82" s="50">
        <v>0</v>
      </c>
      <c r="I82" s="50">
        <v>0</v>
      </c>
      <c r="J82" s="50">
        <v>0</v>
      </c>
      <c r="K82" s="39" t="s">
        <v>30</v>
      </c>
      <c r="L82" s="11">
        <f t="shared" si="15"/>
        <v>0</v>
      </c>
      <c r="M82" s="10">
        <f t="shared" si="14"/>
        <v>0</v>
      </c>
      <c r="N82" s="10">
        <f t="shared" si="16"/>
        <v>0</v>
      </c>
      <c r="O82" s="10">
        <v>0</v>
      </c>
      <c r="P82" s="10">
        <f t="shared" si="17"/>
        <v>0</v>
      </c>
      <c r="Q82" s="17">
        <v>-16.90625</v>
      </c>
      <c r="R82" s="18">
        <f t="shared" si="18"/>
        <v>-16.90625</v>
      </c>
      <c r="S82" s="19">
        <f t="shared" si="19"/>
        <v>0</v>
      </c>
      <c r="T82" s="20">
        <f t="shared" si="20"/>
        <v>-16.90625</v>
      </c>
    </row>
    <row r="83" spans="1:23" ht="17.399999999999999">
      <c r="A83" s="9">
        <v>1</v>
      </c>
      <c r="B83" s="8">
        <v>233</v>
      </c>
      <c r="C83" s="8">
        <v>1963965829</v>
      </c>
      <c r="D83" s="42" t="s">
        <v>114</v>
      </c>
      <c r="F83" s="10">
        <v>0</v>
      </c>
      <c r="G83" s="10">
        <v>0</v>
      </c>
      <c r="H83" s="50">
        <v>0</v>
      </c>
      <c r="I83" s="50">
        <v>0</v>
      </c>
      <c r="J83" s="50">
        <v>0</v>
      </c>
      <c r="K83" s="39" t="s">
        <v>30</v>
      </c>
      <c r="L83" s="11">
        <f t="shared" si="15"/>
        <v>0</v>
      </c>
      <c r="M83" s="10">
        <f t="shared" si="14"/>
        <v>0</v>
      </c>
      <c r="N83" s="10">
        <f t="shared" si="16"/>
        <v>0</v>
      </c>
      <c r="O83" s="10">
        <v>0</v>
      </c>
      <c r="P83" s="10">
        <f t="shared" si="17"/>
        <v>0</v>
      </c>
      <c r="Q83" s="17">
        <v>-16.90625</v>
      </c>
      <c r="R83" s="18">
        <f t="shared" si="18"/>
        <v>-16.90625</v>
      </c>
      <c r="S83" s="19">
        <f t="shared" si="19"/>
        <v>0</v>
      </c>
      <c r="T83" s="20">
        <f t="shared" si="20"/>
        <v>-16.90625</v>
      </c>
    </row>
  </sheetData>
  <autoFilter ref="A4:W83" xr:uid="{28593B8F-03E7-4BE1-B554-FC0AADC431B2}">
    <filterColumn colId="0">
      <filters>
        <filter val="1"/>
      </filters>
    </filterColumn>
    <sortState xmlns:xlrd2="http://schemas.microsoft.com/office/spreadsheetml/2017/richdata2" ref="A5:W83">
      <sortCondition descending="1" ref="R4:R83"/>
    </sortState>
  </autoFilter>
  <mergeCells count="5">
    <mergeCell ref="B1:T1"/>
    <mergeCell ref="B2:T2"/>
    <mergeCell ref="B3:E3"/>
    <mergeCell ref="H3:J3"/>
    <mergeCell ref="K3:T3"/>
  </mergeCells>
  <conditionalFormatting sqref="O5:O82 F5:J83">
    <cfRule type="cellIs" dxfId="7" priority="2" operator="lessThan">
      <formula>1</formula>
    </cfRule>
  </conditionalFormatting>
  <conditionalFormatting sqref="O83">
    <cfRule type="cellIs" dxfId="6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E3FD-2C69-4ABF-A150-27C458615468}">
  <sheetPr filterMode="1"/>
  <dimension ref="A1:AC83"/>
  <sheetViews>
    <sheetView zoomScale="70" zoomScaleNormal="70" workbookViewId="0">
      <selection activeCell="D11" sqref="D11"/>
    </sheetView>
  </sheetViews>
  <sheetFormatPr defaultColWidth="9" defaultRowHeight="14.4"/>
  <cols>
    <col min="1" max="1" width="6.44140625" customWidth="1"/>
    <col min="2" max="2" width="6.6640625" style="4" customWidth="1"/>
    <col min="3" max="3" width="19.77734375" style="5" customWidth="1"/>
    <col min="4" max="4" width="21.21875" style="5" customWidth="1"/>
    <col min="5" max="5" width="18.33203125" style="4" customWidth="1"/>
    <col min="6" max="6" width="13.109375" style="4" customWidth="1"/>
    <col min="7" max="7" width="13.77734375" style="4" customWidth="1"/>
    <col min="8" max="8" width="5.77734375" style="4" customWidth="1"/>
    <col min="9" max="9" width="5.88671875" style="4" customWidth="1"/>
    <col min="10" max="10" width="5.77734375" style="4" customWidth="1"/>
    <col min="11" max="11" width="20" style="4" customWidth="1"/>
    <col min="12" max="12" width="9" style="4" customWidth="1"/>
    <col min="13" max="13" width="12.109375" style="4" customWidth="1"/>
    <col min="14" max="14" width="11.33203125" style="4" customWidth="1"/>
    <col min="15" max="15" width="10" style="4" customWidth="1"/>
    <col min="16" max="16" width="9" style="4" customWidth="1"/>
    <col min="17" max="17" width="12.88671875" style="4" customWidth="1"/>
    <col min="18" max="18" width="12" style="4" customWidth="1"/>
    <col min="19" max="19" width="9.21875" style="4" customWidth="1"/>
    <col min="20" max="20" width="12.6640625" style="4" customWidth="1"/>
    <col min="21" max="23" width="11.109375" style="21" customWidth="1"/>
    <col min="24" max="24" width="22.44140625" customWidth="1"/>
  </cols>
  <sheetData>
    <row r="1" spans="1:29" ht="36.6" customHeight="1">
      <c r="B1" s="99" t="str">
        <f>CONCATENATE("157区 活动中心",Y15,"年",Y16,"月",Y17,"日","分包贡献明细"," 统计：一二三")</f>
        <v>157区 活动中心2021年12月11日分包贡献明细 统计：一二三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62"/>
      <c r="V1" s="62"/>
      <c r="W1" s="62"/>
      <c r="X1" s="22" t="s">
        <v>12</v>
      </c>
      <c r="Y1" s="5">
        <v>63</v>
      </c>
      <c r="Z1" s="3"/>
      <c r="AA1" s="3"/>
      <c r="AB1" s="3"/>
      <c r="AC1" s="3"/>
    </row>
    <row r="2" spans="1:29" ht="123" customHeight="1">
      <c r="B2" s="101" t="s">
        <v>126</v>
      </c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63"/>
      <c r="V2" s="63"/>
      <c r="W2" s="63"/>
      <c r="X2" s="23" t="s">
        <v>0</v>
      </c>
      <c r="Y2" s="24" t="s">
        <v>13</v>
      </c>
      <c r="Z2" s="25" t="s">
        <v>14</v>
      </c>
      <c r="AA2" s="25" t="s">
        <v>15</v>
      </c>
      <c r="AB2" s="25" t="s">
        <v>56</v>
      </c>
      <c r="AC2" s="26" t="s">
        <v>16</v>
      </c>
    </row>
    <row r="3" spans="1:29" ht="20.399999999999999">
      <c r="A3">
        <f>COUNTIF(K:K,"a跨服传说礼包")</f>
        <v>8</v>
      </c>
      <c r="B3" s="104" t="s">
        <v>20</v>
      </c>
      <c r="C3" s="104"/>
      <c r="D3" s="104"/>
      <c r="E3" s="104"/>
      <c r="F3" s="64" t="s">
        <v>17</v>
      </c>
      <c r="G3" s="65" t="s">
        <v>39</v>
      </c>
      <c r="H3" s="105" t="s">
        <v>99</v>
      </c>
      <c r="I3" s="105"/>
      <c r="J3" s="105"/>
      <c r="K3" s="106" t="s">
        <v>21</v>
      </c>
      <c r="L3" s="107"/>
      <c r="M3" s="107"/>
      <c r="N3" s="107"/>
      <c r="O3" s="107"/>
      <c r="P3" s="107"/>
      <c r="Q3" s="107"/>
      <c r="R3" s="107"/>
      <c r="S3" s="107"/>
      <c r="T3" s="108"/>
      <c r="U3" s="61"/>
      <c r="V3" s="61"/>
      <c r="W3" s="61"/>
      <c r="X3" s="27" t="s">
        <v>22</v>
      </c>
      <c r="Y3" s="28">
        <f>AC3/$Y$13</f>
        <v>11.875</v>
      </c>
      <c r="Z3" s="23">
        <v>5</v>
      </c>
      <c r="AA3" s="23">
        <v>7</v>
      </c>
      <c r="AB3" s="23">
        <v>20</v>
      </c>
      <c r="AC3" s="23">
        <v>1900</v>
      </c>
    </row>
    <row r="4" spans="1:29" ht="40.799999999999997">
      <c r="A4" s="96" t="s">
        <v>117</v>
      </c>
      <c r="B4" s="96" t="s">
        <v>2</v>
      </c>
      <c r="C4" s="60" t="s">
        <v>23</v>
      </c>
      <c r="D4" s="96" t="s">
        <v>3</v>
      </c>
      <c r="E4" s="96" t="s">
        <v>4</v>
      </c>
      <c r="F4" s="6" t="s">
        <v>40</v>
      </c>
      <c r="G4" s="7" t="s">
        <v>91</v>
      </c>
      <c r="H4" s="7" t="s">
        <v>100</v>
      </c>
      <c r="I4" s="7" t="s">
        <v>101</v>
      </c>
      <c r="J4" s="7" t="s">
        <v>102</v>
      </c>
      <c r="K4" s="6" t="s">
        <v>5</v>
      </c>
      <c r="L4" s="6" t="s">
        <v>24</v>
      </c>
      <c r="M4" s="7" t="s">
        <v>41</v>
      </c>
      <c r="N4" s="7" t="s">
        <v>104</v>
      </c>
      <c r="O4" s="7" t="s">
        <v>45</v>
      </c>
      <c r="P4" s="15" t="s">
        <v>25</v>
      </c>
      <c r="Q4" s="60" t="s">
        <v>26</v>
      </c>
      <c r="R4" s="16" t="s">
        <v>7</v>
      </c>
      <c r="S4" s="60" t="s">
        <v>6</v>
      </c>
      <c r="T4" s="60" t="s">
        <v>27</v>
      </c>
      <c r="U4" s="60" t="s">
        <v>18</v>
      </c>
      <c r="V4" s="60" t="s">
        <v>19</v>
      </c>
      <c r="W4" s="60" t="s">
        <v>1</v>
      </c>
      <c r="X4" s="29" t="s">
        <v>28</v>
      </c>
      <c r="Y4" s="28">
        <f>AC4/$Y$13</f>
        <v>9.6875</v>
      </c>
      <c r="Z4" s="23">
        <v>4</v>
      </c>
      <c r="AA4" s="23">
        <v>6</v>
      </c>
      <c r="AB4" s="23">
        <v>15</v>
      </c>
      <c r="AC4" s="23">
        <v>1550</v>
      </c>
    </row>
    <row r="5" spans="1:29" s="1" customFormat="1" ht="17.399999999999999">
      <c r="A5" s="9">
        <v>1</v>
      </c>
      <c r="B5" s="8">
        <v>174</v>
      </c>
      <c r="C5" s="8">
        <v>775720958</v>
      </c>
      <c r="D5" s="42" t="s">
        <v>79</v>
      </c>
      <c r="E5" s="42" t="s">
        <v>49</v>
      </c>
      <c r="F5" s="10">
        <v>3</v>
      </c>
      <c r="G5" s="10">
        <v>0</v>
      </c>
      <c r="H5" s="50">
        <v>0</v>
      </c>
      <c r="I5" s="50">
        <v>1</v>
      </c>
      <c r="J5" s="50">
        <v>0</v>
      </c>
      <c r="K5" s="27" t="s">
        <v>22</v>
      </c>
      <c r="L5" s="11">
        <f t="shared" ref="L5:L36" si="0">F5+IF(F5&gt;2,(F5-2)*1,0)</f>
        <v>4</v>
      </c>
      <c r="M5" s="10">
        <f>G5*$Y$14</f>
        <v>0</v>
      </c>
      <c r="N5" s="10">
        <f t="shared" ref="N5:N36" si="1">SUM(H5:J5)*$Y$18</f>
        <v>0.4</v>
      </c>
      <c r="O5" s="10">
        <v>0</v>
      </c>
      <c r="P5" s="10">
        <f t="shared" ref="P5:P36" si="2">SUM(M5+L5+O5+N5)</f>
        <v>4.4000000000000004</v>
      </c>
      <c r="Q5" s="17">
        <v>18.156249999999982</v>
      </c>
      <c r="R5" s="18">
        <f t="shared" ref="R5:R36" si="3">P5+Q5</f>
        <v>22.556249999999984</v>
      </c>
      <c r="S5" s="19">
        <f t="shared" ref="S5:S36" si="4">VLOOKUP(K5,$X$3:$Y$10,2,FALSE)</f>
        <v>11.875</v>
      </c>
      <c r="T5" s="20">
        <f t="shared" ref="T5:T36" si="5">R5-S5</f>
        <v>10.681249999999984</v>
      </c>
      <c r="U5" s="4"/>
      <c r="V5" s="4"/>
      <c r="W5" s="4"/>
      <c r="X5" s="14" t="s">
        <v>29</v>
      </c>
      <c r="Y5" s="28">
        <f>AC5/$Y$13/4</f>
        <v>1.875</v>
      </c>
      <c r="Z5" s="30">
        <v>3</v>
      </c>
      <c r="AA5" s="30">
        <v>5</v>
      </c>
      <c r="AB5" s="30">
        <v>10</v>
      </c>
      <c r="AC5" s="30">
        <v>1200</v>
      </c>
    </row>
    <row r="6" spans="1:29" s="1" customFormat="1" ht="20.399999999999999" hidden="1">
      <c r="A6" s="9">
        <v>0</v>
      </c>
      <c r="B6" s="8">
        <v>229</v>
      </c>
      <c r="C6" s="8">
        <v>1598972736</v>
      </c>
      <c r="D6" s="42" t="s">
        <v>110</v>
      </c>
      <c r="E6" s="42"/>
      <c r="F6" s="10">
        <v>0</v>
      </c>
      <c r="G6" s="10">
        <v>0</v>
      </c>
      <c r="H6" s="50">
        <v>0</v>
      </c>
      <c r="I6" s="50">
        <v>0</v>
      </c>
      <c r="J6" s="50">
        <v>0</v>
      </c>
      <c r="K6" s="39" t="s">
        <v>30</v>
      </c>
      <c r="L6" s="11">
        <f t="shared" si="0"/>
        <v>0</v>
      </c>
      <c r="M6" s="10">
        <f>G6*$Y$14</f>
        <v>0</v>
      </c>
      <c r="N6" s="10">
        <f t="shared" si="1"/>
        <v>0</v>
      </c>
      <c r="O6" s="10">
        <v>0</v>
      </c>
      <c r="P6" s="10">
        <f t="shared" si="2"/>
        <v>0</v>
      </c>
      <c r="Q6" s="17">
        <v>14.536904761904758</v>
      </c>
      <c r="R6" s="18">
        <f t="shared" si="3"/>
        <v>14.536904761904758</v>
      </c>
      <c r="S6" s="19">
        <f t="shared" si="4"/>
        <v>0</v>
      </c>
      <c r="T6" s="20">
        <f t="shared" si="5"/>
        <v>14.536904761904758</v>
      </c>
      <c r="U6" s="4"/>
      <c r="V6" s="4"/>
      <c r="W6" s="4"/>
      <c r="X6" s="14"/>
      <c r="Y6" s="28"/>
      <c r="Z6" s="30"/>
      <c r="AA6" s="30"/>
      <c r="AB6" s="30"/>
      <c r="AC6" s="30"/>
    </row>
    <row r="7" spans="1:29" s="1" customFormat="1" ht="17.399999999999999">
      <c r="A7" s="9">
        <v>1</v>
      </c>
      <c r="B7" s="8">
        <v>182</v>
      </c>
      <c r="C7" s="8">
        <v>828260319</v>
      </c>
      <c r="D7" s="42" t="s">
        <v>146</v>
      </c>
      <c r="E7" s="42" t="s">
        <v>134</v>
      </c>
      <c r="F7" s="10">
        <v>3</v>
      </c>
      <c r="G7" s="10">
        <v>0</v>
      </c>
      <c r="H7" s="50">
        <v>0</v>
      </c>
      <c r="I7" s="50">
        <v>0</v>
      </c>
      <c r="J7" s="50">
        <v>1</v>
      </c>
      <c r="K7" s="27" t="s">
        <v>22</v>
      </c>
      <c r="L7" s="11">
        <f t="shared" si="0"/>
        <v>4</v>
      </c>
      <c r="M7" s="10">
        <f>G7*$Y$14</f>
        <v>0</v>
      </c>
      <c r="N7" s="10">
        <f t="shared" si="1"/>
        <v>0.4</v>
      </c>
      <c r="O7" s="10">
        <v>0</v>
      </c>
      <c r="P7" s="10">
        <f t="shared" si="2"/>
        <v>4.4000000000000004</v>
      </c>
      <c r="Q7" s="17">
        <v>17.937103174603156</v>
      </c>
      <c r="R7" s="18">
        <f t="shared" si="3"/>
        <v>22.337103174603158</v>
      </c>
      <c r="S7" s="19">
        <f t="shared" si="4"/>
        <v>11.875</v>
      </c>
      <c r="T7" s="20">
        <f t="shared" si="5"/>
        <v>10.462103174603158</v>
      </c>
      <c r="U7" s="4"/>
      <c r="V7" s="4"/>
      <c r="W7" s="4"/>
      <c r="X7" s="12" t="s">
        <v>51</v>
      </c>
      <c r="Y7" s="28">
        <f>AC7/$Y$13</f>
        <v>8.125</v>
      </c>
      <c r="Z7" s="30">
        <v>4</v>
      </c>
      <c r="AA7" s="30">
        <v>5</v>
      </c>
      <c r="AB7" s="30"/>
      <c r="AC7" s="30">
        <v>1300</v>
      </c>
    </row>
    <row r="8" spans="1:29" s="1" customFormat="1" ht="17.399999999999999">
      <c r="A8" s="9">
        <v>1</v>
      </c>
      <c r="B8" s="9">
        <v>46</v>
      </c>
      <c r="C8" s="8">
        <v>2109182835</v>
      </c>
      <c r="D8" s="42" t="s">
        <v>59</v>
      </c>
      <c r="E8" s="42" t="s">
        <v>10</v>
      </c>
      <c r="F8" s="10">
        <v>3</v>
      </c>
      <c r="G8" s="10">
        <v>0</v>
      </c>
      <c r="H8" s="50">
        <v>0</v>
      </c>
      <c r="I8" s="50">
        <v>1</v>
      </c>
      <c r="J8" s="50">
        <v>0</v>
      </c>
      <c r="K8" s="27" t="s">
        <v>22</v>
      </c>
      <c r="L8" s="11">
        <f t="shared" si="0"/>
        <v>4</v>
      </c>
      <c r="M8" s="10">
        <f>G8*$Y$14</f>
        <v>0</v>
      </c>
      <c r="N8" s="10">
        <f t="shared" si="1"/>
        <v>0.4</v>
      </c>
      <c r="O8" s="10">
        <v>0</v>
      </c>
      <c r="P8" s="10">
        <f t="shared" si="2"/>
        <v>4.4000000000000004</v>
      </c>
      <c r="Q8" s="17">
        <v>17.524999999999991</v>
      </c>
      <c r="R8" s="18">
        <f t="shared" si="3"/>
        <v>21.92499999999999</v>
      </c>
      <c r="S8" s="19">
        <f t="shared" si="4"/>
        <v>11.875</v>
      </c>
      <c r="T8" s="20">
        <f t="shared" si="5"/>
        <v>10.04999999999999</v>
      </c>
      <c r="U8" s="11"/>
      <c r="V8" s="11"/>
      <c r="W8" s="11"/>
      <c r="X8" s="13" t="s">
        <v>52</v>
      </c>
      <c r="Y8" s="28">
        <f>AC8/$Y$13</f>
        <v>6.25</v>
      </c>
      <c r="Z8" s="30">
        <v>3</v>
      </c>
      <c r="AA8" s="30">
        <v>4</v>
      </c>
      <c r="AB8" s="30"/>
      <c r="AC8" s="30">
        <v>1000</v>
      </c>
    </row>
    <row r="9" spans="1:29" s="1" customFormat="1" ht="20.399999999999999">
      <c r="A9" s="9">
        <v>1</v>
      </c>
      <c r="B9" s="9">
        <v>49</v>
      </c>
      <c r="C9" s="8">
        <v>311361673</v>
      </c>
      <c r="D9" s="43" t="s">
        <v>105</v>
      </c>
      <c r="E9" s="49" t="s">
        <v>11</v>
      </c>
      <c r="F9" s="10">
        <v>3</v>
      </c>
      <c r="G9" s="10">
        <v>0</v>
      </c>
      <c r="H9" s="50">
        <v>0</v>
      </c>
      <c r="I9" s="50">
        <v>1</v>
      </c>
      <c r="J9" s="50">
        <v>1</v>
      </c>
      <c r="K9" s="27" t="s">
        <v>22</v>
      </c>
      <c r="L9" s="11">
        <f t="shared" si="0"/>
        <v>4</v>
      </c>
      <c r="M9" s="10">
        <f>IF(G9&gt;0,1,0)*$Y$14</f>
        <v>0</v>
      </c>
      <c r="N9" s="10">
        <f t="shared" si="1"/>
        <v>0.8</v>
      </c>
      <c r="O9" s="10">
        <v>0</v>
      </c>
      <c r="P9" s="10">
        <f t="shared" si="2"/>
        <v>4.8</v>
      </c>
      <c r="Q9" s="17">
        <v>17.110019230769222</v>
      </c>
      <c r="R9" s="18">
        <f t="shared" si="3"/>
        <v>21.910019230769223</v>
      </c>
      <c r="S9" s="19">
        <f t="shared" si="4"/>
        <v>11.875</v>
      </c>
      <c r="T9" s="20">
        <f t="shared" si="5"/>
        <v>10.035019230769223</v>
      </c>
      <c r="U9" s="11"/>
      <c r="V9" s="11"/>
      <c r="W9" s="11"/>
      <c r="X9" s="14" t="s">
        <v>53</v>
      </c>
      <c r="Y9" s="28">
        <f>AC9/$Y$13/4</f>
        <v>1.09375</v>
      </c>
      <c r="Z9" s="30">
        <v>2</v>
      </c>
      <c r="AA9" s="30">
        <v>3</v>
      </c>
      <c r="AB9" s="30"/>
      <c r="AC9" s="30">
        <v>700</v>
      </c>
    </row>
    <row r="10" spans="1:29" s="1" customFormat="1" ht="17.399999999999999" hidden="1">
      <c r="A10" s="9">
        <v>0</v>
      </c>
      <c r="B10" s="8">
        <v>187</v>
      </c>
      <c r="C10" s="8">
        <v>1241038267</v>
      </c>
      <c r="D10" s="42" t="s">
        <v>69</v>
      </c>
      <c r="E10" s="47"/>
      <c r="F10" s="10">
        <v>0</v>
      </c>
      <c r="G10" s="10">
        <v>0</v>
      </c>
      <c r="H10" s="50">
        <v>0</v>
      </c>
      <c r="I10" s="50">
        <v>0</v>
      </c>
      <c r="J10" s="50">
        <v>0</v>
      </c>
      <c r="K10" s="39" t="s">
        <v>30</v>
      </c>
      <c r="L10" s="11">
        <f t="shared" si="0"/>
        <v>0</v>
      </c>
      <c r="M10" s="10">
        <f t="shared" ref="M10:M41" si="6">G10*$Y$14</f>
        <v>0</v>
      </c>
      <c r="N10" s="10">
        <f t="shared" si="1"/>
        <v>0</v>
      </c>
      <c r="O10" s="10">
        <v>0</v>
      </c>
      <c r="P10" s="10">
        <f t="shared" si="2"/>
        <v>0</v>
      </c>
      <c r="Q10" s="17">
        <v>13.074999999999999</v>
      </c>
      <c r="R10" s="18">
        <f t="shared" si="3"/>
        <v>13.074999999999999</v>
      </c>
      <c r="S10" s="19">
        <f t="shared" si="4"/>
        <v>0</v>
      </c>
      <c r="T10" s="20">
        <f t="shared" si="5"/>
        <v>13.074999999999999</v>
      </c>
      <c r="U10" s="4"/>
      <c r="V10" s="4"/>
      <c r="W10" s="4"/>
      <c r="X10" s="33" t="s">
        <v>30</v>
      </c>
      <c r="Y10" s="2">
        <v>0</v>
      </c>
      <c r="Z10" s="2"/>
      <c r="AA10" s="2"/>
      <c r="AB10" s="2"/>
      <c r="AC10" s="2"/>
    </row>
    <row r="11" spans="1:29" s="1" customFormat="1" ht="17.399999999999999">
      <c r="A11" s="9">
        <v>1</v>
      </c>
      <c r="B11" s="8">
        <v>128</v>
      </c>
      <c r="C11" s="8">
        <v>1214614935</v>
      </c>
      <c r="D11" s="42" t="s">
        <v>62</v>
      </c>
      <c r="E11" s="49" t="s">
        <v>43</v>
      </c>
      <c r="F11" s="10">
        <v>3</v>
      </c>
      <c r="G11" s="10">
        <v>0</v>
      </c>
      <c r="H11" s="50">
        <v>0</v>
      </c>
      <c r="I11" s="50">
        <v>1</v>
      </c>
      <c r="J11" s="50">
        <v>1</v>
      </c>
      <c r="K11" s="27" t="s">
        <v>22</v>
      </c>
      <c r="L11" s="11">
        <f t="shared" si="0"/>
        <v>4</v>
      </c>
      <c r="M11" s="10">
        <f t="shared" si="6"/>
        <v>0</v>
      </c>
      <c r="N11" s="10">
        <f t="shared" si="1"/>
        <v>0.8</v>
      </c>
      <c r="O11" s="10">
        <v>0</v>
      </c>
      <c r="P11" s="10">
        <f t="shared" si="2"/>
        <v>4.8</v>
      </c>
      <c r="Q11" s="17">
        <v>17.024999999999995</v>
      </c>
      <c r="R11" s="18">
        <f t="shared" si="3"/>
        <v>21.824999999999996</v>
      </c>
      <c r="S11" s="19">
        <f t="shared" si="4"/>
        <v>11.875</v>
      </c>
      <c r="T11" s="20">
        <f t="shared" si="5"/>
        <v>9.9499999999999957</v>
      </c>
      <c r="U11" s="11"/>
      <c r="V11" s="11"/>
      <c r="W11" s="31"/>
      <c r="X11" s="34"/>
    </row>
    <row r="12" spans="1:29" s="1" customFormat="1" ht="17.399999999999999">
      <c r="A12" s="9">
        <v>1</v>
      </c>
      <c r="B12" s="8">
        <v>232</v>
      </c>
      <c r="C12" s="8">
        <v>1088909927</v>
      </c>
      <c r="D12" s="42" t="s">
        <v>113</v>
      </c>
      <c r="E12" s="4"/>
      <c r="F12" s="10">
        <v>3</v>
      </c>
      <c r="G12" s="10">
        <v>0</v>
      </c>
      <c r="H12" s="50">
        <v>0</v>
      </c>
      <c r="I12" s="50">
        <v>0</v>
      </c>
      <c r="J12" s="50">
        <v>0</v>
      </c>
      <c r="K12" s="27" t="s">
        <v>22</v>
      </c>
      <c r="L12" s="11">
        <f t="shared" si="0"/>
        <v>4</v>
      </c>
      <c r="M12" s="10">
        <f t="shared" si="6"/>
        <v>0</v>
      </c>
      <c r="N12" s="10">
        <f t="shared" si="1"/>
        <v>0</v>
      </c>
      <c r="O12" s="10">
        <v>0</v>
      </c>
      <c r="P12" s="10">
        <f t="shared" si="2"/>
        <v>4</v>
      </c>
      <c r="Q12" s="17">
        <v>17.468749999999996</v>
      </c>
      <c r="R12" s="18">
        <f t="shared" si="3"/>
        <v>21.468749999999996</v>
      </c>
      <c r="S12" s="19">
        <f t="shared" si="4"/>
        <v>11.875</v>
      </c>
      <c r="T12" s="20">
        <f t="shared" si="5"/>
        <v>9.5937499999999964</v>
      </c>
      <c r="U12" s="4"/>
      <c r="V12" s="4"/>
      <c r="W12" s="4"/>
      <c r="X12" s="35" t="s">
        <v>32</v>
      </c>
      <c r="Y12" s="1">
        <v>15000</v>
      </c>
    </row>
    <row r="13" spans="1:29" s="2" customFormat="1" ht="17.399999999999999">
      <c r="A13" s="9">
        <v>1</v>
      </c>
      <c r="B13" s="8">
        <v>248</v>
      </c>
      <c r="C13" s="8">
        <v>1886132205</v>
      </c>
      <c r="D13" s="42" t="s">
        <v>159</v>
      </c>
      <c r="E13" s="42" t="s">
        <v>143</v>
      </c>
      <c r="F13" s="10">
        <v>3</v>
      </c>
      <c r="G13" s="10">
        <v>0</v>
      </c>
      <c r="H13" s="50">
        <v>0</v>
      </c>
      <c r="I13" s="50">
        <v>1</v>
      </c>
      <c r="J13" s="50">
        <v>1</v>
      </c>
      <c r="K13" s="27" t="s">
        <v>22</v>
      </c>
      <c r="L13" s="11">
        <f t="shared" si="0"/>
        <v>4</v>
      </c>
      <c r="M13" s="10">
        <f t="shared" si="6"/>
        <v>0</v>
      </c>
      <c r="N13" s="10">
        <f t="shared" si="1"/>
        <v>0.8</v>
      </c>
      <c r="O13" s="10">
        <v>0</v>
      </c>
      <c r="P13" s="10">
        <f t="shared" si="2"/>
        <v>4.8</v>
      </c>
      <c r="Q13" s="17">
        <v>16.286250000000013</v>
      </c>
      <c r="R13" s="18">
        <f t="shared" si="3"/>
        <v>21.086250000000014</v>
      </c>
      <c r="S13" s="19">
        <f t="shared" si="4"/>
        <v>11.875</v>
      </c>
      <c r="T13" s="20">
        <f t="shared" si="5"/>
        <v>9.2112500000000139</v>
      </c>
      <c r="U13" s="4"/>
      <c r="V13" s="4"/>
      <c r="W13" s="4"/>
      <c r="X13" s="36" t="s">
        <v>33</v>
      </c>
      <c r="Y13" s="37">
        <v>160</v>
      </c>
      <c r="Z13" s="1"/>
      <c r="AA13" s="1"/>
      <c r="AB13" s="1"/>
      <c r="AC13" s="1"/>
    </row>
    <row r="14" spans="1:29" s="2" customFormat="1" ht="17.399999999999999">
      <c r="A14" s="9">
        <v>1</v>
      </c>
      <c r="B14" s="8">
        <v>247</v>
      </c>
      <c r="C14" s="8">
        <v>520310894</v>
      </c>
      <c r="D14" s="42" t="s">
        <v>142</v>
      </c>
      <c r="E14" s="4"/>
      <c r="F14" s="10">
        <v>3</v>
      </c>
      <c r="G14" s="10">
        <v>0</v>
      </c>
      <c r="H14" s="50">
        <v>0</v>
      </c>
      <c r="I14" s="50">
        <v>1</v>
      </c>
      <c r="J14" s="50">
        <v>1</v>
      </c>
      <c r="K14" s="27" t="s">
        <v>22</v>
      </c>
      <c r="L14" s="11">
        <f t="shared" si="0"/>
        <v>4</v>
      </c>
      <c r="M14" s="10">
        <f t="shared" si="6"/>
        <v>0</v>
      </c>
      <c r="N14" s="10">
        <f t="shared" si="1"/>
        <v>0.8</v>
      </c>
      <c r="O14" s="10">
        <v>0</v>
      </c>
      <c r="P14" s="10">
        <f t="shared" si="2"/>
        <v>4.8</v>
      </c>
      <c r="Q14" s="17">
        <v>16.252403846153847</v>
      </c>
      <c r="R14" s="18">
        <f t="shared" si="3"/>
        <v>21.052403846153847</v>
      </c>
      <c r="S14" s="19">
        <f t="shared" si="4"/>
        <v>11.875</v>
      </c>
      <c r="T14" s="20">
        <f t="shared" si="5"/>
        <v>9.1774038461538474</v>
      </c>
      <c r="U14" s="4"/>
      <c r="V14" s="4"/>
      <c r="W14" s="4"/>
      <c r="X14" s="38" t="s">
        <v>42</v>
      </c>
      <c r="Y14" s="37">
        <v>1.2</v>
      </c>
      <c r="Z14" s="1"/>
      <c r="AA14" s="1"/>
      <c r="AB14" s="1"/>
      <c r="AC14" s="1"/>
    </row>
    <row r="15" spans="1:29" s="2" customFormat="1" ht="17.399999999999999">
      <c r="A15" s="9">
        <v>1</v>
      </c>
      <c r="B15" s="8">
        <v>178</v>
      </c>
      <c r="C15" s="8">
        <v>1059185275</v>
      </c>
      <c r="D15" s="42" t="s">
        <v>66</v>
      </c>
      <c r="E15" s="47"/>
      <c r="F15" s="10">
        <v>3</v>
      </c>
      <c r="G15" s="10">
        <v>0</v>
      </c>
      <c r="H15" s="50">
        <v>0</v>
      </c>
      <c r="I15" s="50">
        <v>1</v>
      </c>
      <c r="J15" s="50">
        <v>1</v>
      </c>
      <c r="K15" s="29" t="s">
        <v>28</v>
      </c>
      <c r="L15" s="11">
        <f t="shared" si="0"/>
        <v>4</v>
      </c>
      <c r="M15" s="10">
        <f t="shared" si="6"/>
        <v>0</v>
      </c>
      <c r="N15" s="10">
        <f t="shared" si="1"/>
        <v>0.8</v>
      </c>
      <c r="O15" s="10">
        <v>0</v>
      </c>
      <c r="P15" s="10">
        <f t="shared" si="2"/>
        <v>4.8</v>
      </c>
      <c r="Q15" s="17">
        <v>15.331250000000015</v>
      </c>
      <c r="R15" s="18">
        <f t="shared" si="3"/>
        <v>20.131250000000016</v>
      </c>
      <c r="S15" s="19">
        <f t="shared" si="4"/>
        <v>9.6875</v>
      </c>
      <c r="T15" s="20">
        <f t="shared" si="5"/>
        <v>10.443750000000016</v>
      </c>
      <c r="U15" s="4"/>
      <c r="V15" s="4"/>
      <c r="W15" s="4"/>
      <c r="X15" s="1" t="s">
        <v>34</v>
      </c>
      <c r="Y15" s="37">
        <v>2021</v>
      </c>
      <c r="Z15" s="1"/>
      <c r="AA15" s="1"/>
      <c r="AB15" s="1"/>
      <c r="AC15" s="1"/>
    </row>
    <row r="16" spans="1:29" s="2" customFormat="1" ht="17.399999999999999">
      <c r="A16" s="9">
        <v>1</v>
      </c>
      <c r="B16" s="8">
        <v>215</v>
      </c>
      <c r="C16" s="8">
        <v>289805855</v>
      </c>
      <c r="D16" s="42" t="s">
        <v>145</v>
      </c>
      <c r="E16" s="42" t="s">
        <v>87</v>
      </c>
      <c r="F16" s="10">
        <v>3</v>
      </c>
      <c r="G16" s="10">
        <v>0</v>
      </c>
      <c r="H16" s="50">
        <v>0</v>
      </c>
      <c r="I16" s="50">
        <v>1</v>
      </c>
      <c r="J16" s="50">
        <v>1</v>
      </c>
      <c r="K16" s="29" t="s">
        <v>28</v>
      </c>
      <c r="L16" s="11">
        <f t="shared" si="0"/>
        <v>4</v>
      </c>
      <c r="M16" s="10">
        <f t="shared" si="6"/>
        <v>0</v>
      </c>
      <c r="N16" s="10">
        <f t="shared" si="1"/>
        <v>0.8</v>
      </c>
      <c r="O16" s="10">
        <v>0</v>
      </c>
      <c r="P16" s="10">
        <f t="shared" si="2"/>
        <v>4.8</v>
      </c>
      <c r="Q16" s="17">
        <v>14.599499999999981</v>
      </c>
      <c r="R16" s="18">
        <f t="shared" si="3"/>
        <v>19.399499999999982</v>
      </c>
      <c r="S16" s="19">
        <f t="shared" si="4"/>
        <v>9.6875</v>
      </c>
      <c r="T16" s="20">
        <f t="shared" si="5"/>
        <v>9.711999999999982</v>
      </c>
      <c r="U16" s="4"/>
      <c r="V16" s="4"/>
      <c r="W16" s="4"/>
      <c r="X16" s="1" t="s">
        <v>35</v>
      </c>
      <c r="Y16" s="37">
        <v>12</v>
      </c>
      <c r="Z16" s="1"/>
      <c r="AA16" s="1"/>
      <c r="AB16" s="1"/>
      <c r="AC16" s="1"/>
    </row>
    <row r="17" spans="1:29" s="2" customFormat="1" ht="17.399999999999999">
      <c r="A17" s="9">
        <v>1</v>
      </c>
      <c r="B17" s="8">
        <v>255</v>
      </c>
      <c r="C17" s="8">
        <v>812042496</v>
      </c>
      <c r="D17" s="42" t="s">
        <v>155</v>
      </c>
      <c r="E17" s="4"/>
      <c r="F17" s="10">
        <v>2</v>
      </c>
      <c r="G17" s="10">
        <v>0</v>
      </c>
      <c r="H17" s="50">
        <v>0</v>
      </c>
      <c r="I17" s="50">
        <v>0</v>
      </c>
      <c r="J17" s="50">
        <v>0</v>
      </c>
      <c r="K17" s="29" t="s">
        <v>28</v>
      </c>
      <c r="L17" s="11">
        <f t="shared" si="0"/>
        <v>2</v>
      </c>
      <c r="M17" s="10">
        <f t="shared" si="6"/>
        <v>0</v>
      </c>
      <c r="N17" s="10">
        <f t="shared" si="1"/>
        <v>0</v>
      </c>
      <c r="O17" s="10">
        <v>0</v>
      </c>
      <c r="P17" s="10">
        <f t="shared" si="2"/>
        <v>2</v>
      </c>
      <c r="Q17" s="17">
        <v>17.074999999999989</v>
      </c>
      <c r="R17" s="18">
        <f t="shared" si="3"/>
        <v>19.074999999999989</v>
      </c>
      <c r="S17" s="19">
        <f t="shared" si="4"/>
        <v>9.6875</v>
      </c>
      <c r="T17" s="20">
        <f t="shared" si="5"/>
        <v>9.3874999999999886</v>
      </c>
      <c r="V17" s="4"/>
      <c r="W17" s="4"/>
      <c r="X17" s="1" t="s">
        <v>36</v>
      </c>
      <c r="Y17" s="37">
        <v>11</v>
      </c>
      <c r="Z17" s="1"/>
      <c r="AA17" s="1"/>
      <c r="AB17" s="1"/>
      <c r="AC17" s="1"/>
    </row>
    <row r="18" spans="1:29" s="2" customFormat="1" ht="17.399999999999999">
      <c r="A18" s="9">
        <v>1</v>
      </c>
      <c r="B18" s="8">
        <v>251</v>
      </c>
      <c r="C18" s="8">
        <v>26962972</v>
      </c>
      <c r="D18" s="42" t="s">
        <v>151</v>
      </c>
      <c r="E18" s="4"/>
      <c r="F18" s="10">
        <v>3</v>
      </c>
      <c r="G18" s="10">
        <v>0</v>
      </c>
      <c r="H18" s="50">
        <v>0</v>
      </c>
      <c r="I18" s="50">
        <v>0</v>
      </c>
      <c r="J18" s="50">
        <v>0</v>
      </c>
      <c r="K18" s="29" t="s">
        <v>28</v>
      </c>
      <c r="L18" s="11">
        <f t="shared" si="0"/>
        <v>4</v>
      </c>
      <c r="M18" s="10">
        <f t="shared" si="6"/>
        <v>0</v>
      </c>
      <c r="N18" s="10">
        <f t="shared" si="1"/>
        <v>0</v>
      </c>
      <c r="O18" s="10">
        <v>0</v>
      </c>
      <c r="P18" s="10">
        <f t="shared" si="2"/>
        <v>4</v>
      </c>
      <c r="Q18" s="17">
        <v>14.706249999999986</v>
      </c>
      <c r="R18" s="18">
        <f t="shared" si="3"/>
        <v>18.706249999999986</v>
      </c>
      <c r="S18" s="19">
        <f t="shared" si="4"/>
        <v>9.6875</v>
      </c>
      <c r="T18" s="20">
        <f t="shared" si="5"/>
        <v>9.0187499999999865</v>
      </c>
      <c r="U18" s="4"/>
      <c r="V18" s="4"/>
      <c r="W18" s="4"/>
      <c r="X18" s="51" t="s">
        <v>103</v>
      </c>
      <c r="Y18" s="37">
        <v>0.4</v>
      </c>
      <c r="Z18" s="1"/>
      <c r="AA18" s="1"/>
      <c r="AB18" s="1"/>
      <c r="AC18" s="1"/>
    </row>
    <row r="19" spans="1:29" s="2" customFormat="1" ht="17.399999999999999">
      <c r="A19" s="9">
        <v>1</v>
      </c>
      <c r="B19" s="8">
        <v>202</v>
      </c>
      <c r="C19" s="8">
        <v>471245585</v>
      </c>
      <c r="D19" s="42" t="s">
        <v>77</v>
      </c>
      <c r="E19" s="47"/>
      <c r="F19" s="10">
        <v>3</v>
      </c>
      <c r="G19" s="10">
        <v>0</v>
      </c>
      <c r="H19" s="50">
        <v>0</v>
      </c>
      <c r="I19" s="50">
        <v>0</v>
      </c>
      <c r="J19" s="50">
        <v>0</v>
      </c>
      <c r="K19" s="29" t="s">
        <v>28</v>
      </c>
      <c r="L19" s="11">
        <f t="shared" si="0"/>
        <v>4</v>
      </c>
      <c r="M19" s="10">
        <f t="shared" si="6"/>
        <v>0</v>
      </c>
      <c r="N19" s="10">
        <f t="shared" si="1"/>
        <v>0</v>
      </c>
      <c r="O19" s="10">
        <v>0</v>
      </c>
      <c r="P19" s="10">
        <f t="shared" si="2"/>
        <v>4</v>
      </c>
      <c r="Q19" s="17">
        <v>14.676181623931623</v>
      </c>
      <c r="R19" s="18">
        <f t="shared" si="3"/>
        <v>18.676181623931623</v>
      </c>
      <c r="S19" s="19">
        <f t="shared" si="4"/>
        <v>9.6875</v>
      </c>
      <c r="T19" s="20">
        <f t="shared" si="5"/>
        <v>8.9886816239316225</v>
      </c>
      <c r="U19" s="4"/>
      <c r="V19" s="4"/>
      <c r="W19" s="4"/>
      <c r="X19" s="1"/>
      <c r="Y19" s="1"/>
      <c r="Z19" s="1"/>
      <c r="AA19" s="1"/>
      <c r="AB19" s="1"/>
      <c r="AC19" s="1"/>
    </row>
    <row r="20" spans="1:29" s="2" customFormat="1" ht="17.399999999999999">
      <c r="A20" s="9">
        <v>1</v>
      </c>
      <c r="B20" s="8">
        <v>244</v>
      </c>
      <c r="C20" s="8">
        <v>573211380</v>
      </c>
      <c r="D20" s="42" t="s">
        <v>139</v>
      </c>
      <c r="E20" s="4"/>
      <c r="F20" s="10">
        <v>3</v>
      </c>
      <c r="G20" s="10">
        <v>0</v>
      </c>
      <c r="H20" s="50">
        <v>0</v>
      </c>
      <c r="I20" s="50">
        <v>0</v>
      </c>
      <c r="J20" s="50">
        <v>0</v>
      </c>
      <c r="K20" s="29" t="s">
        <v>28</v>
      </c>
      <c r="L20" s="11">
        <f t="shared" si="0"/>
        <v>4</v>
      </c>
      <c r="M20" s="10">
        <f t="shared" si="6"/>
        <v>0</v>
      </c>
      <c r="N20" s="10">
        <f t="shared" si="1"/>
        <v>0</v>
      </c>
      <c r="O20" s="10">
        <v>0</v>
      </c>
      <c r="P20" s="10">
        <f t="shared" si="2"/>
        <v>4</v>
      </c>
      <c r="Q20" s="17">
        <v>14.631249999999991</v>
      </c>
      <c r="R20" s="18">
        <f t="shared" si="3"/>
        <v>18.631249999999991</v>
      </c>
      <c r="S20" s="19">
        <f t="shared" si="4"/>
        <v>9.6875</v>
      </c>
      <c r="T20" s="20">
        <f t="shared" si="5"/>
        <v>8.9437499999999908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7.399999999999999">
      <c r="A21" s="9">
        <v>1</v>
      </c>
      <c r="B21" s="9">
        <v>231</v>
      </c>
      <c r="C21" s="8">
        <v>1725915293</v>
      </c>
      <c r="D21" s="42" t="s">
        <v>112</v>
      </c>
      <c r="E21" s="4"/>
      <c r="F21" s="10">
        <v>3</v>
      </c>
      <c r="G21" s="10">
        <v>0</v>
      </c>
      <c r="H21" s="50">
        <v>0</v>
      </c>
      <c r="I21" s="50">
        <v>0</v>
      </c>
      <c r="J21" s="50">
        <v>0</v>
      </c>
      <c r="K21" s="29" t="s">
        <v>28</v>
      </c>
      <c r="L21" s="11">
        <f t="shared" si="0"/>
        <v>4</v>
      </c>
      <c r="M21" s="10">
        <f t="shared" si="6"/>
        <v>0</v>
      </c>
      <c r="N21" s="10">
        <f t="shared" si="1"/>
        <v>0</v>
      </c>
      <c r="O21" s="10">
        <v>0</v>
      </c>
      <c r="P21" s="10">
        <f t="shared" si="2"/>
        <v>4</v>
      </c>
      <c r="Q21" s="17">
        <v>14.437499999999989</v>
      </c>
      <c r="R21" s="18">
        <f t="shared" si="3"/>
        <v>18.437499999999989</v>
      </c>
      <c r="S21" s="19">
        <f t="shared" si="4"/>
        <v>9.6875</v>
      </c>
      <c r="T21" s="20">
        <f t="shared" si="5"/>
        <v>8.7499999999999893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7.399999999999999">
      <c r="A22" s="9">
        <v>1</v>
      </c>
      <c r="B22" s="8">
        <v>216</v>
      </c>
      <c r="C22" s="8">
        <v>395700385</v>
      </c>
      <c r="D22" s="42" t="s">
        <v>88</v>
      </c>
      <c r="F22" s="10">
        <v>3</v>
      </c>
      <c r="G22" s="10">
        <v>0</v>
      </c>
      <c r="H22" s="50">
        <v>0</v>
      </c>
      <c r="I22" s="50">
        <v>0</v>
      </c>
      <c r="J22" s="50">
        <v>0</v>
      </c>
      <c r="K22" s="29" t="s">
        <v>28</v>
      </c>
      <c r="L22" s="11">
        <f t="shared" si="0"/>
        <v>4</v>
      </c>
      <c r="M22" s="10">
        <f t="shared" si="6"/>
        <v>0</v>
      </c>
      <c r="N22" s="10">
        <f t="shared" si="1"/>
        <v>0</v>
      </c>
      <c r="O22" s="10">
        <v>0</v>
      </c>
      <c r="P22" s="10">
        <f t="shared" si="2"/>
        <v>4</v>
      </c>
      <c r="Q22" s="17">
        <v>14.374999999999993</v>
      </c>
      <c r="R22" s="18">
        <f t="shared" si="3"/>
        <v>18.374999999999993</v>
      </c>
      <c r="S22" s="19">
        <f t="shared" si="4"/>
        <v>9.6875</v>
      </c>
      <c r="T22" s="20">
        <f t="shared" si="5"/>
        <v>8.6874999999999929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7.399999999999999">
      <c r="A23" s="9">
        <v>1</v>
      </c>
      <c r="B23" s="8">
        <v>254</v>
      </c>
      <c r="C23" s="8">
        <v>674501489</v>
      </c>
      <c r="D23" s="42" t="s">
        <v>154</v>
      </c>
      <c r="E23" s="4"/>
      <c r="F23" s="10">
        <v>3</v>
      </c>
      <c r="G23" s="10">
        <v>0</v>
      </c>
      <c r="H23" s="50">
        <v>0</v>
      </c>
      <c r="I23" s="50">
        <v>0</v>
      </c>
      <c r="J23" s="50">
        <v>0</v>
      </c>
      <c r="K23" s="14" t="s">
        <v>29</v>
      </c>
      <c r="L23" s="11">
        <f t="shared" si="0"/>
        <v>4</v>
      </c>
      <c r="M23" s="10">
        <f t="shared" si="6"/>
        <v>0</v>
      </c>
      <c r="N23" s="10">
        <f t="shared" si="1"/>
        <v>0</v>
      </c>
      <c r="O23" s="10">
        <v>0</v>
      </c>
      <c r="P23" s="10">
        <f t="shared" si="2"/>
        <v>4</v>
      </c>
      <c r="Q23" s="17">
        <v>14.330016129032238</v>
      </c>
      <c r="R23" s="18">
        <f t="shared" si="3"/>
        <v>18.330016129032238</v>
      </c>
      <c r="S23" s="19">
        <f t="shared" si="4"/>
        <v>1.875</v>
      </c>
      <c r="T23" s="20">
        <f t="shared" si="5"/>
        <v>16.455016129032238</v>
      </c>
      <c r="U23" s="2"/>
      <c r="V23" s="4"/>
      <c r="W23" s="4"/>
    </row>
    <row r="24" spans="1:29" s="1" customFormat="1" ht="17.399999999999999">
      <c r="A24" s="9">
        <v>1</v>
      </c>
      <c r="B24" s="8">
        <v>243</v>
      </c>
      <c r="C24" s="8">
        <v>11135522555</v>
      </c>
      <c r="D24" s="42" t="s">
        <v>133</v>
      </c>
      <c r="E24" s="4"/>
      <c r="F24" s="10">
        <v>3</v>
      </c>
      <c r="G24" s="10">
        <v>0</v>
      </c>
      <c r="H24" s="50">
        <v>0</v>
      </c>
      <c r="I24" s="50">
        <v>0</v>
      </c>
      <c r="J24" s="50">
        <v>0</v>
      </c>
      <c r="K24" s="14" t="s">
        <v>29</v>
      </c>
      <c r="L24" s="11">
        <f t="shared" si="0"/>
        <v>4</v>
      </c>
      <c r="M24" s="10">
        <f t="shared" si="6"/>
        <v>0</v>
      </c>
      <c r="N24" s="10">
        <f t="shared" si="1"/>
        <v>0</v>
      </c>
      <c r="O24" s="10">
        <v>0</v>
      </c>
      <c r="P24" s="10">
        <f t="shared" si="2"/>
        <v>4</v>
      </c>
      <c r="Q24" s="17">
        <v>14.118749999999999</v>
      </c>
      <c r="R24" s="18">
        <f t="shared" si="3"/>
        <v>18.118749999999999</v>
      </c>
      <c r="S24" s="19">
        <f t="shared" si="4"/>
        <v>1.875</v>
      </c>
      <c r="T24" s="20">
        <f t="shared" si="5"/>
        <v>16.243749999999999</v>
      </c>
      <c r="U24" s="4"/>
      <c r="V24" s="4"/>
      <c r="W24" s="4"/>
    </row>
    <row r="25" spans="1:29" s="1" customFormat="1" ht="17.399999999999999">
      <c r="A25" s="9">
        <v>1</v>
      </c>
      <c r="B25" s="8">
        <v>208</v>
      </c>
      <c r="C25" s="8">
        <v>92129464</v>
      </c>
      <c r="D25" s="42" t="s">
        <v>148</v>
      </c>
      <c r="E25" s="42" t="s">
        <v>82</v>
      </c>
      <c r="F25" s="10">
        <v>3</v>
      </c>
      <c r="G25" s="10">
        <v>0</v>
      </c>
      <c r="H25" s="50">
        <v>0</v>
      </c>
      <c r="I25" s="50">
        <v>0</v>
      </c>
      <c r="J25" s="50">
        <v>0</v>
      </c>
      <c r="K25" s="14" t="s">
        <v>29</v>
      </c>
      <c r="L25" s="11">
        <f t="shared" si="0"/>
        <v>4</v>
      </c>
      <c r="M25" s="10">
        <f t="shared" si="6"/>
        <v>0</v>
      </c>
      <c r="N25" s="10">
        <f t="shared" si="1"/>
        <v>0</v>
      </c>
      <c r="O25" s="10">
        <v>0</v>
      </c>
      <c r="P25" s="10">
        <f t="shared" si="2"/>
        <v>4</v>
      </c>
      <c r="Q25" s="17">
        <v>13.838321428571419</v>
      </c>
      <c r="R25" s="18">
        <f t="shared" si="3"/>
        <v>17.838321428571419</v>
      </c>
      <c r="S25" s="19">
        <f t="shared" si="4"/>
        <v>1.875</v>
      </c>
      <c r="T25" s="20">
        <f t="shared" si="5"/>
        <v>15.963321428571419</v>
      </c>
      <c r="U25" s="4"/>
      <c r="V25" s="4"/>
      <c r="W25" s="4"/>
    </row>
    <row r="26" spans="1:29" s="1" customFormat="1" ht="18.75" customHeight="1">
      <c r="A26" s="9">
        <v>1</v>
      </c>
      <c r="B26" s="8">
        <v>246</v>
      </c>
      <c r="C26" s="8">
        <v>1192342148</v>
      </c>
      <c r="D26" s="42" t="s">
        <v>141</v>
      </c>
      <c r="E26" s="4"/>
      <c r="F26" s="10">
        <v>3</v>
      </c>
      <c r="G26" s="10">
        <v>0</v>
      </c>
      <c r="H26" s="50">
        <v>0</v>
      </c>
      <c r="I26" s="50">
        <v>0</v>
      </c>
      <c r="J26" s="50">
        <v>0</v>
      </c>
      <c r="K26" s="14" t="s">
        <v>29</v>
      </c>
      <c r="L26" s="11">
        <f t="shared" si="0"/>
        <v>4</v>
      </c>
      <c r="M26" s="10">
        <f t="shared" si="6"/>
        <v>0</v>
      </c>
      <c r="N26" s="10">
        <f t="shared" si="1"/>
        <v>0</v>
      </c>
      <c r="O26" s="10">
        <v>0</v>
      </c>
      <c r="P26" s="10">
        <f t="shared" si="2"/>
        <v>4</v>
      </c>
      <c r="Q26" s="17">
        <v>13.68849206349206</v>
      </c>
      <c r="R26" s="18">
        <f t="shared" si="3"/>
        <v>17.68849206349206</v>
      </c>
      <c r="S26" s="19">
        <f t="shared" si="4"/>
        <v>1.875</v>
      </c>
      <c r="T26" s="20">
        <f t="shared" si="5"/>
        <v>15.81349206349206</v>
      </c>
      <c r="U26" s="4"/>
      <c r="V26" s="4"/>
      <c r="W26" s="4"/>
    </row>
    <row r="27" spans="1:29" s="1" customFormat="1" ht="17.399999999999999">
      <c r="A27" s="9">
        <v>1</v>
      </c>
      <c r="B27" s="8">
        <v>189</v>
      </c>
      <c r="C27" s="8">
        <v>522812489</v>
      </c>
      <c r="D27" s="42" t="s">
        <v>70</v>
      </c>
      <c r="E27" s="47"/>
      <c r="F27" s="10">
        <v>3</v>
      </c>
      <c r="G27" s="10">
        <v>0</v>
      </c>
      <c r="H27" s="50">
        <v>0</v>
      </c>
      <c r="I27" s="50">
        <v>0</v>
      </c>
      <c r="J27" s="50">
        <v>0</v>
      </c>
      <c r="K27" s="14" t="s">
        <v>29</v>
      </c>
      <c r="L27" s="11">
        <f t="shared" si="0"/>
        <v>4</v>
      </c>
      <c r="M27" s="10">
        <f t="shared" si="6"/>
        <v>0</v>
      </c>
      <c r="N27" s="10">
        <f t="shared" si="1"/>
        <v>0</v>
      </c>
      <c r="O27" s="10">
        <v>0</v>
      </c>
      <c r="P27" s="10">
        <f t="shared" si="2"/>
        <v>4</v>
      </c>
      <c r="Q27" s="17">
        <v>13.556249999999995</v>
      </c>
      <c r="R27" s="18">
        <f t="shared" si="3"/>
        <v>17.556249999999995</v>
      </c>
      <c r="S27" s="19">
        <f t="shared" si="4"/>
        <v>1.875</v>
      </c>
      <c r="T27" s="20">
        <f t="shared" si="5"/>
        <v>15.681249999999995</v>
      </c>
      <c r="U27" s="4"/>
      <c r="V27" s="4"/>
      <c r="W27" s="4"/>
    </row>
    <row r="28" spans="1:29" s="1" customFormat="1" ht="17.399999999999999">
      <c r="A28" s="9">
        <v>1</v>
      </c>
      <c r="B28" s="8">
        <v>184</v>
      </c>
      <c r="C28" s="8">
        <v>1814130074</v>
      </c>
      <c r="D28" s="42" t="s">
        <v>147</v>
      </c>
      <c r="E28" s="42" t="s">
        <v>67</v>
      </c>
      <c r="F28" s="10">
        <v>3</v>
      </c>
      <c r="G28" s="10">
        <v>0</v>
      </c>
      <c r="H28" s="50">
        <v>0</v>
      </c>
      <c r="I28" s="50">
        <v>0</v>
      </c>
      <c r="J28" s="50">
        <v>0</v>
      </c>
      <c r="K28" s="14" t="s">
        <v>29</v>
      </c>
      <c r="L28" s="11">
        <f t="shared" si="0"/>
        <v>4</v>
      </c>
      <c r="M28" s="10">
        <f t="shared" si="6"/>
        <v>0</v>
      </c>
      <c r="N28" s="10">
        <f t="shared" si="1"/>
        <v>0</v>
      </c>
      <c r="O28" s="10">
        <v>0</v>
      </c>
      <c r="P28" s="10">
        <f t="shared" si="2"/>
        <v>4</v>
      </c>
      <c r="Q28" s="17">
        <v>13.410736940298492</v>
      </c>
      <c r="R28" s="18">
        <f t="shared" si="3"/>
        <v>17.410736940298492</v>
      </c>
      <c r="S28" s="19">
        <f t="shared" si="4"/>
        <v>1.875</v>
      </c>
      <c r="T28" s="20">
        <f t="shared" si="5"/>
        <v>15.535736940298492</v>
      </c>
      <c r="U28" s="4"/>
      <c r="V28" s="4"/>
      <c r="W28" s="4"/>
    </row>
    <row r="29" spans="1:29" s="2" customFormat="1" ht="17.399999999999999" hidden="1">
      <c r="A29" s="9">
        <v>0</v>
      </c>
      <c r="B29" s="8">
        <v>196</v>
      </c>
      <c r="C29" s="8">
        <v>1065641844</v>
      </c>
      <c r="D29" s="42" t="s">
        <v>74</v>
      </c>
      <c r="E29" s="47"/>
      <c r="F29" s="10">
        <v>0</v>
      </c>
      <c r="G29" s="10">
        <v>0</v>
      </c>
      <c r="H29" s="50">
        <v>0</v>
      </c>
      <c r="I29" s="50">
        <v>0</v>
      </c>
      <c r="J29" s="50">
        <v>0</v>
      </c>
      <c r="K29" s="39" t="s">
        <v>30</v>
      </c>
      <c r="L29" s="11">
        <f t="shared" si="0"/>
        <v>0</v>
      </c>
      <c r="M29" s="10">
        <f t="shared" si="6"/>
        <v>0</v>
      </c>
      <c r="N29" s="10">
        <f t="shared" si="1"/>
        <v>0</v>
      </c>
      <c r="O29" s="10">
        <v>0</v>
      </c>
      <c r="P29" s="10">
        <f t="shared" si="2"/>
        <v>0</v>
      </c>
      <c r="Q29" s="17">
        <v>15.103365384615369</v>
      </c>
      <c r="R29" s="18">
        <f t="shared" si="3"/>
        <v>15.103365384615369</v>
      </c>
      <c r="S29" s="19">
        <f t="shared" si="4"/>
        <v>0</v>
      </c>
      <c r="T29" s="20">
        <f t="shared" si="5"/>
        <v>15.103365384615369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7.399999999999999">
      <c r="A30" s="9">
        <v>1</v>
      </c>
      <c r="B30" s="8">
        <v>238</v>
      </c>
      <c r="C30" s="8">
        <v>108179057</v>
      </c>
      <c r="D30" s="42" t="s">
        <v>120</v>
      </c>
      <c r="E30" s="4"/>
      <c r="F30" s="10">
        <v>3</v>
      </c>
      <c r="G30" s="10">
        <v>0</v>
      </c>
      <c r="H30" s="50">
        <v>0</v>
      </c>
      <c r="I30" s="50">
        <v>0</v>
      </c>
      <c r="J30" s="50">
        <v>0</v>
      </c>
      <c r="K30" s="14" t="s">
        <v>29</v>
      </c>
      <c r="L30" s="11">
        <f t="shared" si="0"/>
        <v>4</v>
      </c>
      <c r="M30" s="10">
        <f t="shared" si="6"/>
        <v>0</v>
      </c>
      <c r="N30" s="10">
        <f t="shared" si="1"/>
        <v>0</v>
      </c>
      <c r="O30" s="10">
        <v>0</v>
      </c>
      <c r="P30" s="10">
        <f t="shared" si="2"/>
        <v>4</v>
      </c>
      <c r="Q30" s="17">
        <v>13.112500000000011</v>
      </c>
      <c r="R30" s="18">
        <f t="shared" si="3"/>
        <v>17.112500000000011</v>
      </c>
      <c r="S30" s="19">
        <f t="shared" si="4"/>
        <v>1.875</v>
      </c>
      <c r="T30" s="20">
        <f t="shared" si="5"/>
        <v>15.237500000000011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20.399999999999999">
      <c r="A31" s="9">
        <v>1</v>
      </c>
      <c r="B31" s="8">
        <v>221</v>
      </c>
      <c r="C31" s="8">
        <v>790956883</v>
      </c>
      <c r="D31" s="42" t="s">
        <v>96</v>
      </c>
      <c r="E31" s="42" t="s">
        <v>95</v>
      </c>
      <c r="F31" s="10">
        <v>2</v>
      </c>
      <c r="G31" s="10">
        <v>0</v>
      </c>
      <c r="H31" s="50">
        <v>0</v>
      </c>
      <c r="I31" s="50">
        <v>0</v>
      </c>
      <c r="J31" s="50">
        <v>0</v>
      </c>
      <c r="K31" s="14" t="s">
        <v>29</v>
      </c>
      <c r="L31" s="11">
        <f t="shared" si="0"/>
        <v>2</v>
      </c>
      <c r="M31" s="10">
        <f t="shared" si="6"/>
        <v>0</v>
      </c>
      <c r="N31" s="10">
        <f t="shared" si="1"/>
        <v>0</v>
      </c>
      <c r="O31" s="10">
        <v>0</v>
      </c>
      <c r="P31" s="10">
        <f t="shared" si="2"/>
        <v>2</v>
      </c>
      <c r="Q31" s="17">
        <v>15.043750000000014</v>
      </c>
      <c r="R31" s="18">
        <f t="shared" si="3"/>
        <v>17.043750000000014</v>
      </c>
      <c r="S31" s="19">
        <f t="shared" si="4"/>
        <v>1.875</v>
      </c>
      <c r="T31" s="20">
        <f t="shared" si="5"/>
        <v>15.168750000000014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7.399999999999999">
      <c r="A32" s="9">
        <v>1</v>
      </c>
      <c r="B32" s="8">
        <v>253</v>
      </c>
      <c r="C32" s="8">
        <v>18663026649</v>
      </c>
      <c r="D32" s="42" t="s">
        <v>153</v>
      </c>
      <c r="E32" s="4"/>
      <c r="F32" s="10">
        <v>3</v>
      </c>
      <c r="G32" s="10">
        <v>0</v>
      </c>
      <c r="H32" s="50">
        <v>0</v>
      </c>
      <c r="I32" s="50">
        <v>0</v>
      </c>
      <c r="J32" s="50">
        <v>0</v>
      </c>
      <c r="K32" s="14" t="s">
        <v>29</v>
      </c>
      <c r="L32" s="11">
        <f t="shared" si="0"/>
        <v>4</v>
      </c>
      <c r="M32" s="10">
        <f t="shared" si="6"/>
        <v>0</v>
      </c>
      <c r="N32" s="10">
        <f t="shared" si="1"/>
        <v>0</v>
      </c>
      <c r="O32" s="10">
        <v>0</v>
      </c>
      <c r="P32" s="10">
        <f t="shared" si="2"/>
        <v>4</v>
      </c>
      <c r="Q32" s="17">
        <v>12.743749999999999</v>
      </c>
      <c r="R32" s="18">
        <f t="shared" si="3"/>
        <v>16.743749999999999</v>
      </c>
      <c r="S32" s="19">
        <f t="shared" si="4"/>
        <v>1.875</v>
      </c>
      <c r="T32" s="20">
        <f t="shared" si="5"/>
        <v>14.868749999999999</v>
      </c>
      <c r="V32" s="4"/>
      <c r="W32" s="4"/>
      <c r="X32" s="1"/>
      <c r="Y32" s="1"/>
      <c r="Z32" s="1"/>
      <c r="AA32" s="1"/>
      <c r="AB32" s="1"/>
      <c r="AC32" s="1"/>
    </row>
    <row r="33" spans="1:29" s="2" customFormat="1" ht="17.399999999999999">
      <c r="A33" s="9">
        <v>1</v>
      </c>
      <c r="B33" s="9">
        <v>26</v>
      </c>
      <c r="C33" s="8">
        <v>1754932067</v>
      </c>
      <c r="D33" s="42" t="s">
        <v>58</v>
      </c>
      <c r="E33" s="42" t="s">
        <v>9</v>
      </c>
      <c r="F33" s="10">
        <v>2</v>
      </c>
      <c r="G33" s="10">
        <v>0</v>
      </c>
      <c r="H33" s="50">
        <v>0</v>
      </c>
      <c r="I33" s="50">
        <v>1</v>
      </c>
      <c r="J33" s="50">
        <v>1</v>
      </c>
      <c r="K33" s="14" t="s">
        <v>29</v>
      </c>
      <c r="L33" s="11">
        <f t="shared" si="0"/>
        <v>2</v>
      </c>
      <c r="M33" s="10">
        <f t="shared" si="6"/>
        <v>0</v>
      </c>
      <c r="N33" s="10">
        <f t="shared" si="1"/>
        <v>0.8</v>
      </c>
      <c r="O33" s="10">
        <v>0</v>
      </c>
      <c r="P33" s="10">
        <f t="shared" si="2"/>
        <v>2.8</v>
      </c>
      <c r="Q33" s="17">
        <v>13.606750000000019</v>
      </c>
      <c r="R33" s="18">
        <f t="shared" si="3"/>
        <v>16.40675000000002</v>
      </c>
      <c r="S33" s="19">
        <f t="shared" si="4"/>
        <v>1.875</v>
      </c>
      <c r="T33" s="20">
        <f t="shared" si="5"/>
        <v>14.53175000000002</v>
      </c>
      <c r="U33" s="11"/>
      <c r="V33" s="11"/>
      <c r="W33" s="11"/>
      <c r="X33" s="1"/>
      <c r="Y33" s="1"/>
      <c r="Z33" s="1"/>
      <c r="AA33" s="1"/>
      <c r="AB33" s="1"/>
      <c r="AC33" s="1"/>
    </row>
    <row r="34" spans="1:29" s="2" customFormat="1" ht="17.399999999999999">
      <c r="A34" s="9">
        <v>1</v>
      </c>
      <c r="B34" s="8">
        <v>209</v>
      </c>
      <c r="C34" s="8">
        <v>1525950050</v>
      </c>
      <c r="D34" s="42" t="s">
        <v>85</v>
      </c>
      <c r="E34" s="42" t="s">
        <v>83</v>
      </c>
      <c r="F34" s="10">
        <v>2</v>
      </c>
      <c r="G34" s="10">
        <v>0</v>
      </c>
      <c r="H34" s="50">
        <v>0</v>
      </c>
      <c r="I34" s="50">
        <v>0</v>
      </c>
      <c r="J34" s="50">
        <v>0</v>
      </c>
      <c r="K34" s="14" t="s">
        <v>29</v>
      </c>
      <c r="L34" s="11">
        <f t="shared" si="0"/>
        <v>2</v>
      </c>
      <c r="M34" s="10">
        <f t="shared" si="6"/>
        <v>0</v>
      </c>
      <c r="N34" s="10">
        <f t="shared" si="1"/>
        <v>0</v>
      </c>
      <c r="O34" s="10">
        <v>0</v>
      </c>
      <c r="P34" s="10">
        <f t="shared" si="2"/>
        <v>2</v>
      </c>
      <c r="Q34" s="17">
        <v>14.356249999999992</v>
      </c>
      <c r="R34" s="18">
        <f t="shared" si="3"/>
        <v>16.356249999999992</v>
      </c>
      <c r="S34" s="19">
        <f t="shared" si="4"/>
        <v>1.875</v>
      </c>
      <c r="T34" s="20">
        <f t="shared" si="5"/>
        <v>14.481249999999992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7.399999999999999">
      <c r="A35" s="9">
        <v>1</v>
      </c>
      <c r="B35" s="8">
        <v>185</v>
      </c>
      <c r="C35" s="8">
        <v>30705222</v>
      </c>
      <c r="D35" s="42" t="s">
        <v>68</v>
      </c>
      <c r="E35" s="47"/>
      <c r="F35" s="10">
        <v>2</v>
      </c>
      <c r="G35" s="10">
        <v>0</v>
      </c>
      <c r="H35" s="50">
        <v>0</v>
      </c>
      <c r="I35" s="50">
        <v>1</v>
      </c>
      <c r="J35" s="50">
        <v>0</v>
      </c>
      <c r="K35" s="14" t="s">
        <v>29</v>
      </c>
      <c r="L35" s="11">
        <f t="shared" si="0"/>
        <v>2</v>
      </c>
      <c r="M35" s="10">
        <f t="shared" si="6"/>
        <v>0</v>
      </c>
      <c r="N35" s="10">
        <f t="shared" si="1"/>
        <v>0.4</v>
      </c>
      <c r="O35" s="10">
        <v>0</v>
      </c>
      <c r="P35" s="10">
        <f t="shared" si="2"/>
        <v>2.4</v>
      </c>
      <c r="Q35" s="17">
        <v>13.318749999999998</v>
      </c>
      <c r="R35" s="18">
        <f t="shared" si="3"/>
        <v>15.718749999999998</v>
      </c>
      <c r="S35" s="19">
        <f t="shared" si="4"/>
        <v>1.875</v>
      </c>
      <c r="T35" s="20">
        <f t="shared" si="5"/>
        <v>13.843749999999998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7.399999999999999">
      <c r="A36" s="9">
        <v>1</v>
      </c>
      <c r="B36" s="9">
        <v>230</v>
      </c>
      <c r="C36" s="8">
        <v>1076026693</v>
      </c>
      <c r="D36" s="42" t="s">
        <v>111</v>
      </c>
      <c r="E36" s="4"/>
      <c r="F36" s="10">
        <v>2</v>
      </c>
      <c r="G36" s="10">
        <v>0</v>
      </c>
      <c r="H36" s="50">
        <v>0</v>
      </c>
      <c r="I36" s="50">
        <v>0</v>
      </c>
      <c r="J36" s="50">
        <v>0</v>
      </c>
      <c r="K36" s="14" t="s">
        <v>29</v>
      </c>
      <c r="L36" s="11">
        <f t="shared" si="0"/>
        <v>2</v>
      </c>
      <c r="M36" s="10">
        <f t="shared" si="6"/>
        <v>0</v>
      </c>
      <c r="N36" s="10">
        <f t="shared" si="1"/>
        <v>0</v>
      </c>
      <c r="O36" s="10">
        <v>0</v>
      </c>
      <c r="P36" s="10">
        <f t="shared" si="2"/>
        <v>2</v>
      </c>
      <c r="Q36" s="17">
        <v>13.399999999999984</v>
      </c>
      <c r="R36" s="18">
        <f t="shared" si="3"/>
        <v>15.399999999999984</v>
      </c>
      <c r="S36" s="19">
        <f t="shared" si="4"/>
        <v>1.875</v>
      </c>
      <c r="T36" s="20">
        <f t="shared" si="5"/>
        <v>13.524999999999984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7.399999999999999" hidden="1">
      <c r="A37" s="9">
        <v>0</v>
      </c>
      <c r="B37" s="8">
        <v>155</v>
      </c>
      <c r="C37" s="8">
        <v>1532576874</v>
      </c>
      <c r="D37" s="42" t="s">
        <v>63</v>
      </c>
      <c r="E37" s="42" t="s">
        <v>46</v>
      </c>
      <c r="F37" s="10">
        <v>0</v>
      </c>
      <c r="G37" s="10">
        <v>0</v>
      </c>
      <c r="H37" s="50">
        <v>0</v>
      </c>
      <c r="I37" s="50">
        <v>0</v>
      </c>
      <c r="J37" s="50">
        <v>0</v>
      </c>
      <c r="K37" s="39" t="s">
        <v>30</v>
      </c>
      <c r="L37" s="11">
        <f t="shared" ref="L37:L68" si="7">F37+IF(F37&gt;2,(F37-2)*1,0)</f>
        <v>0</v>
      </c>
      <c r="M37" s="10">
        <f t="shared" si="6"/>
        <v>0</v>
      </c>
      <c r="N37" s="10">
        <f t="shared" ref="N37:N68" si="8">SUM(H37:J37)*$Y$18</f>
        <v>0</v>
      </c>
      <c r="O37" s="10">
        <v>0</v>
      </c>
      <c r="P37" s="10">
        <f t="shared" ref="P37:P68" si="9">SUM(M37+L37+O37+N37)</f>
        <v>0</v>
      </c>
      <c r="Q37" s="17">
        <v>14.124999999999979</v>
      </c>
      <c r="R37" s="18">
        <f t="shared" ref="R37:R68" si="10">P37+Q37</f>
        <v>14.124999999999979</v>
      </c>
      <c r="S37" s="19">
        <f t="shared" ref="S37:S68" si="11">VLOOKUP(K37,$X$3:$Y$10,2,FALSE)</f>
        <v>0</v>
      </c>
      <c r="T37" s="20">
        <f t="shared" ref="T37:T68" si="12">R37-S37</f>
        <v>14.124999999999979</v>
      </c>
      <c r="U37" s="4"/>
      <c r="V37" s="4"/>
      <c r="W37" s="4"/>
    </row>
    <row r="38" spans="1:29" s="2" customFormat="1" ht="20.399999999999999">
      <c r="A38" s="9">
        <v>1</v>
      </c>
      <c r="B38" s="8">
        <v>214</v>
      </c>
      <c r="C38" s="8">
        <v>2130976604</v>
      </c>
      <c r="D38" s="42" t="s">
        <v>86</v>
      </c>
      <c r="F38" s="10">
        <v>0</v>
      </c>
      <c r="G38" s="10">
        <v>0</v>
      </c>
      <c r="H38" s="50">
        <v>0</v>
      </c>
      <c r="I38" s="50">
        <v>0</v>
      </c>
      <c r="J38" s="50">
        <v>0</v>
      </c>
      <c r="K38" s="39" t="s">
        <v>30</v>
      </c>
      <c r="L38" s="11">
        <f t="shared" si="7"/>
        <v>0</v>
      </c>
      <c r="M38" s="10">
        <f t="shared" si="6"/>
        <v>0</v>
      </c>
      <c r="N38" s="10">
        <f t="shared" si="8"/>
        <v>0</v>
      </c>
      <c r="O38" s="10">
        <v>0</v>
      </c>
      <c r="P38" s="10">
        <f t="shared" si="9"/>
        <v>0</v>
      </c>
      <c r="Q38" s="17">
        <v>15.274999999999991</v>
      </c>
      <c r="R38" s="18">
        <f t="shared" si="10"/>
        <v>15.274999999999991</v>
      </c>
      <c r="S38" s="19">
        <f t="shared" si="11"/>
        <v>0</v>
      </c>
      <c r="T38" s="20">
        <f t="shared" si="12"/>
        <v>15.274999999999991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7.399999999999999">
      <c r="A39" s="9">
        <v>1</v>
      </c>
      <c r="B39" s="8">
        <v>110</v>
      </c>
      <c r="C39" s="8">
        <v>1968703358</v>
      </c>
      <c r="D39" s="42" t="s">
        <v>60</v>
      </c>
      <c r="E39" s="42" t="s">
        <v>38</v>
      </c>
      <c r="F39" s="10">
        <v>0</v>
      </c>
      <c r="G39" s="10">
        <v>0</v>
      </c>
      <c r="H39" s="50">
        <v>0</v>
      </c>
      <c r="I39" s="50">
        <v>0</v>
      </c>
      <c r="J39" s="50">
        <v>1</v>
      </c>
      <c r="K39" s="39" t="s">
        <v>30</v>
      </c>
      <c r="L39" s="11">
        <f t="shared" si="7"/>
        <v>0</v>
      </c>
      <c r="M39" s="10">
        <f t="shared" si="6"/>
        <v>0</v>
      </c>
      <c r="N39" s="10">
        <f t="shared" si="8"/>
        <v>0.4</v>
      </c>
      <c r="O39" s="10">
        <v>0</v>
      </c>
      <c r="P39" s="10">
        <f t="shared" si="9"/>
        <v>0.4</v>
      </c>
      <c r="Q39" s="17">
        <v>14.337499999999997</v>
      </c>
      <c r="R39" s="18">
        <f t="shared" si="10"/>
        <v>14.737499999999997</v>
      </c>
      <c r="S39" s="19">
        <f t="shared" si="11"/>
        <v>0</v>
      </c>
      <c r="T39" s="20">
        <f t="shared" si="12"/>
        <v>14.737499999999997</v>
      </c>
      <c r="U39" s="11"/>
      <c r="V39" s="11"/>
      <c r="W39" s="17"/>
    </row>
    <row r="40" spans="1:29" ht="17.399999999999999">
      <c r="A40" s="9">
        <v>1</v>
      </c>
      <c r="B40" s="8">
        <v>245</v>
      </c>
      <c r="C40" s="8">
        <v>603472651</v>
      </c>
      <c r="D40" s="42" t="s">
        <v>140</v>
      </c>
      <c r="F40" s="10">
        <v>3</v>
      </c>
      <c r="G40" s="10">
        <v>0</v>
      </c>
      <c r="H40" s="50">
        <v>0</v>
      </c>
      <c r="I40" s="50">
        <v>0</v>
      </c>
      <c r="J40" s="50">
        <v>0</v>
      </c>
      <c r="K40" s="14" t="s">
        <v>29</v>
      </c>
      <c r="L40" s="11">
        <f t="shared" si="7"/>
        <v>4</v>
      </c>
      <c r="M40" s="10">
        <f t="shared" si="6"/>
        <v>0</v>
      </c>
      <c r="N40" s="10">
        <f t="shared" si="8"/>
        <v>0</v>
      </c>
      <c r="O40" s="10">
        <v>0</v>
      </c>
      <c r="P40" s="10">
        <f t="shared" si="9"/>
        <v>4</v>
      </c>
      <c r="Q40" s="17">
        <v>10.624999999999996</v>
      </c>
      <c r="R40" s="18">
        <f t="shared" si="10"/>
        <v>14.624999999999996</v>
      </c>
      <c r="S40" s="19">
        <f t="shared" si="11"/>
        <v>1.875</v>
      </c>
      <c r="T40" s="20">
        <f t="shared" si="12"/>
        <v>12.749999999999996</v>
      </c>
      <c r="U40" s="4"/>
      <c r="V40" s="4"/>
      <c r="W40" s="4"/>
    </row>
    <row r="41" spans="1:29" ht="17.399999999999999">
      <c r="A41" s="9">
        <v>1</v>
      </c>
      <c r="B41" s="8">
        <v>116</v>
      </c>
      <c r="C41" s="8">
        <v>2122596917</v>
      </c>
      <c r="D41" s="42" t="s">
        <v>61</v>
      </c>
      <c r="E41" s="42" t="s">
        <v>37</v>
      </c>
      <c r="F41" s="10">
        <v>0</v>
      </c>
      <c r="G41" s="10">
        <v>0</v>
      </c>
      <c r="H41" s="50">
        <v>0</v>
      </c>
      <c r="I41" s="50">
        <v>0</v>
      </c>
      <c r="J41" s="50">
        <v>1</v>
      </c>
      <c r="K41" s="39" t="s">
        <v>30</v>
      </c>
      <c r="L41" s="11">
        <f t="shared" si="7"/>
        <v>0</v>
      </c>
      <c r="M41" s="10">
        <f t="shared" si="6"/>
        <v>0</v>
      </c>
      <c r="N41" s="10">
        <f t="shared" si="8"/>
        <v>0.4</v>
      </c>
      <c r="O41" s="10">
        <v>0</v>
      </c>
      <c r="P41" s="10">
        <f t="shared" si="9"/>
        <v>0.4</v>
      </c>
      <c r="Q41" s="17">
        <v>13.956749999999985</v>
      </c>
      <c r="R41" s="18">
        <f t="shared" si="10"/>
        <v>14.356749999999986</v>
      </c>
      <c r="S41" s="19">
        <f t="shared" si="11"/>
        <v>0</v>
      </c>
      <c r="T41" s="20">
        <f t="shared" si="12"/>
        <v>14.356749999999986</v>
      </c>
      <c r="U41" s="11"/>
      <c r="V41" s="11"/>
      <c r="W41" s="32"/>
    </row>
    <row r="42" spans="1:29" ht="17.399999999999999">
      <c r="A42" s="9">
        <v>1</v>
      </c>
      <c r="B42" s="8">
        <v>240</v>
      </c>
      <c r="C42" s="8">
        <v>289805855</v>
      </c>
      <c r="D42" s="42" t="s">
        <v>158</v>
      </c>
      <c r="E42" s="42" t="s">
        <v>123</v>
      </c>
      <c r="F42" s="10">
        <v>0</v>
      </c>
      <c r="G42" s="10">
        <v>0</v>
      </c>
      <c r="H42" s="50">
        <v>0</v>
      </c>
      <c r="I42" s="50">
        <v>0</v>
      </c>
      <c r="J42" s="50">
        <v>0</v>
      </c>
      <c r="K42" s="39" t="s">
        <v>30</v>
      </c>
      <c r="L42" s="11">
        <f t="shared" si="7"/>
        <v>0</v>
      </c>
      <c r="M42" s="10">
        <f t="shared" ref="M42:M73" si="13">G42*$Y$14</f>
        <v>0</v>
      </c>
      <c r="N42" s="10">
        <f t="shared" si="8"/>
        <v>0</v>
      </c>
      <c r="O42" s="10">
        <v>0</v>
      </c>
      <c r="P42" s="10">
        <f t="shared" si="9"/>
        <v>0</v>
      </c>
      <c r="Q42" s="17">
        <v>14.28749999999998</v>
      </c>
      <c r="R42" s="18">
        <f t="shared" si="10"/>
        <v>14.28749999999998</v>
      </c>
      <c r="S42" s="19">
        <f t="shared" si="11"/>
        <v>0</v>
      </c>
      <c r="T42" s="20">
        <f t="shared" si="12"/>
        <v>14.28749999999998</v>
      </c>
      <c r="U42" s="4"/>
      <c r="V42" s="4"/>
      <c r="W42" s="4"/>
    </row>
    <row r="43" spans="1:29" ht="17.399999999999999">
      <c r="A43" s="9">
        <v>1</v>
      </c>
      <c r="B43" s="8">
        <v>242</v>
      </c>
      <c r="C43" s="8">
        <v>1381736232</v>
      </c>
      <c r="D43" s="42" t="s">
        <v>144</v>
      </c>
      <c r="E43" s="42" t="s">
        <v>125</v>
      </c>
      <c r="F43" s="10">
        <v>0</v>
      </c>
      <c r="G43" s="10">
        <v>0</v>
      </c>
      <c r="H43" s="50">
        <v>0</v>
      </c>
      <c r="I43" s="50">
        <v>0</v>
      </c>
      <c r="J43" s="50">
        <v>0</v>
      </c>
      <c r="K43" s="39" t="s">
        <v>30</v>
      </c>
      <c r="L43" s="11">
        <f t="shared" si="7"/>
        <v>0</v>
      </c>
      <c r="M43" s="10">
        <f t="shared" si="13"/>
        <v>0</v>
      </c>
      <c r="N43" s="10">
        <f t="shared" si="8"/>
        <v>0</v>
      </c>
      <c r="O43" s="10">
        <v>0</v>
      </c>
      <c r="P43" s="10">
        <f t="shared" si="9"/>
        <v>0</v>
      </c>
      <c r="Q43" s="17">
        <v>13.912499999999991</v>
      </c>
      <c r="R43" s="18">
        <f t="shared" si="10"/>
        <v>13.912499999999991</v>
      </c>
      <c r="S43" s="19">
        <f t="shared" si="11"/>
        <v>0</v>
      </c>
      <c r="T43" s="20">
        <f t="shared" si="12"/>
        <v>13.912499999999991</v>
      </c>
      <c r="U43" s="4"/>
      <c r="V43" s="4"/>
      <c r="W43" s="4"/>
    </row>
    <row r="44" spans="1:29" ht="17.399999999999999">
      <c r="A44" s="9">
        <v>1</v>
      </c>
      <c r="B44" s="8">
        <v>225</v>
      </c>
      <c r="C44" s="8">
        <v>1963965829</v>
      </c>
      <c r="D44" s="42" t="s">
        <v>107</v>
      </c>
      <c r="E44" s="42"/>
      <c r="F44" s="10">
        <v>0</v>
      </c>
      <c r="G44" s="10">
        <v>0</v>
      </c>
      <c r="H44" s="50">
        <v>0</v>
      </c>
      <c r="I44" s="50">
        <v>0</v>
      </c>
      <c r="J44" s="50">
        <v>0</v>
      </c>
      <c r="K44" s="39" t="s">
        <v>30</v>
      </c>
      <c r="L44" s="11">
        <f t="shared" si="7"/>
        <v>0</v>
      </c>
      <c r="M44" s="10">
        <f t="shared" si="13"/>
        <v>0</v>
      </c>
      <c r="N44" s="10">
        <f t="shared" si="8"/>
        <v>0</v>
      </c>
      <c r="O44" s="10">
        <v>0</v>
      </c>
      <c r="P44" s="10">
        <f t="shared" si="9"/>
        <v>0</v>
      </c>
      <c r="Q44" s="17">
        <v>13.812701612903208</v>
      </c>
      <c r="R44" s="18">
        <f t="shared" si="10"/>
        <v>13.812701612903208</v>
      </c>
      <c r="S44" s="19">
        <f t="shared" si="11"/>
        <v>0</v>
      </c>
      <c r="T44" s="20">
        <f t="shared" si="12"/>
        <v>13.812701612903208</v>
      </c>
      <c r="U44" s="4"/>
      <c r="V44" s="4"/>
      <c r="W44" s="4"/>
    </row>
    <row r="45" spans="1:29" ht="17.399999999999999">
      <c r="A45" s="9">
        <v>1</v>
      </c>
      <c r="B45" s="8">
        <v>236</v>
      </c>
      <c r="C45" s="8">
        <v>1968448898</v>
      </c>
      <c r="D45" s="42" t="s">
        <v>118</v>
      </c>
      <c r="F45" s="10">
        <v>0</v>
      </c>
      <c r="G45" s="10">
        <v>0</v>
      </c>
      <c r="H45" s="50">
        <v>0</v>
      </c>
      <c r="I45" s="50">
        <v>0</v>
      </c>
      <c r="J45" s="50">
        <v>0</v>
      </c>
      <c r="K45" s="39" t="s">
        <v>30</v>
      </c>
      <c r="L45" s="11">
        <f t="shared" si="7"/>
        <v>0</v>
      </c>
      <c r="M45" s="10">
        <f t="shared" si="13"/>
        <v>0</v>
      </c>
      <c r="N45" s="10">
        <f t="shared" si="8"/>
        <v>0</v>
      </c>
      <c r="O45" s="10">
        <v>0</v>
      </c>
      <c r="P45" s="10">
        <f t="shared" si="9"/>
        <v>0</v>
      </c>
      <c r="Q45" s="17">
        <v>13.74583333333333</v>
      </c>
      <c r="R45" s="18">
        <f t="shared" si="10"/>
        <v>13.74583333333333</v>
      </c>
      <c r="S45" s="19">
        <f t="shared" si="11"/>
        <v>0</v>
      </c>
      <c r="T45" s="20">
        <f t="shared" si="12"/>
        <v>13.74583333333333</v>
      </c>
      <c r="U45" s="4"/>
      <c r="V45" s="4"/>
      <c r="W45" s="4"/>
    </row>
    <row r="46" spans="1:29" ht="20.399999999999999">
      <c r="A46" s="86">
        <v>1</v>
      </c>
      <c r="B46" s="8">
        <v>186</v>
      </c>
      <c r="C46" s="8">
        <v>595953188</v>
      </c>
      <c r="D46" s="42" t="s">
        <v>157</v>
      </c>
      <c r="E46" s="87" t="s">
        <v>156</v>
      </c>
      <c r="F46" s="10">
        <v>0</v>
      </c>
      <c r="G46" s="10">
        <v>0</v>
      </c>
      <c r="H46" s="50">
        <v>0</v>
      </c>
      <c r="I46" s="50">
        <v>0</v>
      </c>
      <c r="J46" s="50">
        <v>0</v>
      </c>
      <c r="K46" s="39" t="s">
        <v>30</v>
      </c>
      <c r="L46" s="91">
        <f t="shared" si="7"/>
        <v>0</v>
      </c>
      <c r="M46" s="88">
        <f t="shared" si="13"/>
        <v>0</v>
      </c>
      <c r="N46" s="88">
        <f t="shared" si="8"/>
        <v>0</v>
      </c>
      <c r="O46" s="88">
        <v>0</v>
      </c>
      <c r="P46" s="88">
        <f t="shared" si="9"/>
        <v>0</v>
      </c>
      <c r="Q46" s="92">
        <v>12.881249999999984</v>
      </c>
      <c r="R46" s="18">
        <f t="shared" si="10"/>
        <v>12.881249999999984</v>
      </c>
      <c r="S46" s="93">
        <f t="shared" si="11"/>
        <v>0</v>
      </c>
      <c r="T46" s="94">
        <f t="shared" si="12"/>
        <v>12.881249999999984</v>
      </c>
      <c r="U46" s="2"/>
      <c r="V46" s="4"/>
      <c r="W46" s="4"/>
    </row>
    <row r="47" spans="1:29" ht="17.399999999999999">
      <c r="A47" s="9">
        <v>1</v>
      </c>
      <c r="B47" s="8">
        <v>195</v>
      </c>
      <c r="C47" s="8">
        <v>1634663314</v>
      </c>
      <c r="D47" s="42" t="s">
        <v>73</v>
      </c>
      <c r="E47" s="47"/>
      <c r="F47" s="10">
        <v>2</v>
      </c>
      <c r="G47" s="10">
        <v>0</v>
      </c>
      <c r="H47" s="50">
        <v>0</v>
      </c>
      <c r="I47" s="50">
        <v>0</v>
      </c>
      <c r="J47" s="50">
        <v>0</v>
      </c>
      <c r="K47" s="14" t="s">
        <v>29</v>
      </c>
      <c r="L47" s="11">
        <f t="shared" si="7"/>
        <v>2</v>
      </c>
      <c r="M47" s="10">
        <f t="shared" si="13"/>
        <v>0</v>
      </c>
      <c r="N47" s="10">
        <f t="shared" si="8"/>
        <v>0</v>
      </c>
      <c r="O47" s="10">
        <v>0</v>
      </c>
      <c r="P47" s="10">
        <f t="shared" si="9"/>
        <v>2</v>
      </c>
      <c r="Q47" s="17">
        <v>10.770015873015858</v>
      </c>
      <c r="R47" s="18">
        <f t="shared" si="10"/>
        <v>12.770015873015858</v>
      </c>
      <c r="S47" s="19">
        <f t="shared" si="11"/>
        <v>1.875</v>
      </c>
      <c r="T47" s="20">
        <f t="shared" si="12"/>
        <v>10.895015873015858</v>
      </c>
      <c r="U47" s="4"/>
      <c r="V47" s="4"/>
      <c r="W47" s="4"/>
    </row>
    <row r="48" spans="1:29" ht="17.399999999999999">
      <c r="A48" s="9">
        <v>1</v>
      </c>
      <c r="B48" s="8">
        <v>249</v>
      </c>
      <c r="C48" s="8">
        <v>1892505535</v>
      </c>
      <c r="D48" s="42" t="s">
        <v>149</v>
      </c>
      <c r="F48" s="10">
        <v>2</v>
      </c>
      <c r="G48" s="10">
        <v>0</v>
      </c>
      <c r="H48" s="50">
        <v>0</v>
      </c>
      <c r="I48" s="50">
        <v>0</v>
      </c>
      <c r="J48" s="50">
        <v>0</v>
      </c>
      <c r="K48" s="14" t="s">
        <v>29</v>
      </c>
      <c r="L48" s="11">
        <f t="shared" si="7"/>
        <v>2</v>
      </c>
      <c r="M48" s="10">
        <f t="shared" si="13"/>
        <v>0</v>
      </c>
      <c r="N48" s="10">
        <f t="shared" si="8"/>
        <v>0</v>
      </c>
      <c r="O48" s="10">
        <v>0</v>
      </c>
      <c r="P48" s="10">
        <f t="shared" si="9"/>
        <v>2</v>
      </c>
      <c r="Q48" s="17">
        <v>9.8934807692307594</v>
      </c>
      <c r="R48" s="18">
        <f t="shared" si="10"/>
        <v>11.893480769230759</v>
      </c>
      <c r="S48" s="19">
        <f t="shared" si="11"/>
        <v>1.875</v>
      </c>
      <c r="T48" s="20">
        <f t="shared" si="12"/>
        <v>10.018480769230759</v>
      </c>
    </row>
    <row r="49" spans="1:23" ht="17.399999999999999" hidden="1">
      <c r="A49" s="9">
        <v>0</v>
      </c>
      <c r="B49" s="8">
        <v>193</v>
      </c>
      <c r="C49" s="8">
        <v>2125731287</v>
      </c>
      <c r="D49" s="42" t="s">
        <v>72</v>
      </c>
      <c r="E49" s="47"/>
      <c r="F49" s="10">
        <v>0</v>
      </c>
      <c r="G49" s="10">
        <v>0</v>
      </c>
      <c r="H49" s="50">
        <v>0</v>
      </c>
      <c r="I49" s="50">
        <v>0</v>
      </c>
      <c r="J49" s="50">
        <v>0</v>
      </c>
      <c r="K49" s="39" t="s">
        <v>30</v>
      </c>
      <c r="L49" s="11">
        <f t="shared" si="7"/>
        <v>0</v>
      </c>
      <c r="M49" s="10">
        <f t="shared" si="13"/>
        <v>0</v>
      </c>
      <c r="N49" s="10">
        <f t="shared" si="8"/>
        <v>0</v>
      </c>
      <c r="O49" s="10">
        <v>0</v>
      </c>
      <c r="P49" s="10">
        <f t="shared" si="9"/>
        <v>0</v>
      </c>
      <c r="Q49" s="17">
        <v>8.1062500000000028</v>
      </c>
      <c r="R49" s="18">
        <f t="shared" si="10"/>
        <v>8.1062500000000028</v>
      </c>
      <c r="S49" s="19">
        <f t="shared" si="11"/>
        <v>0</v>
      </c>
      <c r="T49" s="20">
        <f t="shared" si="12"/>
        <v>8.1062500000000028</v>
      </c>
    </row>
    <row r="50" spans="1:23" ht="17.399999999999999">
      <c r="A50" s="9">
        <v>1</v>
      </c>
      <c r="B50" s="8">
        <v>172</v>
      </c>
      <c r="C50" s="8">
        <v>724061220</v>
      </c>
      <c r="D50" s="42" t="s">
        <v>65</v>
      </c>
      <c r="E50" s="42" t="s">
        <v>50</v>
      </c>
      <c r="F50" s="10">
        <v>3</v>
      </c>
      <c r="G50" s="10">
        <v>0</v>
      </c>
      <c r="H50" s="50">
        <v>0</v>
      </c>
      <c r="I50" s="50">
        <v>0</v>
      </c>
      <c r="J50" s="50">
        <v>0</v>
      </c>
      <c r="K50" s="14" t="s">
        <v>29</v>
      </c>
      <c r="L50" s="11">
        <f t="shared" si="7"/>
        <v>4</v>
      </c>
      <c r="M50" s="10">
        <f t="shared" si="13"/>
        <v>0</v>
      </c>
      <c r="N50" s="10">
        <f t="shared" si="8"/>
        <v>0</v>
      </c>
      <c r="O50" s="10">
        <v>0</v>
      </c>
      <c r="P50" s="10">
        <f t="shared" si="9"/>
        <v>4</v>
      </c>
      <c r="Q50" s="17">
        <v>7.3749999999999964</v>
      </c>
      <c r="R50" s="18">
        <f t="shared" si="10"/>
        <v>11.374999999999996</v>
      </c>
      <c r="S50" s="19">
        <f t="shared" si="11"/>
        <v>1.875</v>
      </c>
      <c r="T50" s="20">
        <f t="shared" si="12"/>
        <v>9.4999999999999964</v>
      </c>
    </row>
    <row r="51" spans="1:23" ht="17.399999999999999" hidden="1">
      <c r="A51" s="9">
        <v>0</v>
      </c>
      <c r="B51" s="8">
        <v>224</v>
      </c>
      <c r="C51" s="8">
        <v>862562360</v>
      </c>
      <c r="D51" s="42" t="s">
        <v>129</v>
      </c>
      <c r="E51" s="42" t="s">
        <v>106</v>
      </c>
      <c r="F51" s="10">
        <v>0</v>
      </c>
      <c r="G51" s="10">
        <v>0</v>
      </c>
      <c r="H51" s="50">
        <v>0</v>
      </c>
      <c r="I51" s="50">
        <v>0</v>
      </c>
      <c r="J51" s="50">
        <v>0</v>
      </c>
      <c r="K51" s="39" t="s">
        <v>30</v>
      </c>
      <c r="L51" s="11">
        <f t="shared" si="7"/>
        <v>0</v>
      </c>
      <c r="M51" s="10">
        <f t="shared" si="13"/>
        <v>0</v>
      </c>
      <c r="N51" s="10">
        <f t="shared" si="8"/>
        <v>0</v>
      </c>
      <c r="O51" s="10">
        <v>0</v>
      </c>
      <c r="P51" s="10">
        <f t="shared" si="9"/>
        <v>0</v>
      </c>
      <c r="Q51" s="17">
        <v>7.9874999999999901</v>
      </c>
      <c r="R51" s="18">
        <f t="shared" si="10"/>
        <v>7.9874999999999901</v>
      </c>
      <c r="S51" s="19">
        <f t="shared" si="11"/>
        <v>0</v>
      </c>
      <c r="T51" s="20">
        <f t="shared" si="12"/>
        <v>7.9874999999999901</v>
      </c>
    </row>
    <row r="52" spans="1:23" ht="17.399999999999999">
      <c r="A52" s="9">
        <v>1</v>
      </c>
      <c r="B52" s="8">
        <v>183</v>
      </c>
      <c r="C52" s="8">
        <v>1250030371</v>
      </c>
      <c r="D52" s="42" t="s">
        <v>130</v>
      </c>
      <c r="E52" s="42" t="s">
        <v>121</v>
      </c>
      <c r="F52" s="10">
        <v>3</v>
      </c>
      <c r="G52" s="10">
        <v>0</v>
      </c>
      <c r="H52" s="50">
        <v>0</v>
      </c>
      <c r="I52" s="50">
        <v>0</v>
      </c>
      <c r="J52" s="50">
        <v>0</v>
      </c>
      <c r="K52" s="14" t="s">
        <v>29</v>
      </c>
      <c r="L52" s="11">
        <f t="shared" si="7"/>
        <v>4</v>
      </c>
      <c r="M52" s="10">
        <f t="shared" si="13"/>
        <v>0</v>
      </c>
      <c r="N52" s="10">
        <f t="shared" si="8"/>
        <v>0</v>
      </c>
      <c r="O52" s="10">
        <v>0</v>
      </c>
      <c r="P52" s="10">
        <f t="shared" si="9"/>
        <v>4</v>
      </c>
      <c r="Q52" s="17">
        <v>4.3437499999999956</v>
      </c>
      <c r="R52" s="18">
        <f t="shared" si="10"/>
        <v>8.3437499999999964</v>
      </c>
      <c r="S52" s="19">
        <f t="shared" si="11"/>
        <v>1.875</v>
      </c>
      <c r="T52" s="20">
        <f t="shared" si="12"/>
        <v>6.4687499999999964</v>
      </c>
    </row>
    <row r="53" spans="1:23" ht="17.399999999999999">
      <c r="A53" s="9">
        <v>1</v>
      </c>
      <c r="B53" s="9">
        <v>10</v>
      </c>
      <c r="C53" s="8">
        <v>2108977014</v>
      </c>
      <c r="D53" s="42" t="s">
        <v>57</v>
      </c>
      <c r="E53" s="42" t="s">
        <v>8</v>
      </c>
      <c r="F53" s="10">
        <v>1</v>
      </c>
      <c r="G53" s="10">
        <v>0</v>
      </c>
      <c r="H53" s="50">
        <v>0</v>
      </c>
      <c r="I53" s="50">
        <v>0</v>
      </c>
      <c r="J53" s="50">
        <v>0</v>
      </c>
      <c r="K53" s="14" t="s">
        <v>29</v>
      </c>
      <c r="L53" s="11">
        <f t="shared" si="7"/>
        <v>1</v>
      </c>
      <c r="M53" s="10">
        <f t="shared" si="13"/>
        <v>0</v>
      </c>
      <c r="N53" s="10">
        <f t="shared" si="8"/>
        <v>0</v>
      </c>
      <c r="O53" s="10">
        <v>0</v>
      </c>
      <c r="P53" s="10">
        <f t="shared" si="9"/>
        <v>1</v>
      </c>
      <c r="Q53" s="17">
        <v>5.7187499999999831</v>
      </c>
      <c r="R53" s="18">
        <f t="shared" si="10"/>
        <v>6.7187499999999831</v>
      </c>
      <c r="S53" s="19">
        <f t="shared" si="11"/>
        <v>1.875</v>
      </c>
      <c r="T53" s="20">
        <f t="shared" si="12"/>
        <v>4.8437499999999831</v>
      </c>
      <c r="U53" s="40"/>
      <c r="V53" s="40"/>
      <c r="W53" s="40"/>
    </row>
    <row r="54" spans="1:23" ht="17.399999999999999">
      <c r="A54" s="9">
        <v>1</v>
      </c>
      <c r="B54" s="8">
        <v>212</v>
      </c>
      <c r="C54" s="8">
        <v>2133045883</v>
      </c>
      <c r="D54" s="42" t="s">
        <v>137</v>
      </c>
      <c r="E54" s="42" t="s">
        <v>84</v>
      </c>
      <c r="F54" s="10">
        <v>3</v>
      </c>
      <c r="G54" s="10">
        <v>0</v>
      </c>
      <c r="H54" s="50">
        <v>0</v>
      </c>
      <c r="I54" s="50">
        <v>0</v>
      </c>
      <c r="J54" s="50">
        <v>0</v>
      </c>
      <c r="K54" s="14" t="s">
        <v>29</v>
      </c>
      <c r="L54" s="11">
        <f t="shared" si="7"/>
        <v>4</v>
      </c>
      <c r="M54" s="10">
        <f t="shared" si="13"/>
        <v>0</v>
      </c>
      <c r="N54" s="10">
        <f t="shared" si="8"/>
        <v>0</v>
      </c>
      <c r="O54" s="10">
        <v>0</v>
      </c>
      <c r="P54" s="10">
        <f t="shared" si="9"/>
        <v>4</v>
      </c>
      <c r="Q54" s="17">
        <v>1.425</v>
      </c>
      <c r="R54" s="18">
        <f t="shared" si="10"/>
        <v>5.4249999999999998</v>
      </c>
      <c r="S54" s="19">
        <f t="shared" si="11"/>
        <v>1.875</v>
      </c>
      <c r="T54" s="20">
        <f t="shared" si="12"/>
        <v>3.55</v>
      </c>
    </row>
    <row r="55" spans="1:23" ht="17.399999999999999">
      <c r="A55" s="9">
        <v>1</v>
      </c>
      <c r="B55" s="9">
        <v>92</v>
      </c>
      <c r="C55" s="8">
        <v>1367873925</v>
      </c>
      <c r="D55" s="42" t="s">
        <v>80</v>
      </c>
      <c r="E55" s="42" t="s">
        <v>31</v>
      </c>
      <c r="F55" s="10">
        <v>3</v>
      </c>
      <c r="G55" s="10">
        <v>0</v>
      </c>
      <c r="H55" s="50">
        <v>0</v>
      </c>
      <c r="I55" s="50">
        <v>0</v>
      </c>
      <c r="J55" s="50">
        <v>0</v>
      </c>
      <c r="K55" s="14" t="s">
        <v>29</v>
      </c>
      <c r="L55" s="11">
        <f t="shared" si="7"/>
        <v>4</v>
      </c>
      <c r="M55" s="10">
        <f t="shared" si="13"/>
        <v>0</v>
      </c>
      <c r="N55" s="10">
        <f t="shared" si="8"/>
        <v>0</v>
      </c>
      <c r="O55" s="10">
        <v>0</v>
      </c>
      <c r="P55" s="10">
        <f t="shared" si="9"/>
        <v>4</v>
      </c>
      <c r="Q55" s="17">
        <v>0.11749999999999983</v>
      </c>
      <c r="R55" s="18">
        <f t="shared" si="10"/>
        <v>4.1174999999999997</v>
      </c>
      <c r="S55" s="19">
        <f t="shared" si="11"/>
        <v>1.875</v>
      </c>
      <c r="T55" s="20">
        <f t="shared" si="12"/>
        <v>2.2424999999999997</v>
      </c>
      <c r="U55" s="40"/>
      <c r="V55" s="40"/>
      <c r="W55" s="41"/>
    </row>
    <row r="56" spans="1:23" ht="17.399999999999999">
      <c r="A56" s="9">
        <v>1</v>
      </c>
      <c r="B56" s="8">
        <v>156</v>
      </c>
      <c r="C56" s="8">
        <v>1744610165</v>
      </c>
      <c r="D56" s="42" t="s">
        <v>135</v>
      </c>
      <c r="E56" s="42" t="s">
        <v>64</v>
      </c>
      <c r="F56" s="10">
        <v>0</v>
      </c>
      <c r="G56" s="10">
        <v>0</v>
      </c>
      <c r="H56" s="50">
        <v>0</v>
      </c>
      <c r="I56" s="50">
        <v>0</v>
      </c>
      <c r="J56" s="50">
        <v>0</v>
      </c>
      <c r="K56" s="39" t="s">
        <v>30</v>
      </c>
      <c r="L56" s="11">
        <f t="shared" si="7"/>
        <v>0</v>
      </c>
      <c r="M56" s="10">
        <f t="shared" si="13"/>
        <v>0</v>
      </c>
      <c r="N56" s="10">
        <f t="shared" si="8"/>
        <v>0</v>
      </c>
      <c r="O56" s="10">
        <v>0</v>
      </c>
      <c r="P56" s="10">
        <f t="shared" si="9"/>
        <v>0</v>
      </c>
      <c r="Q56" s="17">
        <v>3.6687500000000108</v>
      </c>
      <c r="R56" s="18">
        <f t="shared" si="10"/>
        <v>3.6687500000000108</v>
      </c>
      <c r="S56" s="19">
        <f t="shared" si="11"/>
        <v>0</v>
      </c>
      <c r="T56" s="20">
        <f t="shared" si="12"/>
        <v>3.6687500000000108</v>
      </c>
    </row>
    <row r="57" spans="1:23" ht="17.399999999999999" hidden="1">
      <c r="A57" s="9">
        <v>0</v>
      </c>
      <c r="B57" s="8">
        <v>198</v>
      </c>
      <c r="C57" s="8">
        <v>723448640</v>
      </c>
      <c r="D57" s="42" t="s">
        <v>75</v>
      </c>
      <c r="E57" s="47"/>
      <c r="F57" s="10">
        <v>0</v>
      </c>
      <c r="G57" s="10">
        <v>0</v>
      </c>
      <c r="H57" s="50">
        <v>0</v>
      </c>
      <c r="I57" s="50">
        <v>0</v>
      </c>
      <c r="J57" s="50">
        <v>0</v>
      </c>
      <c r="K57" s="39" t="s">
        <v>30</v>
      </c>
      <c r="L57" s="11">
        <f t="shared" si="7"/>
        <v>0</v>
      </c>
      <c r="M57" s="10">
        <f t="shared" si="13"/>
        <v>0</v>
      </c>
      <c r="N57" s="10">
        <f t="shared" si="8"/>
        <v>0</v>
      </c>
      <c r="O57" s="10">
        <v>0</v>
      </c>
      <c r="P57" s="10">
        <f t="shared" si="9"/>
        <v>0</v>
      </c>
      <c r="Q57" s="17">
        <v>2.0310546874999984</v>
      </c>
      <c r="R57" s="18">
        <f t="shared" si="10"/>
        <v>2.0310546874999984</v>
      </c>
      <c r="S57" s="19">
        <f t="shared" si="11"/>
        <v>0</v>
      </c>
      <c r="T57" s="20">
        <f t="shared" si="12"/>
        <v>2.0310546874999984</v>
      </c>
    </row>
    <row r="58" spans="1:23" ht="17.399999999999999" hidden="1">
      <c r="A58" s="9">
        <v>0</v>
      </c>
      <c r="B58" s="8">
        <v>222</v>
      </c>
      <c r="C58" s="8">
        <v>1945277617</v>
      </c>
      <c r="D58" s="42" t="s">
        <v>97</v>
      </c>
      <c r="E58" s="42"/>
      <c r="F58" s="10">
        <v>0</v>
      </c>
      <c r="G58" s="10">
        <v>0</v>
      </c>
      <c r="H58" s="50">
        <v>0</v>
      </c>
      <c r="I58" s="50">
        <v>0</v>
      </c>
      <c r="J58" s="50">
        <v>0</v>
      </c>
      <c r="K58" s="39" t="s">
        <v>30</v>
      </c>
      <c r="L58" s="11">
        <f t="shared" si="7"/>
        <v>0</v>
      </c>
      <c r="M58" s="10">
        <f t="shared" si="13"/>
        <v>0</v>
      </c>
      <c r="N58" s="10">
        <f t="shared" si="8"/>
        <v>0</v>
      </c>
      <c r="O58" s="10">
        <v>0</v>
      </c>
      <c r="P58" s="10">
        <f t="shared" si="9"/>
        <v>0</v>
      </c>
      <c r="Q58" s="17">
        <v>0.55625000000000036</v>
      </c>
      <c r="R58" s="18">
        <f t="shared" si="10"/>
        <v>0.55625000000000036</v>
      </c>
      <c r="S58" s="19">
        <f t="shared" si="11"/>
        <v>0</v>
      </c>
      <c r="T58" s="20">
        <f t="shared" si="12"/>
        <v>0.55625000000000036</v>
      </c>
    </row>
    <row r="59" spans="1:23" ht="17.399999999999999">
      <c r="A59" s="9">
        <v>1</v>
      </c>
      <c r="B59" s="8">
        <v>250</v>
      </c>
      <c r="C59" s="8">
        <v>1183251323</v>
      </c>
      <c r="D59" s="42" t="s">
        <v>150</v>
      </c>
      <c r="F59" s="10">
        <v>2</v>
      </c>
      <c r="G59" s="10">
        <v>0</v>
      </c>
      <c r="H59" s="50">
        <v>0</v>
      </c>
      <c r="I59" s="50">
        <v>0</v>
      </c>
      <c r="J59" s="50">
        <v>0</v>
      </c>
      <c r="K59" s="14" t="s">
        <v>29</v>
      </c>
      <c r="L59" s="11">
        <f t="shared" si="7"/>
        <v>2</v>
      </c>
      <c r="M59" s="10">
        <f t="shared" si="13"/>
        <v>0</v>
      </c>
      <c r="N59" s="10">
        <f t="shared" si="8"/>
        <v>0</v>
      </c>
      <c r="O59" s="10">
        <v>0</v>
      </c>
      <c r="P59" s="10">
        <f t="shared" si="9"/>
        <v>2</v>
      </c>
      <c r="Q59" s="17">
        <v>1.0237499999999997</v>
      </c>
      <c r="R59" s="18">
        <f t="shared" si="10"/>
        <v>3.0237499999999997</v>
      </c>
      <c r="S59" s="19">
        <f t="shared" si="11"/>
        <v>1.875</v>
      </c>
      <c r="T59" s="20">
        <f t="shared" si="12"/>
        <v>1.1487499999999997</v>
      </c>
    </row>
    <row r="60" spans="1:23" ht="17.399999999999999">
      <c r="A60" s="9">
        <v>1</v>
      </c>
      <c r="B60" s="8">
        <v>239</v>
      </c>
      <c r="C60" s="8">
        <v>416459640</v>
      </c>
      <c r="D60" s="42" t="s">
        <v>122</v>
      </c>
      <c r="F60" s="10">
        <v>0</v>
      </c>
      <c r="G60" s="10">
        <v>0</v>
      </c>
      <c r="H60" s="50">
        <v>0</v>
      </c>
      <c r="I60" s="50">
        <v>0</v>
      </c>
      <c r="J60" s="50">
        <v>0</v>
      </c>
      <c r="K60" s="39" t="s">
        <v>30</v>
      </c>
      <c r="L60" s="11">
        <f t="shared" si="7"/>
        <v>0</v>
      </c>
      <c r="M60" s="10">
        <f t="shared" si="13"/>
        <v>0</v>
      </c>
      <c r="N60" s="10">
        <f t="shared" si="8"/>
        <v>0</v>
      </c>
      <c r="O60" s="10">
        <v>0</v>
      </c>
      <c r="P60" s="10">
        <f t="shared" si="9"/>
        <v>0</v>
      </c>
      <c r="Q60" s="17">
        <v>2.793750000000002</v>
      </c>
      <c r="R60" s="18">
        <f t="shared" si="10"/>
        <v>2.793750000000002</v>
      </c>
      <c r="S60" s="19">
        <f t="shared" si="11"/>
        <v>0</v>
      </c>
      <c r="T60" s="20">
        <f t="shared" si="12"/>
        <v>2.793750000000002</v>
      </c>
    </row>
    <row r="61" spans="1:23" ht="17.399999999999999">
      <c r="A61" s="9">
        <v>1</v>
      </c>
      <c r="B61" s="8">
        <v>223</v>
      </c>
      <c r="C61" s="8">
        <v>784792167</v>
      </c>
      <c r="D61" s="42" t="s">
        <v>98</v>
      </c>
      <c r="E61" s="42"/>
      <c r="F61" s="10">
        <v>0</v>
      </c>
      <c r="G61" s="10">
        <v>0</v>
      </c>
      <c r="H61" s="50">
        <v>0</v>
      </c>
      <c r="I61" s="50">
        <v>0</v>
      </c>
      <c r="J61" s="50">
        <v>0</v>
      </c>
      <c r="K61" s="39" t="s">
        <v>30</v>
      </c>
      <c r="L61" s="11">
        <f t="shared" si="7"/>
        <v>0</v>
      </c>
      <c r="M61" s="10">
        <f t="shared" si="13"/>
        <v>0</v>
      </c>
      <c r="N61" s="10">
        <f t="shared" si="8"/>
        <v>0</v>
      </c>
      <c r="O61" s="10">
        <v>0</v>
      </c>
      <c r="P61" s="10">
        <f t="shared" si="9"/>
        <v>0</v>
      </c>
      <c r="Q61" s="17">
        <v>0.90625</v>
      </c>
      <c r="R61" s="18">
        <f t="shared" si="10"/>
        <v>0.90625</v>
      </c>
      <c r="S61" s="19">
        <f t="shared" si="11"/>
        <v>0</v>
      </c>
      <c r="T61" s="20">
        <f t="shared" si="12"/>
        <v>0.90625</v>
      </c>
    </row>
    <row r="62" spans="1:23" ht="17.399999999999999">
      <c r="A62" s="9">
        <v>1</v>
      </c>
      <c r="B62" s="8">
        <v>252</v>
      </c>
      <c r="C62" s="8">
        <v>1574741700</v>
      </c>
      <c r="D62" s="42" t="s">
        <v>152</v>
      </c>
      <c r="F62" s="10">
        <v>0</v>
      </c>
      <c r="G62" s="10">
        <v>0</v>
      </c>
      <c r="H62" s="50">
        <v>0</v>
      </c>
      <c r="I62" s="50">
        <v>0</v>
      </c>
      <c r="J62" s="50">
        <v>0</v>
      </c>
      <c r="K62" s="39" t="s">
        <v>30</v>
      </c>
      <c r="L62" s="11">
        <f t="shared" si="7"/>
        <v>0</v>
      </c>
      <c r="M62" s="10">
        <f t="shared" si="13"/>
        <v>0</v>
      </c>
      <c r="N62" s="10">
        <f t="shared" si="8"/>
        <v>0</v>
      </c>
      <c r="O62" s="10">
        <v>0</v>
      </c>
      <c r="P62" s="10">
        <f t="shared" si="9"/>
        <v>0</v>
      </c>
      <c r="Q62" s="17">
        <v>0.65000000000000036</v>
      </c>
      <c r="R62" s="18">
        <f t="shared" si="10"/>
        <v>0.65000000000000036</v>
      </c>
      <c r="S62" s="19">
        <f t="shared" si="11"/>
        <v>0</v>
      </c>
      <c r="T62" s="20">
        <f t="shared" si="12"/>
        <v>0.65000000000000036</v>
      </c>
    </row>
    <row r="63" spans="1:23" ht="17.399999999999999">
      <c r="A63" s="9">
        <v>1</v>
      </c>
      <c r="B63" s="8">
        <v>118</v>
      </c>
      <c r="C63" s="8">
        <v>2018112397</v>
      </c>
      <c r="D63" s="42" t="s">
        <v>136</v>
      </c>
      <c r="E63" s="42" t="s">
        <v>54</v>
      </c>
      <c r="F63" s="10">
        <v>0</v>
      </c>
      <c r="G63" s="10">
        <v>0</v>
      </c>
      <c r="H63" s="50">
        <v>0</v>
      </c>
      <c r="I63" s="50">
        <v>0</v>
      </c>
      <c r="J63" s="50">
        <v>0</v>
      </c>
      <c r="K63" s="39" t="s">
        <v>30</v>
      </c>
      <c r="L63" s="11">
        <f t="shared" si="7"/>
        <v>0</v>
      </c>
      <c r="M63" s="10">
        <f t="shared" si="13"/>
        <v>0</v>
      </c>
      <c r="N63" s="10">
        <f t="shared" si="8"/>
        <v>0</v>
      </c>
      <c r="O63" s="10">
        <v>0</v>
      </c>
      <c r="P63" s="10">
        <f t="shared" si="9"/>
        <v>0</v>
      </c>
      <c r="Q63" s="17">
        <v>-1.3124999999999984</v>
      </c>
      <c r="R63" s="18">
        <f t="shared" si="10"/>
        <v>-1.3124999999999984</v>
      </c>
      <c r="S63" s="19">
        <f t="shared" si="11"/>
        <v>0</v>
      </c>
      <c r="T63" s="20">
        <f t="shared" si="12"/>
        <v>-1.3124999999999984</v>
      </c>
      <c r="U63" s="40"/>
      <c r="V63" s="40"/>
      <c r="W63" s="85"/>
    </row>
    <row r="64" spans="1:23" ht="17.399999999999999" hidden="1">
      <c r="A64" s="9">
        <v>0</v>
      </c>
      <c r="B64" s="8">
        <v>226</v>
      </c>
      <c r="C64" s="8">
        <v>1238792963</v>
      </c>
      <c r="D64" s="42" t="s">
        <v>108</v>
      </c>
      <c r="E64" s="42"/>
      <c r="F64" s="10">
        <v>0</v>
      </c>
      <c r="G64" s="10">
        <v>0</v>
      </c>
      <c r="H64" s="50">
        <v>0</v>
      </c>
      <c r="I64" s="50">
        <v>0</v>
      </c>
      <c r="J64" s="50">
        <v>0</v>
      </c>
      <c r="K64" s="39" t="s">
        <v>30</v>
      </c>
      <c r="L64" s="11">
        <f t="shared" si="7"/>
        <v>0</v>
      </c>
      <c r="M64" s="10">
        <f t="shared" si="13"/>
        <v>0</v>
      </c>
      <c r="N64" s="10">
        <f t="shared" si="8"/>
        <v>0</v>
      </c>
      <c r="O64" s="10">
        <v>0</v>
      </c>
      <c r="P64" s="10">
        <f t="shared" si="9"/>
        <v>0</v>
      </c>
      <c r="Q64" s="17">
        <v>-2.5499999999999998</v>
      </c>
      <c r="R64" s="18">
        <f t="shared" si="10"/>
        <v>-2.5499999999999998</v>
      </c>
      <c r="S64" s="19">
        <f t="shared" si="11"/>
        <v>0</v>
      </c>
      <c r="T64" s="20">
        <f t="shared" si="12"/>
        <v>-2.5499999999999998</v>
      </c>
    </row>
    <row r="65" spans="1:23" ht="17.399999999999999" hidden="1">
      <c r="A65" s="9">
        <v>0</v>
      </c>
      <c r="B65" s="8">
        <v>167</v>
      </c>
      <c r="C65" s="8">
        <v>1173807161</v>
      </c>
      <c r="D65" s="42" t="s">
        <v>138</v>
      </c>
      <c r="E65" s="42" t="s">
        <v>48</v>
      </c>
      <c r="F65" s="10">
        <v>0</v>
      </c>
      <c r="G65" s="10">
        <v>0</v>
      </c>
      <c r="H65" s="50">
        <v>0</v>
      </c>
      <c r="I65" s="50">
        <v>0</v>
      </c>
      <c r="J65" s="50">
        <v>0</v>
      </c>
      <c r="K65" s="39" t="s">
        <v>30</v>
      </c>
      <c r="L65" s="11">
        <f t="shared" si="7"/>
        <v>0</v>
      </c>
      <c r="M65" s="10">
        <f t="shared" si="13"/>
        <v>0</v>
      </c>
      <c r="N65" s="10">
        <f t="shared" si="8"/>
        <v>0</v>
      </c>
      <c r="O65" s="10">
        <v>0</v>
      </c>
      <c r="P65" s="10">
        <f t="shared" si="9"/>
        <v>0</v>
      </c>
      <c r="Q65" s="17">
        <v>-2.5499999999999998</v>
      </c>
      <c r="R65" s="18">
        <f t="shared" si="10"/>
        <v>-2.5499999999999998</v>
      </c>
      <c r="S65" s="19">
        <f t="shared" si="11"/>
        <v>0</v>
      </c>
      <c r="T65" s="20">
        <f t="shared" si="12"/>
        <v>-2.5499999999999998</v>
      </c>
    </row>
    <row r="66" spans="1:23" ht="17.399999999999999">
      <c r="A66" s="9">
        <v>1</v>
      </c>
      <c r="B66" s="8">
        <v>237</v>
      </c>
      <c r="C66" s="8">
        <v>1331532576</v>
      </c>
      <c r="D66" s="42" t="s">
        <v>119</v>
      </c>
      <c r="F66" s="10">
        <v>0</v>
      </c>
      <c r="G66" s="10">
        <v>0</v>
      </c>
      <c r="H66" s="50">
        <v>0</v>
      </c>
      <c r="I66" s="50">
        <v>0</v>
      </c>
      <c r="J66" s="50">
        <v>0</v>
      </c>
      <c r="K66" s="39" t="s">
        <v>30</v>
      </c>
      <c r="L66" s="11">
        <f t="shared" si="7"/>
        <v>0</v>
      </c>
      <c r="M66" s="10">
        <f t="shared" si="13"/>
        <v>0</v>
      </c>
      <c r="N66" s="10">
        <f t="shared" si="8"/>
        <v>0</v>
      </c>
      <c r="O66" s="10">
        <v>0</v>
      </c>
      <c r="P66" s="10">
        <f t="shared" si="9"/>
        <v>0</v>
      </c>
      <c r="Q66" s="17">
        <v>-2.5499999999999998</v>
      </c>
      <c r="R66" s="18">
        <f t="shared" si="10"/>
        <v>-2.5499999999999998</v>
      </c>
      <c r="S66" s="19">
        <f t="shared" si="11"/>
        <v>0</v>
      </c>
      <c r="T66" s="20">
        <f t="shared" si="12"/>
        <v>-2.5499999999999998</v>
      </c>
    </row>
    <row r="67" spans="1:23" ht="17.399999999999999">
      <c r="A67" s="9">
        <v>1</v>
      </c>
      <c r="B67" s="8">
        <v>200</v>
      </c>
      <c r="C67" s="8">
        <v>967589156</v>
      </c>
      <c r="D67" s="42" t="s">
        <v>76</v>
      </c>
      <c r="E67" s="47"/>
      <c r="F67" s="10">
        <v>0</v>
      </c>
      <c r="G67" s="10">
        <v>0</v>
      </c>
      <c r="H67" s="50">
        <v>0</v>
      </c>
      <c r="I67" s="50">
        <v>0</v>
      </c>
      <c r="J67" s="50">
        <v>0</v>
      </c>
      <c r="K67" s="39" t="s">
        <v>30</v>
      </c>
      <c r="L67" s="11">
        <f t="shared" si="7"/>
        <v>0</v>
      </c>
      <c r="M67" s="10">
        <f t="shared" si="13"/>
        <v>0</v>
      </c>
      <c r="N67" s="10">
        <f t="shared" si="8"/>
        <v>0</v>
      </c>
      <c r="O67" s="10">
        <v>0</v>
      </c>
      <c r="P67" s="10">
        <f t="shared" si="9"/>
        <v>0</v>
      </c>
      <c r="Q67" s="17">
        <v>-2.5499999999999998</v>
      </c>
      <c r="R67" s="18">
        <f t="shared" si="10"/>
        <v>-2.5499999999999998</v>
      </c>
      <c r="S67" s="19">
        <f t="shared" si="11"/>
        <v>0</v>
      </c>
      <c r="T67" s="20">
        <f t="shared" si="12"/>
        <v>-2.5499999999999998</v>
      </c>
    </row>
    <row r="68" spans="1:23" ht="20.399999999999999">
      <c r="A68" s="9">
        <v>1</v>
      </c>
      <c r="B68" s="8">
        <v>213</v>
      </c>
      <c r="C68" s="8">
        <v>311361673</v>
      </c>
      <c r="D68" s="42" t="s">
        <v>55</v>
      </c>
      <c r="E68" s="2"/>
      <c r="F68" s="10">
        <v>0</v>
      </c>
      <c r="G68" s="10">
        <v>0</v>
      </c>
      <c r="H68" s="50">
        <v>0</v>
      </c>
      <c r="I68" s="50">
        <v>0</v>
      </c>
      <c r="J68" s="50">
        <v>0</v>
      </c>
      <c r="K68" s="39" t="s">
        <v>30</v>
      </c>
      <c r="L68" s="11">
        <f t="shared" si="7"/>
        <v>0</v>
      </c>
      <c r="M68" s="10">
        <f t="shared" si="13"/>
        <v>0</v>
      </c>
      <c r="N68" s="10">
        <f t="shared" si="8"/>
        <v>0</v>
      </c>
      <c r="O68" s="10">
        <v>0</v>
      </c>
      <c r="P68" s="10">
        <f t="shared" si="9"/>
        <v>0</v>
      </c>
      <c r="Q68" s="17">
        <v>-4.1499999999999995</v>
      </c>
      <c r="R68" s="18">
        <f t="shared" si="10"/>
        <v>-4.1499999999999995</v>
      </c>
      <c r="S68" s="19">
        <f t="shared" si="11"/>
        <v>0</v>
      </c>
      <c r="T68" s="20">
        <f t="shared" si="12"/>
        <v>-4.1499999999999995</v>
      </c>
    </row>
    <row r="69" spans="1:23" ht="17.399999999999999">
      <c r="A69" s="9">
        <v>1</v>
      </c>
      <c r="B69" s="8">
        <v>234</v>
      </c>
      <c r="C69" s="8">
        <v>1333428907</v>
      </c>
      <c r="D69" s="42" t="s">
        <v>128</v>
      </c>
      <c r="E69" s="42" t="s">
        <v>115</v>
      </c>
      <c r="F69" s="10">
        <v>0</v>
      </c>
      <c r="G69" s="10">
        <v>0</v>
      </c>
      <c r="H69" s="50">
        <v>0</v>
      </c>
      <c r="I69" s="50">
        <v>0</v>
      </c>
      <c r="J69" s="50">
        <v>0</v>
      </c>
      <c r="K69" s="39" t="s">
        <v>30</v>
      </c>
      <c r="L69" s="11">
        <f t="shared" ref="L69:L83" si="14">F69+IF(F69&gt;2,(F69-2)*1,0)</f>
        <v>0</v>
      </c>
      <c r="M69" s="10">
        <f t="shared" si="13"/>
        <v>0</v>
      </c>
      <c r="N69" s="10">
        <f t="shared" ref="N69:N83" si="15">SUM(H69:J69)*$Y$18</f>
        <v>0</v>
      </c>
      <c r="O69" s="10">
        <v>0</v>
      </c>
      <c r="P69" s="10">
        <f t="shared" ref="P69:P83" si="16">SUM(M69+L69+O69+N69)</f>
        <v>0</v>
      </c>
      <c r="Q69" s="17">
        <v>-4.1499999999999995</v>
      </c>
      <c r="R69" s="18">
        <f t="shared" ref="R69:R83" si="17">P69+Q69</f>
        <v>-4.1499999999999995</v>
      </c>
      <c r="S69" s="19">
        <f t="shared" ref="S69:S83" si="18">VLOOKUP(K69,$X$3:$Y$10,2,FALSE)</f>
        <v>0</v>
      </c>
      <c r="T69" s="20">
        <f t="shared" ref="T69:T83" si="19">R69-S69</f>
        <v>-4.1499999999999995</v>
      </c>
    </row>
    <row r="70" spans="1:23" ht="17.399999999999999">
      <c r="A70" s="70">
        <v>1</v>
      </c>
      <c r="B70" s="8">
        <v>228</v>
      </c>
      <c r="C70" s="8">
        <v>1287481910</v>
      </c>
      <c r="D70" s="42" t="s">
        <v>109</v>
      </c>
      <c r="E70" s="42"/>
      <c r="F70" s="10">
        <v>0</v>
      </c>
      <c r="G70" s="10">
        <v>0</v>
      </c>
      <c r="H70" s="50">
        <v>0</v>
      </c>
      <c r="I70" s="50">
        <v>0</v>
      </c>
      <c r="J70" s="50">
        <v>0</v>
      </c>
      <c r="K70" s="39" t="s">
        <v>30</v>
      </c>
      <c r="L70" s="11">
        <f t="shared" si="14"/>
        <v>0</v>
      </c>
      <c r="M70" s="10">
        <f t="shared" si="13"/>
        <v>0</v>
      </c>
      <c r="N70" s="10">
        <f t="shared" si="15"/>
        <v>0</v>
      </c>
      <c r="O70" s="10">
        <v>0</v>
      </c>
      <c r="P70" s="10">
        <f t="shared" si="16"/>
        <v>0</v>
      </c>
      <c r="Q70" s="17">
        <v>-4.1499999999999995</v>
      </c>
      <c r="R70" s="18">
        <f t="shared" si="17"/>
        <v>-4.1499999999999995</v>
      </c>
      <c r="S70" s="19">
        <f t="shared" si="18"/>
        <v>0</v>
      </c>
      <c r="T70" s="20">
        <f t="shared" si="19"/>
        <v>-4.1499999999999995</v>
      </c>
    </row>
    <row r="71" spans="1:23" ht="17.399999999999999">
      <c r="A71" s="9">
        <v>1</v>
      </c>
      <c r="B71" s="8">
        <v>219</v>
      </c>
      <c r="C71" s="8">
        <v>1128309198</v>
      </c>
      <c r="D71" s="42" t="s">
        <v>93</v>
      </c>
      <c r="E71" s="47"/>
      <c r="F71" s="10">
        <v>0</v>
      </c>
      <c r="G71" s="10">
        <v>0</v>
      </c>
      <c r="H71" s="50">
        <v>0</v>
      </c>
      <c r="I71" s="50">
        <v>0</v>
      </c>
      <c r="J71" s="50">
        <v>0</v>
      </c>
      <c r="K71" s="39" t="s">
        <v>30</v>
      </c>
      <c r="L71" s="11">
        <f t="shared" si="14"/>
        <v>0</v>
      </c>
      <c r="M71" s="10">
        <f t="shared" si="13"/>
        <v>0</v>
      </c>
      <c r="N71" s="10">
        <f t="shared" si="15"/>
        <v>0</v>
      </c>
      <c r="O71" s="10">
        <v>0</v>
      </c>
      <c r="P71" s="10">
        <f t="shared" si="16"/>
        <v>0</v>
      </c>
      <c r="Q71" s="17">
        <v>-4.1499999999999995</v>
      </c>
      <c r="R71" s="18">
        <f t="shared" si="17"/>
        <v>-4.1499999999999995</v>
      </c>
      <c r="S71" s="19">
        <f t="shared" si="18"/>
        <v>0</v>
      </c>
      <c r="T71" s="20">
        <f t="shared" si="19"/>
        <v>-4.1499999999999995</v>
      </c>
    </row>
    <row r="72" spans="1:23" ht="17.399999999999999">
      <c r="A72" s="70">
        <v>1</v>
      </c>
      <c r="B72" s="8">
        <v>241</v>
      </c>
      <c r="C72" s="8">
        <v>1136259669</v>
      </c>
      <c r="D72" s="42" t="s">
        <v>124</v>
      </c>
      <c r="F72" s="10">
        <v>1</v>
      </c>
      <c r="G72" s="10">
        <v>0</v>
      </c>
      <c r="H72" s="50">
        <v>0</v>
      </c>
      <c r="I72" s="50">
        <v>0</v>
      </c>
      <c r="J72" s="50">
        <v>0</v>
      </c>
      <c r="K72" s="14" t="s">
        <v>29</v>
      </c>
      <c r="L72" s="11">
        <f t="shared" si="14"/>
        <v>1</v>
      </c>
      <c r="M72" s="10">
        <f t="shared" si="13"/>
        <v>0</v>
      </c>
      <c r="N72" s="10">
        <f t="shared" si="15"/>
        <v>0</v>
      </c>
      <c r="O72" s="10">
        <v>0</v>
      </c>
      <c r="P72" s="10">
        <f t="shared" si="16"/>
        <v>1</v>
      </c>
      <c r="Q72" s="17">
        <v>-7.125</v>
      </c>
      <c r="R72" s="18">
        <f t="shared" si="17"/>
        <v>-6.125</v>
      </c>
      <c r="S72" s="19">
        <f t="shared" si="18"/>
        <v>1.875</v>
      </c>
      <c r="T72" s="20">
        <f t="shared" si="19"/>
        <v>-8</v>
      </c>
    </row>
    <row r="73" spans="1:23" ht="17.399999999999999">
      <c r="A73" s="9">
        <v>1</v>
      </c>
      <c r="B73" s="8">
        <v>192</v>
      </c>
      <c r="C73" s="8">
        <v>1725281178</v>
      </c>
      <c r="D73" s="42" t="s">
        <v>71</v>
      </c>
      <c r="E73" s="47"/>
      <c r="F73" s="10">
        <v>0</v>
      </c>
      <c r="G73" s="10">
        <v>0</v>
      </c>
      <c r="H73" s="50">
        <v>0</v>
      </c>
      <c r="I73" s="50">
        <v>0</v>
      </c>
      <c r="J73" s="50">
        <v>0</v>
      </c>
      <c r="K73" s="39" t="s">
        <v>30</v>
      </c>
      <c r="L73" s="11">
        <f t="shared" si="14"/>
        <v>0</v>
      </c>
      <c r="M73" s="10">
        <f t="shared" si="13"/>
        <v>0</v>
      </c>
      <c r="N73" s="10">
        <f t="shared" si="15"/>
        <v>0</v>
      </c>
      <c r="O73" s="10">
        <v>0</v>
      </c>
      <c r="P73" s="10">
        <f t="shared" si="16"/>
        <v>0</v>
      </c>
      <c r="Q73" s="17">
        <v>-7.125</v>
      </c>
      <c r="R73" s="18">
        <f t="shared" si="17"/>
        <v>-7.125</v>
      </c>
      <c r="S73" s="19">
        <f t="shared" si="18"/>
        <v>0</v>
      </c>
      <c r="T73" s="20">
        <f t="shared" si="19"/>
        <v>-7.125</v>
      </c>
    </row>
    <row r="74" spans="1:23" ht="17.399999999999999">
      <c r="A74" s="70">
        <v>1</v>
      </c>
      <c r="B74" s="8">
        <v>207</v>
      </c>
      <c r="C74" s="8">
        <v>721273803</v>
      </c>
      <c r="D74" s="42" t="s">
        <v>81</v>
      </c>
      <c r="E74" s="47"/>
      <c r="F74" s="10">
        <v>0</v>
      </c>
      <c r="G74" s="10">
        <v>0</v>
      </c>
      <c r="H74" s="50">
        <v>0</v>
      </c>
      <c r="I74" s="50">
        <v>0</v>
      </c>
      <c r="J74" s="50">
        <v>0</v>
      </c>
      <c r="K74" s="39" t="s">
        <v>30</v>
      </c>
      <c r="L74" s="11">
        <f t="shared" si="14"/>
        <v>0</v>
      </c>
      <c r="M74" s="10">
        <f t="shared" ref="M74:M83" si="20">G74*$Y$14</f>
        <v>0</v>
      </c>
      <c r="N74" s="10">
        <f t="shared" si="15"/>
        <v>0</v>
      </c>
      <c r="O74" s="10">
        <v>0</v>
      </c>
      <c r="P74" s="10">
        <f t="shared" si="16"/>
        <v>0</v>
      </c>
      <c r="Q74" s="17">
        <v>-7.125</v>
      </c>
      <c r="R74" s="18">
        <f t="shared" si="17"/>
        <v>-7.125</v>
      </c>
      <c r="S74" s="19">
        <f t="shared" si="18"/>
        <v>0</v>
      </c>
      <c r="T74" s="20">
        <f t="shared" si="19"/>
        <v>-7.125</v>
      </c>
    </row>
    <row r="75" spans="1:23" ht="17.399999999999999">
      <c r="A75" s="9">
        <v>1</v>
      </c>
      <c r="B75" s="8">
        <v>235</v>
      </c>
      <c r="C75" s="8">
        <v>988684940</v>
      </c>
      <c r="D75" s="42" t="s">
        <v>116</v>
      </c>
      <c r="F75" s="10">
        <v>0</v>
      </c>
      <c r="G75" s="10">
        <v>0</v>
      </c>
      <c r="H75" s="50">
        <v>0</v>
      </c>
      <c r="I75" s="50">
        <v>0</v>
      </c>
      <c r="J75" s="50">
        <v>0</v>
      </c>
      <c r="K75" s="39" t="s">
        <v>30</v>
      </c>
      <c r="L75" s="11">
        <f t="shared" si="14"/>
        <v>0</v>
      </c>
      <c r="M75" s="10">
        <f t="shared" si="20"/>
        <v>0</v>
      </c>
      <c r="N75" s="10">
        <f t="shared" si="15"/>
        <v>0</v>
      </c>
      <c r="O75" s="10">
        <v>0</v>
      </c>
      <c r="P75" s="10">
        <f t="shared" si="16"/>
        <v>0</v>
      </c>
      <c r="Q75" s="17">
        <v>-7.125</v>
      </c>
      <c r="R75" s="18">
        <f t="shared" si="17"/>
        <v>-7.125</v>
      </c>
      <c r="S75" s="19">
        <f t="shared" si="18"/>
        <v>0</v>
      </c>
      <c r="T75" s="20">
        <f t="shared" si="19"/>
        <v>-7.125</v>
      </c>
    </row>
    <row r="76" spans="1:23" ht="20.399999999999999">
      <c r="A76" s="70">
        <v>1</v>
      </c>
      <c r="B76" s="8">
        <v>220</v>
      </c>
      <c r="C76" s="8">
        <v>353335311</v>
      </c>
      <c r="D76" s="42" t="s">
        <v>94</v>
      </c>
      <c r="E76" s="44"/>
      <c r="F76" s="10">
        <v>0</v>
      </c>
      <c r="G76" s="10">
        <v>0</v>
      </c>
      <c r="H76" s="50">
        <v>0</v>
      </c>
      <c r="I76" s="50">
        <v>0</v>
      </c>
      <c r="J76" s="50">
        <v>0</v>
      </c>
      <c r="K76" s="39" t="s">
        <v>30</v>
      </c>
      <c r="L76" s="11">
        <f t="shared" si="14"/>
        <v>0</v>
      </c>
      <c r="M76" s="10">
        <f t="shared" si="20"/>
        <v>0</v>
      </c>
      <c r="N76" s="10">
        <f t="shared" si="15"/>
        <v>0</v>
      </c>
      <c r="O76" s="10">
        <v>0</v>
      </c>
      <c r="P76" s="10">
        <f t="shared" si="16"/>
        <v>0</v>
      </c>
      <c r="Q76" s="17">
        <v>-7.8937500000000043</v>
      </c>
      <c r="R76" s="18">
        <f t="shared" si="17"/>
        <v>-7.8937500000000043</v>
      </c>
      <c r="S76" s="19">
        <f t="shared" si="18"/>
        <v>0</v>
      </c>
      <c r="T76" s="20">
        <f t="shared" si="19"/>
        <v>-7.8937500000000043</v>
      </c>
    </row>
    <row r="77" spans="1:23" ht="17.399999999999999">
      <c r="A77" s="9">
        <v>1</v>
      </c>
      <c r="B77" s="8">
        <v>242</v>
      </c>
      <c r="C77" s="8">
        <v>1769984287</v>
      </c>
      <c r="D77" s="42" t="s">
        <v>132</v>
      </c>
      <c r="F77" s="10">
        <v>0</v>
      </c>
      <c r="G77" s="10">
        <v>0</v>
      </c>
      <c r="H77" s="50">
        <v>0</v>
      </c>
      <c r="I77" s="50">
        <v>0</v>
      </c>
      <c r="J77" s="50">
        <v>0</v>
      </c>
      <c r="K77" s="39" t="s">
        <v>30</v>
      </c>
      <c r="L77" s="11">
        <f t="shared" si="14"/>
        <v>0</v>
      </c>
      <c r="M77" s="10">
        <f t="shared" si="20"/>
        <v>0</v>
      </c>
      <c r="N77" s="10">
        <f t="shared" si="15"/>
        <v>0</v>
      </c>
      <c r="O77" s="10">
        <v>0</v>
      </c>
      <c r="P77" s="10">
        <f t="shared" si="16"/>
        <v>0</v>
      </c>
      <c r="Q77" s="17">
        <v>-7.8937500000000043</v>
      </c>
      <c r="R77" s="18">
        <f t="shared" si="17"/>
        <v>-7.8937500000000043</v>
      </c>
      <c r="S77" s="19">
        <f t="shared" si="18"/>
        <v>0</v>
      </c>
      <c r="T77" s="20">
        <f t="shared" si="19"/>
        <v>-7.8937500000000043</v>
      </c>
    </row>
    <row r="78" spans="1:23" ht="17.399999999999999">
      <c r="A78" s="70">
        <v>1</v>
      </c>
      <c r="B78" s="8">
        <v>141</v>
      </c>
      <c r="C78" s="8">
        <v>1190305158</v>
      </c>
      <c r="D78" s="42" t="s">
        <v>44</v>
      </c>
      <c r="E78" s="44"/>
      <c r="F78" s="10">
        <v>0</v>
      </c>
      <c r="G78" s="10">
        <v>0</v>
      </c>
      <c r="H78" s="50">
        <v>0</v>
      </c>
      <c r="I78" s="50">
        <v>0</v>
      </c>
      <c r="J78" s="50">
        <v>0</v>
      </c>
      <c r="K78" s="39" t="s">
        <v>30</v>
      </c>
      <c r="L78" s="11">
        <f t="shared" si="14"/>
        <v>0</v>
      </c>
      <c r="M78" s="10">
        <f t="shared" si="20"/>
        <v>0</v>
      </c>
      <c r="N78" s="10">
        <f t="shared" si="15"/>
        <v>0</v>
      </c>
      <c r="O78" s="10">
        <v>0</v>
      </c>
      <c r="P78" s="10">
        <f t="shared" si="16"/>
        <v>0</v>
      </c>
      <c r="Q78" s="17">
        <v>-7.8937500000000043</v>
      </c>
      <c r="R78" s="18">
        <f t="shared" si="17"/>
        <v>-7.8937500000000043</v>
      </c>
      <c r="S78" s="19">
        <f t="shared" si="18"/>
        <v>0</v>
      </c>
      <c r="T78" s="20">
        <f t="shared" si="19"/>
        <v>-7.8937500000000043</v>
      </c>
      <c r="U78" s="40"/>
      <c r="V78" s="40"/>
      <c r="W78" s="41"/>
    </row>
    <row r="79" spans="1:23" ht="17.399999999999999">
      <c r="A79" s="9">
        <v>1</v>
      </c>
      <c r="B79" s="8">
        <v>242</v>
      </c>
      <c r="C79" s="8">
        <v>250098915</v>
      </c>
      <c r="D79" s="42" t="s">
        <v>131</v>
      </c>
      <c r="F79" s="10">
        <v>0</v>
      </c>
      <c r="G79" s="10">
        <v>0</v>
      </c>
      <c r="H79" s="50">
        <v>0</v>
      </c>
      <c r="I79" s="50">
        <v>0</v>
      </c>
      <c r="J79" s="50">
        <v>0</v>
      </c>
      <c r="K79" s="39" t="s">
        <v>30</v>
      </c>
      <c r="L79" s="11">
        <f t="shared" si="14"/>
        <v>0</v>
      </c>
      <c r="M79" s="10">
        <f t="shared" si="20"/>
        <v>0</v>
      </c>
      <c r="N79" s="10">
        <f t="shared" si="15"/>
        <v>0</v>
      </c>
      <c r="O79" s="10">
        <v>0</v>
      </c>
      <c r="P79" s="10">
        <f t="shared" si="16"/>
        <v>0</v>
      </c>
      <c r="Q79" s="17">
        <v>-7.8937500000000043</v>
      </c>
      <c r="R79" s="18">
        <f t="shared" si="17"/>
        <v>-7.8937500000000043</v>
      </c>
      <c r="S79" s="19">
        <f t="shared" si="18"/>
        <v>0</v>
      </c>
      <c r="T79" s="20">
        <f t="shared" si="19"/>
        <v>-7.8937500000000043</v>
      </c>
    </row>
    <row r="80" spans="1:23" ht="17.399999999999999">
      <c r="A80" s="70">
        <v>1</v>
      </c>
      <c r="B80" s="8">
        <v>217</v>
      </c>
      <c r="C80" s="8">
        <v>331155825</v>
      </c>
      <c r="D80" s="46" t="s">
        <v>89</v>
      </c>
      <c r="E80" s="2"/>
      <c r="F80" s="10">
        <v>0</v>
      </c>
      <c r="G80" s="10">
        <v>0</v>
      </c>
      <c r="H80" s="50">
        <v>0</v>
      </c>
      <c r="I80" s="50">
        <v>0</v>
      </c>
      <c r="J80" s="50">
        <v>0</v>
      </c>
      <c r="K80" s="39" t="s">
        <v>30</v>
      </c>
      <c r="L80" s="11">
        <f t="shared" si="14"/>
        <v>0</v>
      </c>
      <c r="M80" s="10">
        <f t="shared" si="20"/>
        <v>0</v>
      </c>
      <c r="N80" s="10">
        <f t="shared" si="15"/>
        <v>0</v>
      </c>
      <c r="O80" s="10">
        <v>0</v>
      </c>
      <c r="P80" s="10">
        <f t="shared" si="16"/>
        <v>0</v>
      </c>
      <c r="Q80" s="17">
        <v>-16.90625</v>
      </c>
      <c r="R80" s="18">
        <f t="shared" si="17"/>
        <v>-16.90625</v>
      </c>
      <c r="S80" s="19">
        <f t="shared" si="18"/>
        <v>0</v>
      </c>
      <c r="T80" s="20">
        <f t="shared" si="19"/>
        <v>-16.90625</v>
      </c>
    </row>
    <row r="81" spans="1:20" ht="17.399999999999999">
      <c r="A81" s="9">
        <v>1</v>
      </c>
      <c r="B81" s="8">
        <v>218</v>
      </c>
      <c r="C81" s="8">
        <v>1804880865</v>
      </c>
      <c r="D81" s="42" t="s">
        <v>92</v>
      </c>
      <c r="E81" s="47"/>
      <c r="F81" s="10">
        <v>0</v>
      </c>
      <c r="G81" s="10">
        <v>0</v>
      </c>
      <c r="H81" s="50">
        <v>0</v>
      </c>
      <c r="I81" s="50">
        <v>0</v>
      </c>
      <c r="J81" s="50">
        <v>0</v>
      </c>
      <c r="K81" s="39" t="s">
        <v>30</v>
      </c>
      <c r="L81" s="11">
        <f t="shared" si="14"/>
        <v>0</v>
      </c>
      <c r="M81" s="10">
        <f t="shared" si="20"/>
        <v>0</v>
      </c>
      <c r="N81" s="10">
        <f t="shared" si="15"/>
        <v>0</v>
      </c>
      <c r="O81" s="10">
        <v>0</v>
      </c>
      <c r="P81" s="10">
        <f t="shared" si="16"/>
        <v>0</v>
      </c>
      <c r="Q81" s="17">
        <v>-16.90625</v>
      </c>
      <c r="R81" s="18">
        <f t="shared" si="17"/>
        <v>-16.90625</v>
      </c>
      <c r="S81" s="19">
        <f t="shared" si="18"/>
        <v>0</v>
      </c>
      <c r="T81" s="20">
        <f t="shared" si="19"/>
        <v>-16.90625</v>
      </c>
    </row>
    <row r="82" spans="1:20" ht="17.399999999999999">
      <c r="A82" s="70">
        <v>1</v>
      </c>
      <c r="B82" s="8">
        <v>203</v>
      </c>
      <c r="C82" s="8">
        <v>382695365</v>
      </c>
      <c r="D82" s="42" t="s">
        <v>78</v>
      </c>
      <c r="E82" s="47"/>
      <c r="F82" s="10">
        <v>0</v>
      </c>
      <c r="G82" s="10">
        <v>0</v>
      </c>
      <c r="H82" s="50">
        <v>0</v>
      </c>
      <c r="I82" s="50">
        <v>0</v>
      </c>
      <c r="J82" s="50">
        <v>0</v>
      </c>
      <c r="K82" s="39" t="s">
        <v>30</v>
      </c>
      <c r="L82" s="11">
        <f t="shared" si="14"/>
        <v>0</v>
      </c>
      <c r="M82" s="10">
        <f t="shared" si="20"/>
        <v>0</v>
      </c>
      <c r="N82" s="10">
        <f t="shared" si="15"/>
        <v>0</v>
      </c>
      <c r="O82" s="10">
        <v>0</v>
      </c>
      <c r="P82" s="10">
        <f t="shared" si="16"/>
        <v>0</v>
      </c>
      <c r="Q82" s="17">
        <v>-16.90625</v>
      </c>
      <c r="R82" s="18">
        <f t="shared" si="17"/>
        <v>-16.90625</v>
      </c>
      <c r="S82" s="19">
        <f t="shared" si="18"/>
        <v>0</v>
      </c>
      <c r="T82" s="20">
        <f t="shared" si="19"/>
        <v>-16.90625</v>
      </c>
    </row>
    <row r="83" spans="1:20" ht="17.399999999999999">
      <c r="A83" s="9">
        <v>1</v>
      </c>
      <c r="B83" s="8">
        <v>233</v>
      </c>
      <c r="C83" s="8">
        <v>1963965829</v>
      </c>
      <c r="D83" s="42" t="s">
        <v>114</v>
      </c>
      <c r="F83" s="10">
        <v>0</v>
      </c>
      <c r="G83" s="10">
        <v>0</v>
      </c>
      <c r="H83" s="50">
        <v>0</v>
      </c>
      <c r="I83" s="50">
        <v>0</v>
      </c>
      <c r="J83" s="50">
        <v>0</v>
      </c>
      <c r="K83" s="39" t="s">
        <v>30</v>
      </c>
      <c r="L83" s="11">
        <f t="shared" si="14"/>
        <v>0</v>
      </c>
      <c r="M83" s="10">
        <f t="shared" si="20"/>
        <v>0</v>
      </c>
      <c r="N83" s="10">
        <f t="shared" si="15"/>
        <v>0</v>
      </c>
      <c r="O83" s="10">
        <v>0</v>
      </c>
      <c r="P83" s="10">
        <f t="shared" si="16"/>
        <v>0</v>
      </c>
      <c r="Q83" s="17">
        <v>-16.90625</v>
      </c>
      <c r="R83" s="18">
        <f t="shared" si="17"/>
        <v>-16.90625</v>
      </c>
      <c r="S83" s="19">
        <f t="shared" si="18"/>
        <v>0</v>
      </c>
      <c r="T83" s="20">
        <f t="shared" si="19"/>
        <v>-16.90625</v>
      </c>
    </row>
  </sheetData>
  <autoFilter ref="A4:W83" xr:uid="{28593B8F-03E7-4BE1-B554-FC0AADC431B2}">
    <filterColumn colId="0">
      <filters>
        <filter val="1"/>
      </filters>
    </filterColumn>
    <sortState xmlns:xlrd2="http://schemas.microsoft.com/office/spreadsheetml/2017/richdata2" ref="A5:W83">
      <sortCondition descending="1" ref="R4:R83"/>
    </sortState>
  </autoFilter>
  <mergeCells count="5">
    <mergeCell ref="B1:T1"/>
    <mergeCell ref="B2:T2"/>
    <mergeCell ref="B3:E3"/>
    <mergeCell ref="H3:J3"/>
    <mergeCell ref="K3:T3"/>
  </mergeCells>
  <conditionalFormatting sqref="O5:O82 F5:J83">
    <cfRule type="cellIs" dxfId="5" priority="2" operator="lessThan">
      <formula>1</formula>
    </cfRule>
  </conditionalFormatting>
  <conditionalFormatting sqref="O83">
    <cfRule type="cellIs" dxfId="4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6EFA-848F-444F-8713-E5ED4DF655E9}">
  <sheetPr filterMode="1"/>
  <dimension ref="A1:AC83"/>
  <sheetViews>
    <sheetView topLeftCell="A2" zoomScale="85" zoomScaleNormal="85" workbookViewId="0">
      <selection activeCell="T5" sqref="T5:T83"/>
    </sheetView>
  </sheetViews>
  <sheetFormatPr defaultColWidth="9" defaultRowHeight="14.4"/>
  <cols>
    <col min="1" max="1" width="6.44140625" customWidth="1"/>
    <col min="2" max="2" width="6.6640625" style="4" customWidth="1"/>
    <col min="3" max="3" width="19.77734375" style="5" customWidth="1"/>
    <col min="4" max="4" width="21.21875" style="5" customWidth="1"/>
    <col min="5" max="5" width="18.33203125" style="4" customWidth="1"/>
    <col min="6" max="6" width="13.109375" style="4" customWidth="1"/>
    <col min="7" max="7" width="13.77734375" style="4" customWidth="1"/>
    <col min="8" max="8" width="5.77734375" style="4" customWidth="1"/>
    <col min="9" max="9" width="5.88671875" style="4" customWidth="1"/>
    <col min="10" max="10" width="5.77734375" style="4" customWidth="1"/>
    <col min="11" max="11" width="20" style="4" customWidth="1"/>
    <col min="12" max="12" width="9" style="4" customWidth="1"/>
    <col min="13" max="13" width="12.109375" style="4" customWidth="1"/>
    <col min="14" max="14" width="11.33203125" style="4" customWidth="1"/>
    <col min="15" max="15" width="10" style="4" customWidth="1"/>
    <col min="16" max="16" width="9" style="4" customWidth="1"/>
    <col min="17" max="17" width="12.88671875" style="4" customWidth="1"/>
    <col min="18" max="18" width="12" style="4" customWidth="1"/>
    <col min="19" max="19" width="9.21875" style="4" customWidth="1"/>
    <col min="20" max="20" width="12.6640625" style="4" customWidth="1"/>
    <col min="21" max="23" width="11.109375" style="21" customWidth="1"/>
    <col min="24" max="24" width="22.44140625" customWidth="1"/>
  </cols>
  <sheetData>
    <row r="1" spans="1:29" ht="36.6" customHeight="1">
      <c r="B1" s="99" t="str">
        <f>CONCATENATE("157区 活动中心",Y15,"年",Y16,"月",Y17,"日","分包贡献明细"," 统计：一二三")</f>
        <v>157区 活动中心2021年12月25日分包贡献明细 统计：一二三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62"/>
      <c r="V1" s="62"/>
      <c r="W1" s="62"/>
      <c r="X1" s="22" t="s">
        <v>12</v>
      </c>
      <c r="Y1" s="5">
        <v>63</v>
      </c>
      <c r="Z1" s="3"/>
      <c r="AA1" s="3"/>
      <c r="AB1" s="3"/>
      <c r="AC1" s="3"/>
    </row>
    <row r="2" spans="1:29" ht="123" customHeight="1">
      <c r="B2" s="101" t="s">
        <v>126</v>
      </c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63"/>
      <c r="V2" s="63"/>
      <c r="W2" s="63"/>
      <c r="X2" s="23" t="s">
        <v>0</v>
      </c>
      <c r="Y2" s="24" t="s">
        <v>13</v>
      </c>
      <c r="Z2" s="25" t="s">
        <v>14</v>
      </c>
      <c r="AA2" s="25" t="s">
        <v>15</v>
      </c>
      <c r="AB2" s="25" t="s">
        <v>56</v>
      </c>
      <c r="AC2" s="26" t="s">
        <v>16</v>
      </c>
    </row>
    <row r="3" spans="1:29" ht="20.399999999999999">
      <c r="B3" s="104" t="s">
        <v>20</v>
      </c>
      <c r="C3" s="104"/>
      <c r="D3" s="104"/>
      <c r="E3" s="104"/>
      <c r="F3" s="64" t="s">
        <v>17</v>
      </c>
      <c r="G3" s="65" t="s">
        <v>39</v>
      </c>
      <c r="H3" s="105" t="s">
        <v>99</v>
      </c>
      <c r="I3" s="105"/>
      <c r="J3" s="105"/>
      <c r="K3" s="106" t="s">
        <v>21</v>
      </c>
      <c r="L3" s="107"/>
      <c r="M3" s="107"/>
      <c r="N3" s="107"/>
      <c r="O3" s="107"/>
      <c r="P3" s="107"/>
      <c r="Q3" s="107"/>
      <c r="R3" s="107"/>
      <c r="S3" s="107"/>
      <c r="T3" s="108"/>
      <c r="U3" s="61"/>
      <c r="V3" s="61"/>
      <c r="W3" s="61"/>
      <c r="X3" s="27" t="s">
        <v>22</v>
      </c>
      <c r="Y3" s="28">
        <f>AC3/$Y$13</f>
        <v>11.875</v>
      </c>
      <c r="Z3" s="23">
        <v>5</v>
      </c>
      <c r="AA3" s="23">
        <v>7</v>
      </c>
      <c r="AB3" s="23">
        <v>20</v>
      </c>
      <c r="AC3" s="23">
        <v>1900</v>
      </c>
    </row>
    <row r="4" spans="1:29" ht="40.799999999999997">
      <c r="A4" s="97" t="s">
        <v>117</v>
      </c>
      <c r="B4" s="97" t="s">
        <v>2</v>
      </c>
      <c r="C4" s="60" t="s">
        <v>23</v>
      </c>
      <c r="D4" s="97" t="s">
        <v>3</v>
      </c>
      <c r="E4" s="97" t="s">
        <v>4</v>
      </c>
      <c r="F4" s="6" t="s">
        <v>40</v>
      </c>
      <c r="G4" s="7" t="s">
        <v>91</v>
      </c>
      <c r="H4" s="7" t="s">
        <v>100</v>
      </c>
      <c r="I4" s="7" t="s">
        <v>101</v>
      </c>
      <c r="J4" s="7" t="s">
        <v>102</v>
      </c>
      <c r="K4" s="6" t="s">
        <v>5</v>
      </c>
      <c r="L4" s="6" t="s">
        <v>24</v>
      </c>
      <c r="M4" s="7" t="s">
        <v>41</v>
      </c>
      <c r="N4" s="7" t="s">
        <v>104</v>
      </c>
      <c r="O4" s="7" t="s">
        <v>45</v>
      </c>
      <c r="P4" s="15" t="s">
        <v>25</v>
      </c>
      <c r="Q4" s="60" t="s">
        <v>26</v>
      </c>
      <c r="R4" s="16" t="s">
        <v>7</v>
      </c>
      <c r="S4" s="60" t="s">
        <v>6</v>
      </c>
      <c r="T4" s="60" t="s">
        <v>27</v>
      </c>
      <c r="U4" s="60" t="s">
        <v>18</v>
      </c>
      <c r="V4" s="60" t="s">
        <v>19</v>
      </c>
      <c r="W4" s="60" t="s">
        <v>1</v>
      </c>
      <c r="X4" s="29" t="s">
        <v>28</v>
      </c>
      <c r="Y4" s="28">
        <f>AC4/$Y$13</f>
        <v>9.6875</v>
      </c>
      <c r="Z4" s="23">
        <v>4</v>
      </c>
      <c r="AA4" s="23">
        <v>6</v>
      </c>
      <c r="AB4" s="23">
        <v>15</v>
      </c>
      <c r="AC4" s="23">
        <v>1550</v>
      </c>
    </row>
    <row r="5" spans="1:29" s="1" customFormat="1" ht="17.399999999999999">
      <c r="A5" s="9">
        <v>1</v>
      </c>
      <c r="B5" s="9">
        <v>231</v>
      </c>
      <c r="C5" s="8">
        <v>1725915293</v>
      </c>
      <c r="D5" s="42" t="s">
        <v>112</v>
      </c>
      <c r="E5" s="4"/>
      <c r="F5" s="10">
        <v>4</v>
      </c>
      <c r="G5" s="10">
        <v>0</v>
      </c>
      <c r="H5" s="50">
        <v>0</v>
      </c>
      <c r="I5" s="50">
        <v>0</v>
      </c>
      <c r="J5" s="50">
        <v>0</v>
      </c>
      <c r="K5" s="12" t="s">
        <v>51</v>
      </c>
      <c r="L5" s="11">
        <f t="shared" ref="L5:L36" si="0">F5+IF(F5&gt;2,(F5-2)*1,0)</f>
        <v>6</v>
      </c>
      <c r="M5" s="10">
        <f t="shared" ref="M5:M22" si="1">G5*$Y$14</f>
        <v>0</v>
      </c>
      <c r="N5" s="10">
        <f t="shared" ref="N5:N36" si="2">SUM(H5:J5)*$Y$18</f>
        <v>0</v>
      </c>
      <c r="O5" s="10">
        <v>0</v>
      </c>
      <c r="P5" s="10">
        <f t="shared" ref="P5:P36" si="3">SUM(M5+L5+O5+N5)</f>
        <v>6</v>
      </c>
      <c r="Q5" s="17">
        <v>16.455016129032238</v>
      </c>
      <c r="R5" s="18">
        <f t="shared" ref="R5:R36" si="4">P5+Q5</f>
        <v>22.455016129032238</v>
      </c>
      <c r="S5" s="19">
        <f t="shared" ref="S5:S36" si="5">VLOOKUP(K5,$X$3:$Y$10,2,FALSE)</f>
        <v>8.125</v>
      </c>
      <c r="T5" s="20">
        <f t="shared" ref="T5:T36" si="6">R5-S5</f>
        <v>14.330016129032238</v>
      </c>
      <c r="U5" s="4"/>
      <c r="V5" s="4"/>
      <c r="W5" s="4"/>
      <c r="X5" s="14" t="s">
        <v>29</v>
      </c>
      <c r="Y5" s="28">
        <f>AC5/$Y$13/4</f>
        <v>1.875</v>
      </c>
      <c r="Z5" s="30">
        <v>3</v>
      </c>
      <c r="AA5" s="30">
        <v>5</v>
      </c>
      <c r="AB5" s="30">
        <v>10</v>
      </c>
      <c r="AC5" s="30">
        <v>1200</v>
      </c>
    </row>
    <row r="6" spans="1:29" s="1" customFormat="1" ht="20.399999999999999" hidden="1">
      <c r="A6" s="9">
        <v>0</v>
      </c>
      <c r="B6" s="8">
        <v>229</v>
      </c>
      <c r="C6" s="8">
        <v>1598972736</v>
      </c>
      <c r="D6" s="42" t="s">
        <v>110</v>
      </c>
      <c r="E6" s="42"/>
      <c r="F6" s="10">
        <v>0</v>
      </c>
      <c r="G6" s="10">
        <v>0</v>
      </c>
      <c r="H6" s="50">
        <v>0</v>
      </c>
      <c r="I6" s="50">
        <v>0</v>
      </c>
      <c r="J6" s="50">
        <v>0</v>
      </c>
      <c r="K6" s="39" t="s">
        <v>30</v>
      </c>
      <c r="L6" s="11">
        <f t="shared" si="0"/>
        <v>0</v>
      </c>
      <c r="M6" s="10">
        <f t="shared" si="1"/>
        <v>0</v>
      </c>
      <c r="N6" s="10">
        <f t="shared" si="2"/>
        <v>0</v>
      </c>
      <c r="O6" s="10">
        <v>0</v>
      </c>
      <c r="P6" s="10">
        <f t="shared" si="3"/>
        <v>0</v>
      </c>
      <c r="Q6" s="17">
        <v>10.462103174603158</v>
      </c>
      <c r="R6" s="18">
        <f t="shared" si="4"/>
        <v>10.462103174603158</v>
      </c>
      <c r="S6" s="19">
        <f t="shared" si="5"/>
        <v>0</v>
      </c>
      <c r="T6" s="20">
        <f t="shared" si="6"/>
        <v>10.462103174603158</v>
      </c>
      <c r="U6" s="4"/>
      <c r="V6" s="4"/>
      <c r="W6" s="4"/>
      <c r="X6" s="14"/>
      <c r="Y6" s="28"/>
      <c r="Z6" s="30"/>
      <c r="AA6" s="30"/>
      <c r="AB6" s="30"/>
      <c r="AC6" s="30"/>
    </row>
    <row r="7" spans="1:29" s="1" customFormat="1" ht="17.399999999999999">
      <c r="A7" s="9">
        <v>1</v>
      </c>
      <c r="B7" s="8">
        <v>208</v>
      </c>
      <c r="C7" s="8">
        <v>92129464</v>
      </c>
      <c r="D7" s="42" t="s">
        <v>148</v>
      </c>
      <c r="E7" s="42" t="s">
        <v>82</v>
      </c>
      <c r="F7" s="10">
        <v>4</v>
      </c>
      <c r="G7" s="10">
        <v>0</v>
      </c>
      <c r="H7" s="50">
        <v>0</v>
      </c>
      <c r="I7" s="50">
        <v>0</v>
      </c>
      <c r="J7" s="50">
        <v>0</v>
      </c>
      <c r="K7" s="12" t="s">
        <v>51</v>
      </c>
      <c r="L7" s="11">
        <f t="shared" si="0"/>
        <v>6</v>
      </c>
      <c r="M7" s="10">
        <f t="shared" si="1"/>
        <v>0</v>
      </c>
      <c r="N7" s="10">
        <f t="shared" si="2"/>
        <v>0</v>
      </c>
      <c r="O7" s="10">
        <v>0</v>
      </c>
      <c r="P7" s="10">
        <f t="shared" si="3"/>
        <v>6</v>
      </c>
      <c r="Q7" s="17">
        <v>15.681249999999995</v>
      </c>
      <c r="R7" s="18">
        <f t="shared" si="4"/>
        <v>21.681249999999995</v>
      </c>
      <c r="S7" s="19">
        <f t="shared" si="5"/>
        <v>8.125</v>
      </c>
      <c r="T7" s="20">
        <f t="shared" si="6"/>
        <v>13.556249999999995</v>
      </c>
      <c r="U7" s="4"/>
      <c r="V7" s="4"/>
      <c r="W7" s="4"/>
      <c r="X7" s="12" t="s">
        <v>51</v>
      </c>
      <c r="Y7" s="28">
        <f>AC7/$Y$13</f>
        <v>8.125</v>
      </c>
      <c r="Z7" s="30">
        <v>4</v>
      </c>
      <c r="AA7" s="30">
        <v>5</v>
      </c>
      <c r="AB7" s="30"/>
      <c r="AC7" s="30">
        <v>1300</v>
      </c>
    </row>
    <row r="8" spans="1:29" s="1" customFormat="1" ht="17.399999999999999">
      <c r="A8" s="9">
        <v>1</v>
      </c>
      <c r="B8" s="8">
        <v>189</v>
      </c>
      <c r="C8" s="8">
        <v>522812489</v>
      </c>
      <c r="D8" s="42" t="s">
        <v>70</v>
      </c>
      <c r="E8" s="47"/>
      <c r="F8" s="10">
        <v>4</v>
      </c>
      <c r="G8" s="10">
        <v>0</v>
      </c>
      <c r="H8" s="50">
        <v>0</v>
      </c>
      <c r="I8" s="50">
        <v>0</v>
      </c>
      <c r="J8" s="50">
        <v>0</v>
      </c>
      <c r="K8" s="12" t="s">
        <v>51</v>
      </c>
      <c r="L8" s="11">
        <f t="shared" si="0"/>
        <v>6</v>
      </c>
      <c r="M8" s="10">
        <f t="shared" si="1"/>
        <v>0</v>
      </c>
      <c r="N8" s="10">
        <f t="shared" si="2"/>
        <v>0</v>
      </c>
      <c r="O8" s="10">
        <v>0</v>
      </c>
      <c r="P8" s="10">
        <f t="shared" si="3"/>
        <v>6</v>
      </c>
      <c r="Q8" s="17">
        <v>15.237500000000011</v>
      </c>
      <c r="R8" s="18">
        <f t="shared" si="4"/>
        <v>21.237500000000011</v>
      </c>
      <c r="S8" s="19">
        <f t="shared" si="5"/>
        <v>8.125</v>
      </c>
      <c r="T8" s="20">
        <f t="shared" si="6"/>
        <v>13.112500000000011</v>
      </c>
      <c r="U8" s="4"/>
      <c r="V8" s="4"/>
      <c r="W8" s="4"/>
      <c r="X8" s="13" t="s">
        <v>52</v>
      </c>
      <c r="Y8" s="28">
        <f>AC8/$Y$13</f>
        <v>6.25</v>
      </c>
      <c r="Z8" s="30">
        <v>3</v>
      </c>
      <c r="AA8" s="30">
        <v>4</v>
      </c>
      <c r="AB8" s="30"/>
      <c r="AC8" s="30">
        <v>1000</v>
      </c>
    </row>
    <row r="9" spans="1:29" s="1" customFormat="1" ht="17.399999999999999">
      <c r="A9" s="9">
        <v>1</v>
      </c>
      <c r="B9" s="8">
        <v>184</v>
      </c>
      <c r="C9" s="8">
        <v>1814130074</v>
      </c>
      <c r="D9" s="42" t="s">
        <v>147</v>
      </c>
      <c r="E9" s="42" t="s">
        <v>67</v>
      </c>
      <c r="F9" s="10">
        <v>4</v>
      </c>
      <c r="G9" s="10">
        <v>0</v>
      </c>
      <c r="H9" s="50">
        <v>0</v>
      </c>
      <c r="I9" s="50">
        <v>0</v>
      </c>
      <c r="J9" s="50">
        <v>0</v>
      </c>
      <c r="K9" s="12" t="s">
        <v>51</v>
      </c>
      <c r="L9" s="11">
        <f t="shared" si="0"/>
        <v>6</v>
      </c>
      <c r="M9" s="10">
        <f t="shared" si="1"/>
        <v>0</v>
      </c>
      <c r="N9" s="10">
        <f t="shared" si="2"/>
        <v>0</v>
      </c>
      <c r="O9" s="10">
        <v>0</v>
      </c>
      <c r="P9" s="10">
        <f t="shared" si="3"/>
        <v>6</v>
      </c>
      <c r="Q9" s="17">
        <v>15.168750000000014</v>
      </c>
      <c r="R9" s="18">
        <f t="shared" si="4"/>
        <v>21.168750000000014</v>
      </c>
      <c r="S9" s="19">
        <f t="shared" si="5"/>
        <v>8.125</v>
      </c>
      <c r="T9" s="20">
        <f t="shared" si="6"/>
        <v>13.043750000000014</v>
      </c>
      <c r="U9" s="4"/>
      <c r="V9" s="4"/>
      <c r="W9" s="4"/>
      <c r="X9" s="14" t="s">
        <v>53</v>
      </c>
      <c r="Y9" s="28">
        <f>AC9/$Y$13/4</f>
        <v>1.09375</v>
      </c>
      <c r="Z9" s="30">
        <v>2</v>
      </c>
      <c r="AA9" s="30">
        <v>3</v>
      </c>
      <c r="AB9" s="30"/>
      <c r="AC9" s="30">
        <v>700</v>
      </c>
    </row>
    <row r="10" spans="1:29" s="1" customFormat="1" ht="17.399999999999999" hidden="1">
      <c r="A10" s="9">
        <v>0</v>
      </c>
      <c r="B10" s="8">
        <v>187</v>
      </c>
      <c r="C10" s="8">
        <v>1241038267</v>
      </c>
      <c r="D10" s="42" t="s">
        <v>69</v>
      </c>
      <c r="E10" s="47"/>
      <c r="F10" s="10">
        <v>0</v>
      </c>
      <c r="G10" s="10">
        <v>0</v>
      </c>
      <c r="H10" s="50">
        <v>0</v>
      </c>
      <c r="I10" s="50">
        <v>0</v>
      </c>
      <c r="J10" s="50">
        <v>0</v>
      </c>
      <c r="K10" s="39" t="s">
        <v>30</v>
      </c>
      <c r="L10" s="11">
        <f t="shared" si="0"/>
        <v>0</v>
      </c>
      <c r="M10" s="10">
        <f t="shared" si="1"/>
        <v>0</v>
      </c>
      <c r="N10" s="10">
        <f t="shared" si="2"/>
        <v>0</v>
      </c>
      <c r="O10" s="10">
        <v>0</v>
      </c>
      <c r="P10" s="10">
        <f t="shared" si="3"/>
        <v>0</v>
      </c>
      <c r="Q10" s="17">
        <v>9.5937499999999964</v>
      </c>
      <c r="R10" s="18">
        <f t="shared" si="4"/>
        <v>9.5937499999999964</v>
      </c>
      <c r="S10" s="19">
        <f t="shared" si="5"/>
        <v>0</v>
      </c>
      <c r="T10" s="20">
        <f t="shared" si="6"/>
        <v>9.5937499999999964</v>
      </c>
      <c r="U10" s="4"/>
      <c r="V10" s="4"/>
      <c r="W10" s="4"/>
      <c r="X10" s="33" t="s">
        <v>30</v>
      </c>
      <c r="Y10" s="2">
        <v>0</v>
      </c>
      <c r="Z10" s="2"/>
      <c r="AA10" s="2"/>
      <c r="AB10" s="2"/>
      <c r="AC10" s="2"/>
    </row>
    <row r="11" spans="1:29" s="1" customFormat="1" ht="17.399999999999999">
      <c r="A11" s="9">
        <v>1</v>
      </c>
      <c r="B11" s="8">
        <v>238</v>
      </c>
      <c r="C11" s="8">
        <v>108179057</v>
      </c>
      <c r="D11" s="42" t="s">
        <v>120</v>
      </c>
      <c r="E11" s="4"/>
      <c r="F11" s="10">
        <v>4</v>
      </c>
      <c r="G11" s="10">
        <v>0</v>
      </c>
      <c r="H11" s="50">
        <v>0</v>
      </c>
      <c r="I11" s="50">
        <v>0</v>
      </c>
      <c r="J11" s="50">
        <v>0</v>
      </c>
      <c r="K11" s="12" t="s">
        <v>51</v>
      </c>
      <c r="L11" s="11">
        <f t="shared" si="0"/>
        <v>6</v>
      </c>
      <c r="M11" s="10">
        <f t="shared" si="1"/>
        <v>0</v>
      </c>
      <c r="N11" s="10">
        <f t="shared" si="2"/>
        <v>0</v>
      </c>
      <c r="O11" s="10">
        <v>0</v>
      </c>
      <c r="P11" s="10">
        <f t="shared" si="3"/>
        <v>6</v>
      </c>
      <c r="Q11" s="17">
        <v>14.53175000000002</v>
      </c>
      <c r="R11" s="18">
        <f t="shared" si="4"/>
        <v>20.53175000000002</v>
      </c>
      <c r="S11" s="19">
        <f t="shared" si="5"/>
        <v>8.125</v>
      </c>
      <c r="T11" s="20">
        <f t="shared" si="6"/>
        <v>12.40675000000002</v>
      </c>
      <c r="U11" s="4"/>
      <c r="V11" s="4"/>
      <c r="W11" s="4"/>
      <c r="X11" s="34"/>
    </row>
    <row r="12" spans="1:29" s="1" customFormat="1" ht="20.399999999999999">
      <c r="A12" s="9">
        <v>1</v>
      </c>
      <c r="B12" s="8">
        <v>221</v>
      </c>
      <c r="C12" s="8">
        <v>790956883</v>
      </c>
      <c r="D12" s="42" t="s">
        <v>96</v>
      </c>
      <c r="E12" s="42" t="s">
        <v>95</v>
      </c>
      <c r="F12" s="10">
        <v>4</v>
      </c>
      <c r="G12" s="10">
        <v>0</v>
      </c>
      <c r="H12" s="50">
        <v>0</v>
      </c>
      <c r="I12" s="50">
        <v>0</v>
      </c>
      <c r="J12" s="50">
        <v>0</v>
      </c>
      <c r="K12" s="12" t="s">
        <v>51</v>
      </c>
      <c r="L12" s="11">
        <f t="shared" si="0"/>
        <v>6</v>
      </c>
      <c r="M12" s="10">
        <f t="shared" si="1"/>
        <v>0</v>
      </c>
      <c r="N12" s="10">
        <f t="shared" si="2"/>
        <v>0</v>
      </c>
      <c r="O12" s="10">
        <v>0</v>
      </c>
      <c r="P12" s="10">
        <f t="shared" si="3"/>
        <v>6</v>
      </c>
      <c r="Q12" s="17">
        <v>14.481249999999992</v>
      </c>
      <c r="R12" s="18">
        <f t="shared" si="4"/>
        <v>20.481249999999992</v>
      </c>
      <c r="S12" s="19">
        <f t="shared" si="5"/>
        <v>8.125</v>
      </c>
      <c r="T12" s="20">
        <f t="shared" si="6"/>
        <v>12.356249999999992</v>
      </c>
      <c r="U12" s="4"/>
      <c r="V12" s="4"/>
      <c r="W12" s="4"/>
      <c r="X12" s="35" t="s">
        <v>32</v>
      </c>
      <c r="Y12" s="1">
        <v>15000</v>
      </c>
    </row>
    <row r="13" spans="1:29" s="2" customFormat="1" ht="17.399999999999999">
      <c r="A13" s="9">
        <v>1</v>
      </c>
      <c r="B13" s="8">
        <v>254</v>
      </c>
      <c r="C13" s="8">
        <v>674501489</v>
      </c>
      <c r="D13" s="42" t="s">
        <v>154</v>
      </c>
      <c r="E13" s="4"/>
      <c r="F13" s="10">
        <v>3</v>
      </c>
      <c r="G13" s="10">
        <v>0</v>
      </c>
      <c r="H13" s="50">
        <v>0</v>
      </c>
      <c r="I13" s="50">
        <v>0</v>
      </c>
      <c r="J13" s="50">
        <v>0</v>
      </c>
      <c r="K13" s="12" t="s">
        <v>51</v>
      </c>
      <c r="L13" s="11">
        <f t="shared" si="0"/>
        <v>4</v>
      </c>
      <c r="M13" s="10">
        <f t="shared" si="1"/>
        <v>0</v>
      </c>
      <c r="N13" s="10">
        <f t="shared" si="2"/>
        <v>0</v>
      </c>
      <c r="O13" s="10">
        <v>0</v>
      </c>
      <c r="P13" s="10">
        <f t="shared" si="3"/>
        <v>4</v>
      </c>
      <c r="Q13" s="17">
        <v>15.963321428571419</v>
      </c>
      <c r="R13" s="18">
        <f t="shared" si="4"/>
        <v>19.963321428571419</v>
      </c>
      <c r="S13" s="19">
        <f t="shared" si="5"/>
        <v>8.125</v>
      </c>
      <c r="T13" s="20">
        <f t="shared" si="6"/>
        <v>11.838321428571419</v>
      </c>
      <c r="V13" s="4"/>
      <c r="W13" s="4"/>
      <c r="X13" s="36" t="s">
        <v>33</v>
      </c>
      <c r="Y13" s="37">
        <v>160</v>
      </c>
      <c r="Z13" s="1"/>
      <c r="AA13" s="1"/>
      <c r="AB13" s="1"/>
      <c r="AC13" s="1"/>
    </row>
    <row r="14" spans="1:29" s="2" customFormat="1" ht="17.399999999999999">
      <c r="A14" s="9">
        <v>1</v>
      </c>
      <c r="B14" s="8">
        <v>253</v>
      </c>
      <c r="C14" s="8">
        <v>18663026649</v>
      </c>
      <c r="D14" s="42" t="s">
        <v>153</v>
      </c>
      <c r="E14" s="4"/>
      <c r="F14" s="10">
        <v>4</v>
      </c>
      <c r="G14" s="10">
        <v>0</v>
      </c>
      <c r="H14" s="50">
        <v>0</v>
      </c>
      <c r="I14" s="50">
        <v>0</v>
      </c>
      <c r="J14" s="50">
        <v>0</v>
      </c>
      <c r="K14" s="13" t="s">
        <v>52</v>
      </c>
      <c r="L14" s="11">
        <f t="shared" si="0"/>
        <v>6</v>
      </c>
      <c r="M14" s="10">
        <f t="shared" si="1"/>
        <v>0</v>
      </c>
      <c r="N14" s="10">
        <f t="shared" si="2"/>
        <v>0</v>
      </c>
      <c r="O14" s="10">
        <v>0</v>
      </c>
      <c r="P14" s="10">
        <f t="shared" si="3"/>
        <v>6</v>
      </c>
      <c r="Q14" s="17">
        <v>13.843749999999998</v>
      </c>
      <c r="R14" s="18">
        <f t="shared" si="4"/>
        <v>19.84375</v>
      </c>
      <c r="S14" s="19">
        <f t="shared" si="5"/>
        <v>6.25</v>
      </c>
      <c r="T14" s="20">
        <f t="shared" si="6"/>
        <v>13.59375</v>
      </c>
      <c r="V14" s="4"/>
      <c r="W14" s="4"/>
      <c r="X14" s="38" t="s">
        <v>42</v>
      </c>
      <c r="Y14" s="37">
        <v>1.2</v>
      </c>
      <c r="Z14" s="1"/>
      <c r="AA14" s="1"/>
      <c r="AB14" s="1"/>
      <c r="AC14" s="1"/>
    </row>
    <row r="15" spans="1:29" s="2" customFormat="1" ht="17.399999999999999">
      <c r="A15" s="9">
        <v>1</v>
      </c>
      <c r="B15" s="8">
        <v>245</v>
      </c>
      <c r="C15" s="8">
        <v>603472651</v>
      </c>
      <c r="D15" s="42" t="s">
        <v>140</v>
      </c>
      <c r="E15" s="4"/>
      <c r="F15" s="10">
        <v>4</v>
      </c>
      <c r="G15" s="10">
        <v>0</v>
      </c>
      <c r="H15" s="50">
        <v>0</v>
      </c>
      <c r="I15" s="50">
        <v>0</v>
      </c>
      <c r="J15" s="50">
        <v>0</v>
      </c>
      <c r="K15" s="13" t="s">
        <v>52</v>
      </c>
      <c r="L15" s="11">
        <f t="shared" si="0"/>
        <v>6</v>
      </c>
      <c r="M15" s="10">
        <f t="shared" si="1"/>
        <v>0</v>
      </c>
      <c r="N15" s="10">
        <f t="shared" si="2"/>
        <v>0</v>
      </c>
      <c r="O15" s="10">
        <v>0</v>
      </c>
      <c r="P15" s="10">
        <f t="shared" si="3"/>
        <v>6</v>
      </c>
      <c r="Q15" s="17">
        <v>13.812701612903208</v>
      </c>
      <c r="R15" s="18">
        <f t="shared" si="4"/>
        <v>19.812701612903208</v>
      </c>
      <c r="S15" s="19">
        <f t="shared" si="5"/>
        <v>6.25</v>
      </c>
      <c r="T15" s="20">
        <f t="shared" si="6"/>
        <v>13.562701612903208</v>
      </c>
      <c r="U15" s="4"/>
      <c r="V15" s="4"/>
      <c r="W15" s="4"/>
      <c r="X15" s="1" t="s">
        <v>34</v>
      </c>
      <c r="Y15" s="37">
        <v>2021</v>
      </c>
      <c r="Z15" s="1"/>
      <c r="AA15" s="1"/>
      <c r="AB15" s="1"/>
      <c r="AC15" s="1"/>
    </row>
    <row r="16" spans="1:29" s="2" customFormat="1" ht="17.399999999999999">
      <c r="A16" s="9">
        <v>1</v>
      </c>
      <c r="B16" s="8">
        <v>246</v>
      </c>
      <c r="C16" s="8">
        <v>1192342148</v>
      </c>
      <c r="D16" s="42" t="s">
        <v>141</v>
      </c>
      <c r="E16" s="4"/>
      <c r="F16" s="10">
        <v>3</v>
      </c>
      <c r="G16" s="10">
        <v>0</v>
      </c>
      <c r="H16" s="50">
        <v>0</v>
      </c>
      <c r="I16" s="50">
        <v>0</v>
      </c>
      <c r="J16" s="50">
        <v>0</v>
      </c>
      <c r="K16" s="13" t="s">
        <v>52</v>
      </c>
      <c r="L16" s="11">
        <f t="shared" si="0"/>
        <v>4</v>
      </c>
      <c r="M16" s="10">
        <f t="shared" si="1"/>
        <v>0</v>
      </c>
      <c r="N16" s="10">
        <f t="shared" si="2"/>
        <v>0</v>
      </c>
      <c r="O16" s="10">
        <v>0</v>
      </c>
      <c r="P16" s="10">
        <f t="shared" si="3"/>
        <v>4</v>
      </c>
      <c r="Q16" s="17">
        <v>15.535736940298492</v>
      </c>
      <c r="R16" s="18">
        <f t="shared" si="4"/>
        <v>19.535736940298492</v>
      </c>
      <c r="S16" s="19">
        <f t="shared" si="5"/>
        <v>6.25</v>
      </c>
      <c r="T16" s="20">
        <f t="shared" si="6"/>
        <v>13.285736940298492</v>
      </c>
      <c r="U16" s="4"/>
      <c r="V16" s="4"/>
      <c r="W16" s="4"/>
      <c r="X16" s="1" t="s">
        <v>35</v>
      </c>
      <c r="Y16" s="37">
        <v>12</v>
      </c>
      <c r="Z16" s="1"/>
      <c r="AA16" s="1"/>
      <c r="AB16" s="1"/>
      <c r="AC16" s="1"/>
    </row>
    <row r="17" spans="1:29" s="2" customFormat="1" ht="17.399999999999999">
      <c r="A17" s="9">
        <v>1</v>
      </c>
      <c r="B17" s="8">
        <v>209</v>
      </c>
      <c r="C17" s="8">
        <v>1525950050</v>
      </c>
      <c r="D17" s="42" t="s">
        <v>85</v>
      </c>
      <c r="E17" s="42" t="s">
        <v>83</v>
      </c>
      <c r="F17" s="10">
        <v>3</v>
      </c>
      <c r="G17" s="10">
        <v>0</v>
      </c>
      <c r="H17" s="50">
        <v>0</v>
      </c>
      <c r="I17" s="50">
        <v>0</v>
      </c>
      <c r="J17" s="50">
        <v>0</v>
      </c>
      <c r="K17" s="13" t="s">
        <v>52</v>
      </c>
      <c r="L17" s="11">
        <f t="shared" si="0"/>
        <v>4</v>
      </c>
      <c r="M17" s="10">
        <f t="shared" si="1"/>
        <v>0</v>
      </c>
      <c r="N17" s="10">
        <f t="shared" si="2"/>
        <v>0</v>
      </c>
      <c r="O17" s="10">
        <v>0</v>
      </c>
      <c r="P17" s="10">
        <f t="shared" si="3"/>
        <v>4</v>
      </c>
      <c r="Q17" s="17">
        <v>15.274999999999991</v>
      </c>
      <c r="R17" s="18">
        <f t="shared" si="4"/>
        <v>19.274999999999991</v>
      </c>
      <c r="S17" s="19">
        <f t="shared" si="5"/>
        <v>6.25</v>
      </c>
      <c r="T17" s="20">
        <f t="shared" si="6"/>
        <v>13.024999999999991</v>
      </c>
      <c r="U17" s="4"/>
      <c r="V17" s="4"/>
      <c r="W17" s="4"/>
      <c r="X17" s="1" t="s">
        <v>36</v>
      </c>
      <c r="Y17" s="37">
        <v>25</v>
      </c>
      <c r="Z17" s="1"/>
      <c r="AA17" s="1"/>
      <c r="AB17" s="1"/>
      <c r="AC17" s="1"/>
    </row>
    <row r="18" spans="1:29" s="2" customFormat="1" ht="17.399999999999999">
      <c r="A18" s="9">
        <v>1</v>
      </c>
      <c r="B18" s="8">
        <v>185</v>
      </c>
      <c r="C18" s="8">
        <v>30705222</v>
      </c>
      <c r="D18" s="42" t="s">
        <v>68</v>
      </c>
      <c r="E18" s="47"/>
      <c r="F18" s="10">
        <v>3</v>
      </c>
      <c r="G18" s="10">
        <v>0</v>
      </c>
      <c r="H18" s="50">
        <v>0</v>
      </c>
      <c r="I18" s="50">
        <v>1</v>
      </c>
      <c r="J18" s="50">
        <v>0</v>
      </c>
      <c r="K18" s="13" t="s">
        <v>52</v>
      </c>
      <c r="L18" s="11">
        <f t="shared" si="0"/>
        <v>4</v>
      </c>
      <c r="M18" s="10">
        <f t="shared" si="1"/>
        <v>0</v>
      </c>
      <c r="N18" s="10">
        <f t="shared" si="2"/>
        <v>0.4</v>
      </c>
      <c r="O18" s="10">
        <v>0</v>
      </c>
      <c r="P18" s="10">
        <f t="shared" si="3"/>
        <v>4.4000000000000004</v>
      </c>
      <c r="Q18" s="17">
        <v>14.737499999999997</v>
      </c>
      <c r="R18" s="18">
        <f t="shared" si="4"/>
        <v>19.137499999999996</v>
      </c>
      <c r="S18" s="19">
        <f t="shared" si="5"/>
        <v>6.25</v>
      </c>
      <c r="T18" s="20">
        <f t="shared" si="6"/>
        <v>12.887499999999996</v>
      </c>
      <c r="U18" s="4"/>
      <c r="V18" s="4"/>
      <c r="W18" s="4"/>
      <c r="X18" s="51" t="s">
        <v>103</v>
      </c>
      <c r="Y18" s="37">
        <v>0.4</v>
      </c>
      <c r="Z18" s="1"/>
      <c r="AA18" s="1"/>
      <c r="AB18" s="1"/>
      <c r="AC18" s="1"/>
    </row>
    <row r="19" spans="1:29" s="2" customFormat="1" ht="17.399999999999999">
      <c r="A19" s="9">
        <v>1</v>
      </c>
      <c r="B19" s="9">
        <v>230</v>
      </c>
      <c r="C19" s="8">
        <v>1076026693</v>
      </c>
      <c r="D19" s="42" t="s">
        <v>111</v>
      </c>
      <c r="E19" s="4"/>
      <c r="F19" s="10">
        <v>4</v>
      </c>
      <c r="G19" s="10">
        <v>0</v>
      </c>
      <c r="H19" s="50">
        <v>0</v>
      </c>
      <c r="I19" s="50">
        <v>0</v>
      </c>
      <c r="J19" s="50">
        <v>0</v>
      </c>
      <c r="K19" s="13" t="s">
        <v>52</v>
      </c>
      <c r="L19" s="11">
        <f t="shared" si="0"/>
        <v>6</v>
      </c>
      <c r="M19" s="10">
        <f t="shared" si="1"/>
        <v>0</v>
      </c>
      <c r="N19" s="10">
        <f t="shared" si="2"/>
        <v>0</v>
      </c>
      <c r="O19" s="10">
        <v>0</v>
      </c>
      <c r="P19" s="10">
        <f t="shared" si="3"/>
        <v>6</v>
      </c>
      <c r="Q19" s="17">
        <v>12.749999999999996</v>
      </c>
      <c r="R19" s="18">
        <f t="shared" si="4"/>
        <v>18.749999999999996</v>
      </c>
      <c r="S19" s="19">
        <f t="shared" si="5"/>
        <v>6.25</v>
      </c>
      <c r="T19" s="20">
        <f t="shared" si="6"/>
        <v>12.499999999999996</v>
      </c>
      <c r="U19" s="4"/>
      <c r="V19" s="4"/>
      <c r="W19" s="4"/>
      <c r="X19" s="1"/>
      <c r="Y19" s="1"/>
      <c r="Z19" s="1"/>
      <c r="AA19" s="1"/>
      <c r="AB19" s="1"/>
      <c r="AC19" s="1"/>
    </row>
    <row r="20" spans="1:29" s="2" customFormat="1" ht="17.399999999999999">
      <c r="A20" s="9">
        <v>1</v>
      </c>
      <c r="B20" s="8">
        <v>243</v>
      </c>
      <c r="C20" s="8">
        <v>11135522555</v>
      </c>
      <c r="D20" s="42" t="s">
        <v>133</v>
      </c>
      <c r="E20" s="4"/>
      <c r="F20" s="10">
        <v>2</v>
      </c>
      <c r="G20" s="10">
        <v>0</v>
      </c>
      <c r="H20" s="50">
        <v>0</v>
      </c>
      <c r="I20" s="50">
        <v>0</v>
      </c>
      <c r="J20" s="50">
        <v>0</v>
      </c>
      <c r="K20" s="13" t="s">
        <v>52</v>
      </c>
      <c r="L20" s="11">
        <f t="shared" si="0"/>
        <v>2</v>
      </c>
      <c r="M20" s="10">
        <f t="shared" si="1"/>
        <v>0</v>
      </c>
      <c r="N20" s="10">
        <f t="shared" si="2"/>
        <v>0</v>
      </c>
      <c r="O20" s="10">
        <v>0</v>
      </c>
      <c r="P20" s="10">
        <f t="shared" si="3"/>
        <v>2</v>
      </c>
      <c r="Q20" s="17">
        <v>15.81349206349206</v>
      </c>
      <c r="R20" s="18">
        <f t="shared" si="4"/>
        <v>17.81349206349206</v>
      </c>
      <c r="S20" s="19">
        <f t="shared" si="5"/>
        <v>6.25</v>
      </c>
      <c r="T20" s="20">
        <f t="shared" si="6"/>
        <v>11.56349206349206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7.399999999999999">
      <c r="A21" s="9">
        <v>1</v>
      </c>
      <c r="B21" s="8">
        <v>248</v>
      </c>
      <c r="C21" s="8">
        <v>1886132205</v>
      </c>
      <c r="D21" s="42" t="s">
        <v>159</v>
      </c>
      <c r="E21" s="42" t="s">
        <v>143</v>
      </c>
      <c r="F21" s="10">
        <v>4</v>
      </c>
      <c r="G21" s="10">
        <v>0</v>
      </c>
      <c r="H21" s="50">
        <v>0</v>
      </c>
      <c r="I21" s="50">
        <v>1</v>
      </c>
      <c r="J21" s="50">
        <v>1</v>
      </c>
      <c r="K21" s="14" t="s">
        <v>53</v>
      </c>
      <c r="L21" s="11">
        <f t="shared" si="0"/>
        <v>6</v>
      </c>
      <c r="M21" s="10">
        <f t="shared" si="1"/>
        <v>0</v>
      </c>
      <c r="N21" s="10">
        <f t="shared" si="2"/>
        <v>0.8</v>
      </c>
      <c r="O21" s="10">
        <v>0</v>
      </c>
      <c r="P21" s="10">
        <f t="shared" si="3"/>
        <v>6.8</v>
      </c>
      <c r="Q21" s="17">
        <v>10.443750000000016</v>
      </c>
      <c r="R21" s="18">
        <f t="shared" si="4"/>
        <v>17.243750000000016</v>
      </c>
      <c r="S21" s="19">
        <f t="shared" si="5"/>
        <v>1.09375</v>
      </c>
      <c r="T21" s="20">
        <f t="shared" si="6"/>
        <v>16.150000000000016</v>
      </c>
      <c r="U21" s="4"/>
      <c r="V21" s="4"/>
      <c r="W21" s="4"/>
      <c r="X21" s="1"/>
      <c r="Y21" s="1"/>
      <c r="Z21" s="1"/>
      <c r="AA21" s="1"/>
      <c r="AB21" s="1"/>
      <c r="AC21" s="1"/>
    </row>
    <row r="22" spans="1:29" s="2" customFormat="1" ht="17.399999999999999">
      <c r="A22" s="9">
        <v>1</v>
      </c>
      <c r="B22" s="8">
        <v>174</v>
      </c>
      <c r="C22" s="8">
        <v>775720958</v>
      </c>
      <c r="D22" s="42" t="s">
        <v>79</v>
      </c>
      <c r="E22" s="42" t="s">
        <v>49</v>
      </c>
      <c r="F22" s="10">
        <v>4</v>
      </c>
      <c r="G22" s="10">
        <v>0</v>
      </c>
      <c r="H22" s="50">
        <v>0</v>
      </c>
      <c r="I22" s="50">
        <v>1</v>
      </c>
      <c r="J22" s="50">
        <v>0</v>
      </c>
      <c r="K22" s="14" t="s">
        <v>53</v>
      </c>
      <c r="L22" s="11">
        <f t="shared" si="0"/>
        <v>6</v>
      </c>
      <c r="M22" s="10">
        <f t="shared" si="1"/>
        <v>0</v>
      </c>
      <c r="N22" s="10">
        <f t="shared" si="2"/>
        <v>0.4</v>
      </c>
      <c r="O22" s="10">
        <v>0</v>
      </c>
      <c r="P22" s="10">
        <f t="shared" si="3"/>
        <v>6.4</v>
      </c>
      <c r="Q22" s="17">
        <v>10.681249999999984</v>
      </c>
      <c r="R22" s="18">
        <f t="shared" si="4"/>
        <v>17.081249999999983</v>
      </c>
      <c r="S22" s="19">
        <f t="shared" si="5"/>
        <v>1.09375</v>
      </c>
      <c r="T22" s="20">
        <f t="shared" si="6"/>
        <v>15.987499999999983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20.399999999999999">
      <c r="A23" s="9">
        <v>1</v>
      </c>
      <c r="B23" s="9">
        <v>49</v>
      </c>
      <c r="C23" s="8">
        <v>311361673</v>
      </c>
      <c r="D23" s="43" t="s">
        <v>105</v>
      </c>
      <c r="E23" s="49" t="s">
        <v>11</v>
      </c>
      <c r="F23" s="10">
        <v>4</v>
      </c>
      <c r="G23" s="10">
        <v>0</v>
      </c>
      <c r="H23" s="50">
        <v>0</v>
      </c>
      <c r="I23" s="50">
        <v>1</v>
      </c>
      <c r="J23" s="50">
        <v>1</v>
      </c>
      <c r="K23" s="14" t="s">
        <v>53</v>
      </c>
      <c r="L23" s="11">
        <f t="shared" si="0"/>
        <v>6</v>
      </c>
      <c r="M23" s="10">
        <f>IF(G23&gt;0,1,0)*$Y$14</f>
        <v>0</v>
      </c>
      <c r="N23" s="10">
        <f t="shared" si="2"/>
        <v>0.8</v>
      </c>
      <c r="O23" s="10">
        <v>0</v>
      </c>
      <c r="P23" s="10">
        <f t="shared" si="3"/>
        <v>6.8</v>
      </c>
      <c r="Q23" s="17">
        <v>9.9499999999999957</v>
      </c>
      <c r="R23" s="18">
        <f t="shared" si="4"/>
        <v>16.749999999999996</v>
      </c>
      <c r="S23" s="19">
        <f t="shared" si="5"/>
        <v>1.09375</v>
      </c>
      <c r="T23" s="20">
        <f t="shared" si="6"/>
        <v>15.656249999999996</v>
      </c>
      <c r="U23" s="11"/>
      <c r="V23" s="11"/>
      <c r="W23" s="11"/>
    </row>
    <row r="24" spans="1:29" s="1" customFormat="1" ht="17.399999999999999">
      <c r="A24" s="9">
        <v>1</v>
      </c>
      <c r="B24" s="8">
        <v>247</v>
      </c>
      <c r="C24" s="8">
        <v>520310894</v>
      </c>
      <c r="D24" s="42" t="s">
        <v>142</v>
      </c>
      <c r="E24" s="4"/>
      <c r="F24" s="10">
        <v>4</v>
      </c>
      <c r="G24" s="10">
        <v>0</v>
      </c>
      <c r="H24" s="50">
        <v>0</v>
      </c>
      <c r="I24" s="50">
        <v>1</v>
      </c>
      <c r="J24" s="50">
        <v>1</v>
      </c>
      <c r="K24" s="14" t="s">
        <v>53</v>
      </c>
      <c r="L24" s="11">
        <f t="shared" si="0"/>
        <v>6</v>
      </c>
      <c r="M24" s="10">
        <f t="shared" ref="M24:M55" si="7">G24*$Y$14</f>
        <v>0</v>
      </c>
      <c r="N24" s="10">
        <f t="shared" si="2"/>
        <v>0.8</v>
      </c>
      <c r="O24" s="10">
        <v>0</v>
      </c>
      <c r="P24" s="10">
        <f t="shared" si="3"/>
        <v>6.8</v>
      </c>
      <c r="Q24" s="17">
        <v>9.711999999999982</v>
      </c>
      <c r="R24" s="18">
        <f t="shared" si="4"/>
        <v>16.511999999999983</v>
      </c>
      <c r="S24" s="19">
        <f t="shared" si="5"/>
        <v>1.09375</v>
      </c>
      <c r="T24" s="20">
        <f t="shared" si="6"/>
        <v>15.418249999999983</v>
      </c>
      <c r="U24" s="4"/>
      <c r="V24" s="4"/>
      <c r="W24" s="4"/>
    </row>
    <row r="25" spans="1:29" s="1" customFormat="1" ht="17.399999999999999">
      <c r="A25" s="9">
        <v>1</v>
      </c>
      <c r="B25" s="8">
        <v>182</v>
      </c>
      <c r="C25" s="8">
        <v>828260319</v>
      </c>
      <c r="D25" s="42" t="s">
        <v>146</v>
      </c>
      <c r="E25" s="42" t="s">
        <v>134</v>
      </c>
      <c r="F25" s="10">
        <v>4</v>
      </c>
      <c r="G25" s="10">
        <v>0</v>
      </c>
      <c r="H25" s="50">
        <v>0</v>
      </c>
      <c r="I25" s="50">
        <v>0</v>
      </c>
      <c r="J25" s="50">
        <v>1</v>
      </c>
      <c r="K25" s="14" t="s">
        <v>53</v>
      </c>
      <c r="L25" s="11">
        <f t="shared" si="0"/>
        <v>6</v>
      </c>
      <c r="M25" s="10">
        <f t="shared" si="7"/>
        <v>0</v>
      </c>
      <c r="N25" s="10">
        <f t="shared" si="2"/>
        <v>0.4</v>
      </c>
      <c r="O25" s="10">
        <v>0</v>
      </c>
      <c r="P25" s="10">
        <f t="shared" si="3"/>
        <v>6.4</v>
      </c>
      <c r="Q25" s="17">
        <v>10.04999999999999</v>
      </c>
      <c r="R25" s="18">
        <f t="shared" si="4"/>
        <v>16.449999999999989</v>
      </c>
      <c r="S25" s="19">
        <f t="shared" si="5"/>
        <v>1.09375</v>
      </c>
      <c r="T25" s="20">
        <f t="shared" si="6"/>
        <v>15.356249999999989</v>
      </c>
      <c r="U25" s="4"/>
      <c r="V25" s="4"/>
      <c r="W25" s="4"/>
    </row>
    <row r="26" spans="1:29" s="1" customFormat="1" ht="18.75" customHeight="1">
      <c r="A26" s="9">
        <v>1</v>
      </c>
      <c r="B26" s="9">
        <v>26</v>
      </c>
      <c r="C26" s="8">
        <v>1754932067</v>
      </c>
      <c r="D26" s="42" t="s">
        <v>58</v>
      </c>
      <c r="E26" s="42" t="s">
        <v>9</v>
      </c>
      <c r="F26" s="10">
        <v>2</v>
      </c>
      <c r="G26" s="10">
        <v>0</v>
      </c>
      <c r="H26" s="50">
        <v>0</v>
      </c>
      <c r="I26" s="50">
        <v>1</v>
      </c>
      <c r="J26" s="50">
        <v>1</v>
      </c>
      <c r="K26" s="14" t="s">
        <v>53</v>
      </c>
      <c r="L26" s="11">
        <f t="shared" si="0"/>
        <v>2</v>
      </c>
      <c r="M26" s="10">
        <f t="shared" si="7"/>
        <v>0</v>
      </c>
      <c r="N26" s="10">
        <f t="shared" si="2"/>
        <v>0.8</v>
      </c>
      <c r="O26" s="10">
        <v>0</v>
      </c>
      <c r="P26" s="10">
        <f t="shared" si="3"/>
        <v>2.8</v>
      </c>
      <c r="Q26" s="17">
        <v>13.524999999999984</v>
      </c>
      <c r="R26" s="18">
        <f t="shared" si="4"/>
        <v>16.324999999999985</v>
      </c>
      <c r="S26" s="19">
        <f t="shared" si="5"/>
        <v>1.09375</v>
      </c>
      <c r="T26" s="20">
        <f t="shared" si="6"/>
        <v>15.231249999999985</v>
      </c>
      <c r="U26" s="11"/>
      <c r="V26" s="11"/>
      <c r="W26" s="11"/>
    </row>
    <row r="27" spans="1:29" s="1" customFormat="1" ht="17.399999999999999">
      <c r="A27" s="9">
        <v>1</v>
      </c>
      <c r="B27" s="8">
        <v>216</v>
      </c>
      <c r="C27" s="8">
        <v>395700385</v>
      </c>
      <c r="D27" s="42" t="s">
        <v>88</v>
      </c>
      <c r="E27" s="2"/>
      <c r="F27" s="10">
        <v>0</v>
      </c>
      <c r="G27" s="10">
        <v>0</v>
      </c>
      <c r="H27" s="50">
        <v>0</v>
      </c>
      <c r="I27" s="50">
        <v>0</v>
      </c>
      <c r="J27" s="50">
        <v>0</v>
      </c>
      <c r="K27" s="39" t="s">
        <v>30</v>
      </c>
      <c r="L27" s="11">
        <f t="shared" si="0"/>
        <v>0</v>
      </c>
      <c r="M27" s="10">
        <f t="shared" si="7"/>
        <v>0</v>
      </c>
      <c r="N27" s="10">
        <f t="shared" si="2"/>
        <v>0</v>
      </c>
      <c r="O27" s="10">
        <v>0</v>
      </c>
      <c r="P27" s="10">
        <f t="shared" si="3"/>
        <v>0</v>
      </c>
      <c r="Q27" s="17">
        <v>16.243749999999999</v>
      </c>
      <c r="R27" s="18">
        <f t="shared" si="4"/>
        <v>16.243749999999999</v>
      </c>
      <c r="S27" s="19">
        <f t="shared" si="5"/>
        <v>0</v>
      </c>
      <c r="T27" s="20">
        <f t="shared" si="6"/>
        <v>16.243749999999999</v>
      </c>
      <c r="U27" s="4"/>
      <c r="V27" s="4"/>
      <c r="W27" s="4"/>
    </row>
    <row r="28" spans="1:29" s="1" customFormat="1" ht="17.399999999999999">
      <c r="A28" s="9">
        <v>1</v>
      </c>
      <c r="B28" s="8">
        <v>178</v>
      </c>
      <c r="C28" s="8">
        <v>1059185275</v>
      </c>
      <c r="D28" s="42" t="s">
        <v>66</v>
      </c>
      <c r="E28" s="47"/>
      <c r="F28" s="10">
        <v>4</v>
      </c>
      <c r="G28" s="10">
        <v>0</v>
      </c>
      <c r="H28" s="50">
        <v>0</v>
      </c>
      <c r="I28" s="50">
        <v>1</v>
      </c>
      <c r="J28" s="50">
        <v>1</v>
      </c>
      <c r="K28" s="14" t="s">
        <v>53</v>
      </c>
      <c r="L28" s="11">
        <f t="shared" si="0"/>
        <v>6</v>
      </c>
      <c r="M28" s="10">
        <f t="shared" si="7"/>
        <v>0</v>
      </c>
      <c r="N28" s="10">
        <f t="shared" si="2"/>
        <v>0.8</v>
      </c>
      <c r="O28" s="10">
        <v>0</v>
      </c>
      <c r="P28" s="10">
        <f t="shared" si="3"/>
        <v>6.8</v>
      </c>
      <c r="Q28" s="17">
        <v>9.3874999999999886</v>
      </c>
      <c r="R28" s="18">
        <f t="shared" si="4"/>
        <v>16.187499999999989</v>
      </c>
      <c r="S28" s="19">
        <f t="shared" si="5"/>
        <v>1.09375</v>
      </c>
      <c r="T28" s="20">
        <f t="shared" si="6"/>
        <v>15.093749999999989</v>
      </c>
      <c r="U28" s="4"/>
      <c r="V28" s="4"/>
      <c r="W28" s="4"/>
    </row>
    <row r="29" spans="1:29" s="2" customFormat="1" ht="17.399999999999999" hidden="1">
      <c r="A29" s="9">
        <v>0</v>
      </c>
      <c r="B29" s="8">
        <v>196</v>
      </c>
      <c r="C29" s="8">
        <v>1065641844</v>
      </c>
      <c r="D29" s="42" t="s">
        <v>74</v>
      </c>
      <c r="E29" s="47"/>
      <c r="F29" s="10">
        <v>0</v>
      </c>
      <c r="G29" s="10">
        <v>0</v>
      </c>
      <c r="H29" s="50">
        <v>0</v>
      </c>
      <c r="I29" s="50">
        <v>0</v>
      </c>
      <c r="J29" s="50">
        <v>0</v>
      </c>
      <c r="K29" s="39" t="s">
        <v>30</v>
      </c>
      <c r="L29" s="11">
        <f t="shared" si="0"/>
        <v>0</v>
      </c>
      <c r="M29" s="10">
        <f t="shared" si="7"/>
        <v>0</v>
      </c>
      <c r="N29" s="10">
        <f t="shared" si="2"/>
        <v>0</v>
      </c>
      <c r="O29" s="10">
        <v>0</v>
      </c>
      <c r="P29" s="10">
        <f t="shared" si="3"/>
        <v>0</v>
      </c>
      <c r="Q29" s="17">
        <v>14.868749999999999</v>
      </c>
      <c r="R29" s="18">
        <f t="shared" si="4"/>
        <v>14.868749999999999</v>
      </c>
      <c r="S29" s="19">
        <f t="shared" si="5"/>
        <v>0</v>
      </c>
      <c r="T29" s="20">
        <f t="shared" si="6"/>
        <v>14.868749999999999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7.399999999999999">
      <c r="A30" s="9">
        <v>1</v>
      </c>
      <c r="B30" s="8">
        <v>225</v>
      </c>
      <c r="C30" s="8">
        <v>1963965829</v>
      </c>
      <c r="D30" s="42" t="s">
        <v>107</v>
      </c>
      <c r="E30" s="42"/>
      <c r="F30" s="10">
        <v>4</v>
      </c>
      <c r="G30" s="10">
        <v>0</v>
      </c>
      <c r="H30" s="50">
        <v>0</v>
      </c>
      <c r="I30" s="50">
        <v>0</v>
      </c>
      <c r="J30" s="50">
        <v>0</v>
      </c>
      <c r="K30" s="14" t="s">
        <v>53</v>
      </c>
      <c r="L30" s="11">
        <f t="shared" si="0"/>
        <v>6</v>
      </c>
      <c r="M30" s="10">
        <f t="shared" si="7"/>
        <v>0</v>
      </c>
      <c r="N30" s="10">
        <f t="shared" si="2"/>
        <v>0</v>
      </c>
      <c r="O30" s="10">
        <v>0</v>
      </c>
      <c r="P30" s="10">
        <f t="shared" si="3"/>
        <v>6</v>
      </c>
      <c r="Q30" s="17">
        <v>10.018480769230759</v>
      </c>
      <c r="R30" s="18">
        <f t="shared" si="4"/>
        <v>16.018480769230759</v>
      </c>
      <c r="S30" s="19">
        <f t="shared" si="5"/>
        <v>1.09375</v>
      </c>
      <c r="T30" s="20">
        <f t="shared" si="6"/>
        <v>14.924730769230759</v>
      </c>
      <c r="U30" s="4"/>
      <c r="V30" s="4"/>
      <c r="W30" s="4"/>
      <c r="X30" s="1"/>
      <c r="Y30" s="1"/>
      <c r="Z30" s="1"/>
      <c r="AA30" s="1"/>
      <c r="AB30" s="1"/>
      <c r="AC30" s="1"/>
    </row>
    <row r="31" spans="1:29" s="2" customFormat="1" ht="17.399999999999999">
      <c r="A31" s="9">
        <v>1</v>
      </c>
      <c r="B31" s="8">
        <v>128</v>
      </c>
      <c r="C31" s="8">
        <v>1214614935</v>
      </c>
      <c r="D31" s="42" t="s">
        <v>62</v>
      </c>
      <c r="E31" s="49" t="s">
        <v>43</v>
      </c>
      <c r="F31" s="10">
        <v>4</v>
      </c>
      <c r="G31" s="10">
        <v>0</v>
      </c>
      <c r="H31" s="50">
        <v>0</v>
      </c>
      <c r="I31" s="50">
        <v>1</v>
      </c>
      <c r="J31" s="50">
        <v>1</v>
      </c>
      <c r="K31" s="14" t="s">
        <v>53</v>
      </c>
      <c r="L31" s="11">
        <f t="shared" si="0"/>
        <v>6</v>
      </c>
      <c r="M31" s="10">
        <f t="shared" si="7"/>
        <v>0</v>
      </c>
      <c r="N31" s="10">
        <f t="shared" si="2"/>
        <v>0.8</v>
      </c>
      <c r="O31" s="10">
        <v>0</v>
      </c>
      <c r="P31" s="10">
        <f t="shared" si="3"/>
        <v>6.8</v>
      </c>
      <c r="Q31" s="17">
        <v>9.2112500000000139</v>
      </c>
      <c r="R31" s="18">
        <f t="shared" si="4"/>
        <v>16.011250000000015</v>
      </c>
      <c r="S31" s="19">
        <f t="shared" si="5"/>
        <v>1.09375</v>
      </c>
      <c r="T31" s="20">
        <f t="shared" si="6"/>
        <v>14.917500000000015</v>
      </c>
      <c r="U31" s="11"/>
      <c r="V31" s="11"/>
      <c r="W31" s="31"/>
      <c r="X31" s="1"/>
      <c r="Y31" s="1"/>
      <c r="Z31" s="1"/>
      <c r="AA31" s="1"/>
      <c r="AB31" s="1"/>
      <c r="AC31" s="1"/>
    </row>
    <row r="32" spans="1:29" s="2" customFormat="1" ht="17.399999999999999">
      <c r="A32" s="9">
        <v>1</v>
      </c>
      <c r="B32" s="8">
        <v>244</v>
      </c>
      <c r="C32" s="8">
        <v>573211380</v>
      </c>
      <c r="D32" s="42" t="s">
        <v>139</v>
      </c>
      <c r="E32" s="4"/>
      <c r="F32" s="10">
        <v>4</v>
      </c>
      <c r="G32" s="10">
        <v>0</v>
      </c>
      <c r="H32" s="50">
        <v>0</v>
      </c>
      <c r="I32" s="50">
        <v>0</v>
      </c>
      <c r="J32" s="50">
        <v>0</v>
      </c>
      <c r="K32" s="14" t="s">
        <v>53</v>
      </c>
      <c r="L32" s="11">
        <f t="shared" si="0"/>
        <v>6</v>
      </c>
      <c r="M32" s="10">
        <f t="shared" si="7"/>
        <v>0</v>
      </c>
      <c r="N32" s="10">
        <f t="shared" si="2"/>
        <v>0</v>
      </c>
      <c r="O32" s="10">
        <v>0</v>
      </c>
      <c r="P32" s="10">
        <f t="shared" si="3"/>
        <v>6</v>
      </c>
      <c r="Q32" s="17">
        <v>8.6874999999999929</v>
      </c>
      <c r="R32" s="18">
        <f t="shared" si="4"/>
        <v>14.687499999999993</v>
      </c>
      <c r="S32" s="19">
        <f t="shared" si="5"/>
        <v>1.09375</v>
      </c>
      <c r="T32" s="20">
        <f t="shared" si="6"/>
        <v>13.593749999999993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7.399999999999999">
      <c r="A33" s="9">
        <v>1</v>
      </c>
      <c r="B33" s="9">
        <v>46</v>
      </c>
      <c r="C33" s="8">
        <v>2109182835</v>
      </c>
      <c r="D33" s="42" t="s">
        <v>59</v>
      </c>
      <c r="E33" s="42" t="s">
        <v>10</v>
      </c>
      <c r="F33" s="10">
        <v>3</v>
      </c>
      <c r="G33" s="10">
        <v>0</v>
      </c>
      <c r="H33" s="50">
        <v>0</v>
      </c>
      <c r="I33" s="50">
        <v>1</v>
      </c>
      <c r="J33" s="50">
        <v>0</v>
      </c>
      <c r="K33" s="14" t="s">
        <v>53</v>
      </c>
      <c r="L33" s="11">
        <f t="shared" si="0"/>
        <v>4</v>
      </c>
      <c r="M33" s="10">
        <f t="shared" si="7"/>
        <v>0</v>
      </c>
      <c r="N33" s="10">
        <f t="shared" si="2"/>
        <v>0.4</v>
      </c>
      <c r="O33" s="10">
        <v>0</v>
      </c>
      <c r="P33" s="10">
        <f t="shared" si="3"/>
        <v>4.4000000000000004</v>
      </c>
      <c r="Q33" s="17">
        <v>10.035019230769223</v>
      </c>
      <c r="R33" s="18">
        <f t="shared" si="4"/>
        <v>14.435019230769223</v>
      </c>
      <c r="S33" s="19">
        <f t="shared" si="5"/>
        <v>1.09375</v>
      </c>
      <c r="T33" s="20">
        <f t="shared" si="6"/>
        <v>13.341269230769223</v>
      </c>
      <c r="U33" s="11"/>
      <c r="V33" s="11"/>
      <c r="W33" s="11"/>
      <c r="X33" s="1"/>
      <c r="Y33" s="1"/>
      <c r="Z33" s="1"/>
      <c r="AA33" s="1"/>
      <c r="AB33" s="1"/>
      <c r="AC33" s="1"/>
    </row>
    <row r="34" spans="1:29" s="2" customFormat="1" ht="17.399999999999999">
      <c r="A34" s="9">
        <v>1</v>
      </c>
      <c r="B34" s="8">
        <v>110</v>
      </c>
      <c r="C34" s="8">
        <v>1968703358</v>
      </c>
      <c r="D34" s="42" t="s">
        <v>60</v>
      </c>
      <c r="E34" s="42" t="s">
        <v>38</v>
      </c>
      <c r="F34" s="10">
        <v>0</v>
      </c>
      <c r="G34" s="10">
        <v>0</v>
      </c>
      <c r="H34" s="50">
        <v>0</v>
      </c>
      <c r="I34" s="50">
        <v>0</v>
      </c>
      <c r="J34" s="50">
        <v>1</v>
      </c>
      <c r="K34" s="39" t="s">
        <v>30</v>
      </c>
      <c r="L34" s="11">
        <f t="shared" si="0"/>
        <v>0</v>
      </c>
      <c r="M34" s="10">
        <f t="shared" si="7"/>
        <v>0</v>
      </c>
      <c r="N34" s="10">
        <f t="shared" si="2"/>
        <v>0.4</v>
      </c>
      <c r="O34" s="10">
        <v>0</v>
      </c>
      <c r="P34" s="10">
        <f t="shared" si="3"/>
        <v>0.4</v>
      </c>
      <c r="Q34" s="17">
        <v>13.912499999999991</v>
      </c>
      <c r="R34" s="18">
        <f t="shared" si="4"/>
        <v>14.312499999999991</v>
      </c>
      <c r="S34" s="19">
        <f t="shared" si="5"/>
        <v>0</v>
      </c>
      <c r="T34" s="20">
        <f t="shared" si="6"/>
        <v>14.312499999999991</v>
      </c>
      <c r="U34" s="11"/>
      <c r="V34" s="11"/>
      <c r="W34" s="17"/>
      <c r="X34" s="1"/>
      <c r="Y34" s="1"/>
      <c r="Z34" s="1"/>
      <c r="AA34" s="1"/>
      <c r="AB34" s="1"/>
      <c r="AC34" s="1"/>
    </row>
    <row r="35" spans="1:29" s="2" customFormat="1" ht="20.399999999999999">
      <c r="A35" s="9">
        <v>1</v>
      </c>
      <c r="B35" s="8">
        <v>214</v>
      </c>
      <c r="C35" s="8">
        <v>2130976604</v>
      </c>
      <c r="D35" s="42" t="s">
        <v>86</v>
      </c>
      <c r="F35" s="10">
        <v>0</v>
      </c>
      <c r="G35" s="10">
        <v>0</v>
      </c>
      <c r="H35" s="50">
        <v>0</v>
      </c>
      <c r="I35" s="50">
        <v>0</v>
      </c>
      <c r="J35" s="50">
        <v>0</v>
      </c>
      <c r="K35" s="39" t="s">
        <v>30</v>
      </c>
      <c r="L35" s="11">
        <f t="shared" si="0"/>
        <v>0</v>
      </c>
      <c r="M35" s="10">
        <f t="shared" si="7"/>
        <v>0</v>
      </c>
      <c r="N35" s="10">
        <f t="shared" si="2"/>
        <v>0</v>
      </c>
      <c r="O35" s="10">
        <v>0</v>
      </c>
      <c r="P35" s="10">
        <f t="shared" si="3"/>
        <v>0</v>
      </c>
      <c r="Q35" s="17">
        <v>14.28749999999998</v>
      </c>
      <c r="R35" s="18">
        <f t="shared" si="4"/>
        <v>14.28749999999998</v>
      </c>
      <c r="S35" s="19">
        <f t="shared" si="5"/>
        <v>0</v>
      </c>
      <c r="T35" s="20">
        <f t="shared" si="6"/>
        <v>14.28749999999998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17.399999999999999">
      <c r="A36" s="9">
        <v>1</v>
      </c>
      <c r="B36" s="8">
        <v>116</v>
      </c>
      <c r="C36" s="8">
        <v>2122596917</v>
      </c>
      <c r="D36" s="42" t="s">
        <v>61</v>
      </c>
      <c r="E36" s="42" t="s">
        <v>37</v>
      </c>
      <c r="F36" s="10">
        <v>0</v>
      </c>
      <c r="G36" s="10">
        <v>0</v>
      </c>
      <c r="H36" s="50">
        <v>0</v>
      </c>
      <c r="I36" s="50">
        <v>0</v>
      </c>
      <c r="J36" s="50">
        <v>1</v>
      </c>
      <c r="K36" s="39" t="s">
        <v>30</v>
      </c>
      <c r="L36" s="11">
        <f t="shared" si="0"/>
        <v>0</v>
      </c>
      <c r="M36" s="10">
        <f t="shared" si="7"/>
        <v>0</v>
      </c>
      <c r="N36" s="10">
        <f t="shared" si="2"/>
        <v>0.4</v>
      </c>
      <c r="O36" s="10">
        <v>0</v>
      </c>
      <c r="P36" s="10">
        <f t="shared" si="3"/>
        <v>0.4</v>
      </c>
      <c r="Q36" s="17">
        <v>13.74583333333333</v>
      </c>
      <c r="R36" s="18">
        <f t="shared" si="4"/>
        <v>14.14583333333333</v>
      </c>
      <c r="S36" s="19">
        <f t="shared" si="5"/>
        <v>0</v>
      </c>
      <c r="T36" s="20">
        <f t="shared" si="6"/>
        <v>14.14583333333333</v>
      </c>
      <c r="U36" s="11"/>
      <c r="V36" s="11"/>
      <c r="W36" s="32"/>
      <c r="X36" s="1"/>
      <c r="Y36" s="1"/>
      <c r="Z36" s="1"/>
      <c r="AA36" s="1"/>
      <c r="AB36" s="1"/>
      <c r="AC36" s="1"/>
    </row>
    <row r="37" spans="1:29" s="1" customFormat="1" ht="17.399999999999999" hidden="1">
      <c r="A37" s="9">
        <v>0</v>
      </c>
      <c r="B37" s="8">
        <v>155</v>
      </c>
      <c r="C37" s="8">
        <v>1532576874</v>
      </c>
      <c r="D37" s="42" t="s">
        <v>63</v>
      </c>
      <c r="E37" s="42" t="s">
        <v>46</v>
      </c>
      <c r="F37" s="10">
        <v>0</v>
      </c>
      <c r="G37" s="10">
        <v>0</v>
      </c>
      <c r="H37" s="50">
        <v>0</v>
      </c>
      <c r="I37" s="50">
        <v>0</v>
      </c>
      <c r="J37" s="50">
        <v>0</v>
      </c>
      <c r="K37" s="39" t="s">
        <v>30</v>
      </c>
      <c r="L37" s="11">
        <f t="shared" ref="L37:L68" si="8">F37+IF(F37&gt;2,(F37-2)*1,0)</f>
        <v>0</v>
      </c>
      <c r="M37" s="10">
        <f t="shared" si="7"/>
        <v>0</v>
      </c>
      <c r="N37" s="10">
        <f t="shared" ref="N37:N68" si="9">SUM(H37:J37)*$Y$18</f>
        <v>0</v>
      </c>
      <c r="O37" s="10">
        <v>0</v>
      </c>
      <c r="P37" s="10">
        <f t="shared" ref="P37:P68" si="10">SUM(M37+L37+O37+N37)</f>
        <v>0</v>
      </c>
      <c r="Q37" s="17">
        <v>14.356749999999986</v>
      </c>
      <c r="R37" s="18">
        <f t="shared" ref="R37:R68" si="11">P37+Q37</f>
        <v>14.356749999999986</v>
      </c>
      <c r="S37" s="19">
        <f t="shared" ref="S37:S68" si="12">VLOOKUP(K37,$X$3:$Y$10,2,FALSE)</f>
        <v>0</v>
      </c>
      <c r="T37" s="20">
        <f t="shared" ref="T37:T68" si="13">R37-S37</f>
        <v>14.356749999999986</v>
      </c>
      <c r="U37" s="4"/>
      <c r="V37" s="4"/>
      <c r="W37" s="4"/>
    </row>
    <row r="38" spans="1:29" s="2" customFormat="1" ht="17.399999999999999">
      <c r="A38" s="9">
        <v>1</v>
      </c>
      <c r="B38" s="8">
        <v>215</v>
      </c>
      <c r="C38" s="8">
        <v>289805855</v>
      </c>
      <c r="D38" s="42" t="s">
        <v>145</v>
      </c>
      <c r="E38" s="42" t="s">
        <v>87</v>
      </c>
      <c r="F38" s="10">
        <v>3</v>
      </c>
      <c r="G38" s="10">
        <v>0</v>
      </c>
      <c r="H38" s="50">
        <v>0</v>
      </c>
      <c r="I38" s="50">
        <v>1</v>
      </c>
      <c r="J38" s="50">
        <v>1</v>
      </c>
      <c r="K38" s="14" t="s">
        <v>53</v>
      </c>
      <c r="L38" s="11">
        <f t="shared" si="8"/>
        <v>4</v>
      </c>
      <c r="M38" s="10">
        <f t="shared" si="7"/>
        <v>0</v>
      </c>
      <c r="N38" s="10">
        <f t="shared" si="9"/>
        <v>0.8</v>
      </c>
      <c r="O38" s="10">
        <v>0</v>
      </c>
      <c r="P38" s="10">
        <f t="shared" si="10"/>
        <v>4.8</v>
      </c>
      <c r="Q38" s="17">
        <v>9.0187499999999865</v>
      </c>
      <c r="R38" s="18">
        <f t="shared" si="11"/>
        <v>13.818749999999987</v>
      </c>
      <c r="S38" s="19">
        <f t="shared" si="12"/>
        <v>1.09375</v>
      </c>
      <c r="T38" s="20">
        <f t="shared" si="13"/>
        <v>12.724999999999987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7.399999999999999">
      <c r="A39" s="9">
        <v>1</v>
      </c>
      <c r="B39" s="8">
        <v>240</v>
      </c>
      <c r="C39" s="8">
        <v>289805855</v>
      </c>
      <c r="D39" s="42" t="s">
        <v>158</v>
      </c>
      <c r="E39" s="42" t="s">
        <v>123</v>
      </c>
      <c r="F39" s="10">
        <v>0</v>
      </c>
      <c r="G39" s="10">
        <v>0</v>
      </c>
      <c r="H39" s="50">
        <v>0</v>
      </c>
      <c r="I39" s="50">
        <v>0</v>
      </c>
      <c r="J39" s="50">
        <v>0</v>
      </c>
      <c r="K39" s="39" t="s">
        <v>30</v>
      </c>
      <c r="L39" s="11">
        <f t="shared" si="8"/>
        <v>0</v>
      </c>
      <c r="M39" s="10">
        <f t="shared" si="7"/>
        <v>0</v>
      </c>
      <c r="N39" s="10">
        <f t="shared" si="9"/>
        <v>0</v>
      </c>
      <c r="O39" s="10">
        <v>0</v>
      </c>
      <c r="P39" s="10">
        <f t="shared" si="10"/>
        <v>0</v>
      </c>
      <c r="Q39" s="17">
        <v>12.881249999999984</v>
      </c>
      <c r="R39" s="18">
        <f t="shared" si="11"/>
        <v>12.881249999999984</v>
      </c>
      <c r="S39" s="19">
        <f t="shared" si="12"/>
        <v>0</v>
      </c>
      <c r="T39" s="20">
        <f t="shared" si="13"/>
        <v>12.881249999999984</v>
      </c>
      <c r="U39" s="4"/>
      <c r="V39" s="4"/>
      <c r="W39" s="4"/>
    </row>
    <row r="40" spans="1:29" ht="17.399999999999999">
      <c r="A40" s="9">
        <v>1</v>
      </c>
      <c r="B40" s="8">
        <v>232</v>
      </c>
      <c r="C40" s="8">
        <v>1088909927</v>
      </c>
      <c r="D40" s="42" t="s">
        <v>113</v>
      </c>
      <c r="F40" s="10">
        <v>2</v>
      </c>
      <c r="G40" s="10">
        <v>0</v>
      </c>
      <c r="H40" s="50">
        <v>0</v>
      </c>
      <c r="I40" s="50">
        <v>0</v>
      </c>
      <c r="J40" s="50">
        <v>0</v>
      </c>
      <c r="K40" s="14" t="s">
        <v>53</v>
      </c>
      <c r="L40" s="11">
        <f t="shared" si="8"/>
        <v>2</v>
      </c>
      <c r="M40" s="10">
        <f t="shared" si="7"/>
        <v>0</v>
      </c>
      <c r="N40" s="10">
        <f t="shared" si="9"/>
        <v>0</v>
      </c>
      <c r="O40" s="10">
        <v>0</v>
      </c>
      <c r="P40" s="10">
        <f t="shared" si="10"/>
        <v>2</v>
      </c>
      <c r="Q40" s="17">
        <v>9.1774038461538474</v>
      </c>
      <c r="R40" s="18">
        <f t="shared" si="11"/>
        <v>11.177403846153847</v>
      </c>
      <c r="S40" s="19">
        <f t="shared" si="12"/>
        <v>1.09375</v>
      </c>
      <c r="T40" s="20">
        <f t="shared" si="13"/>
        <v>10.083653846153847</v>
      </c>
      <c r="U40" s="4"/>
      <c r="V40" s="4"/>
      <c r="W40" s="4"/>
    </row>
    <row r="41" spans="1:29" ht="17.399999999999999">
      <c r="A41" s="9">
        <v>1</v>
      </c>
      <c r="B41" s="8">
        <v>255</v>
      </c>
      <c r="C41" s="8">
        <v>812042496</v>
      </c>
      <c r="D41" s="42" t="s">
        <v>160</v>
      </c>
      <c r="E41" s="42" t="s">
        <v>155</v>
      </c>
      <c r="F41" s="10">
        <v>2</v>
      </c>
      <c r="G41" s="10">
        <v>0</v>
      </c>
      <c r="H41" s="50">
        <v>0</v>
      </c>
      <c r="I41" s="50">
        <v>0</v>
      </c>
      <c r="J41" s="50">
        <v>0</v>
      </c>
      <c r="K41" s="14" t="s">
        <v>53</v>
      </c>
      <c r="L41" s="11">
        <f t="shared" si="8"/>
        <v>2</v>
      </c>
      <c r="M41" s="10">
        <f t="shared" si="7"/>
        <v>0</v>
      </c>
      <c r="N41" s="10">
        <f t="shared" si="9"/>
        <v>0</v>
      </c>
      <c r="O41" s="10">
        <v>0</v>
      </c>
      <c r="P41" s="10">
        <f t="shared" si="10"/>
        <v>2</v>
      </c>
      <c r="Q41" s="17">
        <v>8.9886816239316225</v>
      </c>
      <c r="R41" s="18">
        <f t="shared" si="11"/>
        <v>10.988681623931623</v>
      </c>
      <c r="S41" s="19">
        <f t="shared" si="12"/>
        <v>1.09375</v>
      </c>
      <c r="T41" s="20">
        <f t="shared" si="13"/>
        <v>9.8949316239316225</v>
      </c>
      <c r="U41" s="2"/>
      <c r="V41" s="4"/>
      <c r="W41" s="4"/>
    </row>
    <row r="42" spans="1:29" ht="17.399999999999999">
      <c r="A42" s="9">
        <v>1</v>
      </c>
      <c r="B42" s="8">
        <v>251</v>
      </c>
      <c r="C42" s="8">
        <v>26962972</v>
      </c>
      <c r="D42" s="42" t="s">
        <v>151</v>
      </c>
      <c r="F42" s="10">
        <v>2</v>
      </c>
      <c r="G42" s="10">
        <v>0</v>
      </c>
      <c r="H42" s="50">
        <v>0</v>
      </c>
      <c r="I42" s="50">
        <v>0</v>
      </c>
      <c r="J42" s="50">
        <v>0</v>
      </c>
      <c r="K42" s="14" t="s">
        <v>53</v>
      </c>
      <c r="L42" s="11">
        <f t="shared" si="8"/>
        <v>2</v>
      </c>
      <c r="M42" s="10">
        <f t="shared" si="7"/>
        <v>0</v>
      </c>
      <c r="N42" s="10">
        <f t="shared" si="9"/>
        <v>0</v>
      </c>
      <c r="O42" s="10">
        <v>0</v>
      </c>
      <c r="P42" s="10">
        <f t="shared" si="10"/>
        <v>2</v>
      </c>
      <c r="Q42" s="17">
        <v>8.9437499999999908</v>
      </c>
      <c r="R42" s="18">
        <f t="shared" si="11"/>
        <v>10.943749999999991</v>
      </c>
      <c r="S42" s="19">
        <f t="shared" si="12"/>
        <v>1.09375</v>
      </c>
      <c r="T42" s="20">
        <f t="shared" si="13"/>
        <v>9.8499999999999908</v>
      </c>
      <c r="U42" s="4"/>
      <c r="V42" s="4"/>
      <c r="W42" s="4"/>
    </row>
    <row r="43" spans="1:29" ht="17.399999999999999">
      <c r="A43" s="9">
        <v>1</v>
      </c>
      <c r="B43" s="8">
        <v>242</v>
      </c>
      <c r="C43" s="8">
        <v>1381736232</v>
      </c>
      <c r="D43" s="42" t="s">
        <v>144</v>
      </c>
      <c r="E43" s="42" t="s">
        <v>125</v>
      </c>
      <c r="F43" s="10">
        <v>0</v>
      </c>
      <c r="G43" s="10">
        <v>0</v>
      </c>
      <c r="H43" s="50">
        <v>0</v>
      </c>
      <c r="I43" s="50">
        <v>0</v>
      </c>
      <c r="J43" s="50">
        <v>0</v>
      </c>
      <c r="K43" s="39" t="s">
        <v>30</v>
      </c>
      <c r="L43" s="11">
        <f t="shared" si="8"/>
        <v>0</v>
      </c>
      <c r="M43" s="10">
        <f t="shared" si="7"/>
        <v>0</v>
      </c>
      <c r="N43" s="10">
        <f t="shared" si="9"/>
        <v>0</v>
      </c>
      <c r="O43" s="10">
        <v>0</v>
      </c>
      <c r="P43" s="10">
        <f t="shared" si="10"/>
        <v>0</v>
      </c>
      <c r="Q43" s="17">
        <v>10.895015873015858</v>
      </c>
      <c r="R43" s="18">
        <f t="shared" si="11"/>
        <v>10.895015873015858</v>
      </c>
      <c r="S43" s="19">
        <f t="shared" si="12"/>
        <v>0</v>
      </c>
      <c r="T43" s="20">
        <f t="shared" si="13"/>
        <v>10.895015873015858</v>
      </c>
      <c r="U43" s="4"/>
      <c r="V43" s="4"/>
      <c r="W43" s="4"/>
    </row>
    <row r="44" spans="1:29" ht="17.399999999999999">
      <c r="A44" s="9">
        <v>1</v>
      </c>
      <c r="B44" s="8">
        <v>202</v>
      </c>
      <c r="C44" s="8">
        <v>471245585</v>
      </c>
      <c r="D44" s="42" t="s">
        <v>77</v>
      </c>
      <c r="E44" s="47"/>
      <c r="F44" s="10">
        <v>2</v>
      </c>
      <c r="G44" s="10">
        <v>0</v>
      </c>
      <c r="H44" s="50">
        <v>0</v>
      </c>
      <c r="I44" s="50">
        <v>0</v>
      </c>
      <c r="J44" s="50">
        <v>0</v>
      </c>
      <c r="K44" s="14" t="s">
        <v>53</v>
      </c>
      <c r="L44" s="11">
        <f t="shared" si="8"/>
        <v>2</v>
      </c>
      <c r="M44" s="10">
        <f t="shared" si="7"/>
        <v>0</v>
      </c>
      <c r="N44" s="10">
        <f t="shared" si="9"/>
        <v>0</v>
      </c>
      <c r="O44" s="10">
        <v>0</v>
      </c>
      <c r="P44" s="10">
        <f t="shared" si="10"/>
        <v>2</v>
      </c>
      <c r="Q44" s="17">
        <v>8.7499999999999893</v>
      </c>
      <c r="R44" s="18">
        <f t="shared" si="11"/>
        <v>10.749999999999989</v>
      </c>
      <c r="S44" s="19">
        <f t="shared" si="12"/>
        <v>1.09375</v>
      </c>
      <c r="T44" s="20">
        <f t="shared" si="13"/>
        <v>9.6562499999999893</v>
      </c>
      <c r="U44" s="4"/>
      <c r="V44" s="4"/>
      <c r="W44" s="4"/>
    </row>
    <row r="45" spans="1:29" ht="17.399999999999999">
      <c r="A45" s="9">
        <v>1</v>
      </c>
      <c r="B45" s="8">
        <v>236</v>
      </c>
      <c r="C45" s="8">
        <v>1968448898</v>
      </c>
      <c r="D45" s="42" t="s">
        <v>118</v>
      </c>
      <c r="F45" s="10">
        <v>0</v>
      </c>
      <c r="G45" s="10">
        <v>0</v>
      </c>
      <c r="H45" s="50">
        <v>0</v>
      </c>
      <c r="I45" s="50">
        <v>0</v>
      </c>
      <c r="J45" s="50">
        <v>0</v>
      </c>
      <c r="K45" s="39" t="s">
        <v>30</v>
      </c>
      <c r="L45" s="11">
        <f t="shared" si="8"/>
        <v>0</v>
      </c>
      <c r="M45" s="10">
        <f t="shared" si="7"/>
        <v>0</v>
      </c>
      <c r="N45" s="10">
        <f t="shared" si="9"/>
        <v>0</v>
      </c>
      <c r="O45" s="10">
        <v>0</v>
      </c>
      <c r="P45" s="10">
        <f t="shared" si="10"/>
        <v>0</v>
      </c>
      <c r="Q45" s="17">
        <v>9.4999999999999964</v>
      </c>
      <c r="R45" s="18">
        <f t="shared" si="11"/>
        <v>9.4999999999999964</v>
      </c>
      <c r="S45" s="19">
        <f t="shared" si="12"/>
        <v>0</v>
      </c>
      <c r="T45" s="20">
        <f t="shared" si="13"/>
        <v>9.4999999999999964</v>
      </c>
      <c r="U45" s="4"/>
      <c r="V45" s="4"/>
      <c r="W45" s="4"/>
    </row>
    <row r="46" spans="1:29" ht="17.399999999999999">
      <c r="A46" s="9">
        <v>1</v>
      </c>
      <c r="B46" s="8">
        <v>195</v>
      </c>
      <c r="C46" s="8">
        <v>1634663314</v>
      </c>
      <c r="D46" s="42" t="s">
        <v>73</v>
      </c>
      <c r="E46" s="47"/>
      <c r="F46" s="10">
        <v>3</v>
      </c>
      <c r="G46" s="10">
        <v>0</v>
      </c>
      <c r="H46" s="50">
        <v>0</v>
      </c>
      <c r="I46" s="50">
        <v>0</v>
      </c>
      <c r="J46" s="50">
        <v>0</v>
      </c>
      <c r="K46" s="14" t="s">
        <v>53</v>
      </c>
      <c r="L46" s="11">
        <f t="shared" si="8"/>
        <v>4</v>
      </c>
      <c r="M46" s="10">
        <f t="shared" si="7"/>
        <v>0</v>
      </c>
      <c r="N46" s="10">
        <f t="shared" si="9"/>
        <v>0</v>
      </c>
      <c r="O46" s="10">
        <v>0</v>
      </c>
      <c r="P46" s="10">
        <f t="shared" si="10"/>
        <v>4</v>
      </c>
      <c r="Q46" s="17">
        <v>4.8437499999999831</v>
      </c>
      <c r="R46" s="18">
        <f t="shared" si="11"/>
        <v>8.8437499999999822</v>
      </c>
      <c r="S46" s="19">
        <f t="shared" si="12"/>
        <v>1.09375</v>
      </c>
      <c r="T46" s="20">
        <f t="shared" si="13"/>
        <v>7.7499999999999822</v>
      </c>
      <c r="U46" s="4"/>
      <c r="V46" s="4"/>
      <c r="W46" s="4"/>
    </row>
    <row r="47" spans="1:29" ht="17.399999999999999">
      <c r="A47" s="9">
        <v>1</v>
      </c>
      <c r="B47" s="8">
        <v>183</v>
      </c>
      <c r="C47" s="8">
        <v>1250030371</v>
      </c>
      <c r="D47" s="42" t="s">
        <v>130</v>
      </c>
      <c r="E47" s="42" t="s">
        <v>121</v>
      </c>
      <c r="F47" s="10">
        <v>4</v>
      </c>
      <c r="G47" s="10">
        <v>0</v>
      </c>
      <c r="H47" s="50">
        <v>0</v>
      </c>
      <c r="I47" s="50">
        <v>0</v>
      </c>
      <c r="J47" s="50">
        <v>0</v>
      </c>
      <c r="K47" s="14" t="s">
        <v>53</v>
      </c>
      <c r="L47" s="11">
        <f t="shared" si="8"/>
        <v>6</v>
      </c>
      <c r="M47" s="10">
        <f t="shared" si="7"/>
        <v>0</v>
      </c>
      <c r="N47" s="10">
        <f t="shared" si="9"/>
        <v>0</v>
      </c>
      <c r="O47" s="10">
        <v>0</v>
      </c>
      <c r="P47" s="10">
        <f t="shared" si="10"/>
        <v>6</v>
      </c>
      <c r="Q47" s="17">
        <v>2.793750000000002</v>
      </c>
      <c r="R47" s="18">
        <f t="shared" si="11"/>
        <v>8.7937500000000028</v>
      </c>
      <c r="S47" s="19">
        <f t="shared" si="12"/>
        <v>1.09375</v>
      </c>
      <c r="T47" s="20">
        <f t="shared" si="13"/>
        <v>7.7000000000000028</v>
      </c>
      <c r="U47" s="4"/>
      <c r="V47" s="4"/>
      <c r="W47" s="4"/>
    </row>
    <row r="48" spans="1:29" ht="17.399999999999999">
      <c r="A48" s="9">
        <v>1</v>
      </c>
      <c r="B48" s="8">
        <v>212</v>
      </c>
      <c r="C48" s="8">
        <v>2133045883</v>
      </c>
      <c r="D48" s="42" t="s">
        <v>137</v>
      </c>
      <c r="E48" s="42" t="s">
        <v>84</v>
      </c>
      <c r="F48" s="10">
        <v>4</v>
      </c>
      <c r="G48" s="10">
        <v>0</v>
      </c>
      <c r="H48" s="50">
        <v>0</v>
      </c>
      <c r="I48" s="50">
        <v>0</v>
      </c>
      <c r="J48" s="50">
        <v>0</v>
      </c>
      <c r="K48" s="14" t="s">
        <v>53</v>
      </c>
      <c r="L48" s="11">
        <f t="shared" si="8"/>
        <v>6</v>
      </c>
      <c r="M48" s="10">
        <f t="shared" si="7"/>
        <v>0</v>
      </c>
      <c r="N48" s="10">
        <f t="shared" si="9"/>
        <v>0</v>
      </c>
      <c r="O48" s="10">
        <v>0</v>
      </c>
      <c r="P48" s="10">
        <f t="shared" si="10"/>
        <v>6</v>
      </c>
      <c r="Q48" s="17">
        <v>0.65000000000000036</v>
      </c>
      <c r="R48" s="18">
        <f t="shared" si="11"/>
        <v>6.65</v>
      </c>
      <c r="S48" s="19">
        <f t="shared" si="12"/>
        <v>1.09375</v>
      </c>
      <c r="T48" s="20">
        <f t="shared" si="13"/>
        <v>5.5562500000000004</v>
      </c>
    </row>
    <row r="49" spans="1:23" ht="17.399999999999999" hidden="1">
      <c r="A49" s="9">
        <v>0</v>
      </c>
      <c r="B49" s="8">
        <v>193</v>
      </c>
      <c r="C49" s="8">
        <v>2125731287</v>
      </c>
      <c r="D49" s="42" t="s">
        <v>72</v>
      </c>
      <c r="E49" s="47"/>
      <c r="F49" s="10">
        <v>0</v>
      </c>
      <c r="G49" s="10">
        <v>0</v>
      </c>
      <c r="H49" s="50">
        <v>0</v>
      </c>
      <c r="I49" s="50">
        <v>0</v>
      </c>
      <c r="J49" s="50">
        <v>0</v>
      </c>
      <c r="K49" s="39" t="s">
        <v>30</v>
      </c>
      <c r="L49" s="11">
        <f t="shared" si="8"/>
        <v>0</v>
      </c>
      <c r="M49" s="10">
        <f t="shared" si="7"/>
        <v>0</v>
      </c>
      <c r="N49" s="10">
        <f t="shared" si="9"/>
        <v>0</v>
      </c>
      <c r="O49" s="10">
        <v>0</v>
      </c>
      <c r="P49" s="10">
        <f t="shared" si="10"/>
        <v>0</v>
      </c>
      <c r="Q49" s="17">
        <v>2.2424999999999997</v>
      </c>
      <c r="R49" s="18">
        <f t="shared" si="11"/>
        <v>2.2424999999999997</v>
      </c>
      <c r="S49" s="19">
        <f t="shared" si="12"/>
        <v>0</v>
      </c>
      <c r="T49" s="20">
        <f t="shared" si="13"/>
        <v>2.2424999999999997</v>
      </c>
    </row>
    <row r="50" spans="1:23" ht="20.399999999999999">
      <c r="A50" s="86">
        <v>1</v>
      </c>
      <c r="B50" s="8">
        <v>186</v>
      </c>
      <c r="C50" s="8">
        <v>595953188</v>
      </c>
      <c r="D50" s="42" t="s">
        <v>157</v>
      </c>
      <c r="E50" s="87" t="s">
        <v>156</v>
      </c>
      <c r="F50" s="10">
        <v>0</v>
      </c>
      <c r="G50" s="10">
        <v>0</v>
      </c>
      <c r="H50" s="50">
        <v>0</v>
      </c>
      <c r="I50" s="50">
        <v>0</v>
      </c>
      <c r="J50" s="50">
        <v>0</v>
      </c>
      <c r="K50" s="39" t="s">
        <v>30</v>
      </c>
      <c r="L50" s="91">
        <f t="shared" si="8"/>
        <v>0</v>
      </c>
      <c r="M50" s="88">
        <f t="shared" si="7"/>
        <v>0</v>
      </c>
      <c r="N50" s="88">
        <f t="shared" si="9"/>
        <v>0</v>
      </c>
      <c r="O50" s="88">
        <v>0</v>
      </c>
      <c r="P50" s="88">
        <f t="shared" si="10"/>
        <v>0</v>
      </c>
      <c r="Q50" s="92">
        <v>6.4687499999999964</v>
      </c>
      <c r="R50" s="18">
        <f t="shared" si="11"/>
        <v>6.4687499999999964</v>
      </c>
      <c r="S50" s="93">
        <f t="shared" si="12"/>
        <v>0</v>
      </c>
      <c r="T50" s="94">
        <f t="shared" si="13"/>
        <v>6.4687499999999964</v>
      </c>
      <c r="U50" s="37"/>
    </row>
    <row r="51" spans="1:23" ht="17.399999999999999" hidden="1">
      <c r="A51" s="9">
        <v>0</v>
      </c>
      <c r="B51" s="8">
        <v>224</v>
      </c>
      <c r="C51" s="8">
        <v>862562360</v>
      </c>
      <c r="D51" s="42" t="s">
        <v>129</v>
      </c>
      <c r="E51" s="42" t="s">
        <v>106</v>
      </c>
      <c r="F51" s="10">
        <v>0</v>
      </c>
      <c r="G51" s="10">
        <v>0</v>
      </c>
      <c r="H51" s="50">
        <v>0</v>
      </c>
      <c r="I51" s="50">
        <v>0</v>
      </c>
      <c r="J51" s="50">
        <v>0</v>
      </c>
      <c r="K51" s="39" t="s">
        <v>30</v>
      </c>
      <c r="L51" s="11">
        <f t="shared" si="8"/>
        <v>0</v>
      </c>
      <c r="M51" s="10">
        <f t="shared" si="7"/>
        <v>0</v>
      </c>
      <c r="N51" s="10">
        <f t="shared" si="9"/>
        <v>0</v>
      </c>
      <c r="O51" s="10">
        <v>0</v>
      </c>
      <c r="P51" s="10">
        <f t="shared" si="10"/>
        <v>0</v>
      </c>
      <c r="Q51" s="17">
        <v>1.1487499999999997</v>
      </c>
      <c r="R51" s="18">
        <f t="shared" si="11"/>
        <v>1.1487499999999997</v>
      </c>
      <c r="S51" s="19">
        <f t="shared" si="12"/>
        <v>0</v>
      </c>
      <c r="T51" s="20">
        <f t="shared" si="13"/>
        <v>1.1487499999999997</v>
      </c>
    </row>
    <row r="52" spans="1:23" ht="17.399999999999999">
      <c r="A52" s="9">
        <v>1</v>
      </c>
      <c r="B52" s="8">
        <v>249</v>
      </c>
      <c r="C52" s="8">
        <v>1892505535</v>
      </c>
      <c r="D52" s="42" t="s">
        <v>149</v>
      </c>
      <c r="F52" s="10">
        <v>1</v>
      </c>
      <c r="G52" s="10">
        <v>0</v>
      </c>
      <c r="H52" s="50">
        <v>0</v>
      </c>
      <c r="I52" s="50">
        <v>0</v>
      </c>
      <c r="J52" s="50">
        <v>0</v>
      </c>
      <c r="K52" s="14" t="s">
        <v>53</v>
      </c>
      <c r="L52" s="11">
        <f t="shared" si="8"/>
        <v>1</v>
      </c>
      <c r="M52" s="10">
        <f t="shared" si="7"/>
        <v>0</v>
      </c>
      <c r="N52" s="10">
        <f t="shared" si="9"/>
        <v>0</v>
      </c>
      <c r="O52" s="10">
        <v>0</v>
      </c>
      <c r="P52" s="10">
        <f t="shared" si="10"/>
        <v>1</v>
      </c>
      <c r="Q52" s="17">
        <v>3.55</v>
      </c>
      <c r="R52" s="18">
        <f t="shared" si="11"/>
        <v>4.55</v>
      </c>
      <c r="S52" s="19">
        <f t="shared" si="12"/>
        <v>1.09375</v>
      </c>
      <c r="T52" s="20">
        <f t="shared" si="13"/>
        <v>3.4562499999999998</v>
      </c>
    </row>
    <row r="53" spans="1:23" ht="17.399999999999999">
      <c r="A53" s="9">
        <v>1</v>
      </c>
      <c r="B53" s="8">
        <v>172</v>
      </c>
      <c r="C53" s="8">
        <v>724061220</v>
      </c>
      <c r="D53" s="42" t="s">
        <v>65</v>
      </c>
      <c r="E53" s="42" t="s">
        <v>50</v>
      </c>
      <c r="F53" s="10">
        <v>0</v>
      </c>
      <c r="G53" s="10">
        <v>0</v>
      </c>
      <c r="H53" s="50">
        <v>0</v>
      </c>
      <c r="I53" s="50">
        <v>0</v>
      </c>
      <c r="J53" s="50">
        <v>0</v>
      </c>
      <c r="K53" s="39" t="s">
        <v>30</v>
      </c>
      <c r="L53" s="11">
        <f t="shared" si="8"/>
        <v>0</v>
      </c>
      <c r="M53" s="10">
        <f t="shared" si="7"/>
        <v>0</v>
      </c>
      <c r="N53" s="10">
        <f t="shared" si="9"/>
        <v>0</v>
      </c>
      <c r="O53" s="10">
        <v>0</v>
      </c>
      <c r="P53" s="10">
        <f t="shared" si="10"/>
        <v>0</v>
      </c>
      <c r="Q53" s="17">
        <v>3.6687500000000108</v>
      </c>
      <c r="R53" s="18">
        <f t="shared" si="11"/>
        <v>3.6687500000000108</v>
      </c>
      <c r="S53" s="19">
        <f t="shared" si="12"/>
        <v>0</v>
      </c>
      <c r="T53" s="20">
        <f t="shared" si="13"/>
        <v>3.6687500000000108</v>
      </c>
    </row>
    <row r="54" spans="1:23" ht="17.399999999999999">
      <c r="A54" s="9">
        <v>1</v>
      </c>
      <c r="B54" s="9">
        <v>10</v>
      </c>
      <c r="C54" s="8">
        <v>2108977014</v>
      </c>
      <c r="D54" s="42" t="s">
        <v>57</v>
      </c>
      <c r="E54" s="42" t="s">
        <v>8</v>
      </c>
      <c r="F54" s="10">
        <v>1</v>
      </c>
      <c r="G54" s="10">
        <v>0</v>
      </c>
      <c r="H54" s="50">
        <v>0</v>
      </c>
      <c r="I54" s="50">
        <v>0</v>
      </c>
      <c r="J54" s="50">
        <v>0</v>
      </c>
      <c r="K54" s="14" t="s">
        <v>53</v>
      </c>
      <c r="L54" s="11">
        <f t="shared" si="8"/>
        <v>1</v>
      </c>
      <c r="M54" s="10">
        <f t="shared" si="7"/>
        <v>0</v>
      </c>
      <c r="N54" s="10">
        <f t="shared" si="9"/>
        <v>0</v>
      </c>
      <c r="O54" s="10">
        <v>0</v>
      </c>
      <c r="P54" s="10">
        <f t="shared" si="10"/>
        <v>1</v>
      </c>
      <c r="Q54" s="17">
        <v>0.90625</v>
      </c>
      <c r="R54" s="18">
        <f t="shared" si="11"/>
        <v>1.90625</v>
      </c>
      <c r="S54" s="19">
        <f t="shared" si="12"/>
        <v>1.09375</v>
      </c>
      <c r="T54" s="20">
        <f t="shared" si="13"/>
        <v>0.8125</v>
      </c>
      <c r="U54" s="40"/>
      <c r="V54" s="40"/>
      <c r="W54" s="40"/>
    </row>
    <row r="55" spans="1:23" ht="17.399999999999999">
      <c r="A55" s="9">
        <v>1</v>
      </c>
      <c r="B55" s="8">
        <v>156</v>
      </c>
      <c r="C55" s="8">
        <v>1744610165</v>
      </c>
      <c r="D55" s="42" t="s">
        <v>135</v>
      </c>
      <c r="E55" s="42" t="s">
        <v>64</v>
      </c>
      <c r="F55" s="10">
        <v>3</v>
      </c>
      <c r="G55" s="10">
        <v>0</v>
      </c>
      <c r="H55" s="50">
        <v>0</v>
      </c>
      <c r="I55" s="50">
        <v>0</v>
      </c>
      <c r="J55" s="50">
        <v>0</v>
      </c>
      <c r="K55" s="14" t="s">
        <v>53</v>
      </c>
      <c r="L55" s="11">
        <f t="shared" si="8"/>
        <v>4</v>
      </c>
      <c r="M55" s="10">
        <f t="shared" si="7"/>
        <v>0</v>
      </c>
      <c r="N55" s="10">
        <f t="shared" si="9"/>
        <v>0</v>
      </c>
      <c r="O55" s="10">
        <v>0</v>
      </c>
      <c r="P55" s="10">
        <f t="shared" si="10"/>
        <v>4</v>
      </c>
      <c r="Q55" s="17">
        <v>-2.5499999999999998</v>
      </c>
      <c r="R55" s="18">
        <f t="shared" si="11"/>
        <v>1.4500000000000002</v>
      </c>
      <c r="S55" s="19">
        <f t="shared" si="12"/>
        <v>1.09375</v>
      </c>
      <c r="T55" s="20">
        <f t="shared" si="13"/>
        <v>0.35625000000000018</v>
      </c>
    </row>
    <row r="56" spans="1:23" ht="17.399999999999999">
      <c r="A56" s="9">
        <v>1</v>
      </c>
      <c r="B56" s="9">
        <v>92</v>
      </c>
      <c r="C56" s="8">
        <v>1367873925</v>
      </c>
      <c r="D56" s="42" t="s">
        <v>80</v>
      </c>
      <c r="E56" s="42" t="s">
        <v>31</v>
      </c>
      <c r="F56" s="10">
        <v>2</v>
      </c>
      <c r="G56" s="10">
        <v>0</v>
      </c>
      <c r="H56" s="50">
        <v>0</v>
      </c>
      <c r="I56" s="50">
        <v>0</v>
      </c>
      <c r="J56" s="50">
        <v>0</v>
      </c>
      <c r="K56" s="14" t="s">
        <v>53</v>
      </c>
      <c r="L56" s="11">
        <f t="shared" si="8"/>
        <v>2</v>
      </c>
      <c r="M56" s="10">
        <f t="shared" ref="M56:M83" si="14">G56*$Y$14</f>
        <v>0</v>
      </c>
      <c r="N56" s="10">
        <f t="shared" si="9"/>
        <v>0</v>
      </c>
      <c r="O56" s="10">
        <v>0</v>
      </c>
      <c r="P56" s="10">
        <f t="shared" si="10"/>
        <v>2</v>
      </c>
      <c r="Q56" s="17">
        <v>-1.3124999999999984</v>
      </c>
      <c r="R56" s="18">
        <f t="shared" si="11"/>
        <v>0.68750000000000155</v>
      </c>
      <c r="S56" s="19">
        <f t="shared" si="12"/>
        <v>1.09375</v>
      </c>
      <c r="T56" s="20">
        <f t="shared" si="13"/>
        <v>-0.40624999999999845</v>
      </c>
      <c r="U56" s="40"/>
      <c r="V56" s="40"/>
      <c r="W56" s="41"/>
    </row>
    <row r="57" spans="1:23" ht="17.399999999999999" hidden="1">
      <c r="A57" s="9">
        <v>0</v>
      </c>
      <c r="B57" s="8">
        <v>198</v>
      </c>
      <c r="C57" s="8">
        <v>723448640</v>
      </c>
      <c r="D57" s="42" t="s">
        <v>75</v>
      </c>
      <c r="E57" s="47"/>
      <c r="F57" s="10">
        <v>0</v>
      </c>
      <c r="G57" s="10">
        <v>0</v>
      </c>
      <c r="H57" s="50">
        <v>0</v>
      </c>
      <c r="I57" s="50">
        <v>0</v>
      </c>
      <c r="J57" s="50">
        <v>0</v>
      </c>
      <c r="K57" s="39" t="s">
        <v>30</v>
      </c>
      <c r="L57" s="11">
        <f t="shared" si="8"/>
        <v>0</v>
      </c>
      <c r="M57" s="10">
        <f t="shared" si="14"/>
        <v>0</v>
      </c>
      <c r="N57" s="10">
        <f t="shared" si="9"/>
        <v>0</v>
      </c>
      <c r="O57" s="10">
        <v>0</v>
      </c>
      <c r="P57" s="10">
        <f t="shared" si="10"/>
        <v>0</v>
      </c>
      <c r="Q57" s="17">
        <v>-2.5499999999999998</v>
      </c>
      <c r="R57" s="18">
        <f t="shared" si="11"/>
        <v>-2.5499999999999998</v>
      </c>
      <c r="S57" s="19">
        <f t="shared" si="12"/>
        <v>0</v>
      </c>
      <c r="T57" s="20">
        <f t="shared" si="13"/>
        <v>-2.5499999999999998</v>
      </c>
    </row>
    <row r="58" spans="1:23" ht="17.399999999999999" hidden="1">
      <c r="A58" s="9">
        <v>0</v>
      </c>
      <c r="B58" s="8">
        <v>222</v>
      </c>
      <c r="C58" s="8">
        <v>1945277617</v>
      </c>
      <c r="D58" s="42" t="s">
        <v>97</v>
      </c>
      <c r="E58" s="42"/>
      <c r="F58" s="10">
        <v>0</v>
      </c>
      <c r="G58" s="10">
        <v>0</v>
      </c>
      <c r="H58" s="50">
        <v>0</v>
      </c>
      <c r="I58" s="50">
        <v>0</v>
      </c>
      <c r="J58" s="50">
        <v>0</v>
      </c>
      <c r="K58" s="39" t="s">
        <v>30</v>
      </c>
      <c r="L58" s="11">
        <f t="shared" si="8"/>
        <v>0</v>
      </c>
      <c r="M58" s="10">
        <f t="shared" si="14"/>
        <v>0</v>
      </c>
      <c r="N58" s="10">
        <f t="shared" si="9"/>
        <v>0</v>
      </c>
      <c r="O58" s="10">
        <v>0</v>
      </c>
      <c r="P58" s="10">
        <f t="shared" si="10"/>
        <v>0</v>
      </c>
      <c r="Q58" s="17">
        <v>-4.1499999999999995</v>
      </c>
      <c r="R58" s="18">
        <f t="shared" si="11"/>
        <v>-4.1499999999999995</v>
      </c>
      <c r="S58" s="19">
        <f t="shared" si="12"/>
        <v>0</v>
      </c>
      <c r="T58" s="20">
        <f t="shared" si="13"/>
        <v>-4.1499999999999995</v>
      </c>
    </row>
    <row r="59" spans="1:23" ht="17.399999999999999">
      <c r="A59" s="9">
        <v>1</v>
      </c>
      <c r="B59" s="8">
        <v>250</v>
      </c>
      <c r="C59" s="8">
        <v>1183251323</v>
      </c>
      <c r="D59" s="42" t="s">
        <v>150</v>
      </c>
      <c r="F59" s="10">
        <v>3</v>
      </c>
      <c r="G59" s="10">
        <v>0</v>
      </c>
      <c r="H59" s="50">
        <v>0</v>
      </c>
      <c r="I59" s="50">
        <v>0</v>
      </c>
      <c r="J59" s="50">
        <v>0</v>
      </c>
      <c r="K59" s="14" t="s">
        <v>53</v>
      </c>
      <c r="L59" s="11">
        <f t="shared" si="8"/>
        <v>4</v>
      </c>
      <c r="M59" s="10">
        <f t="shared" si="14"/>
        <v>0</v>
      </c>
      <c r="N59" s="10">
        <f t="shared" si="9"/>
        <v>0</v>
      </c>
      <c r="O59" s="10">
        <v>0</v>
      </c>
      <c r="P59" s="10">
        <f t="shared" si="10"/>
        <v>4</v>
      </c>
      <c r="Q59" s="17">
        <v>-4.1499999999999995</v>
      </c>
      <c r="R59" s="18">
        <f t="shared" si="11"/>
        <v>-0.14999999999999947</v>
      </c>
      <c r="S59" s="19">
        <f t="shared" si="12"/>
        <v>1.09375</v>
      </c>
      <c r="T59" s="20">
        <f t="shared" si="13"/>
        <v>-1.2437499999999995</v>
      </c>
    </row>
    <row r="60" spans="1:23" ht="17.399999999999999">
      <c r="A60" s="9">
        <v>1</v>
      </c>
      <c r="B60" s="8">
        <v>239</v>
      </c>
      <c r="C60" s="8">
        <v>416459640</v>
      </c>
      <c r="D60" s="42" t="s">
        <v>122</v>
      </c>
      <c r="F60" s="10">
        <v>0</v>
      </c>
      <c r="G60" s="10">
        <v>0</v>
      </c>
      <c r="H60" s="50">
        <v>0</v>
      </c>
      <c r="I60" s="50">
        <v>0</v>
      </c>
      <c r="J60" s="50">
        <v>0</v>
      </c>
      <c r="K60" s="39" t="s">
        <v>30</v>
      </c>
      <c r="L60" s="11">
        <f t="shared" si="8"/>
        <v>0</v>
      </c>
      <c r="M60" s="10">
        <f t="shared" si="14"/>
        <v>0</v>
      </c>
      <c r="N60" s="10">
        <f t="shared" si="9"/>
        <v>0</v>
      </c>
      <c r="O60" s="10">
        <v>0</v>
      </c>
      <c r="P60" s="10">
        <f t="shared" si="10"/>
        <v>0</v>
      </c>
      <c r="Q60" s="17">
        <v>-4.1499999999999995</v>
      </c>
      <c r="R60" s="18">
        <f t="shared" si="11"/>
        <v>-4.1499999999999995</v>
      </c>
      <c r="S60" s="19">
        <f t="shared" si="12"/>
        <v>0</v>
      </c>
      <c r="T60" s="20">
        <f t="shared" si="13"/>
        <v>-4.1499999999999995</v>
      </c>
    </row>
    <row r="61" spans="1:23" ht="17.399999999999999">
      <c r="A61" s="9">
        <v>1</v>
      </c>
      <c r="B61" s="8">
        <v>223</v>
      </c>
      <c r="C61" s="8">
        <v>784792167</v>
      </c>
      <c r="D61" s="42" t="s">
        <v>98</v>
      </c>
      <c r="E61" s="42"/>
      <c r="F61" s="10">
        <v>0</v>
      </c>
      <c r="G61" s="10">
        <v>0</v>
      </c>
      <c r="H61" s="50">
        <v>0</v>
      </c>
      <c r="I61" s="50">
        <v>0</v>
      </c>
      <c r="J61" s="50">
        <v>0</v>
      </c>
      <c r="K61" s="39" t="s">
        <v>30</v>
      </c>
      <c r="L61" s="11">
        <f t="shared" si="8"/>
        <v>0</v>
      </c>
      <c r="M61" s="10">
        <f t="shared" si="14"/>
        <v>0</v>
      </c>
      <c r="N61" s="10">
        <f t="shared" si="9"/>
        <v>0</v>
      </c>
      <c r="O61" s="10">
        <v>0</v>
      </c>
      <c r="P61" s="10">
        <f t="shared" si="10"/>
        <v>0</v>
      </c>
      <c r="Q61" s="17">
        <v>-4.1499999999999995</v>
      </c>
      <c r="R61" s="18">
        <f t="shared" si="11"/>
        <v>-4.1499999999999995</v>
      </c>
      <c r="S61" s="19">
        <f t="shared" si="12"/>
        <v>0</v>
      </c>
      <c r="T61" s="20">
        <f t="shared" si="13"/>
        <v>-4.1499999999999995</v>
      </c>
    </row>
    <row r="62" spans="1:23" ht="17.399999999999999">
      <c r="A62" s="9">
        <v>1</v>
      </c>
      <c r="B62" s="8">
        <v>118</v>
      </c>
      <c r="C62" s="8">
        <v>2018112397</v>
      </c>
      <c r="D62" s="42" t="s">
        <v>136</v>
      </c>
      <c r="E62" s="42" t="s">
        <v>54</v>
      </c>
      <c r="F62" s="10">
        <v>0</v>
      </c>
      <c r="G62" s="10">
        <v>0</v>
      </c>
      <c r="H62" s="50">
        <v>0</v>
      </c>
      <c r="I62" s="50">
        <v>0</v>
      </c>
      <c r="J62" s="50">
        <v>0</v>
      </c>
      <c r="K62" s="39" t="s">
        <v>30</v>
      </c>
      <c r="L62" s="11">
        <f t="shared" si="8"/>
        <v>0</v>
      </c>
      <c r="M62" s="10">
        <f t="shared" si="14"/>
        <v>0</v>
      </c>
      <c r="N62" s="10">
        <f t="shared" si="9"/>
        <v>0</v>
      </c>
      <c r="O62" s="10">
        <v>0</v>
      </c>
      <c r="P62" s="10">
        <f t="shared" si="10"/>
        <v>0</v>
      </c>
      <c r="Q62" s="17">
        <v>-7.125</v>
      </c>
      <c r="R62" s="18">
        <f t="shared" si="11"/>
        <v>-7.125</v>
      </c>
      <c r="S62" s="19">
        <f t="shared" si="12"/>
        <v>0</v>
      </c>
      <c r="T62" s="20">
        <f t="shared" si="13"/>
        <v>-7.125</v>
      </c>
      <c r="U62" s="40"/>
      <c r="V62" s="40"/>
      <c r="W62" s="85"/>
    </row>
    <row r="63" spans="1:23" ht="17.399999999999999">
      <c r="A63" s="9">
        <v>1</v>
      </c>
      <c r="B63" s="8">
        <v>207</v>
      </c>
      <c r="C63" s="8">
        <v>721273803</v>
      </c>
      <c r="D63" s="42" t="s">
        <v>81</v>
      </c>
      <c r="E63" s="47"/>
      <c r="F63" s="10">
        <v>0</v>
      </c>
      <c r="G63" s="10">
        <v>0</v>
      </c>
      <c r="H63" s="50">
        <v>0</v>
      </c>
      <c r="I63" s="50">
        <v>0</v>
      </c>
      <c r="J63" s="50">
        <v>0</v>
      </c>
      <c r="K63" s="39" t="s">
        <v>30</v>
      </c>
      <c r="L63" s="11">
        <f t="shared" si="8"/>
        <v>0</v>
      </c>
      <c r="M63" s="10">
        <f t="shared" si="14"/>
        <v>0</v>
      </c>
      <c r="N63" s="10">
        <f t="shared" si="9"/>
        <v>0</v>
      </c>
      <c r="O63" s="10">
        <v>0</v>
      </c>
      <c r="P63" s="10">
        <f t="shared" si="10"/>
        <v>0</v>
      </c>
      <c r="Q63" s="17">
        <v>-7.125</v>
      </c>
      <c r="R63" s="18">
        <f t="shared" si="11"/>
        <v>-7.125</v>
      </c>
      <c r="S63" s="19">
        <f t="shared" si="12"/>
        <v>0</v>
      </c>
      <c r="T63" s="20">
        <f t="shared" si="13"/>
        <v>-7.125</v>
      </c>
    </row>
    <row r="64" spans="1:23" ht="17.399999999999999" hidden="1">
      <c r="A64" s="9">
        <v>0</v>
      </c>
      <c r="B64" s="8">
        <v>226</v>
      </c>
      <c r="C64" s="8">
        <v>1238792963</v>
      </c>
      <c r="D64" s="42" t="s">
        <v>108</v>
      </c>
      <c r="E64" s="42"/>
      <c r="F64" s="10">
        <v>0</v>
      </c>
      <c r="G64" s="10">
        <v>0</v>
      </c>
      <c r="H64" s="50">
        <v>0</v>
      </c>
      <c r="I64" s="50">
        <v>0</v>
      </c>
      <c r="J64" s="50">
        <v>0</v>
      </c>
      <c r="K64" s="39" t="s">
        <v>30</v>
      </c>
      <c r="L64" s="11">
        <f t="shared" si="8"/>
        <v>0</v>
      </c>
      <c r="M64" s="10">
        <f t="shared" si="14"/>
        <v>0</v>
      </c>
      <c r="N64" s="10">
        <f t="shared" si="9"/>
        <v>0</v>
      </c>
      <c r="O64" s="10">
        <v>0</v>
      </c>
      <c r="P64" s="10">
        <f t="shared" si="10"/>
        <v>0</v>
      </c>
      <c r="Q64" s="17">
        <v>-7.125</v>
      </c>
      <c r="R64" s="18">
        <f t="shared" si="11"/>
        <v>-7.125</v>
      </c>
      <c r="S64" s="19">
        <f t="shared" si="12"/>
        <v>0</v>
      </c>
      <c r="T64" s="20">
        <f t="shared" si="13"/>
        <v>-7.125</v>
      </c>
    </row>
    <row r="65" spans="1:23" ht="17.399999999999999" hidden="1">
      <c r="A65" s="9">
        <v>0</v>
      </c>
      <c r="B65" s="8">
        <v>167</v>
      </c>
      <c r="C65" s="8">
        <v>1173807161</v>
      </c>
      <c r="D65" s="42" t="s">
        <v>138</v>
      </c>
      <c r="E65" s="42" t="s">
        <v>48</v>
      </c>
      <c r="F65" s="10">
        <v>0</v>
      </c>
      <c r="G65" s="10">
        <v>0</v>
      </c>
      <c r="H65" s="50">
        <v>0</v>
      </c>
      <c r="I65" s="50">
        <v>0</v>
      </c>
      <c r="J65" s="50">
        <v>0</v>
      </c>
      <c r="K65" s="39" t="s">
        <v>30</v>
      </c>
      <c r="L65" s="11">
        <f t="shared" si="8"/>
        <v>0</v>
      </c>
      <c r="M65" s="10">
        <f t="shared" si="14"/>
        <v>0</v>
      </c>
      <c r="N65" s="10">
        <f t="shared" si="9"/>
        <v>0</v>
      </c>
      <c r="O65" s="10">
        <v>0</v>
      </c>
      <c r="P65" s="10">
        <f t="shared" si="10"/>
        <v>0</v>
      </c>
      <c r="Q65" s="17">
        <v>-7.125</v>
      </c>
      <c r="R65" s="18">
        <f t="shared" si="11"/>
        <v>-7.125</v>
      </c>
      <c r="S65" s="19">
        <f t="shared" si="12"/>
        <v>0</v>
      </c>
      <c r="T65" s="20">
        <f t="shared" si="13"/>
        <v>-7.125</v>
      </c>
    </row>
    <row r="66" spans="1:23" ht="17.399999999999999">
      <c r="A66" s="9">
        <v>1</v>
      </c>
      <c r="B66" s="8">
        <v>235</v>
      </c>
      <c r="C66" s="8">
        <v>988684940</v>
      </c>
      <c r="D66" s="42" t="s">
        <v>116</v>
      </c>
      <c r="F66" s="10">
        <v>0</v>
      </c>
      <c r="G66" s="10">
        <v>0</v>
      </c>
      <c r="H66" s="50">
        <v>0</v>
      </c>
      <c r="I66" s="50">
        <v>0</v>
      </c>
      <c r="J66" s="50">
        <v>0</v>
      </c>
      <c r="K66" s="39" t="s">
        <v>30</v>
      </c>
      <c r="L66" s="11">
        <f t="shared" si="8"/>
        <v>0</v>
      </c>
      <c r="M66" s="10">
        <f t="shared" si="14"/>
        <v>0</v>
      </c>
      <c r="N66" s="10">
        <f t="shared" si="9"/>
        <v>0</v>
      </c>
      <c r="O66" s="10">
        <v>0</v>
      </c>
      <c r="P66" s="10">
        <f t="shared" si="10"/>
        <v>0</v>
      </c>
      <c r="Q66" s="17">
        <v>-7.125</v>
      </c>
      <c r="R66" s="18">
        <f t="shared" si="11"/>
        <v>-7.125</v>
      </c>
      <c r="S66" s="19">
        <f t="shared" si="12"/>
        <v>0</v>
      </c>
      <c r="T66" s="20">
        <f t="shared" si="13"/>
        <v>-7.125</v>
      </c>
    </row>
    <row r="67" spans="1:23" ht="20.399999999999999">
      <c r="A67" s="9">
        <v>1</v>
      </c>
      <c r="B67" s="8">
        <v>213</v>
      </c>
      <c r="C67" s="8">
        <v>311361673</v>
      </c>
      <c r="D67" s="42" t="s">
        <v>55</v>
      </c>
      <c r="E67" s="2"/>
      <c r="F67" s="10">
        <v>0</v>
      </c>
      <c r="G67" s="10">
        <v>0</v>
      </c>
      <c r="H67" s="50">
        <v>0</v>
      </c>
      <c r="I67" s="50">
        <v>0</v>
      </c>
      <c r="J67" s="50">
        <v>0</v>
      </c>
      <c r="K67" s="39" t="s">
        <v>30</v>
      </c>
      <c r="L67" s="11">
        <f t="shared" si="8"/>
        <v>0</v>
      </c>
      <c r="M67" s="10">
        <f t="shared" si="14"/>
        <v>0</v>
      </c>
      <c r="N67" s="10">
        <f t="shared" si="9"/>
        <v>0</v>
      </c>
      <c r="O67" s="10">
        <v>0</v>
      </c>
      <c r="P67" s="10">
        <f t="shared" si="10"/>
        <v>0</v>
      </c>
      <c r="Q67" s="17">
        <v>-7.8937500000000043</v>
      </c>
      <c r="R67" s="18">
        <f t="shared" si="11"/>
        <v>-7.8937500000000043</v>
      </c>
      <c r="S67" s="19">
        <f t="shared" si="12"/>
        <v>0</v>
      </c>
      <c r="T67" s="20">
        <f t="shared" si="13"/>
        <v>-7.8937500000000043</v>
      </c>
    </row>
    <row r="68" spans="1:23" ht="17.399999999999999">
      <c r="A68" s="9">
        <v>1</v>
      </c>
      <c r="B68" s="8">
        <v>237</v>
      </c>
      <c r="C68" s="8">
        <v>1331532576</v>
      </c>
      <c r="D68" s="42" t="s">
        <v>119</v>
      </c>
      <c r="F68" s="10">
        <v>0</v>
      </c>
      <c r="G68" s="10">
        <v>0</v>
      </c>
      <c r="H68" s="50">
        <v>0</v>
      </c>
      <c r="I68" s="50">
        <v>0</v>
      </c>
      <c r="J68" s="50">
        <v>0</v>
      </c>
      <c r="K68" s="39" t="s">
        <v>30</v>
      </c>
      <c r="L68" s="11">
        <f t="shared" si="8"/>
        <v>0</v>
      </c>
      <c r="M68" s="10">
        <f t="shared" si="14"/>
        <v>0</v>
      </c>
      <c r="N68" s="10">
        <f t="shared" si="9"/>
        <v>0</v>
      </c>
      <c r="O68" s="10">
        <v>0</v>
      </c>
      <c r="P68" s="10">
        <f t="shared" si="10"/>
        <v>0</v>
      </c>
      <c r="Q68" s="17">
        <v>-7.8937500000000043</v>
      </c>
      <c r="R68" s="18">
        <f t="shared" si="11"/>
        <v>-7.8937500000000043</v>
      </c>
      <c r="S68" s="19">
        <f t="shared" si="12"/>
        <v>0</v>
      </c>
      <c r="T68" s="20">
        <f t="shared" si="13"/>
        <v>-7.8937500000000043</v>
      </c>
    </row>
    <row r="69" spans="1:23" ht="17.399999999999999">
      <c r="A69" s="9">
        <v>1</v>
      </c>
      <c r="B69" s="8">
        <v>200</v>
      </c>
      <c r="C69" s="8">
        <v>967589156</v>
      </c>
      <c r="D69" s="42" t="s">
        <v>76</v>
      </c>
      <c r="E69" s="47"/>
      <c r="F69" s="10">
        <v>0</v>
      </c>
      <c r="G69" s="10">
        <v>0</v>
      </c>
      <c r="H69" s="50">
        <v>0</v>
      </c>
      <c r="I69" s="50">
        <v>0</v>
      </c>
      <c r="J69" s="50">
        <v>0</v>
      </c>
      <c r="K69" s="39" t="s">
        <v>30</v>
      </c>
      <c r="L69" s="11">
        <f t="shared" ref="L69:L83" si="15">F69+IF(F69&gt;2,(F69-2)*1,0)</f>
        <v>0</v>
      </c>
      <c r="M69" s="10">
        <f t="shared" si="14"/>
        <v>0</v>
      </c>
      <c r="N69" s="10">
        <f t="shared" ref="N69:N83" si="16">SUM(H69:J69)*$Y$18</f>
        <v>0</v>
      </c>
      <c r="O69" s="10">
        <v>0</v>
      </c>
      <c r="P69" s="10">
        <f t="shared" ref="P69:P83" si="17">SUM(M69+L69+O69+N69)</f>
        <v>0</v>
      </c>
      <c r="Q69" s="17">
        <v>-7.8937500000000043</v>
      </c>
      <c r="R69" s="18">
        <f t="shared" ref="R69:R83" si="18">P69+Q69</f>
        <v>-7.8937500000000043</v>
      </c>
      <c r="S69" s="19">
        <f t="shared" ref="S69:S83" si="19">VLOOKUP(K69,$X$3:$Y$10,2,FALSE)</f>
        <v>0</v>
      </c>
      <c r="T69" s="20">
        <f t="shared" ref="T69:T83" si="20">R69-S69</f>
        <v>-7.8937500000000043</v>
      </c>
    </row>
    <row r="70" spans="1:23" ht="17.399999999999999">
      <c r="A70" s="70">
        <v>1</v>
      </c>
      <c r="B70" s="8">
        <v>234</v>
      </c>
      <c r="C70" s="8">
        <v>1333428907</v>
      </c>
      <c r="D70" s="42" t="s">
        <v>128</v>
      </c>
      <c r="E70" s="42" t="s">
        <v>115</v>
      </c>
      <c r="F70" s="10">
        <v>0</v>
      </c>
      <c r="G70" s="10">
        <v>0</v>
      </c>
      <c r="H70" s="50">
        <v>0</v>
      </c>
      <c r="I70" s="50">
        <v>0</v>
      </c>
      <c r="J70" s="50">
        <v>0</v>
      </c>
      <c r="K70" s="39" t="s">
        <v>30</v>
      </c>
      <c r="L70" s="11">
        <f t="shared" si="15"/>
        <v>0</v>
      </c>
      <c r="M70" s="10">
        <f t="shared" si="14"/>
        <v>0</v>
      </c>
      <c r="N70" s="10">
        <f t="shared" si="16"/>
        <v>0</v>
      </c>
      <c r="O70" s="10">
        <v>0</v>
      </c>
      <c r="P70" s="10">
        <f t="shared" si="17"/>
        <v>0</v>
      </c>
      <c r="Q70" s="17">
        <v>-7.8937500000000043</v>
      </c>
      <c r="R70" s="18">
        <f t="shared" si="18"/>
        <v>-7.8937500000000043</v>
      </c>
      <c r="S70" s="19">
        <f t="shared" si="19"/>
        <v>0</v>
      </c>
      <c r="T70" s="20">
        <f t="shared" si="20"/>
        <v>-7.8937500000000043</v>
      </c>
    </row>
    <row r="71" spans="1:23" ht="20.399999999999999">
      <c r="A71" s="9">
        <v>1</v>
      </c>
      <c r="B71" s="8">
        <v>220</v>
      </c>
      <c r="C71" s="8">
        <v>353335311</v>
      </c>
      <c r="D71" s="42" t="s">
        <v>94</v>
      </c>
      <c r="E71" s="44"/>
      <c r="F71" s="10">
        <v>0</v>
      </c>
      <c r="G71" s="10">
        <v>0</v>
      </c>
      <c r="H71" s="50">
        <v>0</v>
      </c>
      <c r="I71" s="50">
        <v>0</v>
      </c>
      <c r="J71" s="50">
        <v>0</v>
      </c>
      <c r="K71" s="39" t="s">
        <v>30</v>
      </c>
      <c r="L71" s="11">
        <f t="shared" si="15"/>
        <v>0</v>
      </c>
      <c r="M71" s="10">
        <f t="shared" si="14"/>
        <v>0</v>
      </c>
      <c r="N71" s="10">
        <f t="shared" si="16"/>
        <v>0</v>
      </c>
      <c r="O71" s="10">
        <v>0</v>
      </c>
      <c r="P71" s="10">
        <f t="shared" si="17"/>
        <v>0</v>
      </c>
      <c r="Q71" s="17">
        <v>-7.8937500000000043</v>
      </c>
      <c r="R71" s="18">
        <f t="shared" si="18"/>
        <v>-7.8937500000000043</v>
      </c>
      <c r="S71" s="19">
        <f t="shared" si="19"/>
        <v>0</v>
      </c>
      <c r="T71" s="20">
        <f t="shared" si="20"/>
        <v>-7.8937500000000043</v>
      </c>
    </row>
    <row r="72" spans="1:23" ht="17.399999999999999">
      <c r="A72" s="70">
        <v>1</v>
      </c>
      <c r="B72" s="8">
        <v>242</v>
      </c>
      <c r="C72" s="8">
        <v>1769984287</v>
      </c>
      <c r="D72" s="42" t="s">
        <v>132</v>
      </c>
      <c r="F72" s="10">
        <v>0</v>
      </c>
      <c r="G72" s="10">
        <v>0</v>
      </c>
      <c r="H72" s="50">
        <v>0</v>
      </c>
      <c r="I72" s="50">
        <v>0</v>
      </c>
      <c r="J72" s="50">
        <v>0</v>
      </c>
      <c r="K72" s="39" t="s">
        <v>30</v>
      </c>
      <c r="L72" s="11">
        <f t="shared" si="15"/>
        <v>0</v>
      </c>
      <c r="M72" s="10">
        <f t="shared" si="14"/>
        <v>0</v>
      </c>
      <c r="N72" s="10">
        <f t="shared" si="16"/>
        <v>0</v>
      </c>
      <c r="O72" s="10">
        <v>0</v>
      </c>
      <c r="P72" s="10">
        <f t="shared" si="17"/>
        <v>0</v>
      </c>
      <c r="Q72" s="17">
        <v>-7.8937500000000043</v>
      </c>
      <c r="R72" s="18">
        <f t="shared" si="18"/>
        <v>-7.8937500000000043</v>
      </c>
      <c r="S72" s="19">
        <f t="shared" si="19"/>
        <v>0</v>
      </c>
      <c r="T72" s="20">
        <f t="shared" si="20"/>
        <v>-7.8937500000000043</v>
      </c>
    </row>
    <row r="73" spans="1:23" ht="17.399999999999999">
      <c r="A73" s="9">
        <v>1</v>
      </c>
      <c r="B73" s="8">
        <v>141</v>
      </c>
      <c r="C73" s="8">
        <v>1190305158</v>
      </c>
      <c r="D73" s="42" t="s">
        <v>44</v>
      </c>
      <c r="E73" s="44"/>
      <c r="F73" s="10">
        <v>0</v>
      </c>
      <c r="G73" s="10">
        <v>0</v>
      </c>
      <c r="H73" s="50">
        <v>0</v>
      </c>
      <c r="I73" s="50">
        <v>0</v>
      </c>
      <c r="J73" s="50">
        <v>0</v>
      </c>
      <c r="K73" s="39" t="s">
        <v>30</v>
      </c>
      <c r="L73" s="11">
        <f t="shared" si="15"/>
        <v>0</v>
      </c>
      <c r="M73" s="10">
        <f t="shared" si="14"/>
        <v>0</v>
      </c>
      <c r="N73" s="10">
        <f t="shared" si="16"/>
        <v>0</v>
      </c>
      <c r="O73" s="10">
        <v>0</v>
      </c>
      <c r="P73" s="10">
        <f t="shared" si="17"/>
        <v>0</v>
      </c>
      <c r="Q73" s="17">
        <v>-7.8937500000000043</v>
      </c>
      <c r="R73" s="18">
        <f t="shared" si="18"/>
        <v>-7.8937500000000043</v>
      </c>
      <c r="S73" s="19">
        <f t="shared" si="19"/>
        <v>0</v>
      </c>
      <c r="T73" s="20">
        <f t="shared" si="20"/>
        <v>-7.8937500000000043</v>
      </c>
      <c r="U73" s="40"/>
      <c r="V73" s="40"/>
      <c r="W73" s="41"/>
    </row>
    <row r="74" spans="1:23" ht="17.399999999999999">
      <c r="A74" s="70">
        <v>1</v>
      </c>
      <c r="B74" s="8">
        <v>242</v>
      </c>
      <c r="C74" s="8">
        <v>250098915</v>
      </c>
      <c r="D74" s="42" t="s">
        <v>131</v>
      </c>
      <c r="F74" s="10">
        <v>0</v>
      </c>
      <c r="G74" s="10">
        <v>0</v>
      </c>
      <c r="H74" s="50">
        <v>0</v>
      </c>
      <c r="I74" s="50">
        <v>0</v>
      </c>
      <c r="J74" s="50">
        <v>0</v>
      </c>
      <c r="K74" s="39" t="s">
        <v>30</v>
      </c>
      <c r="L74" s="11">
        <f t="shared" si="15"/>
        <v>0</v>
      </c>
      <c r="M74" s="10">
        <f t="shared" si="14"/>
        <v>0</v>
      </c>
      <c r="N74" s="10">
        <f t="shared" si="16"/>
        <v>0</v>
      </c>
      <c r="O74" s="10">
        <v>0</v>
      </c>
      <c r="P74" s="10">
        <f t="shared" si="17"/>
        <v>0</v>
      </c>
      <c r="Q74" s="17">
        <v>-7.8937500000000043</v>
      </c>
      <c r="R74" s="18">
        <f t="shared" si="18"/>
        <v>-7.8937500000000043</v>
      </c>
      <c r="S74" s="19">
        <f t="shared" si="19"/>
        <v>0</v>
      </c>
      <c r="T74" s="20">
        <f t="shared" si="20"/>
        <v>-7.8937500000000043</v>
      </c>
    </row>
    <row r="75" spans="1:23" ht="17.399999999999999">
      <c r="A75" s="9">
        <v>1</v>
      </c>
      <c r="B75" s="8">
        <v>252</v>
      </c>
      <c r="C75" s="8">
        <v>1574741700</v>
      </c>
      <c r="D75" s="42" t="s">
        <v>152</v>
      </c>
      <c r="F75" s="10">
        <v>0</v>
      </c>
      <c r="G75" s="10">
        <v>0</v>
      </c>
      <c r="H75" s="50">
        <v>0</v>
      </c>
      <c r="I75" s="50">
        <v>0</v>
      </c>
      <c r="J75" s="50">
        <v>0</v>
      </c>
      <c r="K75" s="39" t="s">
        <v>30</v>
      </c>
      <c r="L75" s="11">
        <f t="shared" si="15"/>
        <v>0</v>
      </c>
      <c r="M75" s="10">
        <f t="shared" si="14"/>
        <v>0</v>
      </c>
      <c r="N75" s="10">
        <f t="shared" si="16"/>
        <v>0</v>
      </c>
      <c r="O75" s="10">
        <v>0</v>
      </c>
      <c r="P75" s="10">
        <f t="shared" si="17"/>
        <v>0</v>
      </c>
      <c r="Q75" s="17">
        <v>-8</v>
      </c>
      <c r="R75" s="18">
        <f t="shared" si="18"/>
        <v>-8</v>
      </c>
      <c r="S75" s="19">
        <f t="shared" si="19"/>
        <v>0</v>
      </c>
      <c r="T75" s="20">
        <f t="shared" si="20"/>
        <v>-8</v>
      </c>
    </row>
    <row r="76" spans="1:23" ht="17.399999999999999">
      <c r="A76" s="70">
        <v>1</v>
      </c>
      <c r="B76" s="8">
        <v>241</v>
      </c>
      <c r="C76" s="8">
        <v>1136259669</v>
      </c>
      <c r="D76" s="42" t="s">
        <v>124</v>
      </c>
      <c r="F76" s="10">
        <v>2</v>
      </c>
      <c r="G76" s="10">
        <v>0</v>
      </c>
      <c r="H76" s="50">
        <v>0</v>
      </c>
      <c r="I76" s="50">
        <v>0</v>
      </c>
      <c r="J76" s="50">
        <v>0</v>
      </c>
      <c r="K76" s="14" t="s">
        <v>53</v>
      </c>
      <c r="L76" s="11">
        <f t="shared" si="15"/>
        <v>2</v>
      </c>
      <c r="M76" s="10">
        <f t="shared" si="14"/>
        <v>0</v>
      </c>
      <c r="N76" s="10">
        <f t="shared" si="16"/>
        <v>0</v>
      </c>
      <c r="O76" s="10">
        <v>0</v>
      </c>
      <c r="P76" s="10">
        <f t="shared" si="17"/>
        <v>2</v>
      </c>
      <c r="Q76" s="17">
        <v>-16.90625</v>
      </c>
      <c r="R76" s="18">
        <f t="shared" si="18"/>
        <v>-14.90625</v>
      </c>
      <c r="S76" s="19">
        <f t="shared" si="19"/>
        <v>1.09375</v>
      </c>
      <c r="T76" s="20">
        <f t="shared" si="20"/>
        <v>-16</v>
      </c>
    </row>
    <row r="77" spans="1:23" ht="17.399999999999999">
      <c r="A77" s="9">
        <v>1</v>
      </c>
      <c r="B77" s="8">
        <v>217</v>
      </c>
      <c r="C77" s="8">
        <v>331155825</v>
      </c>
      <c r="D77" s="46" t="s">
        <v>89</v>
      </c>
      <c r="E77" s="2"/>
      <c r="F77" s="10">
        <v>0</v>
      </c>
      <c r="G77" s="10">
        <v>0</v>
      </c>
      <c r="H77" s="50">
        <v>0</v>
      </c>
      <c r="I77" s="50">
        <v>0</v>
      </c>
      <c r="J77" s="50">
        <v>0</v>
      </c>
      <c r="K77" s="39" t="s">
        <v>30</v>
      </c>
      <c r="L77" s="11">
        <f t="shared" si="15"/>
        <v>0</v>
      </c>
      <c r="M77" s="10">
        <f t="shared" si="14"/>
        <v>0</v>
      </c>
      <c r="N77" s="10">
        <f t="shared" si="16"/>
        <v>0</v>
      </c>
      <c r="O77" s="10">
        <v>0</v>
      </c>
      <c r="P77" s="10">
        <f t="shared" si="17"/>
        <v>0</v>
      </c>
      <c r="Q77" s="17">
        <v>-16.90625</v>
      </c>
      <c r="R77" s="18">
        <f t="shared" si="18"/>
        <v>-16.90625</v>
      </c>
      <c r="S77" s="19">
        <f t="shared" si="19"/>
        <v>0</v>
      </c>
      <c r="T77" s="20">
        <f t="shared" si="20"/>
        <v>-16.90625</v>
      </c>
    </row>
    <row r="78" spans="1:23" ht="17.399999999999999">
      <c r="A78" s="70">
        <v>1</v>
      </c>
      <c r="B78" s="8">
        <v>218</v>
      </c>
      <c r="C78" s="8">
        <v>1804880865</v>
      </c>
      <c r="D78" s="42" t="s">
        <v>92</v>
      </c>
      <c r="E78" s="47"/>
      <c r="F78" s="10">
        <v>0</v>
      </c>
      <c r="G78" s="10">
        <v>0</v>
      </c>
      <c r="H78" s="50">
        <v>0</v>
      </c>
      <c r="I78" s="50">
        <v>0</v>
      </c>
      <c r="J78" s="50">
        <v>0</v>
      </c>
      <c r="K78" s="39" t="s">
        <v>30</v>
      </c>
      <c r="L78" s="11">
        <f t="shared" si="15"/>
        <v>0</v>
      </c>
      <c r="M78" s="10">
        <f t="shared" si="14"/>
        <v>0</v>
      </c>
      <c r="N78" s="10">
        <f t="shared" si="16"/>
        <v>0</v>
      </c>
      <c r="O78" s="10">
        <v>0</v>
      </c>
      <c r="P78" s="10">
        <f t="shared" si="17"/>
        <v>0</v>
      </c>
      <c r="Q78" s="17">
        <v>-16.90625</v>
      </c>
      <c r="R78" s="18">
        <f t="shared" si="18"/>
        <v>-16.90625</v>
      </c>
      <c r="S78" s="19">
        <f t="shared" si="19"/>
        <v>0</v>
      </c>
      <c r="T78" s="20">
        <f t="shared" si="20"/>
        <v>-16.90625</v>
      </c>
    </row>
    <row r="79" spans="1:23" ht="17.399999999999999">
      <c r="A79" s="9">
        <v>1</v>
      </c>
      <c r="B79" s="8">
        <v>192</v>
      </c>
      <c r="C79" s="8">
        <v>1725281178</v>
      </c>
      <c r="D79" s="42" t="s">
        <v>71</v>
      </c>
      <c r="E79" s="47"/>
      <c r="F79" s="10">
        <v>0</v>
      </c>
      <c r="G79" s="10">
        <v>0</v>
      </c>
      <c r="H79" s="50">
        <v>0</v>
      </c>
      <c r="I79" s="50">
        <v>0</v>
      </c>
      <c r="J79" s="50">
        <v>0</v>
      </c>
      <c r="K79" s="39" t="s">
        <v>30</v>
      </c>
      <c r="L79" s="11">
        <f t="shared" si="15"/>
        <v>0</v>
      </c>
      <c r="M79" s="10">
        <f t="shared" si="14"/>
        <v>0</v>
      </c>
      <c r="N79" s="10">
        <f t="shared" si="16"/>
        <v>0</v>
      </c>
      <c r="O79" s="10">
        <v>0</v>
      </c>
      <c r="P79" s="10">
        <f t="shared" si="17"/>
        <v>0</v>
      </c>
      <c r="Q79" s="17">
        <v>-16.90625</v>
      </c>
      <c r="R79" s="18">
        <f t="shared" si="18"/>
        <v>-16.90625</v>
      </c>
      <c r="S79" s="19">
        <f t="shared" si="19"/>
        <v>0</v>
      </c>
      <c r="T79" s="20">
        <f t="shared" si="20"/>
        <v>-16.90625</v>
      </c>
    </row>
    <row r="80" spans="1:23" ht="17.399999999999999">
      <c r="A80" s="70">
        <v>1</v>
      </c>
      <c r="B80" s="8">
        <v>203</v>
      </c>
      <c r="C80" s="8">
        <v>382695365</v>
      </c>
      <c r="D80" s="42" t="s">
        <v>78</v>
      </c>
      <c r="E80" s="47"/>
      <c r="F80" s="10">
        <v>0</v>
      </c>
      <c r="G80" s="10">
        <v>0</v>
      </c>
      <c r="H80" s="50">
        <v>0</v>
      </c>
      <c r="I80" s="50">
        <v>0</v>
      </c>
      <c r="J80" s="50">
        <v>0</v>
      </c>
      <c r="K80" s="39" t="s">
        <v>30</v>
      </c>
      <c r="L80" s="11">
        <f t="shared" si="15"/>
        <v>0</v>
      </c>
      <c r="M80" s="10">
        <f t="shared" si="14"/>
        <v>0</v>
      </c>
      <c r="N80" s="10">
        <f t="shared" si="16"/>
        <v>0</v>
      </c>
      <c r="O80" s="10">
        <v>0</v>
      </c>
      <c r="P80" s="10">
        <f t="shared" si="17"/>
        <v>0</v>
      </c>
      <c r="Q80" s="17">
        <v>-16.90625</v>
      </c>
      <c r="R80" s="18">
        <f t="shared" si="18"/>
        <v>-16.90625</v>
      </c>
      <c r="S80" s="19">
        <f t="shared" si="19"/>
        <v>0</v>
      </c>
      <c r="T80" s="20">
        <f t="shared" si="20"/>
        <v>-16.90625</v>
      </c>
    </row>
    <row r="81" spans="1:20" ht="17.399999999999999">
      <c r="A81" s="9">
        <v>1</v>
      </c>
      <c r="B81" s="8">
        <v>228</v>
      </c>
      <c r="C81" s="8">
        <v>1287481910</v>
      </c>
      <c r="D81" s="42" t="s">
        <v>109</v>
      </c>
      <c r="E81" s="42"/>
      <c r="F81" s="10">
        <v>0</v>
      </c>
      <c r="G81" s="10">
        <v>0</v>
      </c>
      <c r="H81" s="50">
        <v>0</v>
      </c>
      <c r="I81" s="50">
        <v>0</v>
      </c>
      <c r="J81" s="50">
        <v>0</v>
      </c>
      <c r="K81" s="39" t="s">
        <v>30</v>
      </c>
      <c r="L81" s="11">
        <f t="shared" si="15"/>
        <v>0</v>
      </c>
      <c r="M81" s="10">
        <f t="shared" si="14"/>
        <v>0</v>
      </c>
      <c r="N81" s="10">
        <f t="shared" si="16"/>
        <v>0</v>
      </c>
      <c r="O81" s="10">
        <v>0</v>
      </c>
      <c r="P81" s="10">
        <f t="shared" si="17"/>
        <v>0</v>
      </c>
      <c r="Q81" s="17">
        <v>-16.90625</v>
      </c>
      <c r="R81" s="18">
        <f t="shared" si="18"/>
        <v>-16.90625</v>
      </c>
      <c r="S81" s="19">
        <f t="shared" si="19"/>
        <v>0</v>
      </c>
      <c r="T81" s="20">
        <f t="shared" si="20"/>
        <v>-16.90625</v>
      </c>
    </row>
    <row r="82" spans="1:20" ht="17.399999999999999">
      <c r="A82" s="70">
        <v>1</v>
      </c>
      <c r="B82" s="8">
        <v>219</v>
      </c>
      <c r="C82" s="8">
        <v>1128309198</v>
      </c>
      <c r="D82" s="42" t="s">
        <v>93</v>
      </c>
      <c r="E82" s="47"/>
      <c r="F82" s="10">
        <v>0</v>
      </c>
      <c r="G82" s="10">
        <v>0</v>
      </c>
      <c r="H82" s="50">
        <v>0</v>
      </c>
      <c r="I82" s="50">
        <v>0</v>
      </c>
      <c r="J82" s="50">
        <v>0</v>
      </c>
      <c r="K82" s="39" t="s">
        <v>30</v>
      </c>
      <c r="L82" s="11">
        <f t="shared" si="15"/>
        <v>0</v>
      </c>
      <c r="M82" s="10">
        <f t="shared" si="14"/>
        <v>0</v>
      </c>
      <c r="N82" s="10">
        <f t="shared" si="16"/>
        <v>0</v>
      </c>
      <c r="O82" s="10">
        <v>0</v>
      </c>
      <c r="P82" s="10">
        <f t="shared" si="17"/>
        <v>0</v>
      </c>
      <c r="Q82" s="17">
        <v>-16.90625</v>
      </c>
      <c r="R82" s="18">
        <f t="shared" si="18"/>
        <v>-16.90625</v>
      </c>
      <c r="S82" s="19">
        <f t="shared" si="19"/>
        <v>0</v>
      </c>
      <c r="T82" s="20">
        <f t="shared" si="20"/>
        <v>-16.90625</v>
      </c>
    </row>
    <row r="83" spans="1:20" ht="17.399999999999999">
      <c r="A83" s="9">
        <v>1</v>
      </c>
      <c r="B83" s="8">
        <v>233</v>
      </c>
      <c r="C83" s="8">
        <v>1963965829</v>
      </c>
      <c r="D83" s="42" t="s">
        <v>114</v>
      </c>
      <c r="F83" s="10">
        <v>0</v>
      </c>
      <c r="G83" s="10">
        <v>0</v>
      </c>
      <c r="H83" s="50">
        <v>0</v>
      </c>
      <c r="I83" s="50">
        <v>0</v>
      </c>
      <c r="J83" s="50">
        <v>0</v>
      </c>
      <c r="K83" s="39" t="s">
        <v>30</v>
      </c>
      <c r="L83" s="11">
        <f t="shared" si="15"/>
        <v>0</v>
      </c>
      <c r="M83" s="10">
        <f t="shared" si="14"/>
        <v>0</v>
      </c>
      <c r="N83" s="10">
        <f t="shared" si="16"/>
        <v>0</v>
      </c>
      <c r="O83" s="10">
        <v>0</v>
      </c>
      <c r="P83" s="10">
        <f t="shared" si="17"/>
        <v>0</v>
      </c>
      <c r="Q83" s="17">
        <v>-16.90625</v>
      </c>
      <c r="R83" s="18">
        <f t="shared" si="18"/>
        <v>-16.90625</v>
      </c>
      <c r="S83" s="19">
        <f t="shared" si="19"/>
        <v>0</v>
      </c>
      <c r="T83" s="20">
        <f t="shared" si="20"/>
        <v>-16.90625</v>
      </c>
    </row>
  </sheetData>
  <autoFilter ref="A4:W83" xr:uid="{28593B8F-03E7-4BE1-B554-FC0AADC431B2}">
    <filterColumn colId="0">
      <filters>
        <filter val="1"/>
      </filters>
    </filterColumn>
    <sortState xmlns:xlrd2="http://schemas.microsoft.com/office/spreadsheetml/2017/richdata2" ref="A5:W83">
      <sortCondition descending="1" ref="R4:R83"/>
    </sortState>
  </autoFilter>
  <mergeCells count="5">
    <mergeCell ref="B1:T1"/>
    <mergeCell ref="B2:T2"/>
    <mergeCell ref="B3:E3"/>
    <mergeCell ref="H3:J3"/>
    <mergeCell ref="K3:T3"/>
  </mergeCells>
  <conditionalFormatting sqref="O5:O82 F5:J83">
    <cfRule type="cellIs" dxfId="3" priority="2" operator="lessThan">
      <formula>1</formula>
    </cfRule>
  </conditionalFormatting>
  <conditionalFormatting sqref="O83">
    <cfRule type="cellIs" dxfId="2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2687-911F-48ED-836A-6F5C92C36203}">
  <sheetPr filterMode="1"/>
  <dimension ref="A1:AC83"/>
  <sheetViews>
    <sheetView tabSelected="1" zoomScale="85" zoomScaleNormal="85" workbookViewId="0">
      <selection activeCell="A3" sqref="A3"/>
    </sheetView>
  </sheetViews>
  <sheetFormatPr defaultColWidth="9" defaultRowHeight="14.4"/>
  <cols>
    <col min="1" max="1" width="6.44140625" customWidth="1"/>
    <col min="2" max="2" width="6.6640625" style="4" customWidth="1"/>
    <col min="3" max="3" width="19.77734375" style="5" customWidth="1"/>
    <col min="4" max="4" width="21.21875" style="5" customWidth="1"/>
    <col min="5" max="5" width="18.33203125" style="4" customWidth="1"/>
    <col min="6" max="6" width="13.109375" style="4" customWidth="1"/>
    <col min="7" max="7" width="13.77734375" style="4" customWidth="1"/>
    <col min="8" max="8" width="5.77734375" style="4" customWidth="1"/>
    <col min="9" max="9" width="5.88671875" style="4" customWidth="1"/>
    <col min="10" max="10" width="5.77734375" style="4" customWidth="1"/>
    <col min="11" max="11" width="20" style="4" customWidth="1"/>
    <col min="12" max="12" width="9" style="4" customWidth="1"/>
    <col min="13" max="13" width="12.109375" style="4" customWidth="1"/>
    <col min="14" max="14" width="11.33203125" style="4" customWidth="1"/>
    <col min="15" max="15" width="10" style="4" customWidth="1"/>
    <col min="16" max="16" width="9" style="4" customWidth="1"/>
    <col min="17" max="17" width="12.88671875" style="4" customWidth="1"/>
    <col min="18" max="18" width="12" style="4" customWidth="1"/>
    <col min="19" max="19" width="9.21875" style="4" customWidth="1"/>
    <col min="20" max="20" width="12.6640625" style="4" customWidth="1"/>
    <col min="21" max="23" width="11.109375" style="21" customWidth="1"/>
    <col min="24" max="24" width="22.44140625" customWidth="1"/>
  </cols>
  <sheetData>
    <row r="1" spans="1:29" ht="36.6" customHeight="1">
      <c r="B1" s="99" t="str">
        <f>CONCATENATE("157区 活动中心",Y15,"年",Y16,"月",Y17,"日","分包贡献明细"," 统计：一二三")</f>
        <v>157区 活动中心2022年1月2日分包贡献明细 统计：一二三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62"/>
      <c r="V1" s="62"/>
      <c r="W1" s="62"/>
      <c r="X1" s="22" t="s">
        <v>12</v>
      </c>
      <c r="Y1" s="5">
        <v>63</v>
      </c>
      <c r="Z1" s="3"/>
      <c r="AA1" s="3"/>
      <c r="AB1" s="3"/>
      <c r="AC1" s="3"/>
    </row>
    <row r="2" spans="1:29" ht="123" customHeight="1">
      <c r="B2" s="101" t="s">
        <v>126</v>
      </c>
      <c r="C2" s="102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63"/>
      <c r="V2" s="63"/>
      <c r="W2" s="63"/>
      <c r="X2" s="23" t="s">
        <v>0</v>
      </c>
      <c r="Y2" s="24" t="s">
        <v>13</v>
      </c>
      <c r="Z2" s="25" t="s">
        <v>14</v>
      </c>
      <c r="AA2" s="25" t="s">
        <v>15</v>
      </c>
      <c r="AB2" s="25" t="s">
        <v>56</v>
      </c>
      <c r="AC2" s="26" t="s">
        <v>16</v>
      </c>
    </row>
    <row r="3" spans="1:29" ht="20.399999999999999">
      <c r="A3">
        <f>COUNTIF(K:K,"a跨服传说礼包")</f>
        <v>8</v>
      </c>
      <c r="B3" s="104" t="s">
        <v>20</v>
      </c>
      <c r="C3" s="104"/>
      <c r="D3" s="104"/>
      <c r="E3" s="104"/>
      <c r="F3" s="64" t="s">
        <v>17</v>
      </c>
      <c r="G3" s="65" t="s">
        <v>39</v>
      </c>
      <c r="H3" s="105" t="s">
        <v>99</v>
      </c>
      <c r="I3" s="105"/>
      <c r="J3" s="105"/>
      <c r="K3" s="106" t="s">
        <v>21</v>
      </c>
      <c r="L3" s="107"/>
      <c r="M3" s="107"/>
      <c r="N3" s="107"/>
      <c r="O3" s="107"/>
      <c r="P3" s="107"/>
      <c r="Q3" s="107"/>
      <c r="R3" s="107"/>
      <c r="S3" s="107"/>
      <c r="T3" s="108"/>
      <c r="U3" s="61"/>
      <c r="V3" s="61"/>
      <c r="W3" s="61"/>
      <c r="X3" s="27" t="s">
        <v>22</v>
      </c>
      <c r="Y3" s="28">
        <f>AC3/$Y$13</f>
        <v>11.875</v>
      </c>
      <c r="Z3" s="23">
        <v>5</v>
      </c>
      <c r="AA3" s="23">
        <v>7</v>
      </c>
      <c r="AB3" s="23">
        <v>20</v>
      </c>
      <c r="AC3" s="23">
        <v>1900</v>
      </c>
    </row>
    <row r="4" spans="1:29" ht="40.799999999999997">
      <c r="A4" s="98" t="s">
        <v>117</v>
      </c>
      <c r="B4" s="98" t="s">
        <v>2</v>
      </c>
      <c r="C4" s="60" t="s">
        <v>23</v>
      </c>
      <c r="D4" s="98" t="s">
        <v>3</v>
      </c>
      <c r="E4" s="98" t="s">
        <v>4</v>
      </c>
      <c r="F4" s="6" t="s">
        <v>40</v>
      </c>
      <c r="G4" s="7" t="s">
        <v>91</v>
      </c>
      <c r="H4" s="7" t="s">
        <v>100</v>
      </c>
      <c r="I4" s="7" t="s">
        <v>101</v>
      </c>
      <c r="J4" s="7" t="s">
        <v>102</v>
      </c>
      <c r="K4" s="6" t="s">
        <v>5</v>
      </c>
      <c r="L4" s="6" t="s">
        <v>24</v>
      </c>
      <c r="M4" s="7" t="s">
        <v>41</v>
      </c>
      <c r="N4" s="7" t="s">
        <v>104</v>
      </c>
      <c r="O4" s="7" t="s">
        <v>45</v>
      </c>
      <c r="P4" s="15" t="s">
        <v>25</v>
      </c>
      <c r="Q4" s="60" t="s">
        <v>26</v>
      </c>
      <c r="R4" s="16" t="s">
        <v>7</v>
      </c>
      <c r="S4" s="60" t="s">
        <v>6</v>
      </c>
      <c r="T4" s="60" t="s">
        <v>27</v>
      </c>
      <c r="U4" s="60" t="s">
        <v>18</v>
      </c>
      <c r="V4" s="60" t="s">
        <v>19</v>
      </c>
      <c r="W4" s="60" t="s">
        <v>1</v>
      </c>
      <c r="X4" s="29" t="s">
        <v>28</v>
      </c>
      <c r="Y4" s="28">
        <f>AC4/$Y$13</f>
        <v>9.6875</v>
      </c>
      <c r="Z4" s="23">
        <v>4</v>
      </c>
      <c r="AA4" s="23">
        <v>6</v>
      </c>
      <c r="AB4" s="23">
        <v>15</v>
      </c>
      <c r="AC4" s="23">
        <v>1550</v>
      </c>
    </row>
    <row r="5" spans="1:29" s="1" customFormat="1" ht="17.399999999999999">
      <c r="A5" s="9">
        <v>1</v>
      </c>
      <c r="B5" s="8">
        <v>182</v>
      </c>
      <c r="C5" s="8">
        <v>828260319</v>
      </c>
      <c r="D5" s="42" t="s">
        <v>146</v>
      </c>
      <c r="E5" s="42" t="s">
        <v>134</v>
      </c>
      <c r="F5" s="10">
        <v>3</v>
      </c>
      <c r="G5" s="10">
        <v>0</v>
      </c>
      <c r="H5" s="50">
        <v>0</v>
      </c>
      <c r="I5" s="50">
        <v>0</v>
      </c>
      <c r="J5" s="50">
        <v>1</v>
      </c>
      <c r="K5" s="27" t="s">
        <v>22</v>
      </c>
      <c r="L5" s="11">
        <f t="shared" ref="L5:L36" si="0">F5+IF(F5&gt;2,(F5-2)*1,0)</f>
        <v>4</v>
      </c>
      <c r="M5" s="10">
        <f>G5*$Y$14</f>
        <v>0</v>
      </c>
      <c r="N5" s="10">
        <f t="shared" ref="N5:N36" si="1">SUM(H5:J5)*$Y$18</f>
        <v>0.4</v>
      </c>
      <c r="O5" s="10">
        <v>0</v>
      </c>
      <c r="P5" s="10">
        <f t="shared" ref="P5:P36" si="2">SUM(M5+L5+O5+N5)</f>
        <v>4.4000000000000004</v>
      </c>
      <c r="Q5" s="17">
        <v>16.243749999999999</v>
      </c>
      <c r="R5" s="18">
        <f t="shared" ref="R5:R36" si="3">P5+Q5</f>
        <v>20.643749999999997</v>
      </c>
      <c r="S5" s="19">
        <f t="shared" ref="S5:S36" si="4">VLOOKUP(K5,$X$3:$Y$10,2,FALSE)</f>
        <v>11.875</v>
      </c>
      <c r="T5" s="20">
        <f t="shared" ref="T5:T36" si="5">R5-S5</f>
        <v>8.7687499999999972</v>
      </c>
      <c r="U5" s="4"/>
      <c r="V5" s="4"/>
      <c r="W5" s="4"/>
      <c r="X5" s="14" t="s">
        <v>29</v>
      </c>
      <c r="Y5" s="28">
        <f>AC5/$Y$13/4</f>
        <v>1.875</v>
      </c>
      <c r="Z5" s="30">
        <v>3</v>
      </c>
      <c r="AA5" s="30">
        <v>5</v>
      </c>
      <c r="AB5" s="30">
        <v>10</v>
      </c>
      <c r="AC5" s="30">
        <v>1200</v>
      </c>
    </row>
    <row r="6" spans="1:29" s="1" customFormat="1" ht="20.399999999999999" hidden="1">
      <c r="A6" s="9">
        <v>0</v>
      </c>
      <c r="B6" s="8">
        <v>229</v>
      </c>
      <c r="C6" s="8">
        <v>1598972736</v>
      </c>
      <c r="D6" s="42" t="s">
        <v>110</v>
      </c>
      <c r="E6" s="42"/>
      <c r="F6" s="10">
        <v>0</v>
      </c>
      <c r="G6" s="10">
        <v>0</v>
      </c>
      <c r="H6" s="50">
        <v>0</v>
      </c>
      <c r="I6" s="50">
        <v>0</v>
      </c>
      <c r="J6" s="50">
        <v>0</v>
      </c>
      <c r="K6" s="39" t="s">
        <v>30</v>
      </c>
      <c r="L6" s="11">
        <f t="shared" si="0"/>
        <v>0</v>
      </c>
      <c r="M6" s="10">
        <f>G6*$Y$14</f>
        <v>0</v>
      </c>
      <c r="N6" s="10">
        <f t="shared" si="1"/>
        <v>0</v>
      </c>
      <c r="O6" s="10">
        <v>0</v>
      </c>
      <c r="P6" s="10">
        <f t="shared" si="2"/>
        <v>0</v>
      </c>
      <c r="Q6" s="17">
        <v>13.556249999999995</v>
      </c>
      <c r="R6" s="18">
        <f t="shared" si="3"/>
        <v>13.556249999999995</v>
      </c>
      <c r="S6" s="19">
        <f t="shared" si="4"/>
        <v>0</v>
      </c>
      <c r="T6" s="20">
        <f t="shared" si="5"/>
        <v>13.556249999999995</v>
      </c>
      <c r="U6" s="4"/>
      <c r="V6" s="4"/>
      <c r="W6" s="4"/>
      <c r="X6" s="14"/>
      <c r="Y6" s="28"/>
      <c r="Z6" s="30"/>
      <c r="AA6" s="30"/>
      <c r="AB6" s="30"/>
      <c r="AC6" s="30"/>
    </row>
    <row r="7" spans="1:29" s="1" customFormat="1" ht="17.399999999999999">
      <c r="A7" s="9">
        <v>1</v>
      </c>
      <c r="B7" s="8">
        <v>248</v>
      </c>
      <c r="C7" s="8">
        <v>1886132205</v>
      </c>
      <c r="D7" s="42" t="s">
        <v>159</v>
      </c>
      <c r="E7" s="42" t="s">
        <v>143</v>
      </c>
      <c r="F7" s="10">
        <v>3</v>
      </c>
      <c r="G7" s="10">
        <v>0</v>
      </c>
      <c r="H7" s="50">
        <v>0</v>
      </c>
      <c r="I7" s="50">
        <v>1</v>
      </c>
      <c r="J7" s="50">
        <v>1</v>
      </c>
      <c r="K7" s="27" t="s">
        <v>22</v>
      </c>
      <c r="L7" s="11">
        <f t="shared" si="0"/>
        <v>4</v>
      </c>
      <c r="M7" s="10">
        <f>G7*$Y$14</f>
        <v>0</v>
      </c>
      <c r="N7" s="10">
        <f t="shared" si="1"/>
        <v>0.8</v>
      </c>
      <c r="O7" s="10">
        <v>0</v>
      </c>
      <c r="P7" s="10">
        <f t="shared" si="2"/>
        <v>4.8</v>
      </c>
      <c r="Q7" s="17">
        <v>15.656249999999996</v>
      </c>
      <c r="R7" s="18">
        <f t="shared" si="3"/>
        <v>20.456249999999997</v>
      </c>
      <c r="S7" s="19">
        <f t="shared" si="4"/>
        <v>11.875</v>
      </c>
      <c r="T7" s="20">
        <f t="shared" si="5"/>
        <v>8.5812499999999972</v>
      </c>
      <c r="U7" s="4"/>
      <c r="V7" s="4"/>
      <c r="W7" s="4"/>
      <c r="X7" s="12" t="s">
        <v>51</v>
      </c>
      <c r="Y7" s="28">
        <f>AC7/$Y$13</f>
        <v>8.125</v>
      </c>
      <c r="Z7" s="30">
        <v>4</v>
      </c>
      <c r="AA7" s="30">
        <v>5</v>
      </c>
      <c r="AB7" s="30"/>
      <c r="AC7" s="30">
        <v>1300</v>
      </c>
    </row>
    <row r="8" spans="1:29" s="1" customFormat="1" ht="20.399999999999999">
      <c r="A8" s="9">
        <v>1</v>
      </c>
      <c r="B8" s="9">
        <v>49</v>
      </c>
      <c r="C8" s="8">
        <v>311361673</v>
      </c>
      <c r="D8" s="43" t="s">
        <v>105</v>
      </c>
      <c r="E8" s="49" t="s">
        <v>11</v>
      </c>
      <c r="F8" s="10">
        <v>3</v>
      </c>
      <c r="G8" s="10">
        <v>0</v>
      </c>
      <c r="H8" s="50">
        <v>0</v>
      </c>
      <c r="I8" s="50">
        <v>1</v>
      </c>
      <c r="J8" s="50">
        <v>1</v>
      </c>
      <c r="K8" s="27" t="s">
        <v>22</v>
      </c>
      <c r="L8" s="11">
        <f t="shared" si="0"/>
        <v>4</v>
      </c>
      <c r="M8" s="10">
        <f>IF(G8&gt;0,1,0)*$Y$14</f>
        <v>0</v>
      </c>
      <c r="N8" s="10">
        <f t="shared" si="1"/>
        <v>0.8</v>
      </c>
      <c r="O8" s="10">
        <v>0</v>
      </c>
      <c r="P8" s="10">
        <f t="shared" si="2"/>
        <v>4.8</v>
      </c>
      <c r="Q8" s="17">
        <v>15.356249999999989</v>
      </c>
      <c r="R8" s="18">
        <f t="shared" si="3"/>
        <v>20.156249999999989</v>
      </c>
      <c r="S8" s="19">
        <f t="shared" si="4"/>
        <v>11.875</v>
      </c>
      <c r="T8" s="20">
        <f t="shared" si="5"/>
        <v>8.2812499999999893</v>
      </c>
      <c r="U8" s="11"/>
      <c r="V8" s="11"/>
      <c r="W8" s="11"/>
      <c r="X8" s="13" t="s">
        <v>52</v>
      </c>
      <c r="Y8" s="28">
        <f>AC8/$Y$13</f>
        <v>6.25</v>
      </c>
      <c r="Z8" s="30">
        <v>3</v>
      </c>
      <c r="AA8" s="30">
        <v>4</v>
      </c>
      <c r="AB8" s="30"/>
      <c r="AC8" s="30">
        <v>1000</v>
      </c>
    </row>
    <row r="9" spans="1:29" s="1" customFormat="1" ht="17.399999999999999">
      <c r="A9" s="9">
        <v>1</v>
      </c>
      <c r="B9" s="9">
        <v>230</v>
      </c>
      <c r="C9" s="8">
        <v>1076026693</v>
      </c>
      <c r="D9" s="42" t="s">
        <v>111</v>
      </c>
      <c r="E9" s="4"/>
      <c r="F9" s="10">
        <v>3</v>
      </c>
      <c r="G9" s="10">
        <v>0</v>
      </c>
      <c r="H9" s="50">
        <v>0</v>
      </c>
      <c r="I9" s="50">
        <v>0</v>
      </c>
      <c r="J9" s="50">
        <v>0</v>
      </c>
      <c r="K9" s="27" t="s">
        <v>22</v>
      </c>
      <c r="L9" s="11">
        <f t="shared" si="0"/>
        <v>4</v>
      </c>
      <c r="M9" s="10">
        <f t="shared" ref="M9:M40" si="6">G9*$Y$14</f>
        <v>0</v>
      </c>
      <c r="N9" s="10">
        <f t="shared" si="1"/>
        <v>0</v>
      </c>
      <c r="O9" s="10">
        <v>0</v>
      </c>
      <c r="P9" s="10">
        <f t="shared" si="2"/>
        <v>4</v>
      </c>
      <c r="Q9" s="17">
        <v>16.150000000000016</v>
      </c>
      <c r="R9" s="18">
        <f t="shared" si="3"/>
        <v>20.150000000000016</v>
      </c>
      <c r="S9" s="19">
        <f t="shared" si="4"/>
        <v>11.875</v>
      </c>
      <c r="T9" s="20">
        <f t="shared" si="5"/>
        <v>8.2750000000000163</v>
      </c>
      <c r="U9" s="4"/>
      <c r="V9" s="4"/>
      <c r="W9" s="4"/>
      <c r="X9" s="14" t="s">
        <v>53</v>
      </c>
      <c r="Y9" s="28">
        <f>AC9/$Y$13/4</f>
        <v>1.09375</v>
      </c>
      <c r="Z9" s="30">
        <v>2</v>
      </c>
      <c r="AA9" s="30">
        <v>3</v>
      </c>
      <c r="AB9" s="30"/>
      <c r="AC9" s="30">
        <v>700</v>
      </c>
    </row>
    <row r="10" spans="1:29" s="1" customFormat="1" ht="17.399999999999999" hidden="1">
      <c r="A10" s="9">
        <v>0</v>
      </c>
      <c r="B10" s="8">
        <v>187</v>
      </c>
      <c r="C10" s="8">
        <v>1241038267</v>
      </c>
      <c r="D10" s="42" t="s">
        <v>69</v>
      </c>
      <c r="E10" s="47"/>
      <c r="F10" s="10">
        <v>0</v>
      </c>
      <c r="G10" s="10">
        <v>0</v>
      </c>
      <c r="H10" s="50">
        <v>0</v>
      </c>
      <c r="I10" s="50">
        <v>0</v>
      </c>
      <c r="J10" s="50">
        <v>0</v>
      </c>
      <c r="K10" s="39" t="s">
        <v>30</v>
      </c>
      <c r="L10" s="11">
        <f t="shared" si="0"/>
        <v>0</v>
      </c>
      <c r="M10" s="10">
        <f t="shared" si="6"/>
        <v>0</v>
      </c>
      <c r="N10" s="10">
        <f t="shared" si="1"/>
        <v>0</v>
      </c>
      <c r="O10" s="10">
        <v>0</v>
      </c>
      <c r="P10" s="10">
        <f t="shared" si="2"/>
        <v>0</v>
      </c>
      <c r="Q10" s="17">
        <v>12.356249999999992</v>
      </c>
      <c r="R10" s="18">
        <f t="shared" si="3"/>
        <v>12.356249999999992</v>
      </c>
      <c r="S10" s="19">
        <f t="shared" si="4"/>
        <v>0</v>
      </c>
      <c r="T10" s="20">
        <f t="shared" si="5"/>
        <v>12.356249999999992</v>
      </c>
      <c r="U10" s="4"/>
      <c r="V10" s="4"/>
      <c r="W10" s="4"/>
      <c r="X10" s="33" t="s">
        <v>30</v>
      </c>
      <c r="Y10" s="2">
        <v>0</v>
      </c>
      <c r="Z10" s="2"/>
      <c r="AA10" s="2"/>
      <c r="AB10" s="2"/>
      <c r="AC10" s="2"/>
    </row>
    <row r="11" spans="1:29" s="1" customFormat="1" ht="17.399999999999999">
      <c r="A11" s="9">
        <v>1</v>
      </c>
      <c r="B11" s="8">
        <v>247</v>
      </c>
      <c r="C11" s="8">
        <v>520310894</v>
      </c>
      <c r="D11" s="42" t="s">
        <v>142</v>
      </c>
      <c r="E11" s="4"/>
      <c r="F11" s="10">
        <v>3</v>
      </c>
      <c r="G11" s="10">
        <v>0</v>
      </c>
      <c r="H11" s="50">
        <v>0</v>
      </c>
      <c r="I11" s="50">
        <v>1</v>
      </c>
      <c r="J11" s="50">
        <v>1</v>
      </c>
      <c r="K11" s="27" t="s">
        <v>22</v>
      </c>
      <c r="L11" s="11">
        <f t="shared" si="0"/>
        <v>4</v>
      </c>
      <c r="M11" s="10">
        <f t="shared" si="6"/>
        <v>0</v>
      </c>
      <c r="N11" s="10">
        <f t="shared" si="1"/>
        <v>0.8</v>
      </c>
      <c r="O11" s="10">
        <v>0</v>
      </c>
      <c r="P11" s="10">
        <f t="shared" si="2"/>
        <v>4.8</v>
      </c>
      <c r="Q11" s="17">
        <v>15.231249999999985</v>
      </c>
      <c r="R11" s="18">
        <f t="shared" si="3"/>
        <v>20.031249999999986</v>
      </c>
      <c r="S11" s="19">
        <f t="shared" si="4"/>
        <v>11.875</v>
      </c>
      <c r="T11" s="20">
        <f t="shared" si="5"/>
        <v>8.1562499999999858</v>
      </c>
      <c r="U11" s="4"/>
      <c r="V11" s="4"/>
      <c r="W11" s="4"/>
      <c r="X11" s="34"/>
    </row>
    <row r="12" spans="1:29" s="1" customFormat="1" ht="17.399999999999999">
      <c r="A12" s="9">
        <v>1</v>
      </c>
      <c r="B12" s="8">
        <v>243</v>
      </c>
      <c r="C12" s="8">
        <v>11135522555</v>
      </c>
      <c r="D12" s="42" t="s">
        <v>133</v>
      </c>
      <c r="E12" s="4"/>
      <c r="F12" s="10">
        <v>3</v>
      </c>
      <c r="G12" s="10">
        <v>0</v>
      </c>
      <c r="H12" s="50">
        <v>0</v>
      </c>
      <c r="I12" s="50">
        <v>0</v>
      </c>
      <c r="J12" s="50">
        <v>0</v>
      </c>
      <c r="K12" s="27" t="s">
        <v>22</v>
      </c>
      <c r="L12" s="11">
        <f t="shared" si="0"/>
        <v>4</v>
      </c>
      <c r="M12" s="10">
        <f t="shared" si="6"/>
        <v>0</v>
      </c>
      <c r="N12" s="10">
        <f t="shared" si="1"/>
        <v>0</v>
      </c>
      <c r="O12" s="10">
        <v>0</v>
      </c>
      <c r="P12" s="10">
        <f t="shared" si="2"/>
        <v>4</v>
      </c>
      <c r="Q12" s="17">
        <v>15.987499999999983</v>
      </c>
      <c r="R12" s="18">
        <f t="shared" si="3"/>
        <v>19.987499999999983</v>
      </c>
      <c r="S12" s="19">
        <f t="shared" si="4"/>
        <v>11.875</v>
      </c>
      <c r="T12" s="20">
        <f t="shared" si="5"/>
        <v>8.1124999999999829</v>
      </c>
      <c r="U12" s="4"/>
      <c r="V12" s="4"/>
      <c r="W12" s="4"/>
      <c r="X12" s="35" t="s">
        <v>32</v>
      </c>
      <c r="Y12" s="1">
        <v>15000</v>
      </c>
    </row>
    <row r="13" spans="1:29" s="2" customFormat="1" ht="17.399999999999999">
      <c r="A13" s="9">
        <v>1</v>
      </c>
      <c r="B13" s="9">
        <v>26</v>
      </c>
      <c r="C13" s="8">
        <v>1754932067</v>
      </c>
      <c r="D13" s="42" t="s">
        <v>58</v>
      </c>
      <c r="E13" s="42" t="s">
        <v>9</v>
      </c>
      <c r="F13" s="10">
        <v>3</v>
      </c>
      <c r="G13" s="10">
        <v>0</v>
      </c>
      <c r="H13" s="50">
        <v>0</v>
      </c>
      <c r="I13" s="50">
        <v>1</v>
      </c>
      <c r="J13" s="50">
        <v>1</v>
      </c>
      <c r="K13" s="27" t="s">
        <v>22</v>
      </c>
      <c r="L13" s="11">
        <f t="shared" si="0"/>
        <v>4</v>
      </c>
      <c r="M13" s="10">
        <f t="shared" si="6"/>
        <v>0</v>
      </c>
      <c r="N13" s="10">
        <f t="shared" si="1"/>
        <v>0.8</v>
      </c>
      <c r="O13" s="10">
        <v>0</v>
      </c>
      <c r="P13" s="10">
        <f t="shared" si="2"/>
        <v>4.8</v>
      </c>
      <c r="Q13" s="17">
        <v>15.093749999999989</v>
      </c>
      <c r="R13" s="18">
        <f t="shared" si="3"/>
        <v>19.89374999999999</v>
      </c>
      <c r="S13" s="19">
        <f t="shared" si="4"/>
        <v>11.875</v>
      </c>
      <c r="T13" s="20">
        <f t="shared" si="5"/>
        <v>8.0187499999999901</v>
      </c>
      <c r="U13" s="11"/>
      <c r="V13" s="11"/>
      <c r="W13" s="11"/>
      <c r="X13" s="36" t="s">
        <v>33</v>
      </c>
      <c r="Y13" s="37">
        <v>160</v>
      </c>
      <c r="Z13" s="1"/>
      <c r="AA13" s="1"/>
      <c r="AB13" s="1"/>
      <c r="AC13" s="1"/>
    </row>
    <row r="14" spans="1:29" s="2" customFormat="1" ht="17.399999999999999">
      <c r="A14" s="9">
        <v>1</v>
      </c>
      <c r="B14" s="8">
        <v>174</v>
      </c>
      <c r="C14" s="8">
        <v>775720958</v>
      </c>
      <c r="D14" s="42" t="s">
        <v>79</v>
      </c>
      <c r="E14" s="42" t="s">
        <v>49</v>
      </c>
      <c r="F14" s="10">
        <v>3</v>
      </c>
      <c r="G14" s="10">
        <v>0</v>
      </c>
      <c r="H14" s="50">
        <v>0</v>
      </c>
      <c r="I14" s="50">
        <v>1</v>
      </c>
      <c r="J14" s="50">
        <v>0</v>
      </c>
      <c r="K14" s="27" t="s">
        <v>22</v>
      </c>
      <c r="L14" s="11">
        <f t="shared" si="0"/>
        <v>4</v>
      </c>
      <c r="M14" s="10">
        <f t="shared" si="6"/>
        <v>0</v>
      </c>
      <c r="N14" s="10">
        <f t="shared" si="1"/>
        <v>0.4</v>
      </c>
      <c r="O14" s="10">
        <v>0</v>
      </c>
      <c r="P14" s="10">
        <f t="shared" si="2"/>
        <v>4.4000000000000004</v>
      </c>
      <c r="Q14" s="17">
        <v>15.418249999999983</v>
      </c>
      <c r="R14" s="18">
        <f t="shared" si="3"/>
        <v>19.818249999999985</v>
      </c>
      <c r="S14" s="19">
        <f t="shared" si="4"/>
        <v>11.875</v>
      </c>
      <c r="T14" s="20">
        <f t="shared" si="5"/>
        <v>7.9432499999999848</v>
      </c>
      <c r="U14" s="4"/>
      <c r="V14" s="4"/>
      <c r="W14" s="4"/>
      <c r="X14" s="38" t="s">
        <v>42</v>
      </c>
      <c r="Y14" s="37">
        <v>1.2</v>
      </c>
      <c r="Z14" s="1"/>
      <c r="AA14" s="1"/>
      <c r="AB14" s="1"/>
      <c r="AC14" s="1"/>
    </row>
    <row r="15" spans="1:29" s="2" customFormat="1" ht="17.399999999999999">
      <c r="A15" s="9">
        <v>1</v>
      </c>
      <c r="B15" s="8">
        <v>178</v>
      </c>
      <c r="C15" s="8">
        <v>1059185275</v>
      </c>
      <c r="D15" s="42" t="s">
        <v>66</v>
      </c>
      <c r="E15" s="47"/>
      <c r="F15" s="10">
        <v>3</v>
      </c>
      <c r="G15" s="10">
        <v>0</v>
      </c>
      <c r="H15" s="50">
        <v>0</v>
      </c>
      <c r="I15" s="50">
        <v>1</v>
      </c>
      <c r="J15" s="50">
        <v>1</v>
      </c>
      <c r="K15" s="29" t="s">
        <v>28</v>
      </c>
      <c r="L15" s="11">
        <f t="shared" si="0"/>
        <v>4</v>
      </c>
      <c r="M15" s="10">
        <f t="shared" si="6"/>
        <v>0</v>
      </c>
      <c r="N15" s="10">
        <f t="shared" si="1"/>
        <v>0.8</v>
      </c>
      <c r="O15" s="10">
        <v>0</v>
      </c>
      <c r="P15" s="10">
        <f t="shared" si="2"/>
        <v>4.8</v>
      </c>
      <c r="Q15" s="17">
        <v>14.917500000000015</v>
      </c>
      <c r="R15" s="18">
        <f t="shared" si="3"/>
        <v>19.717500000000015</v>
      </c>
      <c r="S15" s="19">
        <f t="shared" si="4"/>
        <v>9.6875</v>
      </c>
      <c r="T15" s="20">
        <f t="shared" si="5"/>
        <v>10.030000000000015</v>
      </c>
      <c r="U15" s="4"/>
      <c r="V15" s="4"/>
      <c r="W15" s="4"/>
      <c r="X15" s="1" t="s">
        <v>34</v>
      </c>
      <c r="Y15" s="37">
        <v>2022</v>
      </c>
      <c r="Z15" s="1"/>
      <c r="AA15" s="1"/>
      <c r="AB15" s="1"/>
      <c r="AC15" s="1"/>
    </row>
    <row r="16" spans="1:29" s="2" customFormat="1" ht="17.399999999999999">
      <c r="A16" s="9">
        <v>1</v>
      </c>
      <c r="B16" s="8">
        <v>128</v>
      </c>
      <c r="C16" s="8">
        <v>1214614935</v>
      </c>
      <c r="D16" s="42" t="s">
        <v>62</v>
      </c>
      <c r="E16" s="49" t="s">
        <v>43</v>
      </c>
      <c r="F16" s="10">
        <v>3</v>
      </c>
      <c r="G16" s="10">
        <v>0</v>
      </c>
      <c r="H16" s="50">
        <v>0</v>
      </c>
      <c r="I16" s="50">
        <v>1</v>
      </c>
      <c r="J16" s="50">
        <v>1</v>
      </c>
      <c r="K16" s="29" t="s">
        <v>28</v>
      </c>
      <c r="L16" s="11">
        <f t="shared" si="0"/>
        <v>4</v>
      </c>
      <c r="M16" s="10">
        <f t="shared" si="6"/>
        <v>0</v>
      </c>
      <c r="N16" s="10">
        <f t="shared" si="1"/>
        <v>0.8</v>
      </c>
      <c r="O16" s="10">
        <v>0</v>
      </c>
      <c r="P16" s="10">
        <f t="shared" si="2"/>
        <v>4.8</v>
      </c>
      <c r="Q16" s="17">
        <v>14.312499999999991</v>
      </c>
      <c r="R16" s="18">
        <f t="shared" si="3"/>
        <v>19.11249999999999</v>
      </c>
      <c r="S16" s="19">
        <f t="shared" si="4"/>
        <v>9.6875</v>
      </c>
      <c r="T16" s="20">
        <f t="shared" si="5"/>
        <v>9.4249999999999901</v>
      </c>
      <c r="U16" s="11"/>
      <c r="V16" s="11"/>
      <c r="W16" s="31"/>
      <c r="X16" s="1" t="s">
        <v>35</v>
      </c>
      <c r="Y16" s="37">
        <v>1</v>
      </c>
      <c r="Z16" s="1"/>
      <c r="AA16" s="1"/>
      <c r="AB16" s="1"/>
      <c r="AC16" s="1"/>
    </row>
    <row r="17" spans="1:29" s="2" customFormat="1" ht="17.399999999999999">
      <c r="A17" s="9">
        <v>1</v>
      </c>
      <c r="B17" s="9">
        <v>231</v>
      </c>
      <c r="C17" s="8">
        <v>1725915293</v>
      </c>
      <c r="D17" s="42" t="s">
        <v>112</v>
      </c>
      <c r="E17" s="4"/>
      <c r="F17" s="10">
        <v>3</v>
      </c>
      <c r="G17" s="10">
        <v>0</v>
      </c>
      <c r="H17" s="50">
        <v>0</v>
      </c>
      <c r="I17" s="50">
        <v>0</v>
      </c>
      <c r="J17" s="50">
        <v>0</v>
      </c>
      <c r="K17" s="29" t="s">
        <v>28</v>
      </c>
      <c r="L17" s="11">
        <f t="shared" si="0"/>
        <v>4</v>
      </c>
      <c r="M17" s="10">
        <f t="shared" si="6"/>
        <v>0</v>
      </c>
      <c r="N17" s="10">
        <f t="shared" si="1"/>
        <v>0</v>
      </c>
      <c r="O17" s="10">
        <v>0</v>
      </c>
      <c r="P17" s="10">
        <f t="shared" si="2"/>
        <v>4</v>
      </c>
      <c r="Q17" s="17">
        <v>14.330016129032238</v>
      </c>
      <c r="R17" s="18">
        <f t="shared" si="3"/>
        <v>18.330016129032238</v>
      </c>
      <c r="S17" s="19">
        <f t="shared" si="4"/>
        <v>9.6875</v>
      </c>
      <c r="T17" s="20">
        <f t="shared" si="5"/>
        <v>8.6425161290322379</v>
      </c>
      <c r="U17" s="4"/>
      <c r="V17" s="4"/>
      <c r="W17" s="4"/>
      <c r="X17" s="1" t="s">
        <v>36</v>
      </c>
      <c r="Y17" s="37">
        <v>2</v>
      </c>
      <c r="Z17" s="1"/>
      <c r="AA17" s="1"/>
      <c r="AB17" s="1"/>
      <c r="AC17" s="1"/>
    </row>
    <row r="18" spans="1:29" s="2" customFormat="1" ht="20.399999999999999">
      <c r="A18" s="9">
        <v>1</v>
      </c>
      <c r="B18" s="8">
        <v>221</v>
      </c>
      <c r="C18" s="8">
        <v>790956883</v>
      </c>
      <c r="D18" s="42" t="s">
        <v>96</v>
      </c>
      <c r="E18" s="42" t="s">
        <v>95</v>
      </c>
      <c r="F18" s="10">
        <v>3</v>
      </c>
      <c r="G18" s="10">
        <v>0</v>
      </c>
      <c r="H18" s="50">
        <v>0</v>
      </c>
      <c r="I18" s="50">
        <v>0</v>
      </c>
      <c r="J18" s="50">
        <v>0</v>
      </c>
      <c r="K18" s="29" t="s">
        <v>28</v>
      </c>
      <c r="L18" s="11">
        <f t="shared" si="0"/>
        <v>4</v>
      </c>
      <c r="M18" s="10">
        <f t="shared" si="6"/>
        <v>0</v>
      </c>
      <c r="N18" s="10">
        <f t="shared" si="1"/>
        <v>0</v>
      </c>
      <c r="O18" s="10">
        <v>0</v>
      </c>
      <c r="P18" s="10">
        <f t="shared" si="2"/>
        <v>4</v>
      </c>
      <c r="Q18" s="17">
        <v>13.59375</v>
      </c>
      <c r="R18" s="18">
        <f t="shared" si="3"/>
        <v>17.59375</v>
      </c>
      <c r="S18" s="19">
        <f t="shared" si="4"/>
        <v>9.6875</v>
      </c>
      <c r="T18" s="20">
        <f t="shared" si="5"/>
        <v>7.90625</v>
      </c>
      <c r="U18" s="4"/>
      <c r="V18" s="4"/>
      <c r="W18" s="4"/>
      <c r="X18" s="51" t="s">
        <v>103</v>
      </c>
      <c r="Y18" s="37">
        <v>0.4</v>
      </c>
      <c r="Z18" s="1"/>
      <c r="AA18" s="1"/>
      <c r="AB18" s="1"/>
      <c r="AC18" s="1"/>
    </row>
    <row r="19" spans="1:29" s="2" customFormat="1" ht="17.399999999999999">
      <c r="A19" s="9">
        <v>1</v>
      </c>
      <c r="B19" s="8">
        <v>254</v>
      </c>
      <c r="C19" s="8">
        <v>674501489</v>
      </c>
      <c r="D19" s="42" t="s">
        <v>154</v>
      </c>
      <c r="E19" s="4"/>
      <c r="F19" s="10">
        <v>3</v>
      </c>
      <c r="G19" s="10">
        <v>0</v>
      </c>
      <c r="H19" s="50">
        <v>0</v>
      </c>
      <c r="I19" s="50">
        <v>0</v>
      </c>
      <c r="J19" s="50">
        <v>0</v>
      </c>
      <c r="K19" s="29" t="s">
        <v>28</v>
      </c>
      <c r="L19" s="11">
        <f t="shared" si="0"/>
        <v>4</v>
      </c>
      <c r="M19" s="10">
        <f t="shared" si="6"/>
        <v>0</v>
      </c>
      <c r="N19" s="10">
        <f t="shared" si="1"/>
        <v>0</v>
      </c>
      <c r="O19" s="10">
        <v>0</v>
      </c>
      <c r="P19" s="10">
        <f t="shared" si="2"/>
        <v>4</v>
      </c>
      <c r="Q19" s="17">
        <v>13.562701612903208</v>
      </c>
      <c r="R19" s="18">
        <f t="shared" si="3"/>
        <v>17.562701612903208</v>
      </c>
      <c r="S19" s="19">
        <f t="shared" si="4"/>
        <v>9.6875</v>
      </c>
      <c r="T19" s="20">
        <f t="shared" si="5"/>
        <v>7.8752016129032079</v>
      </c>
      <c r="V19" s="4"/>
      <c r="W19" s="4"/>
      <c r="X19" s="1"/>
      <c r="Y19" s="1"/>
      <c r="Z19" s="1"/>
      <c r="AA19" s="1"/>
      <c r="AB19" s="1"/>
      <c r="AC19" s="1"/>
    </row>
    <row r="20" spans="1:29" s="2" customFormat="1" ht="17.399999999999999">
      <c r="A20" s="9">
        <v>1</v>
      </c>
      <c r="B20" s="8">
        <v>225</v>
      </c>
      <c r="C20" s="8">
        <v>1963965829</v>
      </c>
      <c r="D20" s="42" t="s">
        <v>107</v>
      </c>
      <c r="E20" s="42"/>
      <c r="F20" s="10">
        <v>3</v>
      </c>
      <c r="G20" s="10">
        <v>0</v>
      </c>
      <c r="H20" s="50">
        <v>0</v>
      </c>
      <c r="I20" s="50">
        <v>0</v>
      </c>
      <c r="J20" s="50">
        <v>0</v>
      </c>
      <c r="K20" s="29" t="s">
        <v>28</v>
      </c>
      <c r="L20" s="11">
        <f t="shared" si="0"/>
        <v>4</v>
      </c>
      <c r="M20" s="10">
        <f t="shared" si="6"/>
        <v>0</v>
      </c>
      <c r="N20" s="10">
        <f t="shared" si="1"/>
        <v>0</v>
      </c>
      <c r="O20" s="10">
        <v>0</v>
      </c>
      <c r="P20" s="10">
        <f t="shared" si="2"/>
        <v>4</v>
      </c>
      <c r="Q20" s="17">
        <v>13.341269230769223</v>
      </c>
      <c r="R20" s="18">
        <f t="shared" si="3"/>
        <v>17.341269230769221</v>
      </c>
      <c r="S20" s="19">
        <f t="shared" si="4"/>
        <v>9.6875</v>
      </c>
      <c r="T20" s="20">
        <f t="shared" si="5"/>
        <v>7.6537692307692211</v>
      </c>
      <c r="U20" s="4"/>
      <c r="V20" s="4"/>
      <c r="W20" s="4"/>
      <c r="X20" s="1"/>
      <c r="Y20" s="1"/>
      <c r="Z20" s="1"/>
      <c r="AA20" s="1"/>
      <c r="AB20" s="1"/>
      <c r="AC20" s="1"/>
    </row>
    <row r="21" spans="1:29" s="2" customFormat="1" ht="17.399999999999999">
      <c r="A21" s="9">
        <v>1</v>
      </c>
      <c r="B21" s="8">
        <v>253</v>
      </c>
      <c r="C21" s="8">
        <v>18663026649</v>
      </c>
      <c r="D21" s="42" t="s">
        <v>153</v>
      </c>
      <c r="E21" s="4"/>
      <c r="F21" s="10">
        <v>3</v>
      </c>
      <c r="G21" s="10">
        <v>0</v>
      </c>
      <c r="H21" s="50">
        <v>0</v>
      </c>
      <c r="I21" s="50">
        <v>0</v>
      </c>
      <c r="J21" s="50">
        <v>0</v>
      </c>
      <c r="K21" s="29" t="s">
        <v>28</v>
      </c>
      <c r="L21" s="11">
        <f t="shared" si="0"/>
        <v>4</v>
      </c>
      <c r="M21" s="10">
        <f t="shared" si="6"/>
        <v>0</v>
      </c>
      <c r="N21" s="10">
        <f t="shared" si="1"/>
        <v>0</v>
      </c>
      <c r="O21" s="10">
        <v>0</v>
      </c>
      <c r="P21" s="10">
        <f t="shared" si="2"/>
        <v>4</v>
      </c>
      <c r="Q21" s="17">
        <v>13.285736940298492</v>
      </c>
      <c r="R21" s="18">
        <f t="shared" si="3"/>
        <v>17.285736940298492</v>
      </c>
      <c r="S21" s="19">
        <f t="shared" si="4"/>
        <v>9.6875</v>
      </c>
      <c r="T21" s="20">
        <f t="shared" si="5"/>
        <v>7.5982369402984915</v>
      </c>
      <c r="V21" s="4"/>
      <c r="W21" s="4"/>
      <c r="X21" s="1"/>
      <c r="Y21" s="1"/>
      <c r="Z21" s="1"/>
      <c r="AA21" s="1"/>
      <c r="AB21" s="1"/>
      <c r="AC21" s="1"/>
    </row>
    <row r="22" spans="1:29" s="2" customFormat="1" ht="17.399999999999999">
      <c r="A22" s="9">
        <v>1</v>
      </c>
      <c r="B22" s="8">
        <v>208</v>
      </c>
      <c r="C22" s="8">
        <v>92129464</v>
      </c>
      <c r="D22" s="42" t="s">
        <v>148</v>
      </c>
      <c r="E22" s="42" t="s">
        <v>82</v>
      </c>
      <c r="F22" s="10">
        <v>3</v>
      </c>
      <c r="G22" s="10">
        <v>0</v>
      </c>
      <c r="H22" s="50">
        <v>0</v>
      </c>
      <c r="I22" s="50">
        <v>0</v>
      </c>
      <c r="J22" s="50">
        <v>0</v>
      </c>
      <c r="K22" s="29" t="s">
        <v>28</v>
      </c>
      <c r="L22" s="11">
        <f t="shared" si="0"/>
        <v>4</v>
      </c>
      <c r="M22" s="10">
        <f t="shared" si="6"/>
        <v>0</v>
      </c>
      <c r="N22" s="10">
        <f t="shared" si="1"/>
        <v>0</v>
      </c>
      <c r="O22" s="10">
        <v>0</v>
      </c>
      <c r="P22" s="10">
        <f t="shared" si="2"/>
        <v>4</v>
      </c>
      <c r="Q22" s="17">
        <v>13.112500000000011</v>
      </c>
      <c r="R22" s="18">
        <f t="shared" si="3"/>
        <v>17.112500000000011</v>
      </c>
      <c r="S22" s="19">
        <f t="shared" si="4"/>
        <v>9.6875</v>
      </c>
      <c r="T22" s="20">
        <f t="shared" si="5"/>
        <v>7.4250000000000114</v>
      </c>
      <c r="U22" s="4"/>
      <c r="V22" s="4"/>
      <c r="W22" s="4"/>
      <c r="X22" s="1"/>
      <c r="Y22" s="1"/>
      <c r="Z22" s="1"/>
      <c r="AA22" s="1"/>
      <c r="AB22" s="1"/>
      <c r="AC22" s="1"/>
    </row>
    <row r="23" spans="1:29" s="1" customFormat="1" ht="17.399999999999999">
      <c r="A23" s="9">
        <v>1</v>
      </c>
      <c r="B23" s="8">
        <v>189</v>
      </c>
      <c r="C23" s="8">
        <v>522812489</v>
      </c>
      <c r="D23" s="42" t="s">
        <v>70</v>
      </c>
      <c r="E23" s="47"/>
      <c r="F23" s="10">
        <v>3</v>
      </c>
      <c r="G23" s="10">
        <v>0</v>
      </c>
      <c r="H23" s="50">
        <v>0</v>
      </c>
      <c r="I23" s="50">
        <v>0</v>
      </c>
      <c r="J23" s="50">
        <v>0</v>
      </c>
      <c r="K23" s="14" t="s">
        <v>29</v>
      </c>
      <c r="L23" s="11">
        <f t="shared" si="0"/>
        <v>4</v>
      </c>
      <c r="M23" s="10">
        <f t="shared" si="6"/>
        <v>0</v>
      </c>
      <c r="N23" s="10">
        <f t="shared" si="1"/>
        <v>0</v>
      </c>
      <c r="O23" s="10">
        <v>0</v>
      </c>
      <c r="P23" s="10">
        <f t="shared" si="2"/>
        <v>4</v>
      </c>
      <c r="Q23" s="17">
        <v>13.043750000000014</v>
      </c>
      <c r="R23" s="18">
        <f t="shared" si="3"/>
        <v>17.043750000000014</v>
      </c>
      <c r="S23" s="19">
        <f t="shared" si="4"/>
        <v>1.875</v>
      </c>
      <c r="T23" s="20">
        <f t="shared" si="5"/>
        <v>15.168750000000014</v>
      </c>
      <c r="U23" s="4"/>
      <c r="V23" s="4"/>
      <c r="W23" s="4"/>
    </row>
    <row r="24" spans="1:29" s="1" customFormat="1" ht="17.399999999999999">
      <c r="A24" s="9">
        <v>1</v>
      </c>
      <c r="B24" s="8">
        <v>246</v>
      </c>
      <c r="C24" s="8">
        <v>1192342148</v>
      </c>
      <c r="D24" s="42" t="s">
        <v>141</v>
      </c>
      <c r="E24" s="4"/>
      <c r="F24" s="10">
        <v>3</v>
      </c>
      <c r="G24" s="10">
        <v>0</v>
      </c>
      <c r="H24" s="50">
        <v>0</v>
      </c>
      <c r="I24" s="50">
        <v>0</v>
      </c>
      <c r="J24" s="50">
        <v>0</v>
      </c>
      <c r="K24" s="14" t="s">
        <v>29</v>
      </c>
      <c r="L24" s="11">
        <f t="shared" si="0"/>
        <v>4</v>
      </c>
      <c r="M24" s="10">
        <f t="shared" si="6"/>
        <v>0</v>
      </c>
      <c r="N24" s="10">
        <f t="shared" si="1"/>
        <v>0</v>
      </c>
      <c r="O24" s="10">
        <v>0</v>
      </c>
      <c r="P24" s="10">
        <f t="shared" si="2"/>
        <v>4</v>
      </c>
      <c r="Q24" s="17">
        <v>12.887499999999996</v>
      </c>
      <c r="R24" s="18">
        <f t="shared" si="3"/>
        <v>16.887499999999996</v>
      </c>
      <c r="S24" s="19">
        <f t="shared" si="4"/>
        <v>1.875</v>
      </c>
      <c r="T24" s="20">
        <f t="shared" si="5"/>
        <v>15.012499999999996</v>
      </c>
      <c r="U24" s="4"/>
      <c r="V24" s="4"/>
      <c r="W24" s="4"/>
    </row>
    <row r="25" spans="1:29" s="1" customFormat="1" ht="17.399999999999999">
      <c r="A25" s="9">
        <v>1</v>
      </c>
      <c r="B25" s="8">
        <v>209</v>
      </c>
      <c r="C25" s="8">
        <v>1525950050</v>
      </c>
      <c r="D25" s="42" t="s">
        <v>85</v>
      </c>
      <c r="E25" s="42" t="s">
        <v>83</v>
      </c>
      <c r="F25" s="10">
        <v>3</v>
      </c>
      <c r="G25" s="10">
        <v>0</v>
      </c>
      <c r="H25" s="50">
        <v>0</v>
      </c>
      <c r="I25" s="50">
        <v>0</v>
      </c>
      <c r="J25" s="50">
        <v>0</v>
      </c>
      <c r="K25" s="14" t="s">
        <v>29</v>
      </c>
      <c r="L25" s="11">
        <f t="shared" si="0"/>
        <v>4</v>
      </c>
      <c r="M25" s="10">
        <f t="shared" si="6"/>
        <v>0</v>
      </c>
      <c r="N25" s="10">
        <f t="shared" si="1"/>
        <v>0</v>
      </c>
      <c r="O25" s="10">
        <v>0</v>
      </c>
      <c r="P25" s="10">
        <f t="shared" si="2"/>
        <v>4</v>
      </c>
      <c r="Q25" s="17">
        <v>12.499999999999996</v>
      </c>
      <c r="R25" s="18">
        <f t="shared" si="3"/>
        <v>16.499999999999996</v>
      </c>
      <c r="S25" s="19">
        <f t="shared" si="4"/>
        <v>1.875</v>
      </c>
      <c r="T25" s="20">
        <f t="shared" si="5"/>
        <v>14.624999999999996</v>
      </c>
      <c r="U25" s="4"/>
      <c r="V25" s="4"/>
      <c r="W25" s="4"/>
    </row>
    <row r="26" spans="1:29" s="1" customFormat="1" ht="18.75" customHeight="1">
      <c r="A26" s="9">
        <v>1</v>
      </c>
      <c r="B26" s="8">
        <v>184</v>
      </c>
      <c r="C26" s="8">
        <v>1814130074</v>
      </c>
      <c r="D26" s="42" t="s">
        <v>147</v>
      </c>
      <c r="E26" s="42" t="s">
        <v>67</v>
      </c>
      <c r="F26" s="10">
        <v>3</v>
      </c>
      <c r="G26" s="10">
        <v>0</v>
      </c>
      <c r="H26" s="50">
        <v>0</v>
      </c>
      <c r="I26" s="50">
        <v>0</v>
      </c>
      <c r="J26" s="50">
        <v>0</v>
      </c>
      <c r="K26" s="14" t="s">
        <v>29</v>
      </c>
      <c r="L26" s="11">
        <f t="shared" si="0"/>
        <v>4</v>
      </c>
      <c r="M26" s="10">
        <f t="shared" si="6"/>
        <v>0</v>
      </c>
      <c r="N26" s="10">
        <f t="shared" si="1"/>
        <v>0</v>
      </c>
      <c r="O26" s="10">
        <v>0</v>
      </c>
      <c r="P26" s="10">
        <f t="shared" si="2"/>
        <v>4</v>
      </c>
      <c r="Q26" s="17">
        <v>12.40675000000002</v>
      </c>
      <c r="R26" s="18">
        <f t="shared" si="3"/>
        <v>16.40675000000002</v>
      </c>
      <c r="S26" s="19">
        <f t="shared" si="4"/>
        <v>1.875</v>
      </c>
      <c r="T26" s="20">
        <f t="shared" si="5"/>
        <v>14.53175000000002</v>
      </c>
      <c r="U26" s="4"/>
      <c r="V26" s="4"/>
      <c r="W26" s="4"/>
    </row>
    <row r="27" spans="1:29" s="1" customFormat="1" ht="17.399999999999999">
      <c r="A27" s="9">
        <v>1</v>
      </c>
      <c r="B27" s="8">
        <v>185</v>
      </c>
      <c r="C27" s="8">
        <v>30705222</v>
      </c>
      <c r="D27" s="42" t="s">
        <v>68</v>
      </c>
      <c r="E27" s="47"/>
      <c r="F27" s="10">
        <v>3</v>
      </c>
      <c r="G27" s="10">
        <v>0</v>
      </c>
      <c r="H27" s="50">
        <v>0</v>
      </c>
      <c r="I27" s="50">
        <v>1</v>
      </c>
      <c r="J27" s="50">
        <v>0</v>
      </c>
      <c r="K27" s="14" t="s">
        <v>29</v>
      </c>
      <c r="L27" s="11">
        <f t="shared" si="0"/>
        <v>4</v>
      </c>
      <c r="M27" s="10">
        <f t="shared" si="6"/>
        <v>0</v>
      </c>
      <c r="N27" s="10">
        <f t="shared" si="1"/>
        <v>0.4</v>
      </c>
      <c r="O27" s="10">
        <v>0</v>
      </c>
      <c r="P27" s="10">
        <f t="shared" si="2"/>
        <v>4.4000000000000004</v>
      </c>
      <c r="Q27" s="17">
        <v>11.56349206349206</v>
      </c>
      <c r="R27" s="18">
        <f t="shared" si="3"/>
        <v>15.96349206349206</v>
      </c>
      <c r="S27" s="19">
        <f t="shared" si="4"/>
        <v>1.875</v>
      </c>
      <c r="T27" s="20">
        <f t="shared" si="5"/>
        <v>14.08849206349206</v>
      </c>
      <c r="U27" s="4"/>
      <c r="V27" s="4"/>
      <c r="W27" s="4"/>
    </row>
    <row r="28" spans="1:29" s="1" customFormat="1" ht="17.399999999999999">
      <c r="A28" s="9">
        <v>1</v>
      </c>
      <c r="B28" s="9">
        <v>46</v>
      </c>
      <c r="C28" s="8">
        <v>2109182835</v>
      </c>
      <c r="D28" s="42" t="s">
        <v>59</v>
      </c>
      <c r="E28" s="42" t="s">
        <v>10</v>
      </c>
      <c r="F28" s="10">
        <v>1</v>
      </c>
      <c r="G28" s="10">
        <v>0</v>
      </c>
      <c r="H28" s="50">
        <v>0</v>
      </c>
      <c r="I28" s="50">
        <v>1</v>
      </c>
      <c r="J28" s="50">
        <v>0</v>
      </c>
      <c r="K28" s="14" t="s">
        <v>29</v>
      </c>
      <c r="L28" s="11">
        <f t="shared" si="0"/>
        <v>1</v>
      </c>
      <c r="M28" s="10">
        <f t="shared" si="6"/>
        <v>0</v>
      </c>
      <c r="N28" s="10">
        <f t="shared" si="1"/>
        <v>0.4</v>
      </c>
      <c r="O28" s="10">
        <v>0</v>
      </c>
      <c r="P28" s="10">
        <f t="shared" si="2"/>
        <v>1.4</v>
      </c>
      <c r="Q28" s="17">
        <v>14.14583333333333</v>
      </c>
      <c r="R28" s="18">
        <f t="shared" si="3"/>
        <v>15.545833333333331</v>
      </c>
      <c r="S28" s="19">
        <f t="shared" si="4"/>
        <v>1.875</v>
      </c>
      <c r="T28" s="20">
        <f t="shared" si="5"/>
        <v>13.670833333333331</v>
      </c>
      <c r="U28" s="11"/>
      <c r="V28" s="11"/>
      <c r="W28" s="11"/>
    </row>
    <row r="29" spans="1:29" s="2" customFormat="1" ht="17.399999999999999" hidden="1">
      <c r="A29" s="9">
        <v>0</v>
      </c>
      <c r="B29" s="8">
        <v>196</v>
      </c>
      <c r="C29" s="8">
        <v>1065641844</v>
      </c>
      <c r="D29" s="42" t="s">
        <v>74</v>
      </c>
      <c r="E29" s="47"/>
      <c r="F29" s="10">
        <v>0</v>
      </c>
      <c r="G29" s="10">
        <v>0</v>
      </c>
      <c r="H29" s="50">
        <v>0</v>
      </c>
      <c r="I29" s="50">
        <v>0</v>
      </c>
      <c r="J29" s="50">
        <v>0</v>
      </c>
      <c r="K29" s="39" t="s">
        <v>30</v>
      </c>
      <c r="L29" s="11">
        <f t="shared" si="0"/>
        <v>0</v>
      </c>
      <c r="M29" s="10">
        <f t="shared" si="6"/>
        <v>0</v>
      </c>
      <c r="N29" s="10">
        <f t="shared" si="1"/>
        <v>0</v>
      </c>
      <c r="O29" s="10">
        <v>0</v>
      </c>
      <c r="P29" s="10">
        <f t="shared" si="2"/>
        <v>0</v>
      </c>
      <c r="Q29" s="17">
        <v>13.593749999999993</v>
      </c>
      <c r="R29" s="18">
        <f t="shared" si="3"/>
        <v>13.593749999999993</v>
      </c>
      <c r="S29" s="19">
        <f t="shared" si="4"/>
        <v>0</v>
      </c>
      <c r="T29" s="20">
        <f t="shared" si="5"/>
        <v>13.593749999999993</v>
      </c>
      <c r="U29" s="4"/>
      <c r="V29" s="4"/>
      <c r="W29" s="4"/>
      <c r="X29" s="1"/>
      <c r="Y29" s="1"/>
      <c r="Z29" s="1"/>
      <c r="AA29" s="1"/>
      <c r="AB29" s="1"/>
      <c r="AC29" s="1"/>
    </row>
    <row r="30" spans="1:29" s="2" customFormat="1" ht="17.399999999999999">
      <c r="A30" s="9">
        <v>1</v>
      </c>
      <c r="B30" s="8">
        <v>110</v>
      </c>
      <c r="C30" s="8">
        <v>1968703358</v>
      </c>
      <c r="D30" s="42" t="s">
        <v>60</v>
      </c>
      <c r="E30" s="42" t="s">
        <v>38</v>
      </c>
      <c r="F30" s="10">
        <v>2</v>
      </c>
      <c r="G30" s="10">
        <v>0</v>
      </c>
      <c r="H30" s="50">
        <v>0</v>
      </c>
      <c r="I30" s="50">
        <v>0</v>
      </c>
      <c r="J30" s="50">
        <v>1</v>
      </c>
      <c r="K30" s="14" t="s">
        <v>29</v>
      </c>
      <c r="L30" s="11">
        <f t="shared" si="0"/>
        <v>2</v>
      </c>
      <c r="M30" s="10">
        <f t="shared" si="6"/>
        <v>0</v>
      </c>
      <c r="N30" s="10">
        <f t="shared" si="1"/>
        <v>0.4</v>
      </c>
      <c r="O30" s="10">
        <v>0</v>
      </c>
      <c r="P30" s="10">
        <f t="shared" si="2"/>
        <v>2.4</v>
      </c>
      <c r="Q30" s="17">
        <v>12.724999999999987</v>
      </c>
      <c r="R30" s="18">
        <f t="shared" si="3"/>
        <v>15.124999999999988</v>
      </c>
      <c r="S30" s="19">
        <f t="shared" si="4"/>
        <v>1.875</v>
      </c>
      <c r="T30" s="20">
        <f t="shared" si="5"/>
        <v>13.249999999999988</v>
      </c>
      <c r="U30" s="11"/>
      <c r="V30" s="11"/>
      <c r="W30" s="17"/>
      <c r="X30" s="1"/>
      <c r="Y30" s="1"/>
      <c r="Z30" s="1"/>
      <c r="AA30" s="1"/>
      <c r="AB30" s="1"/>
      <c r="AC30" s="1"/>
    </row>
    <row r="31" spans="1:29" s="2" customFormat="1" ht="17.399999999999999">
      <c r="A31" s="9">
        <v>1</v>
      </c>
      <c r="B31" s="8">
        <v>245</v>
      </c>
      <c r="C31" s="8">
        <v>603472651</v>
      </c>
      <c r="D31" s="42" t="s">
        <v>140</v>
      </c>
      <c r="E31" s="4"/>
      <c r="F31" s="10">
        <v>2</v>
      </c>
      <c r="G31" s="10">
        <v>0</v>
      </c>
      <c r="H31" s="50">
        <v>0</v>
      </c>
      <c r="I31" s="50">
        <v>0</v>
      </c>
      <c r="J31" s="50">
        <v>0</v>
      </c>
      <c r="K31" s="14" t="s">
        <v>29</v>
      </c>
      <c r="L31" s="11">
        <f t="shared" si="0"/>
        <v>2</v>
      </c>
      <c r="M31" s="10">
        <f t="shared" si="6"/>
        <v>0</v>
      </c>
      <c r="N31" s="10">
        <f t="shared" si="1"/>
        <v>0</v>
      </c>
      <c r="O31" s="10">
        <v>0</v>
      </c>
      <c r="P31" s="10">
        <f t="shared" si="2"/>
        <v>2</v>
      </c>
      <c r="Q31" s="17">
        <v>13.024999999999991</v>
      </c>
      <c r="R31" s="18">
        <f t="shared" si="3"/>
        <v>15.024999999999991</v>
      </c>
      <c r="S31" s="19">
        <f t="shared" si="4"/>
        <v>1.875</v>
      </c>
      <c r="T31" s="20">
        <f t="shared" si="5"/>
        <v>13.149999999999991</v>
      </c>
      <c r="U31" s="4"/>
      <c r="V31" s="4"/>
      <c r="W31" s="4"/>
      <c r="X31" s="1"/>
      <c r="Y31" s="1"/>
      <c r="Z31" s="1"/>
      <c r="AA31" s="1"/>
      <c r="AB31" s="1"/>
      <c r="AC31" s="1"/>
    </row>
    <row r="32" spans="1:29" s="2" customFormat="1" ht="17.399999999999999">
      <c r="A32" s="9">
        <v>1</v>
      </c>
      <c r="B32" s="8">
        <v>216</v>
      </c>
      <c r="C32" s="8">
        <v>395700385</v>
      </c>
      <c r="D32" s="42" t="s">
        <v>88</v>
      </c>
      <c r="F32" s="10">
        <v>0</v>
      </c>
      <c r="G32" s="10">
        <v>0</v>
      </c>
      <c r="H32" s="50">
        <v>0</v>
      </c>
      <c r="I32" s="50">
        <v>0</v>
      </c>
      <c r="J32" s="50">
        <v>0</v>
      </c>
      <c r="K32" s="39" t="s">
        <v>30</v>
      </c>
      <c r="L32" s="11">
        <f t="shared" si="0"/>
        <v>0</v>
      </c>
      <c r="M32" s="10">
        <f t="shared" si="6"/>
        <v>0</v>
      </c>
      <c r="N32" s="10">
        <f t="shared" si="1"/>
        <v>0</v>
      </c>
      <c r="O32" s="10">
        <v>0</v>
      </c>
      <c r="P32" s="10">
        <f t="shared" si="2"/>
        <v>0</v>
      </c>
      <c r="Q32" s="17">
        <v>14.924730769230759</v>
      </c>
      <c r="R32" s="18">
        <f t="shared" si="3"/>
        <v>14.924730769230759</v>
      </c>
      <c r="S32" s="19">
        <f t="shared" si="4"/>
        <v>0</v>
      </c>
      <c r="T32" s="20">
        <f t="shared" si="5"/>
        <v>14.924730769230759</v>
      </c>
      <c r="U32" s="4"/>
      <c r="V32" s="4"/>
      <c r="W32" s="4"/>
      <c r="X32" s="1"/>
      <c r="Y32" s="1"/>
      <c r="Z32" s="1"/>
      <c r="AA32" s="1"/>
      <c r="AB32" s="1"/>
      <c r="AC32" s="1"/>
    </row>
    <row r="33" spans="1:29" s="2" customFormat="1" ht="17.399999999999999">
      <c r="A33" s="9">
        <v>1</v>
      </c>
      <c r="B33" s="8">
        <v>244</v>
      </c>
      <c r="C33" s="8">
        <v>573211380</v>
      </c>
      <c r="D33" s="42" t="s">
        <v>139</v>
      </c>
      <c r="E33" s="4"/>
      <c r="F33" s="10">
        <v>0</v>
      </c>
      <c r="G33" s="10">
        <v>0</v>
      </c>
      <c r="H33" s="50">
        <v>0</v>
      </c>
      <c r="I33" s="50">
        <v>0</v>
      </c>
      <c r="J33" s="50">
        <v>0</v>
      </c>
      <c r="K33" s="39" t="s">
        <v>30</v>
      </c>
      <c r="L33" s="11">
        <f t="shared" si="0"/>
        <v>0</v>
      </c>
      <c r="M33" s="10">
        <f t="shared" si="6"/>
        <v>0</v>
      </c>
      <c r="N33" s="10">
        <f t="shared" si="1"/>
        <v>0</v>
      </c>
      <c r="O33" s="10">
        <v>0</v>
      </c>
      <c r="P33" s="10">
        <f t="shared" si="2"/>
        <v>0</v>
      </c>
      <c r="Q33" s="17">
        <v>14.28749999999998</v>
      </c>
      <c r="R33" s="18">
        <f t="shared" si="3"/>
        <v>14.28749999999998</v>
      </c>
      <c r="S33" s="19">
        <f t="shared" si="4"/>
        <v>0</v>
      </c>
      <c r="T33" s="20">
        <f t="shared" si="5"/>
        <v>14.28749999999998</v>
      </c>
      <c r="U33" s="4"/>
      <c r="V33" s="4"/>
      <c r="W33" s="4"/>
      <c r="X33" s="1"/>
      <c r="Y33" s="1"/>
      <c r="Z33" s="1"/>
      <c r="AA33" s="1"/>
      <c r="AB33" s="1"/>
      <c r="AC33" s="1"/>
    </row>
    <row r="34" spans="1:29" s="2" customFormat="1" ht="17.399999999999999">
      <c r="A34" s="9">
        <v>1</v>
      </c>
      <c r="B34" s="8">
        <v>238</v>
      </c>
      <c r="C34" s="8">
        <v>108179057</v>
      </c>
      <c r="D34" s="42" t="s">
        <v>120</v>
      </c>
      <c r="E34" s="4"/>
      <c r="F34" s="10">
        <v>2</v>
      </c>
      <c r="G34" s="10">
        <v>0</v>
      </c>
      <c r="H34" s="50">
        <v>0</v>
      </c>
      <c r="I34" s="50">
        <v>0</v>
      </c>
      <c r="J34" s="50">
        <v>0</v>
      </c>
      <c r="K34" s="14" t="s">
        <v>29</v>
      </c>
      <c r="L34" s="11">
        <f t="shared" si="0"/>
        <v>2</v>
      </c>
      <c r="M34" s="10">
        <f t="shared" si="6"/>
        <v>0</v>
      </c>
      <c r="N34" s="10">
        <f t="shared" si="1"/>
        <v>0</v>
      </c>
      <c r="O34" s="10">
        <v>0</v>
      </c>
      <c r="P34" s="10">
        <f t="shared" si="2"/>
        <v>2</v>
      </c>
      <c r="Q34" s="17">
        <v>11.838321428571419</v>
      </c>
      <c r="R34" s="18">
        <f t="shared" si="3"/>
        <v>13.838321428571419</v>
      </c>
      <c r="S34" s="19">
        <f t="shared" si="4"/>
        <v>1.875</v>
      </c>
      <c r="T34" s="20">
        <f t="shared" si="5"/>
        <v>11.963321428571419</v>
      </c>
      <c r="U34" s="4"/>
      <c r="V34" s="4"/>
      <c r="W34" s="4"/>
      <c r="X34" s="1"/>
      <c r="Y34" s="1"/>
      <c r="Z34" s="1"/>
      <c r="AA34" s="1"/>
      <c r="AB34" s="1"/>
      <c r="AC34" s="1"/>
    </row>
    <row r="35" spans="1:29" s="2" customFormat="1" ht="17.399999999999999">
      <c r="A35" s="9">
        <v>1</v>
      </c>
      <c r="B35" s="8">
        <v>232</v>
      </c>
      <c r="C35" s="8">
        <v>1088909927</v>
      </c>
      <c r="D35" s="42" t="s">
        <v>113</v>
      </c>
      <c r="E35" s="4"/>
      <c r="F35" s="10">
        <v>3</v>
      </c>
      <c r="G35" s="10">
        <v>0</v>
      </c>
      <c r="H35" s="50">
        <v>0</v>
      </c>
      <c r="I35" s="50">
        <v>0</v>
      </c>
      <c r="J35" s="50">
        <v>0</v>
      </c>
      <c r="K35" s="14" t="s">
        <v>29</v>
      </c>
      <c r="L35" s="11">
        <f t="shared" si="0"/>
        <v>4</v>
      </c>
      <c r="M35" s="10">
        <f t="shared" si="6"/>
        <v>0</v>
      </c>
      <c r="N35" s="10">
        <f t="shared" si="1"/>
        <v>0</v>
      </c>
      <c r="O35" s="10">
        <v>0</v>
      </c>
      <c r="P35" s="10">
        <f t="shared" si="2"/>
        <v>4</v>
      </c>
      <c r="Q35" s="17">
        <v>9.6562499999999893</v>
      </c>
      <c r="R35" s="18">
        <f t="shared" si="3"/>
        <v>13.656249999999989</v>
      </c>
      <c r="S35" s="19">
        <f t="shared" si="4"/>
        <v>1.875</v>
      </c>
      <c r="T35" s="20">
        <f t="shared" si="5"/>
        <v>11.781249999999989</v>
      </c>
      <c r="U35" s="4"/>
      <c r="V35" s="4"/>
      <c r="W35" s="4"/>
      <c r="X35" s="1"/>
      <c r="Y35" s="1"/>
      <c r="Z35" s="1"/>
      <c r="AA35" s="1"/>
      <c r="AB35" s="1"/>
      <c r="AC35" s="1"/>
    </row>
    <row r="36" spans="1:29" s="2" customFormat="1" ht="20.399999999999999">
      <c r="A36" s="9">
        <v>1</v>
      </c>
      <c r="B36" s="8">
        <v>214</v>
      </c>
      <c r="C36" s="8">
        <v>2130976604</v>
      </c>
      <c r="D36" s="42" t="s">
        <v>86</v>
      </c>
      <c r="F36" s="10">
        <v>0</v>
      </c>
      <c r="G36" s="10">
        <v>0</v>
      </c>
      <c r="H36" s="50">
        <v>0</v>
      </c>
      <c r="I36" s="50">
        <v>0</v>
      </c>
      <c r="J36" s="50">
        <v>0</v>
      </c>
      <c r="K36" s="39" t="s">
        <v>30</v>
      </c>
      <c r="L36" s="11">
        <f t="shared" si="0"/>
        <v>0</v>
      </c>
      <c r="M36" s="10">
        <f t="shared" si="6"/>
        <v>0</v>
      </c>
      <c r="N36" s="10">
        <f t="shared" si="1"/>
        <v>0</v>
      </c>
      <c r="O36" s="10">
        <v>0</v>
      </c>
      <c r="P36" s="10">
        <f t="shared" si="2"/>
        <v>0</v>
      </c>
      <c r="Q36" s="17">
        <v>12.881249999999984</v>
      </c>
      <c r="R36" s="18">
        <f t="shared" si="3"/>
        <v>12.881249999999984</v>
      </c>
      <c r="S36" s="19">
        <f t="shared" si="4"/>
        <v>0</v>
      </c>
      <c r="T36" s="20">
        <f t="shared" si="5"/>
        <v>12.881249999999984</v>
      </c>
      <c r="U36" s="4"/>
      <c r="V36" s="4"/>
      <c r="W36" s="4"/>
      <c r="X36" s="1"/>
      <c r="Y36" s="1"/>
      <c r="Z36" s="1"/>
      <c r="AA36" s="1"/>
      <c r="AB36" s="1"/>
      <c r="AC36" s="1"/>
    </row>
    <row r="37" spans="1:29" s="1" customFormat="1" ht="17.399999999999999" hidden="1">
      <c r="A37" s="9">
        <v>0</v>
      </c>
      <c r="B37" s="8">
        <v>155</v>
      </c>
      <c r="C37" s="8">
        <v>1532576874</v>
      </c>
      <c r="D37" s="42" t="s">
        <v>63</v>
      </c>
      <c r="E37" s="42" t="s">
        <v>46</v>
      </c>
      <c r="F37" s="10">
        <v>0</v>
      </c>
      <c r="G37" s="10">
        <v>0</v>
      </c>
      <c r="H37" s="50">
        <v>0</v>
      </c>
      <c r="I37" s="50">
        <v>0</v>
      </c>
      <c r="J37" s="50">
        <v>0</v>
      </c>
      <c r="K37" s="39" t="s">
        <v>30</v>
      </c>
      <c r="L37" s="11">
        <f t="shared" ref="L37:L68" si="7">F37+IF(F37&gt;2,(F37-2)*1,0)</f>
        <v>0</v>
      </c>
      <c r="M37" s="10">
        <f t="shared" si="6"/>
        <v>0</v>
      </c>
      <c r="N37" s="10">
        <f t="shared" ref="N37:N68" si="8">SUM(H37:J37)*$Y$18</f>
        <v>0</v>
      </c>
      <c r="O37" s="10">
        <v>0</v>
      </c>
      <c r="P37" s="10">
        <f t="shared" ref="P37:P68" si="9">SUM(M37+L37+O37+N37)</f>
        <v>0</v>
      </c>
      <c r="Q37" s="17">
        <v>9.8949316239316225</v>
      </c>
      <c r="R37" s="18">
        <f t="shared" ref="R37:R68" si="10">P37+Q37</f>
        <v>9.8949316239316225</v>
      </c>
      <c r="S37" s="19">
        <f t="shared" ref="S37:S68" si="11">VLOOKUP(K37,$X$3:$Y$10,2,FALSE)</f>
        <v>0</v>
      </c>
      <c r="T37" s="20">
        <f t="shared" ref="T37:T68" si="12">R37-S37</f>
        <v>9.8949316239316225</v>
      </c>
      <c r="U37" s="4"/>
      <c r="V37" s="4"/>
      <c r="W37" s="4"/>
    </row>
    <row r="38" spans="1:29" s="2" customFormat="1" ht="17.399999999999999">
      <c r="A38" s="9">
        <v>1</v>
      </c>
      <c r="B38" s="8">
        <v>215</v>
      </c>
      <c r="C38" s="8">
        <v>289805855</v>
      </c>
      <c r="D38" s="42" t="s">
        <v>145</v>
      </c>
      <c r="E38" s="42" t="s">
        <v>87</v>
      </c>
      <c r="F38" s="10">
        <v>2</v>
      </c>
      <c r="G38" s="10">
        <v>0</v>
      </c>
      <c r="H38" s="50">
        <v>0</v>
      </c>
      <c r="I38" s="50">
        <v>1</v>
      </c>
      <c r="J38" s="50">
        <v>1</v>
      </c>
      <c r="K38" s="14" t="s">
        <v>29</v>
      </c>
      <c r="L38" s="11">
        <f t="shared" si="7"/>
        <v>2</v>
      </c>
      <c r="M38" s="10">
        <f t="shared" si="6"/>
        <v>0</v>
      </c>
      <c r="N38" s="10">
        <f t="shared" si="8"/>
        <v>0.8</v>
      </c>
      <c r="O38" s="10">
        <v>0</v>
      </c>
      <c r="P38" s="10">
        <f t="shared" si="9"/>
        <v>2.8</v>
      </c>
      <c r="Q38" s="17">
        <v>9.8499999999999908</v>
      </c>
      <c r="R38" s="18">
        <f t="shared" si="10"/>
        <v>12.649999999999991</v>
      </c>
      <c r="S38" s="19">
        <f t="shared" si="11"/>
        <v>1.875</v>
      </c>
      <c r="T38" s="20">
        <f t="shared" si="12"/>
        <v>10.774999999999991</v>
      </c>
      <c r="U38" s="4"/>
      <c r="V38" s="4"/>
      <c r="W38" s="4"/>
      <c r="X38" s="1"/>
      <c r="Y38" s="1"/>
      <c r="Z38" s="1"/>
      <c r="AA38" s="1"/>
      <c r="AB38" s="1"/>
      <c r="AC38" s="1"/>
    </row>
    <row r="39" spans="1:29" s="3" customFormat="1" ht="17.399999999999999">
      <c r="A39" s="9">
        <v>1</v>
      </c>
      <c r="B39" s="8">
        <v>251</v>
      </c>
      <c r="C39" s="8">
        <v>26962972</v>
      </c>
      <c r="D39" s="42" t="s">
        <v>151</v>
      </c>
      <c r="E39" s="4"/>
      <c r="F39" s="10">
        <v>3</v>
      </c>
      <c r="G39" s="10">
        <v>0</v>
      </c>
      <c r="H39" s="50">
        <v>0</v>
      </c>
      <c r="I39" s="50">
        <v>0</v>
      </c>
      <c r="J39" s="50">
        <v>0</v>
      </c>
      <c r="K39" s="14" t="s">
        <v>29</v>
      </c>
      <c r="L39" s="11">
        <f t="shared" si="7"/>
        <v>4</v>
      </c>
      <c r="M39" s="10">
        <f t="shared" si="6"/>
        <v>0</v>
      </c>
      <c r="N39" s="10">
        <f t="shared" si="8"/>
        <v>0</v>
      </c>
      <c r="O39" s="10">
        <v>0</v>
      </c>
      <c r="P39" s="10">
        <f t="shared" si="9"/>
        <v>4</v>
      </c>
      <c r="Q39" s="17">
        <v>7.7499999999999822</v>
      </c>
      <c r="R39" s="18">
        <f t="shared" si="10"/>
        <v>11.749999999999982</v>
      </c>
      <c r="S39" s="19">
        <f t="shared" si="11"/>
        <v>1.875</v>
      </c>
      <c r="T39" s="20">
        <f t="shared" si="12"/>
        <v>9.8749999999999822</v>
      </c>
      <c r="U39" s="4"/>
      <c r="V39" s="4"/>
      <c r="W39" s="4"/>
    </row>
    <row r="40" spans="1:29" ht="17.399999999999999">
      <c r="A40" s="9">
        <v>1</v>
      </c>
      <c r="B40" s="8">
        <v>240</v>
      </c>
      <c r="C40" s="8">
        <v>289805855</v>
      </c>
      <c r="D40" s="42" t="s">
        <v>158</v>
      </c>
      <c r="E40" s="42" t="s">
        <v>123</v>
      </c>
      <c r="F40" s="10">
        <v>0</v>
      </c>
      <c r="G40" s="10">
        <v>0</v>
      </c>
      <c r="H40" s="50">
        <v>0</v>
      </c>
      <c r="I40" s="50">
        <v>0</v>
      </c>
      <c r="J40" s="50">
        <v>0</v>
      </c>
      <c r="K40" s="39" t="s">
        <v>30</v>
      </c>
      <c r="L40" s="11">
        <f t="shared" si="7"/>
        <v>0</v>
      </c>
      <c r="M40" s="10">
        <f t="shared" si="6"/>
        <v>0</v>
      </c>
      <c r="N40" s="10">
        <f t="shared" si="8"/>
        <v>0</v>
      </c>
      <c r="O40" s="10">
        <v>0</v>
      </c>
      <c r="P40" s="10">
        <f t="shared" si="9"/>
        <v>0</v>
      </c>
      <c r="Q40" s="17">
        <v>10.895015873015858</v>
      </c>
      <c r="R40" s="18">
        <f t="shared" si="10"/>
        <v>10.895015873015858</v>
      </c>
      <c r="S40" s="19">
        <f t="shared" si="11"/>
        <v>0</v>
      </c>
      <c r="T40" s="20">
        <f t="shared" si="12"/>
        <v>10.895015873015858</v>
      </c>
      <c r="U40" s="4"/>
      <c r="V40" s="4"/>
      <c r="W40" s="4"/>
    </row>
    <row r="41" spans="1:29" ht="17.399999999999999">
      <c r="A41" s="9">
        <v>1</v>
      </c>
      <c r="B41" s="8">
        <v>255</v>
      </c>
      <c r="C41" s="8">
        <v>812042496</v>
      </c>
      <c r="D41" s="42" t="s">
        <v>160</v>
      </c>
      <c r="E41" s="42" t="s">
        <v>155</v>
      </c>
      <c r="F41" s="10">
        <v>1</v>
      </c>
      <c r="G41" s="10">
        <v>0</v>
      </c>
      <c r="H41" s="50">
        <v>0</v>
      </c>
      <c r="I41" s="50">
        <v>0</v>
      </c>
      <c r="J41" s="50">
        <v>0</v>
      </c>
      <c r="K41" s="14" t="s">
        <v>29</v>
      </c>
      <c r="L41" s="11">
        <f t="shared" si="7"/>
        <v>1</v>
      </c>
      <c r="M41" s="10">
        <f t="shared" ref="M41:M72" si="13">G41*$Y$14</f>
        <v>0</v>
      </c>
      <c r="N41" s="10">
        <f t="shared" si="8"/>
        <v>0</v>
      </c>
      <c r="O41" s="10">
        <v>0</v>
      </c>
      <c r="P41" s="10">
        <f t="shared" si="9"/>
        <v>1</v>
      </c>
      <c r="Q41" s="17">
        <v>9.4999999999999964</v>
      </c>
      <c r="R41" s="18">
        <f t="shared" si="10"/>
        <v>10.499999999999996</v>
      </c>
      <c r="S41" s="19">
        <f t="shared" si="11"/>
        <v>1.875</v>
      </c>
      <c r="T41" s="20">
        <f t="shared" si="12"/>
        <v>8.6249999999999964</v>
      </c>
      <c r="U41" s="2"/>
      <c r="V41" s="4"/>
      <c r="W41" s="4"/>
    </row>
    <row r="42" spans="1:29" ht="17.399999999999999">
      <c r="A42" s="9">
        <v>1</v>
      </c>
      <c r="B42" s="8">
        <v>116</v>
      </c>
      <c r="C42" s="8">
        <v>2122596917</v>
      </c>
      <c r="D42" s="42" t="s">
        <v>61</v>
      </c>
      <c r="E42" s="42" t="s">
        <v>37</v>
      </c>
      <c r="F42" s="10">
        <v>0</v>
      </c>
      <c r="G42" s="10">
        <v>0</v>
      </c>
      <c r="H42" s="50">
        <v>0</v>
      </c>
      <c r="I42" s="50">
        <v>0</v>
      </c>
      <c r="J42" s="50">
        <v>1</v>
      </c>
      <c r="K42" s="39" t="s">
        <v>30</v>
      </c>
      <c r="L42" s="11">
        <f t="shared" si="7"/>
        <v>0</v>
      </c>
      <c r="M42" s="10">
        <f t="shared" si="13"/>
        <v>0</v>
      </c>
      <c r="N42" s="10">
        <f t="shared" si="8"/>
        <v>0.4</v>
      </c>
      <c r="O42" s="10">
        <v>0</v>
      </c>
      <c r="P42" s="10">
        <f t="shared" si="9"/>
        <v>0.4</v>
      </c>
      <c r="Q42" s="17">
        <v>10.083653846153847</v>
      </c>
      <c r="R42" s="18">
        <f t="shared" si="10"/>
        <v>10.483653846153848</v>
      </c>
      <c r="S42" s="19">
        <f t="shared" si="11"/>
        <v>0</v>
      </c>
      <c r="T42" s="20">
        <f t="shared" si="12"/>
        <v>10.483653846153848</v>
      </c>
      <c r="U42" s="11"/>
      <c r="V42" s="11"/>
      <c r="W42" s="32"/>
    </row>
    <row r="43" spans="1:29" ht="17.399999999999999">
      <c r="A43" s="9">
        <v>1</v>
      </c>
      <c r="B43" s="8">
        <v>202</v>
      </c>
      <c r="C43" s="8">
        <v>471245585</v>
      </c>
      <c r="D43" s="42" t="s">
        <v>77</v>
      </c>
      <c r="E43" s="47"/>
      <c r="F43" s="10">
        <v>3</v>
      </c>
      <c r="G43" s="10">
        <v>0</v>
      </c>
      <c r="H43" s="50">
        <v>0</v>
      </c>
      <c r="I43" s="50">
        <v>0</v>
      </c>
      <c r="J43" s="50">
        <v>0</v>
      </c>
      <c r="K43" s="14" t="s">
        <v>29</v>
      </c>
      <c r="L43" s="11">
        <f t="shared" si="7"/>
        <v>4</v>
      </c>
      <c r="M43" s="10">
        <f t="shared" si="13"/>
        <v>0</v>
      </c>
      <c r="N43" s="10">
        <f t="shared" si="8"/>
        <v>0</v>
      </c>
      <c r="O43" s="10">
        <v>0</v>
      </c>
      <c r="P43" s="10">
        <f t="shared" si="9"/>
        <v>4</v>
      </c>
      <c r="Q43" s="17">
        <v>5.5562500000000004</v>
      </c>
      <c r="R43" s="18">
        <f t="shared" si="10"/>
        <v>9.5562500000000004</v>
      </c>
      <c r="S43" s="19">
        <f t="shared" si="11"/>
        <v>1.875</v>
      </c>
      <c r="T43" s="20">
        <f t="shared" si="12"/>
        <v>7.6812500000000004</v>
      </c>
      <c r="U43" s="4"/>
      <c r="V43" s="4"/>
      <c r="W43" s="4"/>
    </row>
    <row r="44" spans="1:29" ht="17.399999999999999">
      <c r="A44" s="9">
        <v>1</v>
      </c>
      <c r="B44" s="8">
        <v>242</v>
      </c>
      <c r="C44" s="8">
        <v>1381736232</v>
      </c>
      <c r="D44" s="42" t="s">
        <v>144</v>
      </c>
      <c r="E44" s="42" t="s">
        <v>125</v>
      </c>
      <c r="F44" s="10">
        <v>0</v>
      </c>
      <c r="G44" s="10">
        <v>0</v>
      </c>
      <c r="H44" s="50">
        <v>0</v>
      </c>
      <c r="I44" s="50">
        <v>0</v>
      </c>
      <c r="J44" s="50">
        <v>0</v>
      </c>
      <c r="K44" s="39" t="s">
        <v>30</v>
      </c>
      <c r="L44" s="11">
        <f t="shared" si="7"/>
        <v>0</v>
      </c>
      <c r="M44" s="10">
        <f t="shared" si="13"/>
        <v>0</v>
      </c>
      <c r="N44" s="10">
        <f t="shared" si="8"/>
        <v>0</v>
      </c>
      <c r="O44" s="10">
        <v>0</v>
      </c>
      <c r="P44" s="10">
        <f t="shared" si="9"/>
        <v>0</v>
      </c>
      <c r="Q44" s="17">
        <v>7.7000000000000028</v>
      </c>
      <c r="R44" s="18">
        <f t="shared" si="10"/>
        <v>7.7000000000000028</v>
      </c>
      <c r="S44" s="19">
        <f t="shared" si="11"/>
        <v>0</v>
      </c>
      <c r="T44" s="20">
        <f t="shared" si="12"/>
        <v>7.7000000000000028</v>
      </c>
      <c r="U44" s="4"/>
      <c r="V44" s="4"/>
      <c r="W44" s="4"/>
    </row>
    <row r="45" spans="1:29" ht="17.399999999999999">
      <c r="A45" s="9">
        <v>1</v>
      </c>
      <c r="B45" s="8">
        <v>183</v>
      </c>
      <c r="C45" s="8">
        <v>1250030371</v>
      </c>
      <c r="D45" s="42" t="s">
        <v>130</v>
      </c>
      <c r="E45" s="42" t="s">
        <v>121</v>
      </c>
      <c r="F45" s="10">
        <v>3</v>
      </c>
      <c r="G45" s="10">
        <v>0</v>
      </c>
      <c r="H45" s="50">
        <v>0</v>
      </c>
      <c r="I45" s="50">
        <v>0</v>
      </c>
      <c r="J45" s="50">
        <v>0</v>
      </c>
      <c r="K45" s="14" t="s">
        <v>29</v>
      </c>
      <c r="L45" s="11">
        <f t="shared" si="7"/>
        <v>4</v>
      </c>
      <c r="M45" s="10">
        <f t="shared" si="13"/>
        <v>0</v>
      </c>
      <c r="N45" s="10">
        <f t="shared" si="8"/>
        <v>0</v>
      </c>
      <c r="O45" s="10">
        <v>0</v>
      </c>
      <c r="P45" s="10">
        <f t="shared" si="9"/>
        <v>4</v>
      </c>
      <c r="Q45" s="17">
        <v>3.6687500000000108</v>
      </c>
      <c r="R45" s="18">
        <f t="shared" si="10"/>
        <v>7.6687500000000108</v>
      </c>
      <c r="S45" s="19">
        <f t="shared" si="11"/>
        <v>1.875</v>
      </c>
      <c r="T45" s="20">
        <f t="shared" si="12"/>
        <v>5.7937500000000108</v>
      </c>
      <c r="U45" s="4"/>
      <c r="V45" s="4"/>
      <c r="W45" s="4"/>
    </row>
    <row r="46" spans="1:29" ht="17.399999999999999">
      <c r="A46" s="9">
        <v>1</v>
      </c>
      <c r="B46" s="8">
        <v>195</v>
      </c>
      <c r="C46" s="8">
        <v>1634663314</v>
      </c>
      <c r="D46" s="42" t="s">
        <v>73</v>
      </c>
      <c r="E46" s="47"/>
      <c r="F46" s="10">
        <v>3</v>
      </c>
      <c r="G46" s="10">
        <v>0</v>
      </c>
      <c r="H46" s="50">
        <v>0</v>
      </c>
      <c r="I46" s="50">
        <v>0</v>
      </c>
      <c r="J46" s="50">
        <v>0</v>
      </c>
      <c r="K46" s="14" t="s">
        <v>29</v>
      </c>
      <c r="L46" s="11">
        <f t="shared" si="7"/>
        <v>4</v>
      </c>
      <c r="M46" s="10">
        <f t="shared" si="13"/>
        <v>0</v>
      </c>
      <c r="N46" s="10">
        <f t="shared" si="8"/>
        <v>0</v>
      </c>
      <c r="O46" s="10">
        <v>0</v>
      </c>
      <c r="P46" s="10">
        <f t="shared" si="9"/>
        <v>4</v>
      </c>
      <c r="Q46" s="17">
        <v>3.4562499999999998</v>
      </c>
      <c r="R46" s="18">
        <f t="shared" si="10"/>
        <v>7.4562499999999998</v>
      </c>
      <c r="S46" s="19">
        <f t="shared" si="11"/>
        <v>1.875</v>
      </c>
      <c r="T46" s="20">
        <f t="shared" si="12"/>
        <v>5.5812499999999998</v>
      </c>
      <c r="U46" s="4"/>
      <c r="V46" s="4"/>
      <c r="W46" s="4"/>
    </row>
    <row r="47" spans="1:29" ht="17.399999999999999">
      <c r="A47" s="9">
        <v>1</v>
      </c>
      <c r="B47" s="8">
        <v>236</v>
      </c>
      <c r="C47" s="8">
        <v>1968448898</v>
      </c>
      <c r="D47" s="42" t="s">
        <v>118</v>
      </c>
      <c r="F47" s="10">
        <v>0</v>
      </c>
      <c r="G47" s="10">
        <v>0</v>
      </c>
      <c r="H47" s="50">
        <v>0</v>
      </c>
      <c r="I47" s="50">
        <v>0</v>
      </c>
      <c r="J47" s="50">
        <v>0</v>
      </c>
      <c r="K47" s="39" t="s">
        <v>30</v>
      </c>
      <c r="L47" s="11">
        <f t="shared" si="7"/>
        <v>0</v>
      </c>
      <c r="M47" s="10">
        <f t="shared" si="13"/>
        <v>0</v>
      </c>
      <c r="N47" s="10">
        <f t="shared" si="8"/>
        <v>0</v>
      </c>
      <c r="O47" s="10">
        <v>0</v>
      </c>
      <c r="P47" s="10">
        <f t="shared" si="9"/>
        <v>0</v>
      </c>
      <c r="Q47" s="17">
        <v>6.4687499999999964</v>
      </c>
      <c r="R47" s="18">
        <f t="shared" si="10"/>
        <v>6.4687499999999964</v>
      </c>
      <c r="S47" s="19">
        <f t="shared" si="11"/>
        <v>0</v>
      </c>
      <c r="T47" s="20">
        <f t="shared" si="12"/>
        <v>6.4687499999999964</v>
      </c>
      <c r="U47" s="4"/>
      <c r="V47" s="4"/>
      <c r="W47" s="4"/>
    </row>
    <row r="48" spans="1:29" ht="17.399999999999999">
      <c r="A48" s="9">
        <v>1</v>
      </c>
      <c r="B48" s="8">
        <v>212</v>
      </c>
      <c r="C48" s="8">
        <v>2133045883</v>
      </c>
      <c r="D48" s="42" t="s">
        <v>137</v>
      </c>
      <c r="E48" s="42" t="s">
        <v>84</v>
      </c>
      <c r="F48" s="10">
        <v>3</v>
      </c>
      <c r="G48" s="10">
        <v>0</v>
      </c>
      <c r="H48" s="50">
        <v>0</v>
      </c>
      <c r="I48" s="50">
        <v>0</v>
      </c>
      <c r="J48" s="50">
        <v>0</v>
      </c>
      <c r="K48" s="14" t="s">
        <v>29</v>
      </c>
      <c r="L48" s="11">
        <f t="shared" si="7"/>
        <v>4</v>
      </c>
      <c r="M48" s="10">
        <f t="shared" si="13"/>
        <v>0</v>
      </c>
      <c r="N48" s="10">
        <f t="shared" si="8"/>
        <v>0</v>
      </c>
      <c r="O48" s="10">
        <v>0</v>
      </c>
      <c r="P48" s="10">
        <f t="shared" si="9"/>
        <v>4</v>
      </c>
      <c r="Q48" s="17">
        <v>0.8125</v>
      </c>
      <c r="R48" s="18">
        <f t="shared" si="10"/>
        <v>4.8125</v>
      </c>
      <c r="S48" s="19">
        <f t="shared" si="11"/>
        <v>1.875</v>
      </c>
      <c r="T48" s="20">
        <f t="shared" si="12"/>
        <v>2.9375</v>
      </c>
    </row>
    <row r="49" spans="1:23" ht="17.399999999999999" hidden="1">
      <c r="A49" s="9">
        <v>0</v>
      </c>
      <c r="B49" s="8">
        <v>193</v>
      </c>
      <c r="C49" s="8">
        <v>2125731287</v>
      </c>
      <c r="D49" s="42" t="s">
        <v>72</v>
      </c>
      <c r="E49" s="47"/>
      <c r="F49" s="10">
        <v>0</v>
      </c>
      <c r="G49" s="10">
        <v>0</v>
      </c>
      <c r="H49" s="50">
        <v>0</v>
      </c>
      <c r="I49" s="50">
        <v>0</v>
      </c>
      <c r="J49" s="50">
        <v>0</v>
      </c>
      <c r="K49" s="39" t="s">
        <v>30</v>
      </c>
      <c r="L49" s="11">
        <f t="shared" si="7"/>
        <v>0</v>
      </c>
      <c r="M49" s="10">
        <f t="shared" si="13"/>
        <v>0</v>
      </c>
      <c r="N49" s="10">
        <f t="shared" si="8"/>
        <v>0</v>
      </c>
      <c r="O49" s="10">
        <v>0</v>
      </c>
      <c r="P49" s="10">
        <f t="shared" si="9"/>
        <v>0</v>
      </c>
      <c r="Q49" s="17">
        <v>0.35625000000000018</v>
      </c>
      <c r="R49" s="18">
        <f t="shared" si="10"/>
        <v>0.35625000000000018</v>
      </c>
      <c r="S49" s="19">
        <f t="shared" si="11"/>
        <v>0</v>
      </c>
      <c r="T49" s="20">
        <f t="shared" si="12"/>
        <v>0.35625000000000018</v>
      </c>
    </row>
    <row r="50" spans="1:23" ht="20.399999999999999">
      <c r="A50" s="86">
        <v>1</v>
      </c>
      <c r="B50" s="8">
        <v>186</v>
      </c>
      <c r="C50" s="8">
        <v>595953188</v>
      </c>
      <c r="D50" s="42" t="s">
        <v>157</v>
      </c>
      <c r="E50" s="87" t="s">
        <v>156</v>
      </c>
      <c r="F50" s="10">
        <v>0</v>
      </c>
      <c r="G50" s="10">
        <v>0</v>
      </c>
      <c r="H50" s="50">
        <v>0</v>
      </c>
      <c r="I50" s="50">
        <v>0</v>
      </c>
      <c r="J50" s="50">
        <v>0</v>
      </c>
      <c r="K50" s="39" t="s">
        <v>30</v>
      </c>
      <c r="L50" s="91">
        <f t="shared" si="7"/>
        <v>0</v>
      </c>
      <c r="M50" s="88">
        <f t="shared" si="13"/>
        <v>0</v>
      </c>
      <c r="N50" s="88">
        <f t="shared" si="8"/>
        <v>0</v>
      </c>
      <c r="O50" s="88">
        <v>0</v>
      </c>
      <c r="P50" s="88">
        <f t="shared" si="9"/>
        <v>0</v>
      </c>
      <c r="Q50" s="92">
        <v>-0.40624999999999845</v>
      </c>
      <c r="R50" s="18">
        <f t="shared" si="10"/>
        <v>-0.40624999999999845</v>
      </c>
      <c r="S50" s="93">
        <f t="shared" si="11"/>
        <v>0</v>
      </c>
      <c r="T50" s="94">
        <f t="shared" si="12"/>
        <v>-0.40624999999999845</v>
      </c>
      <c r="U50" s="37"/>
    </row>
    <row r="51" spans="1:23" ht="17.399999999999999" hidden="1">
      <c r="A51" s="9">
        <v>0</v>
      </c>
      <c r="B51" s="8">
        <v>224</v>
      </c>
      <c r="C51" s="8">
        <v>862562360</v>
      </c>
      <c r="D51" s="42" t="s">
        <v>129</v>
      </c>
      <c r="E51" s="42" t="s">
        <v>106</v>
      </c>
      <c r="F51" s="10">
        <v>0</v>
      </c>
      <c r="G51" s="10">
        <v>0</v>
      </c>
      <c r="H51" s="50">
        <v>0</v>
      </c>
      <c r="I51" s="50">
        <v>0</v>
      </c>
      <c r="J51" s="50">
        <v>0</v>
      </c>
      <c r="K51" s="39" t="s">
        <v>30</v>
      </c>
      <c r="L51" s="11">
        <f t="shared" si="7"/>
        <v>0</v>
      </c>
      <c r="M51" s="10">
        <f t="shared" si="13"/>
        <v>0</v>
      </c>
      <c r="N51" s="10">
        <f t="shared" si="8"/>
        <v>0</v>
      </c>
      <c r="O51" s="10">
        <v>0</v>
      </c>
      <c r="P51" s="10">
        <f t="shared" si="9"/>
        <v>0</v>
      </c>
      <c r="Q51" s="17">
        <v>-1.2437499999999995</v>
      </c>
      <c r="R51" s="18">
        <f t="shared" si="10"/>
        <v>-1.2437499999999995</v>
      </c>
      <c r="S51" s="19">
        <f t="shared" si="11"/>
        <v>0</v>
      </c>
      <c r="T51" s="20">
        <f t="shared" si="12"/>
        <v>-1.2437499999999995</v>
      </c>
    </row>
    <row r="52" spans="1:23" ht="17.399999999999999">
      <c r="A52" s="9">
        <v>1</v>
      </c>
      <c r="B52" s="8">
        <v>249</v>
      </c>
      <c r="C52" s="8">
        <v>1892505535</v>
      </c>
      <c r="D52" s="42" t="s">
        <v>149</v>
      </c>
      <c r="F52" s="10">
        <v>2</v>
      </c>
      <c r="G52" s="10">
        <v>0</v>
      </c>
      <c r="H52" s="50">
        <v>0</v>
      </c>
      <c r="I52" s="50">
        <v>0</v>
      </c>
      <c r="J52" s="50">
        <v>0</v>
      </c>
      <c r="K52" s="14" t="s">
        <v>29</v>
      </c>
      <c r="L52" s="11">
        <f t="shared" si="7"/>
        <v>2</v>
      </c>
      <c r="M52" s="10">
        <f t="shared" si="13"/>
        <v>0</v>
      </c>
      <c r="N52" s="10">
        <f t="shared" si="8"/>
        <v>0</v>
      </c>
      <c r="O52" s="10">
        <v>0</v>
      </c>
      <c r="P52" s="10">
        <f t="shared" si="9"/>
        <v>2</v>
      </c>
      <c r="Q52" s="17">
        <v>-4.1499999999999995</v>
      </c>
      <c r="R52" s="18">
        <f t="shared" si="10"/>
        <v>-2.1499999999999995</v>
      </c>
      <c r="S52" s="19">
        <f t="shared" si="11"/>
        <v>1.875</v>
      </c>
      <c r="T52" s="20">
        <f t="shared" si="12"/>
        <v>-4.0249999999999995</v>
      </c>
    </row>
    <row r="53" spans="1:23" ht="17.399999999999999">
      <c r="A53" s="9">
        <v>1</v>
      </c>
      <c r="B53" s="9">
        <v>92</v>
      </c>
      <c r="C53" s="8">
        <v>1367873925</v>
      </c>
      <c r="D53" s="42" t="s">
        <v>80</v>
      </c>
      <c r="E53" s="42" t="s">
        <v>31</v>
      </c>
      <c r="F53" s="10">
        <v>3</v>
      </c>
      <c r="G53" s="10">
        <v>0</v>
      </c>
      <c r="H53" s="50">
        <v>0</v>
      </c>
      <c r="I53" s="50">
        <v>0</v>
      </c>
      <c r="J53" s="50">
        <v>0</v>
      </c>
      <c r="K53" s="14" t="s">
        <v>29</v>
      </c>
      <c r="L53" s="11">
        <f t="shared" si="7"/>
        <v>4</v>
      </c>
      <c r="M53" s="10">
        <f t="shared" si="13"/>
        <v>0</v>
      </c>
      <c r="N53" s="10">
        <f t="shared" si="8"/>
        <v>0</v>
      </c>
      <c r="O53" s="10">
        <v>0</v>
      </c>
      <c r="P53" s="10">
        <f t="shared" si="9"/>
        <v>4</v>
      </c>
      <c r="Q53" s="17">
        <v>-7.125</v>
      </c>
      <c r="R53" s="18">
        <f t="shared" si="10"/>
        <v>-3.125</v>
      </c>
      <c r="S53" s="19">
        <f t="shared" si="11"/>
        <v>1.875</v>
      </c>
      <c r="T53" s="20">
        <f t="shared" si="12"/>
        <v>-5</v>
      </c>
      <c r="U53" s="40"/>
      <c r="V53" s="40"/>
      <c r="W53" s="41"/>
    </row>
    <row r="54" spans="1:23" ht="17.399999999999999">
      <c r="A54" s="9">
        <v>1</v>
      </c>
      <c r="B54" s="8">
        <v>156</v>
      </c>
      <c r="C54" s="8">
        <v>1744610165</v>
      </c>
      <c r="D54" s="42" t="s">
        <v>135</v>
      </c>
      <c r="E54" s="42" t="s">
        <v>64</v>
      </c>
      <c r="F54" s="10">
        <v>3</v>
      </c>
      <c r="G54" s="10">
        <v>0</v>
      </c>
      <c r="H54" s="50">
        <v>0</v>
      </c>
      <c r="I54" s="50">
        <v>0</v>
      </c>
      <c r="J54" s="50">
        <v>0</v>
      </c>
      <c r="K54" s="14" t="s">
        <v>29</v>
      </c>
      <c r="L54" s="11">
        <f t="shared" si="7"/>
        <v>4</v>
      </c>
      <c r="M54" s="10">
        <f t="shared" si="13"/>
        <v>0</v>
      </c>
      <c r="N54" s="10">
        <f t="shared" si="8"/>
        <v>0</v>
      </c>
      <c r="O54" s="10">
        <v>0</v>
      </c>
      <c r="P54" s="10">
        <f t="shared" si="9"/>
        <v>4</v>
      </c>
      <c r="Q54" s="17">
        <v>-7.125</v>
      </c>
      <c r="R54" s="18">
        <f t="shared" si="10"/>
        <v>-3.125</v>
      </c>
      <c r="S54" s="19">
        <f t="shared" si="11"/>
        <v>1.875</v>
      </c>
      <c r="T54" s="20">
        <f t="shared" si="12"/>
        <v>-5</v>
      </c>
    </row>
    <row r="55" spans="1:23" ht="17.399999999999999">
      <c r="A55" s="9">
        <v>1</v>
      </c>
      <c r="B55" s="9">
        <v>10</v>
      </c>
      <c r="C55" s="8">
        <v>2108977014</v>
      </c>
      <c r="D55" s="42" t="s">
        <v>57</v>
      </c>
      <c r="E55" s="42" t="s">
        <v>8</v>
      </c>
      <c r="F55" s="10">
        <v>3</v>
      </c>
      <c r="G55" s="10">
        <v>0</v>
      </c>
      <c r="H55" s="50">
        <v>0</v>
      </c>
      <c r="I55" s="50">
        <v>0</v>
      </c>
      <c r="J55" s="50">
        <v>0</v>
      </c>
      <c r="K55" s="14" t="s">
        <v>29</v>
      </c>
      <c r="L55" s="11">
        <f t="shared" si="7"/>
        <v>4</v>
      </c>
      <c r="M55" s="10">
        <f t="shared" si="13"/>
        <v>0</v>
      </c>
      <c r="N55" s="10">
        <f t="shared" si="8"/>
        <v>0</v>
      </c>
      <c r="O55" s="10">
        <v>0</v>
      </c>
      <c r="P55" s="10">
        <f t="shared" si="9"/>
        <v>4</v>
      </c>
      <c r="Q55" s="17">
        <v>-7.125</v>
      </c>
      <c r="R55" s="18">
        <f t="shared" si="10"/>
        <v>-3.125</v>
      </c>
      <c r="S55" s="19">
        <f t="shared" si="11"/>
        <v>1.875</v>
      </c>
      <c r="T55" s="20">
        <f t="shared" si="12"/>
        <v>-5</v>
      </c>
      <c r="U55" s="40"/>
      <c r="V55" s="40"/>
      <c r="W55" s="40"/>
    </row>
    <row r="56" spans="1:23" ht="17.399999999999999">
      <c r="A56" s="9">
        <v>1</v>
      </c>
      <c r="B56" s="8">
        <v>250</v>
      </c>
      <c r="C56" s="8">
        <v>1183251323</v>
      </c>
      <c r="D56" s="42" t="s">
        <v>150</v>
      </c>
      <c r="F56" s="10">
        <v>3</v>
      </c>
      <c r="G56" s="10">
        <v>0</v>
      </c>
      <c r="H56" s="50">
        <v>0</v>
      </c>
      <c r="I56" s="50">
        <v>0</v>
      </c>
      <c r="J56" s="50">
        <v>0</v>
      </c>
      <c r="K56" s="14" t="s">
        <v>29</v>
      </c>
      <c r="L56" s="11">
        <f t="shared" si="7"/>
        <v>4</v>
      </c>
      <c r="M56" s="10">
        <f t="shared" si="13"/>
        <v>0</v>
      </c>
      <c r="N56" s="10">
        <f t="shared" si="8"/>
        <v>0</v>
      </c>
      <c r="O56" s="10">
        <v>0</v>
      </c>
      <c r="P56" s="10">
        <f t="shared" si="9"/>
        <v>4</v>
      </c>
      <c r="Q56" s="17">
        <v>-7.8937500000000043</v>
      </c>
      <c r="R56" s="18">
        <f t="shared" si="10"/>
        <v>-3.8937500000000043</v>
      </c>
      <c r="S56" s="19">
        <f t="shared" si="11"/>
        <v>1.875</v>
      </c>
      <c r="T56" s="20">
        <f t="shared" si="12"/>
        <v>-5.7687500000000043</v>
      </c>
    </row>
    <row r="57" spans="1:23" ht="17.399999999999999" hidden="1">
      <c r="A57" s="9">
        <v>0</v>
      </c>
      <c r="B57" s="8">
        <v>198</v>
      </c>
      <c r="C57" s="8">
        <v>723448640</v>
      </c>
      <c r="D57" s="42" t="s">
        <v>75</v>
      </c>
      <c r="E57" s="47"/>
      <c r="F57" s="10">
        <v>0</v>
      </c>
      <c r="G57" s="10">
        <v>0</v>
      </c>
      <c r="H57" s="50">
        <v>0</v>
      </c>
      <c r="I57" s="50">
        <v>0</v>
      </c>
      <c r="J57" s="50">
        <v>0</v>
      </c>
      <c r="K57" s="39" t="s">
        <v>30</v>
      </c>
      <c r="L57" s="11">
        <f t="shared" si="7"/>
        <v>0</v>
      </c>
      <c r="M57" s="10">
        <f t="shared" si="13"/>
        <v>0</v>
      </c>
      <c r="N57" s="10">
        <f t="shared" si="8"/>
        <v>0</v>
      </c>
      <c r="O57" s="10">
        <v>0</v>
      </c>
      <c r="P57" s="10">
        <f t="shared" si="9"/>
        <v>0</v>
      </c>
      <c r="Q57" s="17">
        <v>-7.8937500000000043</v>
      </c>
      <c r="R57" s="18">
        <f t="shared" si="10"/>
        <v>-7.8937500000000043</v>
      </c>
      <c r="S57" s="19">
        <f t="shared" si="11"/>
        <v>0</v>
      </c>
      <c r="T57" s="20">
        <f t="shared" si="12"/>
        <v>-7.8937500000000043</v>
      </c>
    </row>
    <row r="58" spans="1:23" ht="17.399999999999999" hidden="1">
      <c r="A58" s="9">
        <v>0</v>
      </c>
      <c r="B58" s="8">
        <v>222</v>
      </c>
      <c r="C58" s="8">
        <v>1945277617</v>
      </c>
      <c r="D58" s="42" t="s">
        <v>97</v>
      </c>
      <c r="E58" s="42"/>
      <c r="F58" s="10">
        <v>0</v>
      </c>
      <c r="G58" s="10">
        <v>0</v>
      </c>
      <c r="H58" s="50">
        <v>0</v>
      </c>
      <c r="I58" s="50">
        <v>0</v>
      </c>
      <c r="J58" s="50">
        <v>0</v>
      </c>
      <c r="K58" s="39" t="s">
        <v>30</v>
      </c>
      <c r="L58" s="11">
        <f t="shared" si="7"/>
        <v>0</v>
      </c>
      <c r="M58" s="10">
        <f t="shared" si="13"/>
        <v>0</v>
      </c>
      <c r="N58" s="10">
        <f t="shared" si="8"/>
        <v>0</v>
      </c>
      <c r="O58" s="10">
        <v>0</v>
      </c>
      <c r="P58" s="10">
        <f t="shared" si="9"/>
        <v>0</v>
      </c>
      <c r="Q58" s="17">
        <v>-7.8937500000000043</v>
      </c>
      <c r="R58" s="18">
        <f t="shared" si="10"/>
        <v>-7.8937500000000043</v>
      </c>
      <c r="S58" s="19">
        <f t="shared" si="11"/>
        <v>0</v>
      </c>
      <c r="T58" s="20">
        <f t="shared" si="12"/>
        <v>-7.8937500000000043</v>
      </c>
    </row>
    <row r="59" spans="1:23" ht="17.399999999999999">
      <c r="A59" s="9">
        <v>1</v>
      </c>
      <c r="B59" s="8">
        <v>172</v>
      </c>
      <c r="C59" s="8">
        <v>724061220</v>
      </c>
      <c r="D59" s="42" t="s">
        <v>65</v>
      </c>
      <c r="E59" s="42" t="s">
        <v>50</v>
      </c>
      <c r="F59" s="10">
        <v>0</v>
      </c>
      <c r="G59" s="10">
        <v>0</v>
      </c>
      <c r="H59" s="50">
        <v>0</v>
      </c>
      <c r="I59" s="50">
        <v>0</v>
      </c>
      <c r="J59" s="50">
        <v>0</v>
      </c>
      <c r="K59" s="39" t="s">
        <v>30</v>
      </c>
      <c r="L59" s="11">
        <f t="shared" si="7"/>
        <v>0</v>
      </c>
      <c r="M59" s="10">
        <f t="shared" si="13"/>
        <v>0</v>
      </c>
      <c r="N59" s="10">
        <f t="shared" si="8"/>
        <v>0</v>
      </c>
      <c r="O59" s="10">
        <v>0</v>
      </c>
      <c r="P59" s="10">
        <f t="shared" si="9"/>
        <v>0</v>
      </c>
      <c r="Q59" s="17">
        <v>-4.1499999999999995</v>
      </c>
      <c r="R59" s="18">
        <f t="shared" si="10"/>
        <v>-4.1499999999999995</v>
      </c>
      <c r="S59" s="19">
        <f t="shared" si="11"/>
        <v>0</v>
      </c>
      <c r="T59" s="20">
        <f t="shared" si="12"/>
        <v>-4.1499999999999995</v>
      </c>
    </row>
    <row r="60" spans="1:23" ht="17.399999999999999">
      <c r="A60" s="9">
        <v>1</v>
      </c>
      <c r="B60" s="8">
        <v>118</v>
      </c>
      <c r="C60" s="8">
        <v>2018112397</v>
      </c>
      <c r="D60" s="42" t="s">
        <v>136</v>
      </c>
      <c r="E60" s="42" t="s">
        <v>54</v>
      </c>
      <c r="F60" s="10">
        <v>0</v>
      </c>
      <c r="G60" s="10">
        <v>0</v>
      </c>
      <c r="H60" s="50">
        <v>0</v>
      </c>
      <c r="I60" s="50">
        <v>0</v>
      </c>
      <c r="J60" s="50">
        <v>0</v>
      </c>
      <c r="K60" s="39" t="s">
        <v>30</v>
      </c>
      <c r="L60" s="11">
        <f t="shared" si="7"/>
        <v>0</v>
      </c>
      <c r="M60" s="10">
        <f t="shared" si="13"/>
        <v>0</v>
      </c>
      <c r="N60" s="10">
        <f t="shared" si="8"/>
        <v>0</v>
      </c>
      <c r="O60" s="10">
        <v>0</v>
      </c>
      <c r="P60" s="10">
        <f t="shared" si="9"/>
        <v>0</v>
      </c>
      <c r="Q60" s="17">
        <v>-7.8937500000000043</v>
      </c>
      <c r="R60" s="18">
        <f t="shared" si="10"/>
        <v>-7.8937500000000043</v>
      </c>
      <c r="S60" s="19">
        <f t="shared" si="11"/>
        <v>0</v>
      </c>
      <c r="T60" s="20">
        <f t="shared" si="12"/>
        <v>-7.8937500000000043</v>
      </c>
      <c r="U60" s="40"/>
      <c r="V60" s="40"/>
      <c r="W60" s="85"/>
    </row>
    <row r="61" spans="1:23" ht="17.399999999999999">
      <c r="A61" s="9">
        <v>1</v>
      </c>
      <c r="B61" s="8">
        <v>239</v>
      </c>
      <c r="C61" s="8">
        <v>416459640</v>
      </c>
      <c r="D61" s="42" t="s">
        <v>122</v>
      </c>
      <c r="F61" s="10">
        <v>0</v>
      </c>
      <c r="G61" s="10">
        <v>0</v>
      </c>
      <c r="H61" s="50">
        <v>0</v>
      </c>
      <c r="I61" s="50">
        <v>0</v>
      </c>
      <c r="J61" s="50">
        <v>0</v>
      </c>
      <c r="K61" s="39" t="s">
        <v>30</v>
      </c>
      <c r="L61" s="11">
        <f t="shared" si="7"/>
        <v>0</v>
      </c>
      <c r="M61" s="10">
        <f t="shared" si="13"/>
        <v>0</v>
      </c>
      <c r="N61" s="10">
        <f t="shared" si="8"/>
        <v>0</v>
      </c>
      <c r="O61" s="10">
        <v>0</v>
      </c>
      <c r="P61" s="10">
        <f t="shared" si="9"/>
        <v>0</v>
      </c>
      <c r="Q61" s="17">
        <v>-7.8937500000000043</v>
      </c>
      <c r="R61" s="18">
        <f t="shared" si="10"/>
        <v>-7.8937500000000043</v>
      </c>
      <c r="S61" s="19">
        <f t="shared" si="11"/>
        <v>0</v>
      </c>
      <c r="T61" s="20">
        <f t="shared" si="12"/>
        <v>-7.8937500000000043</v>
      </c>
    </row>
    <row r="62" spans="1:23" ht="17.399999999999999">
      <c r="A62" s="9">
        <v>1</v>
      </c>
      <c r="B62" s="8">
        <v>207</v>
      </c>
      <c r="C62" s="8">
        <v>721273803</v>
      </c>
      <c r="D62" s="42" t="s">
        <v>81</v>
      </c>
      <c r="E62" s="47"/>
      <c r="F62" s="10">
        <v>0</v>
      </c>
      <c r="G62" s="10">
        <v>0</v>
      </c>
      <c r="H62" s="50">
        <v>0</v>
      </c>
      <c r="I62" s="50">
        <v>0</v>
      </c>
      <c r="J62" s="50">
        <v>0</v>
      </c>
      <c r="K62" s="39" t="s">
        <v>30</v>
      </c>
      <c r="L62" s="11">
        <f t="shared" si="7"/>
        <v>0</v>
      </c>
      <c r="M62" s="10">
        <f t="shared" si="13"/>
        <v>0</v>
      </c>
      <c r="N62" s="10">
        <f t="shared" si="8"/>
        <v>0</v>
      </c>
      <c r="O62" s="10">
        <v>0</v>
      </c>
      <c r="P62" s="10">
        <f t="shared" si="9"/>
        <v>0</v>
      </c>
      <c r="Q62" s="17">
        <v>-7.8937500000000043</v>
      </c>
      <c r="R62" s="18">
        <f t="shared" si="10"/>
        <v>-7.8937500000000043</v>
      </c>
      <c r="S62" s="19">
        <f t="shared" si="11"/>
        <v>0</v>
      </c>
      <c r="T62" s="20">
        <f t="shared" si="12"/>
        <v>-7.8937500000000043</v>
      </c>
    </row>
    <row r="63" spans="1:23" ht="17.399999999999999">
      <c r="A63" s="9">
        <v>1</v>
      </c>
      <c r="B63" s="8">
        <v>242</v>
      </c>
      <c r="C63" s="8">
        <v>250098915</v>
      </c>
      <c r="D63" s="42" t="s">
        <v>131</v>
      </c>
      <c r="F63" s="10">
        <v>0</v>
      </c>
      <c r="G63" s="10">
        <v>0</v>
      </c>
      <c r="H63" s="50">
        <v>0</v>
      </c>
      <c r="I63" s="50">
        <v>0</v>
      </c>
      <c r="J63" s="50">
        <v>0</v>
      </c>
      <c r="K63" s="39" t="s">
        <v>30</v>
      </c>
      <c r="L63" s="11">
        <f t="shared" si="7"/>
        <v>0</v>
      </c>
      <c r="M63" s="10">
        <f t="shared" si="13"/>
        <v>0</v>
      </c>
      <c r="N63" s="10">
        <f t="shared" si="8"/>
        <v>0</v>
      </c>
      <c r="O63" s="10">
        <v>0</v>
      </c>
      <c r="P63" s="10">
        <f t="shared" si="9"/>
        <v>0</v>
      </c>
      <c r="Q63" s="17">
        <v>-7.8937500000000043</v>
      </c>
      <c r="R63" s="18">
        <f t="shared" si="10"/>
        <v>-7.8937500000000043</v>
      </c>
      <c r="S63" s="19">
        <f t="shared" si="11"/>
        <v>0</v>
      </c>
      <c r="T63" s="20">
        <f t="shared" si="12"/>
        <v>-7.8937500000000043</v>
      </c>
    </row>
    <row r="64" spans="1:23" ht="17.399999999999999" hidden="1">
      <c r="A64" s="9">
        <v>0</v>
      </c>
      <c r="B64" s="8">
        <v>226</v>
      </c>
      <c r="C64" s="8">
        <v>1238792963</v>
      </c>
      <c r="D64" s="42" t="s">
        <v>108</v>
      </c>
      <c r="E64" s="42"/>
      <c r="F64" s="10">
        <v>0</v>
      </c>
      <c r="G64" s="10">
        <v>0</v>
      </c>
      <c r="H64" s="50">
        <v>0</v>
      </c>
      <c r="I64" s="50">
        <v>0</v>
      </c>
      <c r="J64" s="50">
        <v>0</v>
      </c>
      <c r="K64" s="39" t="s">
        <v>30</v>
      </c>
      <c r="L64" s="11">
        <f t="shared" si="7"/>
        <v>0</v>
      </c>
      <c r="M64" s="10">
        <f t="shared" si="13"/>
        <v>0</v>
      </c>
      <c r="N64" s="10">
        <f t="shared" si="8"/>
        <v>0</v>
      </c>
      <c r="O64" s="10">
        <v>0</v>
      </c>
      <c r="P64" s="10">
        <f t="shared" si="9"/>
        <v>0</v>
      </c>
      <c r="Q64" s="17">
        <v>-7.8937500000000043</v>
      </c>
      <c r="R64" s="18">
        <f t="shared" si="10"/>
        <v>-7.8937500000000043</v>
      </c>
      <c r="S64" s="19">
        <f t="shared" si="11"/>
        <v>0</v>
      </c>
      <c r="T64" s="20">
        <f t="shared" si="12"/>
        <v>-7.8937500000000043</v>
      </c>
    </row>
    <row r="65" spans="1:20" ht="17.399999999999999" hidden="1">
      <c r="A65" s="9">
        <v>0</v>
      </c>
      <c r="B65" s="8">
        <v>167</v>
      </c>
      <c r="C65" s="8">
        <v>1173807161</v>
      </c>
      <c r="D65" s="42" t="s">
        <v>138</v>
      </c>
      <c r="E65" s="42" t="s">
        <v>48</v>
      </c>
      <c r="F65" s="10">
        <v>0</v>
      </c>
      <c r="G65" s="10">
        <v>0</v>
      </c>
      <c r="H65" s="50">
        <v>0</v>
      </c>
      <c r="I65" s="50">
        <v>0</v>
      </c>
      <c r="J65" s="50">
        <v>0</v>
      </c>
      <c r="K65" s="39" t="s">
        <v>30</v>
      </c>
      <c r="L65" s="11">
        <f t="shared" si="7"/>
        <v>0</v>
      </c>
      <c r="M65" s="10">
        <f t="shared" si="13"/>
        <v>0</v>
      </c>
      <c r="N65" s="10">
        <f t="shared" si="8"/>
        <v>0</v>
      </c>
      <c r="O65" s="10">
        <v>0</v>
      </c>
      <c r="P65" s="10">
        <f t="shared" si="9"/>
        <v>0</v>
      </c>
      <c r="Q65" s="17">
        <v>-8</v>
      </c>
      <c r="R65" s="18">
        <f t="shared" si="10"/>
        <v>-8</v>
      </c>
      <c r="S65" s="19">
        <f t="shared" si="11"/>
        <v>0</v>
      </c>
      <c r="T65" s="20">
        <f t="shared" si="12"/>
        <v>-8</v>
      </c>
    </row>
    <row r="66" spans="1:20" ht="17.399999999999999">
      <c r="A66" s="9">
        <v>1</v>
      </c>
      <c r="B66" s="8">
        <v>223</v>
      </c>
      <c r="C66" s="8">
        <v>784792167</v>
      </c>
      <c r="D66" s="42" t="s">
        <v>98</v>
      </c>
      <c r="E66" s="42"/>
      <c r="F66" s="10">
        <v>0</v>
      </c>
      <c r="G66" s="10">
        <v>0</v>
      </c>
      <c r="H66" s="50">
        <v>0</v>
      </c>
      <c r="I66" s="50">
        <v>0</v>
      </c>
      <c r="J66" s="50">
        <v>0</v>
      </c>
      <c r="K66" s="39" t="s">
        <v>30</v>
      </c>
      <c r="L66" s="11">
        <f t="shared" si="7"/>
        <v>0</v>
      </c>
      <c r="M66" s="10">
        <f t="shared" si="13"/>
        <v>0</v>
      </c>
      <c r="N66" s="10">
        <f t="shared" si="8"/>
        <v>0</v>
      </c>
      <c r="O66" s="10">
        <v>0</v>
      </c>
      <c r="P66" s="10">
        <f t="shared" si="9"/>
        <v>0</v>
      </c>
      <c r="Q66" s="17">
        <v>-7.8937500000000043</v>
      </c>
      <c r="R66" s="18">
        <f t="shared" si="10"/>
        <v>-7.8937500000000043</v>
      </c>
      <c r="S66" s="19">
        <f t="shared" si="11"/>
        <v>0</v>
      </c>
      <c r="T66" s="20">
        <f t="shared" si="12"/>
        <v>-7.8937500000000043</v>
      </c>
    </row>
    <row r="67" spans="1:20" ht="17.399999999999999">
      <c r="A67" s="9">
        <v>1</v>
      </c>
      <c r="B67" s="8">
        <v>252</v>
      </c>
      <c r="C67" s="8">
        <v>1574741700</v>
      </c>
      <c r="D67" s="42" t="s">
        <v>152</v>
      </c>
      <c r="F67" s="10">
        <v>0</v>
      </c>
      <c r="G67" s="10">
        <v>0</v>
      </c>
      <c r="H67" s="50">
        <v>0</v>
      </c>
      <c r="I67" s="50">
        <v>0</v>
      </c>
      <c r="J67" s="50">
        <v>0</v>
      </c>
      <c r="K67" s="39" t="s">
        <v>30</v>
      </c>
      <c r="L67" s="11">
        <f t="shared" si="7"/>
        <v>0</v>
      </c>
      <c r="M67" s="10">
        <f t="shared" si="13"/>
        <v>0</v>
      </c>
      <c r="N67" s="10">
        <f t="shared" si="8"/>
        <v>0</v>
      </c>
      <c r="O67" s="10">
        <v>0</v>
      </c>
      <c r="P67" s="10">
        <f t="shared" si="9"/>
        <v>0</v>
      </c>
      <c r="Q67" s="17">
        <v>-8</v>
      </c>
      <c r="R67" s="18">
        <f t="shared" si="10"/>
        <v>-8</v>
      </c>
      <c r="S67" s="19">
        <f t="shared" si="11"/>
        <v>0</v>
      </c>
      <c r="T67" s="20">
        <f t="shared" si="12"/>
        <v>-8</v>
      </c>
    </row>
    <row r="68" spans="1:20" ht="17.399999999999999">
      <c r="A68" s="9">
        <v>1</v>
      </c>
      <c r="B68" s="8">
        <v>235</v>
      </c>
      <c r="C68" s="8">
        <v>988684940</v>
      </c>
      <c r="D68" s="42" t="s">
        <v>116</v>
      </c>
      <c r="F68" s="10">
        <v>0</v>
      </c>
      <c r="G68" s="10">
        <v>0</v>
      </c>
      <c r="H68" s="50">
        <v>0</v>
      </c>
      <c r="I68" s="50">
        <v>0</v>
      </c>
      <c r="J68" s="50">
        <v>0</v>
      </c>
      <c r="K68" s="39" t="s">
        <v>30</v>
      </c>
      <c r="L68" s="11">
        <f t="shared" si="7"/>
        <v>0</v>
      </c>
      <c r="M68" s="10">
        <f t="shared" si="13"/>
        <v>0</v>
      </c>
      <c r="N68" s="10">
        <f t="shared" si="8"/>
        <v>0</v>
      </c>
      <c r="O68" s="10">
        <v>0</v>
      </c>
      <c r="P68" s="10">
        <f t="shared" si="9"/>
        <v>0</v>
      </c>
      <c r="Q68" s="17">
        <v>-16</v>
      </c>
      <c r="R68" s="18">
        <f t="shared" si="10"/>
        <v>-16</v>
      </c>
      <c r="S68" s="19">
        <f t="shared" si="11"/>
        <v>0</v>
      </c>
      <c r="T68" s="20">
        <f t="shared" si="12"/>
        <v>-16</v>
      </c>
    </row>
    <row r="69" spans="1:20" ht="20.399999999999999">
      <c r="A69" s="9">
        <v>1</v>
      </c>
      <c r="B69" s="8">
        <v>213</v>
      </c>
      <c r="C69" s="8">
        <v>311361673</v>
      </c>
      <c r="D69" s="42" t="s">
        <v>55</v>
      </c>
      <c r="E69" s="2"/>
      <c r="F69" s="10">
        <v>0</v>
      </c>
      <c r="G69" s="10">
        <v>0</v>
      </c>
      <c r="H69" s="50">
        <v>0</v>
      </c>
      <c r="I69" s="50">
        <v>0</v>
      </c>
      <c r="J69" s="50">
        <v>0</v>
      </c>
      <c r="K69" s="39" t="s">
        <v>30</v>
      </c>
      <c r="L69" s="11">
        <f t="shared" ref="L69:L83" si="14">F69+IF(F69&gt;2,(F69-2)*1,0)</f>
        <v>0</v>
      </c>
      <c r="M69" s="10">
        <f t="shared" si="13"/>
        <v>0</v>
      </c>
      <c r="N69" s="10">
        <f t="shared" ref="N69:N83" si="15">SUM(H69:J69)*$Y$18</f>
        <v>0</v>
      </c>
      <c r="O69" s="10">
        <v>0</v>
      </c>
      <c r="P69" s="10">
        <f t="shared" ref="P69:P100" si="16">SUM(M69+L69+O69+N69)</f>
        <v>0</v>
      </c>
      <c r="Q69" s="17">
        <v>-16.90625</v>
      </c>
      <c r="R69" s="18">
        <f t="shared" ref="R69:R100" si="17">P69+Q69</f>
        <v>-16.90625</v>
      </c>
      <c r="S69" s="19">
        <f t="shared" ref="S69:S83" si="18">VLOOKUP(K69,$X$3:$Y$10,2,FALSE)</f>
        <v>0</v>
      </c>
      <c r="T69" s="20">
        <f t="shared" ref="T69:T100" si="19">R69-S69</f>
        <v>-16.90625</v>
      </c>
    </row>
    <row r="70" spans="1:20" ht="17.399999999999999">
      <c r="A70" s="70">
        <v>1</v>
      </c>
      <c r="B70" s="8">
        <v>217</v>
      </c>
      <c r="C70" s="8">
        <v>331155825</v>
      </c>
      <c r="D70" s="46" t="s">
        <v>89</v>
      </c>
      <c r="E70" s="2"/>
      <c r="F70" s="10">
        <v>0</v>
      </c>
      <c r="G70" s="10">
        <v>0</v>
      </c>
      <c r="H70" s="50">
        <v>0</v>
      </c>
      <c r="I70" s="50">
        <v>0</v>
      </c>
      <c r="J70" s="50">
        <v>0</v>
      </c>
      <c r="K70" s="39" t="s">
        <v>30</v>
      </c>
      <c r="L70" s="11">
        <f t="shared" si="14"/>
        <v>0</v>
      </c>
      <c r="M70" s="10">
        <f t="shared" si="13"/>
        <v>0</v>
      </c>
      <c r="N70" s="10">
        <f t="shared" si="15"/>
        <v>0</v>
      </c>
      <c r="O70" s="10">
        <v>0</v>
      </c>
      <c r="P70" s="10">
        <f t="shared" si="16"/>
        <v>0</v>
      </c>
      <c r="Q70" s="17">
        <v>-16.90625</v>
      </c>
      <c r="R70" s="18">
        <f t="shared" si="17"/>
        <v>-16.90625</v>
      </c>
      <c r="S70" s="19">
        <f t="shared" si="18"/>
        <v>0</v>
      </c>
      <c r="T70" s="20">
        <f t="shared" si="19"/>
        <v>-16.90625</v>
      </c>
    </row>
    <row r="71" spans="1:20" ht="17.399999999999999">
      <c r="A71" s="9">
        <v>1</v>
      </c>
      <c r="B71" s="8">
        <v>237</v>
      </c>
      <c r="C71" s="8">
        <v>1331532576</v>
      </c>
      <c r="D71" s="42" t="s">
        <v>119</v>
      </c>
      <c r="F71" s="10">
        <v>0</v>
      </c>
      <c r="G71" s="10">
        <v>0</v>
      </c>
      <c r="H71" s="50">
        <v>0</v>
      </c>
      <c r="I71" s="50">
        <v>0</v>
      </c>
      <c r="J71" s="50">
        <v>0</v>
      </c>
      <c r="K71" s="39" t="s">
        <v>30</v>
      </c>
      <c r="L71" s="11">
        <f t="shared" si="14"/>
        <v>0</v>
      </c>
      <c r="M71" s="10">
        <f t="shared" si="13"/>
        <v>0</v>
      </c>
      <c r="N71" s="10">
        <f t="shared" si="15"/>
        <v>0</v>
      </c>
      <c r="O71" s="10">
        <v>0</v>
      </c>
      <c r="P71" s="10">
        <f t="shared" si="16"/>
        <v>0</v>
      </c>
      <c r="Q71" s="17">
        <v>-16.90625</v>
      </c>
      <c r="R71" s="18">
        <f t="shared" si="17"/>
        <v>-16.90625</v>
      </c>
      <c r="S71" s="19">
        <f t="shared" si="18"/>
        <v>0</v>
      </c>
      <c r="T71" s="20">
        <f t="shared" si="19"/>
        <v>-16.90625</v>
      </c>
    </row>
    <row r="72" spans="1:20" ht="17.399999999999999">
      <c r="A72" s="70">
        <v>1</v>
      </c>
      <c r="B72" s="8">
        <v>218</v>
      </c>
      <c r="C72" s="8">
        <v>1804880865</v>
      </c>
      <c r="D72" s="42" t="s">
        <v>92</v>
      </c>
      <c r="E72" s="47"/>
      <c r="F72" s="10">
        <v>0</v>
      </c>
      <c r="G72" s="10">
        <v>0</v>
      </c>
      <c r="H72" s="50">
        <v>0</v>
      </c>
      <c r="I72" s="50">
        <v>0</v>
      </c>
      <c r="J72" s="50">
        <v>0</v>
      </c>
      <c r="K72" s="39" t="s">
        <v>30</v>
      </c>
      <c r="L72" s="11">
        <f t="shared" si="14"/>
        <v>0</v>
      </c>
      <c r="M72" s="10">
        <f t="shared" si="13"/>
        <v>0</v>
      </c>
      <c r="N72" s="10">
        <f t="shared" si="15"/>
        <v>0</v>
      </c>
      <c r="O72" s="10">
        <v>0</v>
      </c>
      <c r="P72" s="10">
        <f t="shared" si="16"/>
        <v>0</v>
      </c>
      <c r="Q72" s="17">
        <v>-16.90625</v>
      </c>
      <c r="R72" s="18">
        <f t="shared" si="17"/>
        <v>-16.90625</v>
      </c>
      <c r="S72" s="19">
        <f t="shared" si="18"/>
        <v>0</v>
      </c>
      <c r="T72" s="20">
        <f t="shared" si="19"/>
        <v>-16.90625</v>
      </c>
    </row>
    <row r="73" spans="1:20" ht="17.399999999999999">
      <c r="A73" s="9">
        <v>1</v>
      </c>
      <c r="B73" s="8">
        <v>200</v>
      </c>
      <c r="C73" s="8">
        <v>967589156</v>
      </c>
      <c r="D73" s="42" t="s">
        <v>76</v>
      </c>
      <c r="E73" s="47"/>
      <c r="F73" s="10">
        <v>0</v>
      </c>
      <c r="G73" s="10">
        <v>0</v>
      </c>
      <c r="H73" s="50">
        <v>0</v>
      </c>
      <c r="I73" s="50">
        <v>0</v>
      </c>
      <c r="J73" s="50">
        <v>0</v>
      </c>
      <c r="K73" s="39" t="s">
        <v>30</v>
      </c>
      <c r="L73" s="11">
        <f t="shared" si="14"/>
        <v>0</v>
      </c>
      <c r="M73" s="10">
        <f t="shared" ref="M73:M83" si="20">G73*$Y$14</f>
        <v>0</v>
      </c>
      <c r="N73" s="10">
        <f t="shared" si="15"/>
        <v>0</v>
      </c>
      <c r="O73" s="10">
        <v>0</v>
      </c>
      <c r="P73" s="10">
        <f t="shared" si="16"/>
        <v>0</v>
      </c>
      <c r="Q73" s="17">
        <v>-16.90625</v>
      </c>
      <c r="R73" s="18">
        <f t="shared" si="17"/>
        <v>-16.90625</v>
      </c>
      <c r="S73" s="19">
        <f t="shared" si="18"/>
        <v>0</v>
      </c>
      <c r="T73" s="20">
        <f t="shared" si="19"/>
        <v>-16.90625</v>
      </c>
    </row>
    <row r="74" spans="1:20" ht="17.399999999999999">
      <c r="A74" s="70">
        <v>1</v>
      </c>
      <c r="B74" s="8">
        <v>192</v>
      </c>
      <c r="C74" s="8">
        <v>1725281178</v>
      </c>
      <c r="D74" s="42" t="s">
        <v>71</v>
      </c>
      <c r="E74" s="47"/>
      <c r="F74" s="10">
        <v>0</v>
      </c>
      <c r="G74" s="10">
        <v>0</v>
      </c>
      <c r="H74" s="50">
        <v>0</v>
      </c>
      <c r="I74" s="50">
        <v>0</v>
      </c>
      <c r="J74" s="50">
        <v>0</v>
      </c>
      <c r="K74" s="39" t="s">
        <v>30</v>
      </c>
      <c r="L74" s="11">
        <f t="shared" si="14"/>
        <v>0</v>
      </c>
      <c r="M74" s="10">
        <f t="shared" si="20"/>
        <v>0</v>
      </c>
      <c r="N74" s="10">
        <f t="shared" si="15"/>
        <v>0</v>
      </c>
      <c r="O74" s="10">
        <v>0</v>
      </c>
      <c r="P74" s="10">
        <f t="shared" si="16"/>
        <v>0</v>
      </c>
      <c r="Q74" s="17">
        <v>-16.90625</v>
      </c>
      <c r="R74" s="18">
        <f t="shared" si="17"/>
        <v>-16.90625</v>
      </c>
      <c r="S74" s="19">
        <f t="shared" si="18"/>
        <v>0</v>
      </c>
      <c r="T74" s="20">
        <f t="shared" si="19"/>
        <v>-16.90625</v>
      </c>
    </row>
    <row r="75" spans="1:20" ht="17.399999999999999">
      <c r="A75" s="9">
        <v>1</v>
      </c>
      <c r="B75" s="8">
        <v>234</v>
      </c>
      <c r="C75" s="8">
        <v>1333428907</v>
      </c>
      <c r="D75" s="42" t="s">
        <v>128</v>
      </c>
      <c r="E75" s="42" t="s">
        <v>115</v>
      </c>
      <c r="F75" s="10">
        <v>0</v>
      </c>
      <c r="G75" s="10">
        <v>0</v>
      </c>
      <c r="H75" s="50">
        <v>0</v>
      </c>
      <c r="I75" s="50">
        <v>0</v>
      </c>
      <c r="J75" s="50">
        <v>0</v>
      </c>
      <c r="K75" s="39" t="s">
        <v>30</v>
      </c>
      <c r="L75" s="11">
        <f t="shared" si="14"/>
        <v>0</v>
      </c>
      <c r="M75" s="10">
        <f t="shared" si="20"/>
        <v>0</v>
      </c>
      <c r="N75" s="10">
        <f t="shared" si="15"/>
        <v>0</v>
      </c>
      <c r="O75" s="10">
        <v>0</v>
      </c>
      <c r="P75" s="10">
        <f t="shared" si="16"/>
        <v>0</v>
      </c>
      <c r="Q75" s="17">
        <v>-16.90625</v>
      </c>
      <c r="R75" s="18">
        <f t="shared" si="17"/>
        <v>-16.90625</v>
      </c>
      <c r="S75" s="19">
        <f t="shared" si="18"/>
        <v>0</v>
      </c>
      <c r="T75" s="20">
        <f t="shared" si="19"/>
        <v>-16.90625</v>
      </c>
    </row>
    <row r="76" spans="1:20" ht="17.399999999999999">
      <c r="A76" s="70">
        <v>1</v>
      </c>
      <c r="B76" s="8">
        <v>203</v>
      </c>
      <c r="C76" s="8">
        <v>382695365</v>
      </c>
      <c r="D76" s="42" t="s">
        <v>78</v>
      </c>
      <c r="E76" s="47"/>
      <c r="F76" s="10">
        <v>0</v>
      </c>
      <c r="G76" s="10">
        <v>0</v>
      </c>
      <c r="H76" s="50">
        <v>0</v>
      </c>
      <c r="I76" s="50">
        <v>0</v>
      </c>
      <c r="J76" s="50">
        <v>0</v>
      </c>
      <c r="K76" s="39" t="s">
        <v>30</v>
      </c>
      <c r="L76" s="11">
        <f t="shared" si="14"/>
        <v>0</v>
      </c>
      <c r="M76" s="10">
        <f t="shared" si="20"/>
        <v>0</v>
      </c>
      <c r="N76" s="10">
        <f t="shared" si="15"/>
        <v>0</v>
      </c>
      <c r="O76" s="10">
        <v>0</v>
      </c>
      <c r="P76" s="10">
        <f t="shared" si="16"/>
        <v>0</v>
      </c>
      <c r="Q76" s="17">
        <v>-16.90625</v>
      </c>
      <c r="R76" s="18">
        <f t="shared" si="17"/>
        <v>-16.90625</v>
      </c>
      <c r="S76" s="19">
        <f t="shared" si="18"/>
        <v>0</v>
      </c>
      <c r="T76" s="20">
        <f t="shared" si="19"/>
        <v>-16.90625</v>
      </c>
    </row>
    <row r="77" spans="1:20" ht="20.399999999999999">
      <c r="A77" s="9">
        <v>1</v>
      </c>
      <c r="B77" s="8">
        <v>220</v>
      </c>
      <c r="C77" s="8">
        <v>353335311</v>
      </c>
      <c r="D77" s="42" t="s">
        <v>94</v>
      </c>
      <c r="E77" s="44"/>
      <c r="F77" s="10">
        <v>0</v>
      </c>
      <c r="G77" s="10">
        <v>0</v>
      </c>
      <c r="H77" s="50">
        <v>0</v>
      </c>
      <c r="I77" s="50">
        <v>0</v>
      </c>
      <c r="J77" s="50">
        <v>0</v>
      </c>
      <c r="K77" s="39" t="s">
        <v>30</v>
      </c>
      <c r="L77" s="11">
        <f t="shared" si="14"/>
        <v>0</v>
      </c>
      <c r="M77" s="10">
        <f t="shared" si="20"/>
        <v>0</v>
      </c>
      <c r="N77" s="10">
        <f t="shared" si="15"/>
        <v>0</v>
      </c>
      <c r="O77" s="10">
        <v>0</v>
      </c>
      <c r="P77" s="10">
        <f t="shared" si="16"/>
        <v>0</v>
      </c>
      <c r="Q77" s="17">
        <v>-16.90625</v>
      </c>
      <c r="R77" s="18">
        <f t="shared" si="17"/>
        <v>-16.90625</v>
      </c>
      <c r="S77" s="19">
        <f t="shared" si="18"/>
        <v>0</v>
      </c>
      <c r="T77" s="20">
        <f t="shared" si="19"/>
        <v>-16.90625</v>
      </c>
    </row>
    <row r="78" spans="1:20" ht="17.399999999999999">
      <c r="A78" s="70">
        <v>1</v>
      </c>
      <c r="B78" s="8">
        <v>241</v>
      </c>
      <c r="C78" s="8">
        <v>1136259669</v>
      </c>
      <c r="D78" s="42" t="s">
        <v>124</v>
      </c>
      <c r="F78" s="10">
        <v>0</v>
      </c>
      <c r="G78" s="10">
        <v>0</v>
      </c>
      <c r="H78" s="50">
        <v>0</v>
      </c>
      <c r="I78" s="50">
        <v>0</v>
      </c>
      <c r="J78" s="50">
        <v>0</v>
      </c>
      <c r="K78" s="39" t="s">
        <v>30</v>
      </c>
      <c r="L78" s="11">
        <f t="shared" si="14"/>
        <v>0</v>
      </c>
      <c r="M78" s="10">
        <f t="shared" si="20"/>
        <v>0</v>
      </c>
      <c r="N78" s="10">
        <f t="shared" si="15"/>
        <v>0</v>
      </c>
      <c r="O78" s="10">
        <v>0</v>
      </c>
      <c r="P78" s="10">
        <f t="shared" si="16"/>
        <v>0</v>
      </c>
      <c r="Q78" s="17">
        <v>-16.90625</v>
      </c>
      <c r="R78" s="18">
        <f t="shared" si="17"/>
        <v>-16.90625</v>
      </c>
      <c r="S78" s="19">
        <f t="shared" si="18"/>
        <v>0</v>
      </c>
      <c r="T78" s="20">
        <f t="shared" si="19"/>
        <v>-16.90625</v>
      </c>
    </row>
    <row r="79" spans="1:20" ht="17.399999999999999">
      <c r="A79" s="9">
        <v>1</v>
      </c>
      <c r="B79" s="8">
        <v>228</v>
      </c>
      <c r="C79" s="8">
        <v>1287481910</v>
      </c>
      <c r="D79" s="42" t="s">
        <v>109</v>
      </c>
      <c r="E79" s="42"/>
      <c r="F79" s="10">
        <v>0</v>
      </c>
      <c r="G79" s="10">
        <v>0</v>
      </c>
      <c r="H79" s="50">
        <v>0</v>
      </c>
      <c r="I79" s="50">
        <v>0</v>
      </c>
      <c r="J79" s="50">
        <v>0</v>
      </c>
      <c r="K79" s="39" t="s">
        <v>30</v>
      </c>
      <c r="L79" s="11">
        <f t="shared" si="14"/>
        <v>0</v>
      </c>
      <c r="M79" s="10">
        <f t="shared" si="20"/>
        <v>0</v>
      </c>
      <c r="N79" s="10">
        <f t="shared" si="15"/>
        <v>0</v>
      </c>
      <c r="O79" s="10">
        <v>0</v>
      </c>
      <c r="P79" s="10">
        <f t="shared" si="16"/>
        <v>0</v>
      </c>
      <c r="Q79" s="17">
        <v>-16.90625</v>
      </c>
      <c r="R79" s="18">
        <f t="shared" si="17"/>
        <v>-16.90625</v>
      </c>
      <c r="S79" s="19">
        <f t="shared" si="18"/>
        <v>0</v>
      </c>
      <c r="T79" s="20">
        <f t="shared" si="19"/>
        <v>-16.90625</v>
      </c>
    </row>
    <row r="80" spans="1:20" ht="17.399999999999999">
      <c r="A80" s="70">
        <v>1</v>
      </c>
      <c r="B80" s="8">
        <v>219</v>
      </c>
      <c r="C80" s="8">
        <v>1128309198</v>
      </c>
      <c r="D80" s="42" t="s">
        <v>93</v>
      </c>
      <c r="E80" s="47"/>
      <c r="F80" s="10">
        <v>0</v>
      </c>
      <c r="G80" s="10">
        <v>0</v>
      </c>
      <c r="H80" s="50">
        <v>0</v>
      </c>
      <c r="I80" s="50">
        <v>0</v>
      </c>
      <c r="J80" s="50">
        <v>0</v>
      </c>
      <c r="K80" s="39" t="s">
        <v>30</v>
      </c>
      <c r="L80" s="11">
        <f t="shared" si="14"/>
        <v>0</v>
      </c>
      <c r="M80" s="10">
        <f t="shared" si="20"/>
        <v>0</v>
      </c>
      <c r="N80" s="10">
        <f t="shared" si="15"/>
        <v>0</v>
      </c>
      <c r="O80" s="10">
        <v>0</v>
      </c>
      <c r="P80" s="10">
        <f t="shared" si="16"/>
        <v>0</v>
      </c>
      <c r="Q80" s="17">
        <v>-16.90625</v>
      </c>
      <c r="R80" s="18">
        <f t="shared" si="17"/>
        <v>-16.90625</v>
      </c>
      <c r="S80" s="19">
        <f t="shared" si="18"/>
        <v>0</v>
      </c>
      <c r="T80" s="20">
        <f t="shared" si="19"/>
        <v>-16.90625</v>
      </c>
    </row>
    <row r="81" spans="1:23" ht="17.399999999999999">
      <c r="A81" s="9">
        <v>1</v>
      </c>
      <c r="B81" s="8">
        <v>233</v>
      </c>
      <c r="C81" s="8">
        <v>1963965829</v>
      </c>
      <c r="D81" s="42" t="s">
        <v>114</v>
      </c>
      <c r="F81" s="10">
        <v>0</v>
      </c>
      <c r="G81" s="10">
        <v>0</v>
      </c>
      <c r="H81" s="50">
        <v>0</v>
      </c>
      <c r="I81" s="50">
        <v>0</v>
      </c>
      <c r="J81" s="50">
        <v>0</v>
      </c>
      <c r="K81" s="39" t="s">
        <v>30</v>
      </c>
      <c r="L81" s="11">
        <f t="shared" si="14"/>
        <v>0</v>
      </c>
      <c r="M81" s="10">
        <f t="shared" si="20"/>
        <v>0</v>
      </c>
      <c r="N81" s="10">
        <f t="shared" si="15"/>
        <v>0</v>
      </c>
      <c r="O81" s="10">
        <v>0</v>
      </c>
      <c r="P81" s="10">
        <f t="shared" si="16"/>
        <v>0</v>
      </c>
      <c r="Q81" s="17">
        <v>-16.90625</v>
      </c>
      <c r="R81" s="18">
        <f t="shared" si="17"/>
        <v>-16.90625</v>
      </c>
      <c r="S81" s="19">
        <f t="shared" si="18"/>
        <v>0</v>
      </c>
      <c r="T81" s="20">
        <f t="shared" si="19"/>
        <v>-16.90625</v>
      </c>
    </row>
    <row r="82" spans="1:23" ht="17.399999999999999">
      <c r="A82" s="70">
        <v>1</v>
      </c>
      <c r="B82" s="8">
        <v>242</v>
      </c>
      <c r="C82" s="8">
        <v>1769984287</v>
      </c>
      <c r="D82" s="42" t="s">
        <v>132</v>
      </c>
      <c r="F82" s="10">
        <v>0</v>
      </c>
      <c r="G82" s="10">
        <v>0</v>
      </c>
      <c r="H82" s="50">
        <v>0</v>
      </c>
      <c r="I82" s="50">
        <v>0</v>
      </c>
      <c r="J82" s="50">
        <v>0</v>
      </c>
      <c r="K82" s="39" t="s">
        <v>30</v>
      </c>
      <c r="L82" s="11">
        <f t="shared" si="14"/>
        <v>0</v>
      </c>
      <c r="M82" s="10">
        <f t="shared" si="20"/>
        <v>0</v>
      </c>
      <c r="N82" s="10">
        <f t="shared" si="15"/>
        <v>0</v>
      </c>
      <c r="O82" s="10">
        <v>0</v>
      </c>
      <c r="P82" s="10">
        <f t="shared" si="16"/>
        <v>0</v>
      </c>
      <c r="Q82" s="17">
        <v>-16.90625</v>
      </c>
      <c r="R82" s="18">
        <f t="shared" si="17"/>
        <v>-16.90625</v>
      </c>
      <c r="S82" s="19">
        <f t="shared" si="18"/>
        <v>0</v>
      </c>
      <c r="T82" s="20">
        <f t="shared" si="19"/>
        <v>-16.90625</v>
      </c>
    </row>
    <row r="83" spans="1:23" ht="17.399999999999999">
      <c r="A83" s="9">
        <v>1</v>
      </c>
      <c r="B83" s="8">
        <v>141</v>
      </c>
      <c r="C83" s="8">
        <v>1190305158</v>
      </c>
      <c r="D83" s="42" t="s">
        <v>44</v>
      </c>
      <c r="E83" s="44"/>
      <c r="F83" s="10">
        <v>0</v>
      </c>
      <c r="G83" s="10">
        <v>0</v>
      </c>
      <c r="H83" s="50">
        <v>0</v>
      </c>
      <c r="I83" s="50">
        <v>0</v>
      </c>
      <c r="J83" s="50">
        <v>0</v>
      </c>
      <c r="K83" s="39" t="s">
        <v>30</v>
      </c>
      <c r="L83" s="11">
        <f t="shared" si="14"/>
        <v>0</v>
      </c>
      <c r="M83" s="10">
        <f t="shared" si="20"/>
        <v>0</v>
      </c>
      <c r="N83" s="10">
        <f t="shared" si="15"/>
        <v>0</v>
      </c>
      <c r="O83" s="10">
        <v>0</v>
      </c>
      <c r="P83" s="10">
        <f t="shared" si="16"/>
        <v>0</v>
      </c>
      <c r="Q83" s="17">
        <v>-16.90625</v>
      </c>
      <c r="R83" s="18">
        <f t="shared" si="17"/>
        <v>-16.90625</v>
      </c>
      <c r="S83" s="19">
        <f t="shared" si="18"/>
        <v>0</v>
      </c>
      <c r="T83" s="20">
        <f t="shared" si="19"/>
        <v>-16.90625</v>
      </c>
      <c r="U83" s="40"/>
      <c r="V83" s="40"/>
      <c r="W83" s="41"/>
    </row>
  </sheetData>
  <autoFilter ref="A4:W83" xr:uid="{28593B8F-03E7-4BE1-B554-FC0AADC431B2}">
    <filterColumn colId="0">
      <filters>
        <filter val="1"/>
      </filters>
    </filterColumn>
    <sortState xmlns:xlrd2="http://schemas.microsoft.com/office/spreadsheetml/2017/richdata2" ref="A5:W83">
      <sortCondition descending="1" ref="R4:R83"/>
    </sortState>
  </autoFilter>
  <mergeCells count="5">
    <mergeCell ref="B1:T1"/>
    <mergeCell ref="B2:T2"/>
    <mergeCell ref="B3:E3"/>
    <mergeCell ref="H3:J3"/>
    <mergeCell ref="K3:T3"/>
  </mergeCells>
  <conditionalFormatting sqref="O5:O82 F5:J83">
    <cfRule type="cellIs" dxfId="1" priority="2" operator="lessThan">
      <formula>1</formula>
    </cfRule>
  </conditionalFormatting>
  <conditionalFormatting sqref="O83">
    <cfRule type="cellIs" dxfId="0" priority="1" operator="lessThan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Aug 7 21</vt:lpstr>
      <vt:lpstr>Aug 14 21</vt:lpstr>
      <vt:lpstr>Aug 21 21</vt:lpstr>
      <vt:lpstr>Aug 28 21</vt:lpstr>
      <vt:lpstr>Sep 4 21</vt:lpstr>
      <vt:lpstr>Sep 11 21</vt:lpstr>
      <vt:lpstr>Sep 18 21</vt:lpstr>
      <vt:lpstr>Sep 25 21</vt:lpstr>
      <vt:lpstr>Oct 2 21</vt:lpstr>
      <vt:lpstr>Oct 9 21</vt:lpstr>
      <vt:lpstr>Oct 16 21</vt:lpstr>
      <vt:lpstr>Oct 23 21</vt:lpstr>
      <vt:lpstr>Oct 30 21</vt:lpstr>
      <vt:lpstr>Nov 6 21</vt:lpstr>
      <vt:lpstr>Nov 13 21</vt:lpstr>
      <vt:lpstr>Nov 20 21</vt:lpstr>
      <vt:lpstr>Nov 27 21</vt:lpstr>
      <vt:lpstr>Dec 4 21</vt:lpstr>
      <vt:lpstr>Dec 11 21</vt:lpstr>
      <vt:lpstr>Dec 18 21</vt:lpstr>
      <vt:lpstr>Dec 25 21</vt:lpstr>
      <vt:lpstr>Jan 2 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MIX 2S</dc:creator>
  <cp:lastModifiedBy>Jiang, Ruoli</cp:lastModifiedBy>
  <dcterms:created xsi:type="dcterms:W3CDTF">2006-09-14T08:00:00Z</dcterms:created>
  <dcterms:modified xsi:type="dcterms:W3CDTF">2023-11-28T06:24:22Z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2052-11.1.0.9582</vt:lpwstr>
  </property>
</Properties>
</file>