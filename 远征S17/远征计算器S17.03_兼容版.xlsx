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44F86992-0CD6-4F14-BC51-DA5737E27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7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C2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AQ44" i="12" l="1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T24" i="12"/>
  <c r="AT26" i="12"/>
  <c r="AU28" i="12"/>
  <c r="AP35" i="12" l="1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5" i="12"/>
  <c r="AW2" i="12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5" i="12" l="1"/>
  <c r="AQ46" i="12" s="1"/>
  <c r="AP45" i="12"/>
  <c r="AP46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<sst xmlns="http://schemas.openxmlformats.org/spreadsheetml/2006/main" count="2372" uniqueCount="78">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</sst>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2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0" fontId="0" fillId="21" borderId="19" xfId="0" applyFill="1" applyBorder="1" applyAlignment="1">
      <alignment vertical="top"/>
    </xf>
    <xf numFmtId="0" fontId="11" fillId="25" borderId="19" xfId="0" applyFont="1" applyFill="1" applyBorder="1"/>
    <xf numFmtId="0" fontId="0" fillId="17" borderId="20" xfId="0" applyFill="1" applyBorder="1" applyAlignment="1">
      <alignment vertical="top"/>
    </xf>
    <xf numFmtId="0" fontId="0" fillId="17" borderId="21" xfId="0" applyFill="1" applyBorder="1" applyAlignment="1">
      <alignment vertical="top"/>
    </xf>
    <xf numFmtId="0" fontId="16" fillId="11" borderId="3" xfId="0" applyFont="1" applyFill="1" applyBorder="1"/>
    <xf numFmtId="0" fontId="0" fillId="17" borderId="22" xfId="0" applyFill="1" applyBorder="1" applyAlignment="1">
      <alignment vertical="top"/>
    </xf>
    <xf numFmtId="0" fontId="0" fillId="17" borderId="23" xfId="0" applyFill="1" applyBorder="1" applyAlignment="1">
      <alignment vertical="top"/>
    </xf>
    <xf numFmtId="0" fontId="0" fillId="17" borderId="24" xfId="0" applyFill="1" applyBorder="1" applyAlignment="1">
      <alignment vertical="top"/>
    </xf>
    <xf numFmtId="0" fontId="11" fillId="26" borderId="24" xfId="0" applyFont="1" applyFill="1" applyBorder="1"/>
    <xf numFmtId="0" fontId="0" fillId="21" borderId="24" xfId="0" applyFill="1" applyBorder="1" applyAlignment="1">
      <alignment vertical="top"/>
    </xf>
    <xf numFmtId="0" fontId="0" fillId="21" borderId="25" xfId="0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115" zoomScaleNormal="115" workbookViewId="0">
      <pane ySplit="3" topLeftCell="A9" activePane="bottomLeft" state="frozen"/>
      <selection activeCell="AO32" sqref="AO32"/>
      <selection pane="bottomLeft" activeCell="U36" sqref="U36"/>
    </sheetView>
  </sheetViews>
  <sheetFormatPr defaultColWidth="9" defaultRowHeight="15"/>
  <cols>
    <col min="1" max="1" width="11.85546875" customWidth="1"/>
    <col min="2" max="2" width="9" customWidth="1"/>
    <col min="3" max="3" width="5.425781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122">
        <f ca="1">(_xlfn.DAYS(TODAY(),A4)+2)/((_xlfn.DAYS(A93,A4))+1)</f>
        <v>2.2222222222222223E-2</v>
      </c>
      <c r="B1" s="123"/>
      <c r="C1" s="123"/>
      <c r="D1" s="123"/>
      <c r="E1" s="123"/>
      <c r="F1" s="123"/>
      <c r="G1" s="123"/>
      <c r="H1" s="124"/>
      <c r="I1" s="125" t="s">
        <v>0</v>
      </c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7"/>
      <c r="AH1" s="19"/>
      <c r="AI1" s="19"/>
      <c r="AJ1" s="19"/>
      <c r="AM1" s="120" t="s">
        <v>1</v>
      </c>
      <c r="AN1" s="120"/>
      <c r="AO1" s="120"/>
      <c r="AP1" s="42"/>
    </row>
    <row r="2" spans="1:53" ht="16.149999999999999" customHeight="1" thickBot="1">
      <c r="A2" s="57">
        <v>17.010000000000002</v>
      </c>
      <c r="B2" s="48" t="s">
        <v>61</v>
      </c>
      <c r="C2" s="49">
        <f>SUM(亏损!A4:X93)+SUM(AG4:AG14)*10</f>
        <v>8495.9910058570658</v>
      </c>
      <c r="D2" s="128" t="s">
        <v>2</v>
      </c>
      <c r="E2" s="129"/>
      <c r="F2" s="130">
        <f>SUM(F4:F93)+SUM(H4:H93)</f>
        <v>23280</v>
      </c>
      <c r="G2" s="130"/>
      <c r="H2" s="131"/>
      <c r="I2" s="132" t="s">
        <v>3</v>
      </c>
      <c r="J2" s="133"/>
      <c r="K2" s="54" t="s">
        <v>4</v>
      </c>
      <c r="L2" s="54">
        <f>COUNTIF(I4:P93,"&lt;&gt;空")</f>
        <v>29</v>
      </c>
      <c r="M2" s="133" t="s">
        <v>5</v>
      </c>
      <c r="N2" s="133"/>
      <c r="O2" s="133"/>
      <c r="P2" s="134"/>
      <c r="Q2" s="135" t="s">
        <v>6</v>
      </c>
      <c r="R2" s="136"/>
      <c r="S2" s="58" t="s">
        <v>4</v>
      </c>
      <c r="T2" s="58">
        <f>COUNTIF(Q4:X93,"&lt;&gt;空")</f>
        <v>196</v>
      </c>
      <c r="U2" s="136" t="s">
        <v>5</v>
      </c>
      <c r="V2" s="136"/>
      <c r="W2" s="136"/>
      <c r="X2" s="137"/>
      <c r="Y2" s="138" t="s">
        <v>7</v>
      </c>
      <c r="Z2" s="139"/>
      <c r="AA2" s="61" t="s">
        <v>8</v>
      </c>
      <c r="AB2" s="62">
        <f>COUNTIF(Y4:AF93,"&lt;&gt;空")</f>
        <v>93</v>
      </c>
      <c r="AC2" s="139" t="s">
        <v>5</v>
      </c>
      <c r="AD2" s="139"/>
      <c r="AE2" s="139"/>
      <c r="AF2" s="140"/>
      <c r="AG2" s="36">
        <f>SUM(AG4:AG93)</f>
        <v>56</v>
      </c>
      <c r="AH2" s="36">
        <f>SUM(AH4:AH93)</f>
        <v>0</v>
      </c>
      <c r="AI2" s="36">
        <f>SUM(AI4:AI93)</f>
        <v>29</v>
      </c>
      <c r="AJ2" s="18">
        <f>SUM(AJ4:AJ93)</f>
        <v>27</v>
      </c>
      <c r="AK2" s="117" t="s">
        <v>9</v>
      </c>
      <c r="AM2" s="121"/>
      <c r="AN2" s="121"/>
      <c r="AO2" s="121"/>
      <c r="AP2" s="46"/>
      <c r="AS2" t="s">
        <v>28</v>
      </c>
      <c r="AT2">
        <f>SUM(AT4:AT29)</f>
        <v>318</v>
      </c>
      <c r="AV2" t="s">
        <v>57</v>
      </c>
      <c r="AW2" s="30">
        <f>SUM(AU4:AW29)+7000</f>
        <v>23280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3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2" t="s">
        <v>17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6">
        <v>6</v>
      </c>
      <c r="O3" s="56">
        <v>7</v>
      </c>
      <c r="P3" s="56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63">
        <v>1</v>
      </c>
      <c r="Z3" s="64">
        <v>2</v>
      </c>
      <c r="AA3" s="64">
        <v>3</v>
      </c>
      <c r="AB3" s="64">
        <v>4</v>
      </c>
      <c r="AC3" s="64">
        <v>5</v>
      </c>
      <c r="AD3" s="64">
        <v>6</v>
      </c>
      <c r="AE3" s="64">
        <v>7</v>
      </c>
      <c r="AF3" s="65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1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6">
        <v>45548</v>
      </c>
      <c r="B4" s="66">
        <v>800</v>
      </c>
      <c r="C4" s="67">
        <v>4800</v>
      </c>
      <c r="D4" s="66">
        <f>(SUM(粮草!A4:X4)+AG4*10*IF(AK4="是",$AY$4,$AY$3))</f>
        <v>2000</v>
      </c>
      <c r="E4" s="101">
        <f>SUM($B$4:B4)+SUM($C$4:C4)-SUM($D$4:D4)</f>
        <v>3600</v>
      </c>
      <c r="F4" s="66">
        <f>SUM(经验!A4:X4)</f>
        <v>485</v>
      </c>
      <c r="G4" s="66">
        <f>SUM($F$4:F4)+SUM($H$4:H4)</f>
        <v>985</v>
      </c>
      <c r="H4" s="66">
        <v>500</v>
      </c>
      <c r="I4" s="73" t="s">
        <v>33</v>
      </c>
      <c r="J4" s="73" t="s">
        <v>33</v>
      </c>
      <c r="K4" s="73" t="s">
        <v>33</v>
      </c>
      <c r="L4" s="68" t="s">
        <v>34</v>
      </c>
      <c r="M4" s="68" t="s">
        <v>34</v>
      </c>
      <c r="N4" s="68" t="s">
        <v>34</v>
      </c>
      <c r="O4" s="69" t="s">
        <v>34</v>
      </c>
      <c r="P4" s="69" t="s">
        <v>34</v>
      </c>
      <c r="Q4" s="73" t="s">
        <v>33</v>
      </c>
      <c r="R4" s="73" t="s">
        <v>33</v>
      </c>
      <c r="S4" s="83" t="s">
        <v>39</v>
      </c>
      <c r="T4" s="73" t="s">
        <v>33</v>
      </c>
      <c r="U4" s="73" t="s">
        <v>33</v>
      </c>
      <c r="V4" s="73" t="s">
        <v>33</v>
      </c>
      <c r="W4" s="69" t="s">
        <v>34</v>
      </c>
      <c r="X4" s="69" t="s">
        <v>34</v>
      </c>
      <c r="Y4" s="73" t="s">
        <v>33</v>
      </c>
      <c r="Z4" s="73" t="s">
        <v>33</v>
      </c>
      <c r="AA4" s="73" t="s">
        <v>33</v>
      </c>
      <c r="AB4" s="73" t="s">
        <v>33</v>
      </c>
      <c r="AC4" s="73" t="s">
        <v>33</v>
      </c>
      <c r="AD4" s="68" t="s">
        <v>34</v>
      </c>
      <c r="AE4" s="69" t="s">
        <v>34</v>
      </c>
      <c r="AF4" s="69" t="s">
        <v>34</v>
      </c>
      <c r="AG4" s="70">
        <f>AH4+AI4+AJ4</f>
        <v>0</v>
      </c>
      <c r="AH4" s="70"/>
      <c r="AI4" s="70"/>
      <c r="AJ4" s="70"/>
      <c r="AK4" s="102" t="s">
        <v>35</v>
      </c>
      <c r="AM4" s="73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8</v>
      </c>
      <c r="AS4" s="40">
        <f t="shared" ref="AS4:AS26" si="2">COUNTIF($Y$4:$AF$93,AM4)</f>
        <v>13</v>
      </c>
      <c r="AT4" s="40">
        <f>AQ4+AR4+AS4</f>
        <v>30</v>
      </c>
      <c r="AU4" s="41">
        <f>AQ4*$AO4</f>
        <v>315</v>
      </c>
      <c r="AV4" s="41">
        <f t="shared" ref="AV4:AW19" si="3">AR4*$AO4</f>
        <v>280</v>
      </c>
      <c r="AW4" s="41">
        <f t="shared" si="3"/>
        <v>455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6">
        <v>45549</v>
      </c>
      <c r="B5" s="66">
        <v>1600</v>
      </c>
      <c r="C5" s="67">
        <v>1200</v>
      </c>
      <c r="D5" s="66">
        <f>(SUM(粮草!A5:X5)+AG5*10*IF(AK5="是",$AY$4,$AY$3))</f>
        <v>1150</v>
      </c>
      <c r="E5" s="101">
        <f>SUM($B$4:B5)+SUM($C$4:C5)-SUM($D$4:D5)</f>
        <v>5250</v>
      </c>
      <c r="F5" s="66">
        <f>SUM(经验!A5:X5)</f>
        <v>305</v>
      </c>
      <c r="G5" s="66">
        <f>SUM($F$4:F5)+SUM($H$4:H5)</f>
        <v>1290</v>
      </c>
      <c r="H5" s="66">
        <v>0</v>
      </c>
      <c r="I5" s="68" t="s">
        <v>34</v>
      </c>
      <c r="J5" s="68" t="s">
        <v>34</v>
      </c>
      <c r="K5" s="68" t="s">
        <v>34</v>
      </c>
      <c r="L5" s="68" t="s">
        <v>34</v>
      </c>
      <c r="M5" s="68" t="s">
        <v>34</v>
      </c>
      <c r="N5" s="68" t="s">
        <v>34</v>
      </c>
      <c r="O5" s="69" t="s">
        <v>34</v>
      </c>
      <c r="P5" s="69" t="s">
        <v>34</v>
      </c>
      <c r="Q5" s="73" t="s">
        <v>33</v>
      </c>
      <c r="R5" s="83" t="s">
        <v>39</v>
      </c>
      <c r="S5" s="68" t="s">
        <v>34</v>
      </c>
      <c r="T5" s="68" t="s">
        <v>34</v>
      </c>
      <c r="U5" s="68" t="s">
        <v>34</v>
      </c>
      <c r="V5" s="68" t="s">
        <v>34</v>
      </c>
      <c r="W5" s="69" t="s">
        <v>34</v>
      </c>
      <c r="X5" s="69" t="s">
        <v>34</v>
      </c>
      <c r="Y5" s="83" t="s">
        <v>39</v>
      </c>
      <c r="Z5" s="73" t="s">
        <v>33</v>
      </c>
      <c r="AA5" s="73" t="s">
        <v>33</v>
      </c>
      <c r="AB5" s="73" t="s">
        <v>33</v>
      </c>
      <c r="AC5" s="73" t="s">
        <v>33</v>
      </c>
      <c r="AD5" s="73" t="s">
        <v>33</v>
      </c>
      <c r="AE5" s="73" t="s">
        <v>33</v>
      </c>
      <c r="AF5" s="69" t="s">
        <v>34</v>
      </c>
      <c r="AG5" s="70">
        <f t="shared" ref="AG5:AG68" si="4">AH5+AI5+AJ5</f>
        <v>0</v>
      </c>
      <c r="AH5" s="70"/>
      <c r="AI5" s="70"/>
      <c r="AJ5" s="70"/>
      <c r="AK5" s="102" t="s">
        <v>35</v>
      </c>
      <c r="AM5" s="74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8</v>
      </c>
      <c r="AS5" s="40">
        <f t="shared" si="2"/>
        <v>16</v>
      </c>
      <c r="AT5" s="40">
        <f t="shared" ref="AT5:AT26" si="5">AQ5+AR5+AS5</f>
        <v>38</v>
      </c>
      <c r="AU5" s="41">
        <f t="shared" ref="AU5:AW28" si="6">AQ5*$AO5</f>
        <v>560</v>
      </c>
      <c r="AV5" s="41">
        <f t="shared" si="3"/>
        <v>320</v>
      </c>
      <c r="AW5" s="41">
        <f t="shared" si="3"/>
        <v>640</v>
      </c>
      <c r="AX5" s="119" t="s">
        <v>38</v>
      </c>
      <c r="AY5" s="119"/>
      <c r="BA5" s="39">
        <f t="shared" ref="BA5:BA29" si="7">AN5*0.8</f>
        <v>128</v>
      </c>
    </row>
    <row r="6" spans="1:53" s="33" customFormat="1">
      <c r="A6" s="96">
        <v>45550</v>
      </c>
      <c r="B6" s="66">
        <v>1600</v>
      </c>
      <c r="C6" s="67"/>
      <c r="D6" s="66">
        <f>(SUM(粮草!A6:X6)+AG6*10*IF(AK6="是",$AY$4,$AY$3))</f>
        <v>2240</v>
      </c>
      <c r="E6" s="101">
        <f>SUM($B$4:B6)+SUM($C$4:C6)-SUM($D$4:D6)</f>
        <v>4610</v>
      </c>
      <c r="F6" s="66">
        <f>SUM(经验!A6:X6)</f>
        <v>595</v>
      </c>
      <c r="G6" s="66">
        <f>SUM($F$4:F6)+SUM($H$4:H6)</f>
        <v>1885</v>
      </c>
      <c r="H6" s="66">
        <v>0</v>
      </c>
      <c r="I6" s="68" t="s">
        <v>34</v>
      </c>
      <c r="J6" s="68" t="s">
        <v>34</v>
      </c>
      <c r="K6" s="68" t="s">
        <v>34</v>
      </c>
      <c r="L6" s="68" t="s">
        <v>34</v>
      </c>
      <c r="M6" s="68" t="s">
        <v>34</v>
      </c>
      <c r="N6" s="68" t="s">
        <v>34</v>
      </c>
      <c r="O6" s="69" t="s">
        <v>34</v>
      </c>
      <c r="P6" s="69" t="s">
        <v>34</v>
      </c>
      <c r="Q6" s="47" t="s">
        <v>65</v>
      </c>
      <c r="R6" s="75" t="s">
        <v>40</v>
      </c>
      <c r="S6" s="75" t="s">
        <v>40</v>
      </c>
      <c r="T6" s="75" t="s">
        <v>40</v>
      </c>
      <c r="U6" s="75" t="s">
        <v>40</v>
      </c>
      <c r="V6" s="75" t="s">
        <v>40</v>
      </c>
      <c r="W6" s="75" t="s">
        <v>40</v>
      </c>
      <c r="X6" s="75" t="s">
        <v>40</v>
      </c>
      <c r="Y6" s="83" t="s">
        <v>39</v>
      </c>
      <c r="Z6" s="73" t="s">
        <v>33</v>
      </c>
      <c r="AA6" s="73" t="s">
        <v>33</v>
      </c>
      <c r="AB6" s="75" t="s">
        <v>40</v>
      </c>
      <c r="AC6" s="75" t="s">
        <v>40</v>
      </c>
      <c r="AD6" s="75" t="s">
        <v>40</v>
      </c>
      <c r="AE6" s="69" t="s">
        <v>34</v>
      </c>
      <c r="AF6" s="69" t="s">
        <v>34</v>
      </c>
      <c r="AG6" s="70">
        <f t="shared" si="4"/>
        <v>2</v>
      </c>
      <c r="AH6" s="70"/>
      <c r="AI6" s="70">
        <v>1</v>
      </c>
      <c r="AJ6" s="70">
        <v>1</v>
      </c>
      <c r="AK6" s="102" t="s">
        <v>35</v>
      </c>
      <c r="AM6" s="75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59</v>
      </c>
      <c r="AS6" s="40">
        <f t="shared" si="2"/>
        <v>50</v>
      </c>
      <c r="AT6" s="40">
        <f t="shared" si="5"/>
        <v>109</v>
      </c>
      <c r="AU6" s="41">
        <f t="shared" si="6"/>
        <v>0</v>
      </c>
      <c r="AV6" s="41">
        <f t="shared" si="3"/>
        <v>2655</v>
      </c>
      <c r="AW6" s="41">
        <f t="shared" si="3"/>
        <v>2250</v>
      </c>
      <c r="AX6" s="120"/>
      <c r="AY6" s="120"/>
      <c r="BA6" s="39">
        <f t="shared" si="7"/>
        <v>136</v>
      </c>
    </row>
    <row r="7" spans="1:53">
      <c r="A7" s="96">
        <v>45551</v>
      </c>
      <c r="B7" s="68">
        <v>1600</v>
      </c>
      <c r="C7" s="68"/>
      <c r="D7" s="66">
        <f>(SUM(粮草!A7:X7)+AG7*10*IF(AK7="是",$AY$4,$AY$3))</f>
        <v>2330</v>
      </c>
      <c r="E7" s="101">
        <f>SUM($B$4:B7)+SUM($C$4:C7)-SUM($D$4:D7)</f>
        <v>3880</v>
      </c>
      <c r="F7" s="66">
        <f>SUM(经验!A7:X7)</f>
        <v>870</v>
      </c>
      <c r="G7" s="66">
        <f>SUM($F$4:F7)+SUM($H$4:H7)</f>
        <v>2955</v>
      </c>
      <c r="H7" s="68">
        <v>200</v>
      </c>
      <c r="I7" s="68" t="s">
        <v>34</v>
      </c>
      <c r="J7" s="68" t="s">
        <v>34</v>
      </c>
      <c r="K7" s="68" t="s">
        <v>34</v>
      </c>
      <c r="L7" s="68" t="s">
        <v>34</v>
      </c>
      <c r="M7" s="68" t="s">
        <v>34</v>
      </c>
      <c r="N7" s="68" t="s">
        <v>34</v>
      </c>
      <c r="O7" s="69" t="s">
        <v>34</v>
      </c>
      <c r="P7" s="69" t="s">
        <v>34</v>
      </c>
      <c r="Q7" s="80" t="s">
        <v>47</v>
      </c>
      <c r="R7" s="75" t="s">
        <v>40</v>
      </c>
      <c r="S7" s="75" t="s">
        <v>40</v>
      </c>
      <c r="T7" s="75" t="s">
        <v>40</v>
      </c>
      <c r="U7" s="47" t="s">
        <v>63</v>
      </c>
      <c r="V7" s="75" t="s">
        <v>40</v>
      </c>
      <c r="W7" s="75" t="s">
        <v>40</v>
      </c>
      <c r="X7" s="75" t="s">
        <v>40</v>
      </c>
      <c r="Y7" s="75" t="s">
        <v>40</v>
      </c>
      <c r="Z7" s="83" t="s">
        <v>39</v>
      </c>
      <c r="AA7" s="75" t="s">
        <v>40</v>
      </c>
      <c r="AB7" s="75" t="s">
        <v>40</v>
      </c>
      <c r="AC7" s="75" t="s">
        <v>40</v>
      </c>
      <c r="AD7" s="75" t="s">
        <v>40</v>
      </c>
      <c r="AE7" s="69" t="s">
        <v>34</v>
      </c>
      <c r="AF7" s="69" t="s">
        <v>34</v>
      </c>
      <c r="AG7" s="70">
        <f t="shared" si="4"/>
        <v>1</v>
      </c>
      <c r="AH7" s="70"/>
      <c r="AI7" s="70">
        <v>1</v>
      </c>
      <c r="AJ7" s="70"/>
      <c r="AK7" s="102" t="s">
        <v>35</v>
      </c>
      <c r="AM7" s="76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27</v>
      </c>
      <c r="AS7" s="22">
        <f t="shared" si="2"/>
        <v>0</v>
      </c>
      <c r="AT7" s="22">
        <f t="shared" si="5"/>
        <v>27</v>
      </c>
      <c r="AU7" s="29">
        <f t="shared" si="6"/>
        <v>0</v>
      </c>
      <c r="AV7" s="29">
        <f t="shared" si="3"/>
        <v>1350</v>
      </c>
      <c r="AW7" s="29">
        <f t="shared" si="3"/>
        <v>0</v>
      </c>
      <c r="AX7" s="120"/>
      <c r="AY7" s="120"/>
      <c r="BA7">
        <f t="shared" si="7"/>
        <v>144</v>
      </c>
    </row>
    <row r="8" spans="1:53">
      <c r="A8" s="96">
        <v>45552</v>
      </c>
      <c r="B8" s="68">
        <v>1600</v>
      </c>
      <c r="C8" s="68"/>
      <c r="D8" s="66">
        <f>(SUM(粮草!A8:X8)+AG8*10*IF(AK8="是",$AY$4,$AY$3))</f>
        <v>1860</v>
      </c>
      <c r="E8" s="101">
        <f>SUM($B$4:B8)+SUM($C$4:C8)-SUM($D$4:D8)</f>
        <v>3620</v>
      </c>
      <c r="F8" s="66">
        <f>SUM(经验!A8:X8)</f>
        <v>735</v>
      </c>
      <c r="G8" s="66">
        <f>SUM($F$4:F8)+SUM($H$4:H8)</f>
        <v>3790</v>
      </c>
      <c r="H8" s="68">
        <v>100</v>
      </c>
      <c r="I8" s="68" t="s">
        <v>34</v>
      </c>
      <c r="J8" s="68" t="s">
        <v>34</v>
      </c>
      <c r="K8" s="68" t="s">
        <v>34</v>
      </c>
      <c r="L8" s="68" t="s">
        <v>34</v>
      </c>
      <c r="M8" s="68" t="s">
        <v>34</v>
      </c>
      <c r="N8" s="68" t="s">
        <v>34</v>
      </c>
      <c r="O8" s="69" t="s">
        <v>34</v>
      </c>
      <c r="P8" s="69" t="s">
        <v>34</v>
      </c>
      <c r="Q8" s="75" t="s">
        <v>40</v>
      </c>
      <c r="R8" s="75" t="s">
        <v>40</v>
      </c>
      <c r="S8" s="75" t="s">
        <v>40</v>
      </c>
      <c r="T8" s="83" t="s">
        <v>39</v>
      </c>
      <c r="U8" s="75" t="s">
        <v>40</v>
      </c>
      <c r="V8" s="75" t="s">
        <v>40</v>
      </c>
      <c r="W8" s="69" t="s">
        <v>34</v>
      </c>
      <c r="X8" s="69" t="s">
        <v>34</v>
      </c>
      <c r="Y8" s="75" t="s">
        <v>40</v>
      </c>
      <c r="Z8" s="75" t="s">
        <v>40</v>
      </c>
      <c r="AA8" s="75" t="s">
        <v>40</v>
      </c>
      <c r="AB8" s="47" t="s">
        <v>63</v>
      </c>
      <c r="AC8" s="75" t="s">
        <v>40</v>
      </c>
      <c r="AD8" s="68" t="s">
        <v>34</v>
      </c>
      <c r="AE8" s="69" t="s">
        <v>34</v>
      </c>
      <c r="AF8" s="69" t="s">
        <v>34</v>
      </c>
      <c r="AG8" s="70">
        <f t="shared" si="4"/>
        <v>3</v>
      </c>
      <c r="AH8" s="70"/>
      <c r="AI8" s="70"/>
      <c r="AJ8" s="70">
        <v>3</v>
      </c>
      <c r="AK8" s="102" t="s">
        <v>35</v>
      </c>
      <c r="AM8" s="77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10</v>
      </c>
      <c r="AS8" s="22">
        <f t="shared" si="2"/>
        <v>0</v>
      </c>
      <c r="AT8" s="22">
        <f t="shared" si="5"/>
        <v>10</v>
      </c>
      <c r="AU8" s="29">
        <f t="shared" si="6"/>
        <v>0</v>
      </c>
      <c r="AV8" s="29">
        <f t="shared" si="3"/>
        <v>550</v>
      </c>
      <c r="AW8" s="29">
        <f t="shared" si="3"/>
        <v>0</v>
      </c>
      <c r="AX8" s="120"/>
      <c r="AY8" s="120"/>
      <c r="BA8">
        <f t="shared" si="7"/>
        <v>152</v>
      </c>
    </row>
    <row r="9" spans="1:53">
      <c r="A9" s="96">
        <v>45553</v>
      </c>
      <c r="B9" s="68">
        <v>1600</v>
      </c>
      <c r="C9" s="68"/>
      <c r="D9" s="66">
        <f>(SUM(粮草!A9:X9)+AG9*10*IF(AK9="是",$AY$4,$AY$3))</f>
        <v>1980</v>
      </c>
      <c r="E9" s="101">
        <f>SUM($B$4:B9)+SUM($C$4:C9)-SUM($D$4:D9)</f>
        <v>3240</v>
      </c>
      <c r="F9" s="66">
        <f>SUM(经验!A9:X9)</f>
        <v>550</v>
      </c>
      <c r="G9" s="66">
        <f>SUM($F$4:F9)+SUM($H$4:H9)</f>
        <v>4540</v>
      </c>
      <c r="H9" s="68">
        <v>200</v>
      </c>
      <c r="I9" s="68" t="s">
        <v>34</v>
      </c>
      <c r="J9" s="68" t="s">
        <v>34</v>
      </c>
      <c r="K9" s="68" t="s">
        <v>34</v>
      </c>
      <c r="L9" s="68" t="s">
        <v>34</v>
      </c>
      <c r="M9" s="68" t="s">
        <v>34</v>
      </c>
      <c r="N9" s="68" t="s">
        <v>34</v>
      </c>
      <c r="O9" s="69" t="s">
        <v>34</v>
      </c>
      <c r="P9" s="69" t="s">
        <v>34</v>
      </c>
      <c r="Q9" s="47" t="s">
        <v>65</v>
      </c>
      <c r="R9" s="76" t="s">
        <v>42</v>
      </c>
      <c r="S9" s="76" t="s">
        <v>42</v>
      </c>
      <c r="T9" s="76" t="s">
        <v>42</v>
      </c>
      <c r="U9" s="76" t="s">
        <v>42</v>
      </c>
      <c r="V9" s="76" t="s">
        <v>42</v>
      </c>
      <c r="W9" s="69" t="s">
        <v>34</v>
      </c>
      <c r="X9" s="69" t="s">
        <v>34</v>
      </c>
      <c r="Y9" s="75" t="s">
        <v>40</v>
      </c>
      <c r="Z9" s="75" t="s">
        <v>40</v>
      </c>
      <c r="AA9" s="75" t="s">
        <v>40</v>
      </c>
      <c r="AB9" s="75" t="s">
        <v>40</v>
      </c>
      <c r="AC9" s="83" t="s">
        <v>39</v>
      </c>
      <c r="AD9" s="75" t="s">
        <v>40</v>
      </c>
      <c r="AE9" s="69" t="s">
        <v>34</v>
      </c>
      <c r="AF9" s="69" t="s">
        <v>34</v>
      </c>
      <c r="AG9" s="70">
        <f t="shared" si="4"/>
        <v>1</v>
      </c>
      <c r="AH9" s="70"/>
      <c r="AI9" s="70">
        <v>1</v>
      </c>
      <c r="AJ9" s="70"/>
      <c r="AK9" s="102" t="s">
        <v>35</v>
      </c>
      <c r="AM9" s="78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54</v>
      </c>
      <c r="AS9" s="22">
        <f t="shared" si="2"/>
        <v>0</v>
      </c>
      <c r="AT9" s="22">
        <f t="shared" si="5"/>
        <v>54</v>
      </c>
      <c r="AU9" s="29">
        <f t="shared" si="6"/>
        <v>0</v>
      </c>
      <c r="AV9" s="29">
        <f t="shared" si="3"/>
        <v>3240</v>
      </c>
      <c r="AW9" s="29">
        <f t="shared" si="3"/>
        <v>0</v>
      </c>
      <c r="BA9">
        <f t="shared" si="7"/>
        <v>160</v>
      </c>
    </row>
    <row r="10" spans="1:53">
      <c r="A10" s="96">
        <v>45554</v>
      </c>
      <c r="B10" s="68">
        <v>1600</v>
      </c>
      <c r="C10" s="68"/>
      <c r="D10" s="66">
        <f>(SUM(粮草!A10:X10)+AG10*10*IF(AK10="是",$AY$4,$AY$3))</f>
        <v>2090</v>
      </c>
      <c r="E10" s="101">
        <f>SUM($B$4:B10)+SUM($C$4:C10)-SUM($D$4:D10)</f>
        <v>2750</v>
      </c>
      <c r="F10" s="66">
        <f>SUM(经验!A10:X10)</f>
        <v>555</v>
      </c>
      <c r="G10" s="66">
        <f>SUM($F$4:F10)+SUM($H$4:H10)</f>
        <v>5095</v>
      </c>
      <c r="H10" s="68">
        <v>0</v>
      </c>
      <c r="I10" s="68" t="s">
        <v>34</v>
      </c>
      <c r="J10" s="68" t="s">
        <v>34</v>
      </c>
      <c r="K10" s="68" t="s">
        <v>34</v>
      </c>
      <c r="L10" s="68" t="s">
        <v>34</v>
      </c>
      <c r="M10" s="68" t="s">
        <v>34</v>
      </c>
      <c r="N10" s="68" t="s">
        <v>34</v>
      </c>
      <c r="O10" s="69" t="s">
        <v>34</v>
      </c>
      <c r="P10" s="69" t="s">
        <v>34</v>
      </c>
      <c r="Q10" s="81" t="s">
        <v>48</v>
      </c>
      <c r="R10" s="76" t="s">
        <v>42</v>
      </c>
      <c r="S10" s="76" t="s">
        <v>42</v>
      </c>
      <c r="T10" s="75" t="s">
        <v>40</v>
      </c>
      <c r="U10" s="75" t="s">
        <v>40</v>
      </c>
      <c r="V10" s="75" t="s">
        <v>40</v>
      </c>
      <c r="W10" s="69" t="s">
        <v>34</v>
      </c>
      <c r="X10" s="69" t="s">
        <v>34</v>
      </c>
      <c r="Y10" s="75" t="s">
        <v>40</v>
      </c>
      <c r="Z10" s="75" t="s">
        <v>40</v>
      </c>
      <c r="AA10" s="75" t="s">
        <v>40</v>
      </c>
      <c r="AB10" s="75" t="s">
        <v>40</v>
      </c>
      <c r="AC10" s="75" t="s">
        <v>40</v>
      </c>
      <c r="AD10" s="75" t="s">
        <v>40</v>
      </c>
      <c r="AE10" s="69" t="s">
        <v>34</v>
      </c>
      <c r="AF10" s="69" t="s">
        <v>34</v>
      </c>
      <c r="AG10" s="70">
        <f t="shared" si="4"/>
        <v>5</v>
      </c>
      <c r="AH10" s="70"/>
      <c r="AI10" s="70">
        <v>5</v>
      </c>
      <c r="AJ10" s="70"/>
      <c r="AK10" s="102" t="s">
        <v>35</v>
      </c>
      <c r="AM10" s="51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6">
        <v>45555</v>
      </c>
      <c r="B11" s="68">
        <v>1600</v>
      </c>
      <c r="C11" s="68"/>
      <c r="D11" s="66">
        <f>(SUM(粮草!A11:X11)+AG11*10*IF(AK11="是",$AY$4,$AY$3))</f>
        <v>1980</v>
      </c>
      <c r="E11" s="101">
        <f>SUM($B$4:B11)+SUM($C$4:C11)-SUM($D$4:D11)</f>
        <v>2370</v>
      </c>
      <c r="F11" s="66">
        <f>SUM(经验!A11:X11)</f>
        <v>575</v>
      </c>
      <c r="G11" s="66">
        <f>SUM($F$4:F11)+SUM($H$4:H11)</f>
        <v>5670</v>
      </c>
      <c r="H11" s="68">
        <v>0</v>
      </c>
      <c r="I11" s="68" t="s">
        <v>34</v>
      </c>
      <c r="J11" s="68" t="s">
        <v>34</v>
      </c>
      <c r="K11" s="68" t="s">
        <v>34</v>
      </c>
      <c r="L11" s="68" t="s">
        <v>34</v>
      </c>
      <c r="M11" s="68" t="s">
        <v>34</v>
      </c>
      <c r="N11" s="68" t="s">
        <v>34</v>
      </c>
      <c r="O11" s="69" t="s">
        <v>34</v>
      </c>
      <c r="P11" s="69" t="s">
        <v>34</v>
      </c>
      <c r="Q11" s="47" t="s">
        <v>65</v>
      </c>
      <c r="R11" s="75" t="s">
        <v>40</v>
      </c>
      <c r="S11" s="73" t="s">
        <v>33</v>
      </c>
      <c r="T11" s="75" t="s">
        <v>40</v>
      </c>
      <c r="U11" s="84" t="s">
        <v>46</v>
      </c>
      <c r="V11" s="75" t="s">
        <v>40</v>
      </c>
      <c r="W11" s="75" t="s">
        <v>40</v>
      </c>
      <c r="X11" s="75" t="s">
        <v>40</v>
      </c>
      <c r="Y11" s="75" t="s">
        <v>40</v>
      </c>
      <c r="Z11" s="75" t="s">
        <v>40</v>
      </c>
      <c r="AA11" s="75" t="s">
        <v>40</v>
      </c>
      <c r="AB11" s="75" t="s">
        <v>40</v>
      </c>
      <c r="AC11" s="75" t="s">
        <v>40</v>
      </c>
      <c r="AD11" s="75" t="s">
        <v>40</v>
      </c>
      <c r="AE11" s="69" t="s">
        <v>34</v>
      </c>
      <c r="AF11" s="69" t="s">
        <v>34</v>
      </c>
      <c r="AG11" s="70">
        <f t="shared" si="4"/>
        <v>4</v>
      </c>
      <c r="AH11" s="70"/>
      <c r="AI11" s="70">
        <v>4</v>
      </c>
      <c r="AJ11" s="70"/>
      <c r="AK11" s="102" t="s">
        <v>35</v>
      </c>
      <c r="AM11" s="79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1</v>
      </c>
      <c r="AT11" s="22">
        <f t="shared" si="5"/>
        <v>1</v>
      </c>
      <c r="AU11" s="29">
        <f t="shared" si="6"/>
        <v>0</v>
      </c>
      <c r="AV11" s="29">
        <f t="shared" si="3"/>
        <v>0</v>
      </c>
      <c r="AW11" s="29">
        <f t="shared" si="3"/>
        <v>40</v>
      </c>
      <c r="BA11">
        <f t="shared" si="7"/>
        <v>120</v>
      </c>
    </row>
    <row r="12" spans="1:53">
      <c r="A12" s="96">
        <v>45556</v>
      </c>
      <c r="B12" s="68">
        <v>1600</v>
      </c>
      <c r="C12" s="68"/>
      <c r="D12" s="66">
        <f>(SUM(粮草!A12:X12)+AG12*10*IF(AK12="是",$AY$4,$AY$3))</f>
        <v>1900</v>
      </c>
      <c r="E12" s="101">
        <f>SUM($B$4:B12)+SUM($C$4:C12)-SUM($D$4:D12)</f>
        <v>2070</v>
      </c>
      <c r="F12" s="66">
        <f>SUM(经验!A12:X12)</f>
        <v>525</v>
      </c>
      <c r="G12" s="66">
        <f>SUM($F$4:F12)+SUM($H$4:H12)</f>
        <v>6195</v>
      </c>
      <c r="H12" s="68">
        <v>0</v>
      </c>
      <c r="I12" s="68" t="s">
        <v>34</v>
      </c>
      <c r="J12" s="68" t="s">
        <v>34</v>
      </c>
      <c r="K12" s="68" t="s">
        <v>34</v>
      </c>
      <c r="L12" s="68" t="s">
        <v>34</v>
      </c>
      <c r="M12" s="68" t="s">
        <v>34</v>
      </c>
      <c r="N12" s="68" t="s">
        <v>34</v>
      </c>
      <c r="O12" s="69" t="s">
        <v>34</v>
      </c>
      <c r="P12" s="69" t="s">
        <v>34</v>
      </c>
      <c r="Q12" s="75" t="s">
        <v>40</v>
      </c>
      <c r="R12" s="75" t="s">
        <v>40</v>
      </c>
      <c r="S12" s="80" t="s">
        <v>47</v>
      </c>
      <c r="T12" s="75" t="s">
        <v>40</v>
      </c>
      <c r="U12" s="75" t="s">
        <v>40</v>
      </c>
      <c r="V12" s="47" t="s">
        <v>65</v>
      </c>
      <c r="W12" s="69" t="s">
        <v>34</v>
      </c>
      <c r="X12" s="69" t="s">
        <v>34</v>
      </c>
      <c r="Y12" s="75" t="s">
        <v>40</v>
      </c>
      <c r="Z12" s="83" t="s">
        <v>39</v>
      </c>
      <c r="AA12" s="75" t="s">
        <v>40</v>
      </c>
      <c r="AB12" s="75" t="s">
        <v>40</v>
      </c>
      <c r="AC12" s="75" t="s">
        <v>40</v>
      </c>
      <c r="AD12" s="75" t="s">
        <v>40</v>
      </c>
      <c r="AE12" s="69" t="s">
        <v>34</v>
      </c>
      <c r="AF12" s="69" t="s">
        <v>34</v>
      </c>
      <c r="AG12" s="70">
        <f t="shared" si="4"/>
        <v>0</v>
      </c>
      <c r="AH12" s="70"/>
      <c r="AI12" s="70"/>
      <c r="AJ12" s="70"/>
      <c r="AK12" s="102" t="s">
        <v>35</v>
      </c>
      <c r="AM12" s="80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0</v>
      </c>
      <c r="AT12" s="22">
        <f t="shared" si="5"/>
        <v>4</v>
      </c>
      <c r="AU12" s="29">
        <f t="shared" si="6"/>
        <v>0</v>
      </c>
      <c r="AV12" s="29">
        <f t="shared" si="3"/>
        <v>180</v>
      </c>
      <c r="AW12" s="29">
        <f t="shared" si="3"/>
        <v>0</v>
      </c>
      <c r="BA12">
        <f t="shared" si="7"/>
        <v>120</v>
      </c>
    </row>
    <row r="13" spans="1:53" ht="15.75" thickBot="1">
      <c r="A13" s="96">
        <v>45557</v>
      </c>
      <c r="B13" s="68">
        <v>1600</v>
      </c>
      <c r="C13" s="68"/>
      <c r="D13" s="66">
        <f>(SUM(粮草!A13:X13)+AG13*10*IF(AK13="是",$AY$4,$AY$3))</f>
        <v>1240</v>
      </c>
      <c r="E13" s="101">
        <f>SUM($B$4:B13)+SUM($C$4:C13)-SUM($D$4:D13)</f>
        <v>2430</v>
      </c>
      <c r="F13" s="66">
        <f>SUM(经验!A13:X13)</f>
        <v>580</v>
      </c>
      <c r="G13" s="66">
        <f>SUM($F$4:F13)+SUM($H$4:H13)</f>
        <v>6775</v>
      </c>
      <c r="H13" s="68">
        <v>0</v>
      </c>
      <c r="I13" s="68" t="s">
        <v>34</v>
      </c>
      <c r="J13" s="68" t="s">
        <v>34</v>
      </c>
      <c r="K13" s="68" t="s">
        <v>34</v>
      </c>
      <c r="L13" s="68" t="s">
        <v>34</v>
      </c>
      <c r="M13" s="68" t="s">
        <v>34</v>
      </c>
      <c r="N13" s="68" t="s">
        <v>34</v>
      </c>
      <c r="O13" s="69" t="s">
        <v>34</v>
      </c>
      <c r="P13" s="69" t="s">
        <v>34</v>
      </c>
      <c r="Q13" s="76" t="s">
        <v>42</v>
      </c>
      <c r="R13" s="83" t="s">
        <v>39</v>
      </c>
      <c r="S13" s="76" t="s">
        <v>42</v>
      </c>
      <c r="T13" s="76" t="s">
        <v>42</v>
      </c>
      <c r="U13" s="76" t="s">
        <v>42</v>
      </c>
      <c r="V13" s="76" t="s">
        <v>42</v>
      </c>
      <c r="W13" s="69" t="s">
        <v>34</v>
      </c>
      <c r="X13" s="69" t="s">
        <v>34</v>
      </c>
      <c r="Y13" s="100" t="s">
        <v>63</v>
      </c>
      <c r="Z13" s="68" t="s">
        <v>34</v>
      </c>
      <c r="AA13" s="68" t="s">
        <v>34</v>
      </c>
      <c r="AB13" s="68" t="s">
        <v>34</v>
      </c>
      <c r="AC13" s="68" t="s">
        <v>34</v>
      </c>
      <c r="AD13" s="68" t="s">
        <v>34</v>
      </c>
      <c r="AE13" s="69" t="s">
        <v>34</v>
      </c>
      <c r="AF13" s="69" t="s">
        <v>34</v>
      </c>
      <c r="AG13" s="70">
        <f t="shared" si="4"/>
        <v>4</v>
      </c>
      <c r="AH13" s="71"/>
      <c r="AI13" s="71">
        <v>4</v>
      </c>
      <c r="AJ13" s="71"/>
      <c r="AK13" s="102" t="s">
        <v>35</v>
      </c>
      <c r="AM13" s="81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6">
        <v>45558</v>
      </c>
      <c r="B14" s="66">
        <v>1600</v>
      </c>
      <c r="C14" s="67"/>
      <c r="D14" s="66">
        <f>(SUM(粮草!A14:X14)+AG14*10*IF(AK14="是",$AY$4,$AY$3))</f>
        <v>1970</v>
      </c>
      <c r="E14" s="101">
        <f>SUM($B$4:B14)+SUM($C$4:C14)-SUM($D$4:D14)</f>
        <v>2060</v>
      </c>
      <c r="F14" s="66">
        <f>SUM(经验!A14:X14)</f>
        <v>550</v>
      </c>
      <c r="G14" s="66">
        <f>SUM($F$4:F14)+SUM($H$4:H14)</f>
        <v>7625</v>
      </c>
      <c r="H14" s="66">
        <v>300</v>
      </c>
      <c r="I14" s="68" t="s">
        <v>34</v>
      </c>
      <c r="J14" s="68" t="s">
        <v>34</v>
      </c>
      <c r="K14" s="68" t="s">
        <v>34</v>
      </c>
      <c r="L14" s="68" t="s">
        <v>34</v>
      </c>
      <c r="M14" s="68" t="s">
        <v>34</v>
      </c>
      <c r="N14" s="68" t="s">
        <v>34</v>
      </c>
      <c r="O14" s="69" t="s">
        <v>34</v>
      </c>
      <c r="P14" s="69" t="s">
        <v>34</v>
      </c>
      <c r="Q14" s="76" t="s">
        <v>42</v>
      </c>
      <c r="R14" s="76" t="s">
        <v>42</v>
      </c>
      <c r="S14" s="76" t="s">
        <v>42</v>
      </c>
      <c r="T14" s="76" t="s">
        <v>42</v>
      </c>
      <c r="U14" s="76" t="s">
        <v>42</v>
      </c>
      <c r="V14" s="83" t="s">
        <v>39</v>
      </c>
      <c r="W14" s="69" t="s">
        <v>34</v>
      </c>
      <c r="X14" s="69" t="s">
        <v>34</v>
      </c>
      <c r="Y14" s="107" t="s">
        <v>40</v>
      </c>
      <c r="Z14" s="108" t="s">
        <v>40</v>
      </c>
      <c r="AA14" s="108" t="s">
        <v>40</v>
      </c>
      <c r="AB14" s="108" t="s">
        <v>40</v>
      </c>
      <c r="AC14" s="108" t="s">
        <v>40</v>
      </c>
      <c r="AD14" s="108" t="s">
        <v>40</v>
      </c>
      <c r="AE14" s="109" t="s">
        <v>34</v>
      </c>
      <c r="AF14" s="109" t="s">
        <v>34</v>
      </c>
      <c r="AG14" s="70">
        <f t="shared" si="4"/>
        <v>0</v>
      </c>
      <c r="AH14" s="71"/>
      <c r="AI14" s="71"/>
      <c r="AJ14" s="71"/>
      <c r="AK14" s="102" t="s">
        <v>35</v>
      </c>
      <c r="AM14" s="98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6">
        <v>45559</v>
      </c>
      <c r="B15" s="66">
        <v>1600</v>
      </c>
      <c r="C15" s="67">
        <v>384</v>
      </c>
      <c r="D15" s="66">
        <f>(SUM(粮草!A15:X15)+AG15*10*IF(AK15="是",$AY$4,$AY$3))</f>
        <v>1930</v>
      </c>
      <c r="E15" s="101">
        <f>SUM($B$4:B15)+SUM($C$4:C15)-SUM($D$4:D15)</f>
        <v>2114</v>
      </c>
      <c r="F15" s="66">
        <f>SUM(经验!A15:X15)</f>
        <v>530</v>
      </c>
      <c r="G15" s="66">
        <f>SUM($F$4:F15)+SUM($H$4:H15)</f>
        <v>8155</v>
      </c>
      <c r="H15" s="66">
        <v>0</v>
      </c>
      <c r="I15" s="68" t="s">
        <v>34</v>
      </c>
      <c r="J15" s="68" t="s">
        <v>34</v>
      </c>
      <c r="K15" s="68" t="s">
        <v>34</v>
      </c>
      <c r="L15" s="68" t="s">
        <v>34</v>
      </c>
      <c r="M15" s="68" t="s">
        <v>34</v>
      </c>
      <c r="N15" s="68" t="s">
        <v>34</v>
      </c>
      <c r="O15" s="69" t="s">
        <v>34</v>
      </c>
      <c r="P15" s="69" t="s">
        <v>34</v>
      </c>
      <c r="Q15" s="76" t="s">
        <v>42</v>
      </c>
      <c r="R15" s="75" t="s">
        <v>40</v>
      </c>
      <c r="S15" s="75" t="s">
        <v>40</v>
      </c>
      <c r="T15" s="75" t="s">
        <v>40</v>
      </c>
      <c r="U15" s="75" t="s">
        <v>40</v>
      </c>
      <c r="V15" s="75" t="s">
        <v>40</v>
      </c>
      <c r="W15" s="69" t="s">
        <v>34</v>
      </c>
      <c r="X15" s="69" t="s">
        <v>34</v>
      </c>
      <c r="Y15" s="110" t="s">
        <v>40</v>
      </c>
      <c r="Z15" s="75" t="s">
        <v>40</v>
      </c>
      <c r="AA15" s="75" t="s">
        <v>40</v>
      </c>
      <c r="AB15" s="75" t="s">
        <v>40</v>
      </c>
      <c r="AC15" s="83" t="s">
        <v>39</v>
      </c>
      <c r="AD15" s="75" t="s">
        <v>40</v>
      </c>
      <c r="AE15" s="69" t="s">
        <v>34</v>
      </c>
      <c r="AF15" s="69" t="s">
        <v>34</v>
      </c>
      <c r="AG15" s="70">
        <f t="shared" si="4"/>
        <v>0</v>
      </c>
      <c r="AH15" s="71"/>
      <c r="AI15" s="71"/>
      <c r="AJ15" s="71"/>
      <c r="AK15" s="102" t="s">
        <v>35</v>
      </c>
      <c r="AM15" s="99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 ht="15.75" thickBot="1">
      <c r="A16" s="96">
        <v>45560</v>
      </c>
      <c r="B16" s="66">
        <v>1600</v>
      </c>
      <c r="C16" s="67">
        <v>-34</v>
      </c>
      <c r="D16" s="66">
        <f>(SUM(粮草!A16:X16)+AG16*10*IF(AK16="是",$AY$4,$AY$3))</f>
        <v>1412</v>
      </c>
      <c r="E16" s="101">
        <f>SUM($B$4:B16)+SUM($C$4:C16)-SUM($D$4:D16)</f>
        <v>2268</v>
      </c>
      <c r="F16" s="66">
        <f>SUM(经验!A16:X16)</f>
        <v>560</v>
      </c>
      <c r="G16" s="66">
        <f>SUM($F$4:F16)+SUM($H$4:H16)</f>
        <v>8915</v>
      </c>
      <c r="H16" s="66">
        <v>200</v>
      </c>
      <c r="I16" s="68" t="s">
        <v>34</v>
      </c>
      <c r="J16" s="68" t="s">
        <v>34</v>
      </c>
      <c r="K16" s="68" t="s">
        <v>34</v>
      </c>
      <c r="L16" s="68" t="s">
        <v>34</v>
      </c>
      <c r="M16" s="68" t="s">
        <v>34</v>
      </c>
      <c r="N16" s="68" t="s">
        <v>34</v>
      </c>
      <c r="O16" s="69" t="s">
        <v>34</v>
      </c>
      <c r="P16" s="69" t="s">
        <v>34</v>
      </c>
      <c r="Q16" s="47" t="s">
        <v>65</v>
      </c>
      <c r="R16" s="75" t="s">
        <v>40</v>
      </c>
      <c r="S16" s="75" t="s">
        <v>40</v>
      </c>
      <c r="T16" s="75" t="s">
        <v>40</v>
      </c>
      <c r="U16" s="83" t="s">
        <v>39</v>
      </c>
      <c r="V16" s="75" t="s">
        <v>40</v>
      </c>
      <c r="W16" s="69" t="s">
        <v>34</v>
      </c>
      <c r="X16" s="69" t="s">
        <v>34</v>
      </c>
      <c r="Y16" s="111" t="s">
        <v>40</v>
      </c>
      <c r="Z16" s="112" t="s">
        <v>40</v>
      </c>
      <c r="AA16" s="112" t="s">
        <v>40</v>
      </c>
      <c r="AB16" s="113" t="s">
        <v>46</v>
      </c>
      <c r="AC16" s="112" t="s">
        <v>40</v>
      </c>
      <c r="AD16" s="112" t="s">
        <v>40</v>
      </c>
      <c r="AE16" s="114" t="s">
        <v>37</v>
      </c>
      <c r="AF16" s="115" t="s">
        <v>37</v>
      </c>
      <c r="AG16" s="70">
        <f t="shared" si="4"/>
        <v>2</v>
      </c>
      <c r="AH16" s="71"/>
      <c r="AI16" s="71"/>
      <c r="AJ16" s="71">
        <v>2</v>
      </c>
      <c r="AK16" s="72" t="s">
        <v>52</v>
      </c>
      <c r="AM16" s="82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6">
        <v>45561</v>
      </c>
      <c r="B17" s="66">
        <v>1600</v>
      </c>
      <c r="C17" s="67"/>
      <c r="D17" s="66">
        <f>(SUM(粮草!A17:X17)+AG17*10*IF(AK17="是",$AY$4,$AY$3))</f>
        <v>1400</v>
      </c>
      <c r="E17" s="101">
        <f>SUM($B$4:B17)+SUM($C$4:C17)-SUM($D$4:D17)</f>
        <v>2468</v>
      </c>
      <c r="F17" s="66">
        <f>SUM(经验!A17:X17)</f>
        <v>485</v>
      </c>
      <c r="G17" s="66">
        <f>SUM($F$4:F17)+SUM($H$4:H17)</f>
        <v>9400</v>
      </c>
      <c r="H17" s="66">
        <v>0</v>
      </c>
      <c r="I17" s="68" t="s">
        <v>34</v>
      </c>
      <c r="J17" s="68" t="s">
        <v>34</v>
      </c>
      <c r="K17" s="68" t="s">
        <v>34</v>
      </c>
      <c r="L17" s="68" t="s">
        <v>34</v>
      </c>
      <c r="M17" s="68" t="s">
        <v>34</v>
      </c>
      <c r="N17" s="68" t="s">
        <v>34</v>
      </c>
      <c r="O17" s="69" t="s">
        <v>34</v>
      </c>
      <c r="P17" s="69" t="s">
        <v>34</v>
      </c>
      <c r="Q17" s="75" t="s">
        <v>40</v>
      </c>
      <c r="R17" s="75" t="s">
        <v>40</v>
      </c>
      <c r="S17" s="75" t="s">
        <v>40</v>
      </c>
      <c r="T17" s="75" t="s">
        <v>40</v>
      </c>
      <c r="U17" s="75" t="s">
        <v>40</v>
      </c>
      <c r="V17" s="83" t="s">
        <v>39</v>
      </c>
      <c r="W17" s="69" t="s">
        <v>34</v>
      </c>
      <c r="X17" s="69" t="s">
        <v>34</v>
      </c>
      <c r="Y17" s="105" t="s">
        <v>37</v>
      </c>
      <c r="Z17" s="105" t="s">
        <v>37</v>
      </c>
      <c r="AA17" s="106" t="s">
        <v>39</v>
      </c>
      <c r="AB17" s="105" t="s">
        <v>37</v>
      </c>
      <c r="AC17" s="105" t="s">
        <v>37</v>
      </c>
      <c r="AD17" s="105" t="s">
        <v>37</v>
      </c>
      <c r="AE17" s="69" t="s">
        <v>34</v>
      </c>
      <c r="AF17" s="69" t="s">
        <v>34</v>
      </c>
      <c r="AG17" s="70">
        <f t="shared" si="4"/>
        <v>0</v>
      </c>
      <c r="AH17" s="71"/>
      <c r="AI17" s="71"/>
      <c r="AJ17" s="71"/>
      <c r="AK17" s="72" t="s">
        <v>52</v>
      </c>
      <c r="AM17" s="83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11</v>
      </c>
      <c r="AS17" s="22">
        <f t="shared" si="2"/>
        <v>9</v>
      </c>
      <c r="AT17" s="22">
        <f t="shared" si="5"/>
        <v>25</v>
      </c>
      <c r="AU17" s="29">
        <f t="shared" si="6"/>
        <v>150</v>
      </c>
      <c r="AV17" s="29">
        <f t="shared" si="3"/>
        <v>330</v>
      </c>
      <c r="AW17" s="29">
        <f t="shared" si="3"/>
        <v>270</v>
      </c>
      <c r="BA17">
        <f t="shared" si="7"/>
        <v>40</v>
      </c>
    </row>
    <row r="18" spans="1:53">
      <c r="A18" s="96">
        <v>45562</v>
      </c>
      <c r="B18" s="66">
        <v>1600</v>
      </c>
      <c r="C18" s="67"/>
      <c r="D18" s="66">
        <f>(SUM(粮草!A18:X18)+AG18*10*IF(AK18="是",$AY$4,$AY$3))</f>
        <v>1388</v>
      </c>
      <c r="E18" s="101">
        <f>SUM($B$4:B18)+SUM($C$4:C18)-SUM($D$4:D18)</f>
        <v>2680</v>
      </c>
      <c r="F18" s="66">
        <f>SUM(经验!A18:X18)</f>
        <v>540</v>
      </c>
      <c r="G18" s="66">
        <f>SUM($F$4:F18)+SUM($H$4:H18)</f>
        <v>9940</v>
      </c>
      <c r="H18" s="66">
        <v>0</v>
      </c>
      <c r="I18" s="68" t="s">
        <v>34</v>
      </c>
      <c r="J18" s="68" t="s">
        <v>34</v>
      </c>
      <c r="K18" s="68" t="s">
        <v>34</v>
      </c>
      <c r="L18" s="68" t="s">
        <v>34</v>
      </c>
      <c r="M18" s="68" t="s">
        <v>34</v>
      </c>
      <c r="N18" s="68" t="s">
        <v>34</v>
      </c>
      <c r="O18" s="69" t="s">
        <v>34</v>
      </c>
      <c r="P18" s="69" t="s">
        <v>34</v>
      </c>
      <c r="Q18" s="75" t="s">
        <v>40</v>
      </c>
      <c r="R18" s="75" t="s">
        <v>40</v>
      </c>
      <c r="S18" s="75" t="s">
        <v>40</v>
      </c>
      <c r="T18" s="75" t="s">
        <v>40</v>
      </c>
      <c r="U18" s="75" t="s">
        <v>40</v>
      </c>
      <c r="V18" s="80" t="s">
        <v>47</v>
      </c>
      <c r="W18" s="69" t="s">
        <v>34</v>
      </c>
      <c r="X18" s="69" t="s">
        <v>34</v>
      </c>
      <c r="Y18" s="74" t="s">
        <v>37</v>
      </c>
      <c r="Z18" s="74" t="s">
        <v>37</v>
      </c>
      <c r="AA18" s="74" t="s">
        <v>37</v>
      </c>
      <c r="AB18" s="74" t="s">
        <v>37</v>
      </c>
      <c r="AC18" s="74" t="s">
        <v>37</v>
      </c>
      <c r="AD18" s="74" t="s">
        <v>37</v>
      </c>
      <c r="AE18" s="84" t="s">
        <v>46</v>
      </c>
      <c r="AF18" s="83" t="s">
        <v>39</v>
      </c>
      <c r="AG18" s="70">
        <f t="shared" si="4"/>
        <v>5</v>
      </c>
      <c r="AH18" s="71"/>
      <c r="AI18" s="71"/>
      <c r="AJ18" s="71">
        <v>5</v>
      </c>
      <c r="AK18" s="72" t="s">
        <v>52</v>
      </c>
      <c r="AL18" s="92"/>
      <c r="AM18" s="84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6</v>
      </c>
      <c r="AS18" s="22">
        <f t="shared" si="2"/>
        <v>2</v>
      </c>
      <c r="AT18" s="22">
        <f t="shared" si="5"/>
        <v>9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7">
        <v>45563</v>
      </c>
      <c r="B19" s="66">
        <v>1600</v>
      </c>
      <c r="C19" s="67"/>
      <c r="D19" s="66">
        <f>(SUM(粮草!A19:X19)+AG19*10*IF(AK19="是",$AY$4,$AY$3))</f>
        <v>816</v>
      </c>
      <c r="E19" s="101">
        <f>SUM($B$4:B19)+SUM($C$4:C19)-SUM($D$4:D19)</f>
        <v>3464</v>
      </c>
      <c r="F19" s="66">
        <f>SUM(经验!A19:X19)</f>
        <v>270</v>
      </c>
      <c r="G19" s="66">
        <f>SUM($F$4:F19)+SUM($H$4:H19)</f>
        <v>10210</v>
      </c>
      <c r="H19" s="66">
        <v>0</v>
      </c>
      <c r="I19" s="68" t="s">
        <v>34</v>
      </c>
      <c r="J19" s="68" t="s">
        <v>34</v>
      </c>
      <c r="K19" s="68" t="s">
        <v>34</v>
      </c>
      <c r="L19" s="68" t="s">
        <v>34</v>
      </c>
      <c r="M19" s="68" t="s">
        <v>34</v>
      </c>
      <c r="N19" s="68" t="s">
        <v>34</v>
      </c>
      <c r="O19" s="69" t="s">
        <v>34</v>
      </c>
      <c r="P19" s="69" t="s">
        <v>34</v>
      </c>
      <c r="Q19" s="75" t="s">
        <v>40</v>
      </c>
      <c r="R19" s="75" t="s">
        <v>40</v>
      </c>
      <c r="S19" s="75" t="s">
        <v>40</v>
      </c>
      <c r="T19" s="75" t="s">
        <v>40</v>
      </c>
      <c r="U19" s="75" t="s">
        <v>40</v>
      </c>
      <c r="V19" s="75" t="s">
        <v>40</v>
      </c>
      <c r="W19" s="69" t="s">
        <v>34</v>
      </c>
      <c r="X19" s="69" t="s">
        <v>34</v>
      </c>
      <c r="Y19" s="68" t="s">
        <v>34</v>
      </c>
      <c r="Z19" s="68" t="s">
        <v>34</v>
      </c>
      <c r="AA19" s="68" t="s">
        <v>34</v>
      </c>
      <c r="AB19" s="68" t="s">
        <v>34</v>
      </c>
      <c r="AC19" s="68" t="s">
        <v>34</v>
      </c>
      <c r="AD19" s="68" t="s">
        <v>34</v>
      </c>
      <c r="AE19" s="69" t="s">
        <v>34</v>
      </c>
      <c r="AF19" s="69" t="s">
        <v>34</v>
      </c>
      <c r="AG19" s="70">
        <f t="shared" si="4"/>
        <v>0</v>
      </c>
      <c r="AH19" s="71"/>
      <c r="AI19" s="71"/>
      <c r="AJ19" s="71"/>
      <c r="AK19" s="72" t="s">
        <v>52</v>
      </c>
      <c r="AL19" s="93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7">
        <v>45564</v>
      </c>
      <c r="B20" s="66">
        <v>1600</v>
      </c>
      <c r="C20" s="67"/>
      <c r="D20" s="66">
        <f>(SUM(粮草!A20:X20)+AG20*10*IF(AK20="是",$AY$4,$AY$3))</f>
        <v>936</v>
      </c>
      <c r="E20" s="101">
        <f>SUM($B$4:B20)+SUM($C$4:C20)-SUM($D$4:D20)</f>
        <v>4128</v>
      </c>
      <c r="F20" s="66">
        <f>SUM(经验!A20:X20)</f>
        <v>345</v>
      </c>
      <c r="G20" s="66">
        <f>SUM($F$4:F20)+SUM($H$4:H20)</f>
        <v>10555</v>
      </c>
      <c r="H20" s="66">
        <v>0</v>
      </c>
      <c r="I20" s="68" t="s">
        <v>34</v>
      </c>
      <c r="J20" s="68" t="s">
        <v>34</v>
      </c>
      <c r="K20" s="68" t="s">
        <v>34</v>
      </c>
      <c r="L20" s="68" t="s">
        <v>34</v>
      </c>
      <c r="M20" s="68" t="s">
        <v>34</v>
      </c>
      <c r="N20" s="68" t="s">
        <v>34</v>
      </c>
      <c r="O20" s="69" t="s">
        <v>34</v>
      </c>
      <c r="P20" s="69" t="s">
        <v>34</v>
      </c>
      <c r="Q20" s="75" t="s">
        <v>40</v>
      </c>
      <c r="R20" s="78" t="s">
        <v>44</v>
      </c>
      <c r="S20" s="78" t="s">
        <v>44</v>
      </c>
      <c r="T20" s="78" t="s">
        <v>44</v>
      </c>
      <c r="U20" s="78" t="s">
        <v>44</v>
      </c>
      <c r="V20" s="78" t="s">
        <v>44</v>
      </c>
      <c r="W20" s="69" t="s">
        <v>34</v>
      </c>
      <c r="X20" s="69" t="s">
        <v>34</v>
      </c>
      <c r="Y20" s="68" t="s">
        <v>34</v>
      </c>
      <c r="Z20" s="68" t="s">
        <v>34</v>
      </c>
      <c r="AA20" s="68" t="s">
        <v>34</v>
      </c>
      <c r="AB20" s="68" t="s">
        <v>34</v>
      </c>
      <c r="AC20" s="68" t="s">
        <v>34</v>
      </c>
      <c r="AD20" s="68" t="s">
        <v>34</v>
      </c>
      <c r="AE20" s="69" t="s">
        <v>34</v>
      </c>
      <c r="AF20" s="69" t="s">
        <v>34</v>
      </c>
      <c r="AG20" s="70">
        <f t="shared" si="4"/>
        <v>0</v>
      </c>
      <c r="AH20" s="71"/>
      <c r="AI20" s="71"/>
      <c r="AJ20" s="71"/>
      <c r="AK20" s="72" t="s">
        <v>52</v>
      </c>
      <c r="AL20" s="93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5</v>
      </c>
      <c r="AS20" s="22">
        <f t="shared" si="2"/>
        <v>0</v>
      </c>
      <c r="AT20" s="22">
        <f t="shared" si="5"/>
        <v>5</v>
      </c>
      <c r="AU20" s="29">
        <f t="shared" si="6"/>
        <v>0</v>
      </c>
      <c r="AV20" s="29">
        <f t="shared" si="6"/>
        <v>225</v>
      </c>
      <c r="AW20" s="29">
        <f t="shared" si="6"/>
        <v>0</v>
      </c>
      <c r="BA20">
        <f t="shared" si="7"/>
        <v>136</v>
      </c>
    </row>
    <row r="21" spans="1:53">
      <c r="A21" s="97">
        <v>45565</v>
      </c>
      <c r="B21" s="68">
        <v>1600</v>
      </c>
      <c r="C21" s="68"/>
      <c r="D21" s="66">
        <f>(SUM(粮草!A21:X21)+AG21*10*IF(AK21="是",$AY$4,$AY$3))</f>
        <v>960</v>
      </c>
      <c r="E21" s="101">
        <f>SUM($B$4:B21)+SUM($C$4:C21)-SUM($D$4:D21)</f>
        <v>4768</v>
      </c>
      <c r="F21" s="66">
        <f>SUM(经验!A21:X21)</f>
        <v>360</v>
      </c>
      <c r="G21" s="66">
        <f>SUM($F$4:F21)+SUM($H$4:H21)</f>
        <v>11115</v>
      </c>
      <c r="H21" s="68">
        <v>200</v>
      </c>
      <c r="I21" s="68" t="s">
        <v>34</v>
      </c>
      <c r="J21" s="68" t="s">
        <v>34</v>
      </c>
      <c r="K21" s="68" t="s">
        <v>34</v>
      </c>
      <c r="L21" s="68" t="s">
        <v>34</v>
      </c>
      <c r="M21" s="68" t="s">
        <v>34</v>
      </c>
      <c r="N21" s="68" t="s">
        <v>34</v>
      </c>
      <c r="O21" s="69" t="s">
        <v>34</v>
      </c>
      <c r="P21" s="69" t="s">
        <v>34</v>
      </c>
      <c r="Q21" s="78" t="s">
        <v>44</v>
      </c>
      <c r="R21" s="78" t="s">
        <v>44</v>
      </c>
      <c r="S21" s="78" t="s">
        <v>44</v>
      </c>
      <c r="T21" s="78" t="s">
        <v>44</v>
      </c>
      <c r="U21" s="78" t="s">
        <v>44</v>
      </c>
      <c r="V21" s="78" t="s">
        <v>44</v>
      </c>
      <c r="W21" s="69" t="s">
        <v>34</v>
      </c>
      <c r="X21" s="69" t="s">
        <v>34</v>
      </c>
      <c r="Y21" s="68" t="s">
        <v>34</v>
      </c>
      <c r="Z21" s="68" t="s">
        <v>34</v>
      </c>
      <c r="AA21" s="68" t="s">
        <v>34</v>
      </c>
      <c r="AB21" s="68" t="s">
        <v>34</v>
      </c>
      <c r="AC21" s="68" t="s">
        <v>34</v>
      </c>
      <c r="AD21" s="68" t="s">
        <v>34</v>
      </c>
      <c r="AE21" s="69" t="s">
        <v>34</v>
      </c>
      <c r="AF21" s="69" t="s">
        <v>34</v>
      </c>
      <c r="AG21" s="70">
        <f t="shared" si="4"/>
        <v>0</v>
      </c>
      <c r="AH21" s="71"/>
      <c r="AI21" s="71"/>
      <c r="AJ21" s="71"/>
      <c r="AK21" s="72" t="s">
        <v>52</v>
      </c>
      <c r="AL21" s="93"/>
      <c r="AM21" s="95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7">
        <v>45566</v>
      </c>
      <c r="B22" s="68">
        <v>1600</v>
      </c>
      <c r="C22" s="68"/>
      <c r="D22" s="66">
        <f>(SUM(粮草!A22:X22)+AG22*10*IF(AK22="是",$AY$4,$AY$3))</f>
        <v>960</v>
      </c>
      <c r="E22" s="101">
        <f>SUM($B$4:B22)+SUM($C$4:C22)-SUM($D$4:D22)</f>
        <v>5408</v>
      </c>
      <c r="F22" s="66">
        <f>SUM(经验!A22:X22)</f>
        <v>360</v>
      </c>
      <c r="G22" s="66">
        <f>SUM($F$4:F22)+SUM($H$4:H22)</f>
        <v>11575</v>
      </c>
      <c r="H22" s="68">
        <v>100</v>
      </c>
      <c r="I22" s="68" t="s">
        <v>34</v>
      </c>
      <c r="J22" s="68" t="s">
        <v>34</v>
      </c>
      <c r="K22" s="68" t="s">
        <v>34</v>
      </c>
      <c r="L22" s="68" t="s">
        <v>34</v>
      </c>
      <c r="M22" s="68" t="s">
        <v>34</v>
      </c>
      <c r="N22" s="68" t="s">
        <v>34</v>
      </c>
      <c r="O22" s="69" t="s">
        <v>34</v>
      </c>
      <c r="P22" s="69" t="s">
        <v>34</v>
      </c>
      <c r="Q22" s="78" t="s">
        <v>44</v>
      </c>
      <c r="R22" s="78" t="s">
        <v>44</v>
      </c>
      <c r="S22" s="78" t="s">
        <v>44</v>
      </c>
      <c r="T22" s="78" t="s">
        <v>44</v>
      </c>
      <c r="U22" s="78" t="s">
        <v>44</v>
      </c>
      <c r="V22" s="78" t="s">
        <v>44</v>
      </c>
      <c r="W22" s="69" t="s">
        <v>34</v>
      </c>
      <c r="X22" s="69" t="s">
        <v>34</v>
      </c>
      <c r="Y22" s="68" t="s">
        <v>34</v>
      </c>
      <c r="Z22" s="68" t="s">
        <v>34</v>
      </c>
      <c r="AA22" s="68" t="s">
        <v>34</v>
      </c>
      <c r="AB22" s="68" t="s">
        <v>34</v>
      </c>
      <c r="AC22" s="68" t="s">
        <v>34</v>
      </c>
      <c r="AD22" s="68" t="s">
        <v>34</v>
      </c>
      <c r="AE22" s="69" t="s">
        <v>34</v>
      </c>
      <c r="AF22" s="69" t="s">
        <v>34</v>
      </c>
      <c r="AG22" s="70">
        <f t="shared" si="4"/>
        <v>0</v>
      </c>
      <c r="AH22" s="71"/>
      <c r="AI22" s="71"/>
      <c r="AJ22" s="71"/>
      <c r="AK22" s="72" t="s">
        <v>52</v>
      </c>
      <c r="AL22" s="93"/>
      <c r="AM22" s="85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0</v>
      </c>
      <c r="AT22" s="22">
        <f t="shared" si="5"/>
        <v>1</v>
      </c>
      <c r="AU22" s="29">
        <f t="shared" si="6"/>
        <v>0</v>
      </c>
      <c r="AV22" s="29">
        <f t="shared" si="6"/>
        <v>1000</v>
      </c>
      <c r="AW22" s="29">
        <f t="shared" si="6"/>
        <v>0</v>
      </c>
      <c r="BA22">
        <f t="shared" si="7"/>
        <v>200</v>
      </c>
    </row>
    <row r="23" spans="1:53">
      <c r="A23" s="97">
        <v>45567</v>
      </c>
      <c r="B23" s="68">
        <v>1600</v>
      </c>
      <c r="C23" s="68"/>
      <c r="D23" s="66">
        <f>(SUM(粮草!A23:X23)+AG23*10*IF(AK23="是",$AY$4,$AY$3))</f>
        <v>678</v>
      </c>
      <c r="E23" s="101">
        <f>SUM($B$4:B23)+SUM($C$4:C23)-SUM($D$4:D23)</f>
        <v>6330</v>
      </c>
      <c r="F23" s="66">
        <f>SUM(经验!A23:X23)</f>
        <v>330</v>
      </c>
      <c r="G23" s="66">
        <f>SUM($F$4:F23)+SUM($H$4:H23)</f>
        <v>12105</v>
      </c>
      <c r="H23" s="68">
        <v>200</v>
      </c>
      <c r="I23" s="68" t="s">
        <v>34</v>
      </c>
      <c r="J23" s="68" t="s">
        <v>34</v>
      </c>
      <c r="K23" s="68" t="s">
        <v>34</v>
      </c>
      <c r="L23" s="68" t="s">
        <v>34</v>
      </c>
      <c r="M23" s="68" t="s">
        <v>34</v>
      </c>
      <c r="N23" s="68" t="s">
        <v>34</v>
      </c>
      <c r="O23" s="69" t="s">
        <v>34</v>
      </c>
      <c r="P23" s="69" t="s">
        <v>34</v>
      </c>
      <c r="Q23" s="80" t="s">
        <v>47</v>
      </c>
      <c r="R23" s="75" t="s">
        <v>40</v>
      </c>
      <c r="S23" s="83" t="s">
        <v>39</v>
      </c>
      <c r="T23" s="75" t="s">
        <v>40</v>
      </c>
      <c r="U23" s="75" t="s">
        <v>40</v>
      </c>
      <c r="V23" s="84" t="s">
        <v>46</v>
      </c>
      <c r="W23" s="78" t="s">
        <v>44</v>
      </c>
      <c r="X23" s="78" t="s">
        <v>44</v>
      </c>
      <c r="Y23" s="68" t="s">
        <v>34</v>
      </c>
      <c r="Z23" s="68" t="s">
        <v>34</v>
      </c>
      <c r="AA23" s="68" t="s">
        <v>34</v>
      </c>
      <c r="AB23" s="68" t="s">
        <v>34</v>
      </c>
      <c r="AC23" s="68" t="s">
        <v>34</v>
      </c>
      <c r="AD23" s="68" t="s">
        <v>34</v>
      </c>
      <c r="AE23" s="69" t="s">
        <v>34</v>
      </c>
      <c r="AF23" s="69" t="s">
        <v>34</v>
      </c>
      <c r="AG23" s="70">
        <f t="shared" si="4"/>
        <v>0</v>
      </c>
      <c r="AH23" s="71"/>
      <c r="AI23" s="71"/>
      <c r="AJ23" s="71"/>
      <c r="AK23" s="72" t="s">
        <v>52</v>
      </c>
      <c r="AL23" s="93"/>
      <c r="AM23" s="86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7">
        <v>45568</v>
      </c>
      <c r="B24" s="68">
        <v>1600</v>
      </c>
      <c r="C24" s="68"/>
      <c r="D24" s="66">
        <f>(SUM(粮草!A24:X24)+AG24*10*IF(AK24="是",$AY$4,$AY$3))</f>
        <v>960</v>
      </c>
      <c r="E24" s="101">
        <f>SUM($B$4:B24)+SUM($C$4:C24)-SUM($D$4:D24)</f>
        <v>6970</v>
      </c>
      <c r="F24" s="66">
        <f>SUM(经验!A24:X24)</f>
        <v>360</v>
      </c>
      <c r="G24" s="66">
        <f>SUM($F$4:F24)+SUM($H$4:H24)</f>
        <v>12465</v>
      </c>
      <c r="H24" s="68">
        <v>0</v>
      </c>
      <c r="I24" s="68" t="s">
        <v>34</v>
      </c>
      <c r="J24" s="68" t="s">
        <v>34</v>
      </c>
      <c r="K24" s="68" t="s">
        <v>34</v>
      </c>
      <c r="L24" s="68" t="s">
        <v>34</v>
      </c>
      <c r="M24" s="68" t="s">
        <v>34</v>
      </c>
      <c r="N24" s="68" t="s">
        <v>34</v>
      </c>
      <c r="O24" s="69" t="s">
        <v>34</v>
      </c>
      <c r="P24" s="69" t="s">
        <v>34</v>
      </c>
      <c r="Q24" s="78" t="s">
        <v>44</v>
      </c>
      <c r="R24" s="78" t="s">
        <v>44</v>
      </c>
      <c r="S24" s="78" t="s">
        <v>44</v>
      </c>
      <c r="T24" s="78" t="s">
        <v>44</v>
      </c>
      <c r="U24" s="78" t="s">
        <v>44</v>
      </c>
      <c r="V24" s="78" t="s">
        <v>44</v>
      </c>
      <c r="W24" s="69" t="s">
        <v>34</v>
      </c>
      <c r="X24" s="69" t="s">
        <v>34</v>
      </c>
      <c r="Y24" s="68" t="s">
        <v>34</v>
      </c>
      <c r="Z24" s="68" t="s">
        <v>34</v>
      </c>
      <c r="AA24" s="68" t="s">
        <v>34</v>
      </c>
      <c r="AB24" s="68" t="s">
        <v>34</v>
      </c>
      <c r="AC24" s="68" t="s">
        <v>34</v>
      </c>
      <c r="AD24" s="68" t="s">
        <v>34</v>
      </c>
      <c r="AE24" s="69" t="s">
        <v>34</v>
      </c>
      <c r="AF24" s="69" t="s">
        <v>34</v>
      </c>
      <c r="AG24" s="70">
        <f t="shared" si="4"/>
        <v>0</v>
      </c>
      <c r="AH24" s="71"/>
      <c r="AI24" s="71"/>
      <c r="AJ24" s="71"/>
      <c r="AK24" s="72" t="s">
        <v>52</v>
      </c>
      <c r="AL24" s="93"/>
      <c r="AM24" s="95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>
      <c r="A25" s="97">
        <v>45569</v>
      </c>
      <c r="B25" s="68">
        <v>1600</v>
      </c>
      <c r="C25" s="68"/>
      <c r="D25" s="66">
        <f>(SUM(粮草!A25:X25)+AG25*10*IF(AK25="是",$AY$4,$AY$3))</f>
        <v>1000</v>
      </c>
      <c r="E25" s="101">
        <f>SUM($B$4:B25)+SUM($C$4:C25)-SUM($D$4:D25)</f>
        <v>7570</v>
      </c>
      <c r="F25" s="66">
        <f>SUM(经验!A25:X25)</f>
        <v>1300</v>
      </c>
      <c r="G25" s="66">
        <f>SUM($F$4:F25)+SUM($H$4:H25)</f>
        <v>13765</v>
      </c>
      <c r="H25" s="68">
        <v>0</v>
      </c>
      <c r="I25" s="68" t="s">
        <v>34</v>
      </c>
      <c r="J25" s="68" t="s">
        <v>34</v>
      </c>
      <c r="K25" s="68" t="s">
        <v>34</v>
      </c>
      <c r="L25" s="68" t="s">
        <v>34</v>
      </c>
      <c r="M25" s="68" t="s">
        <v>34</v>
      </c>
      <c r="N25" s="68" t="s">
        <v>34</v>
      </c>
      <c r="O25" s="69" t="s">
        <v>34</v>
      </c>
      <c r="P25" s="69" t="s">
        <v>34</v>
      </c>
      <c r="Q25" s="85" t="s">
        <v>53</v>
      </c>
      <c r="R25" s="78" t="s">
        <v>44</v>
      </c>
      <c r="S25" s="78" t="s">
        <v>44</v>
      </c>
      <c r="T25" s="78" t="s">
        <v>44</v>
      </c>
      <c r="U25" s="78" t="s">
        <v>44</v>
      </c>
      <c r="V25" s="78" t="s">
        <v>44</v>
      </c>
      <c r="W25" s="69" t="s">
        <v>34</v>
      </c>
      <c r="X25" s="69" t="s">
        <v>34</v>
      </c>
      <c r="Y25" s="68" t="s">
        <v>34</v>
      </c>
      <c r="Z25" s="68" t="s">
        <v>34</v>
      </c>
      <c r="AA25" s="68" t="s">
        <v>34</v>
      </c>
      <c r="AB25" s="68" t="s">
        <v>34</v>
      </c>
      <c r="AC25" s="68" t="s">
        <v>34</v>
      </c>
      <c r="AD25" s="68" t="s">
        <v>34</v>
      </c>
      <c r="AE25" s="69" t="s">
        <v>34</v>
      </c>
      <c r="AF25" s="69" t="s">
        <v>34</v>
      </c>
      <c r="AG25" s="70">
        <f t="shared" si="4"/>
        <v>0</v>
      </c>
      <c r="AH25" s="71"/>
      <c r="AI25" s="71"/>
      <c r="AJ25" s="71"/>
      <c r="AK25" s="72" t="s">
        <v>52</v>
      </c>
      <c r="AL25" s="93"/>
      <c r="AM25" s="87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7">
        <v>45570</v>
      </c>
      <c r="B26" s="68">
        <v>1600</v>
      </c>
      <c r="C26" s="68"/>
      <c r="D26" s="66">
        <f>(SUM(粮草!A26:X26)+AG26*10*IF(AK26="是",$AY$4,$AY$3))</f>
        <v>976</v>
      </c>
      <c r="E26" s="101">
        <f>SUM($B$4:B26)+SUM($C$4:C26)-SUM($D$4:D26)</f>
        <v>8194</v>
      </c>
      <c r="F26" s="66">
        <f>SUM(经验!A26:X26)</f>
        <v>360</v>
      </c>
      <c r="G26" s="66">
        <f>SUM($F$4:F26)+SUM($H$4:H26)</f>
        <v>14125</v>
      </c>
      <c r="H26" s="68">
        <v>0</v>
      </c>
      <c r="I26" s="68" t="s">
        <v>34</v>
      </c>
      <c r="J26" s="68" t="s">
        <v>34</v>
      </c>
      <c r="K26" s="68" t="s">
        <v>34</v>
      </c>
      <c r="L26" s="68" t="s">
        <v>34</v>
      </c>
      <c r="M26" s="68" t="s">
        <v>34</v>
      </c>
      <c r="N26" s="68" t="s">
        <v>34</v>
      </c>
      <c r="O26" s="69" t="s">
        <v>34</v>
      </c>
      <c r="P26" s="69" t="s">
        <v>34</v>
      </c>
      <c r="Q26" s="78" t="s">
        <v>44</v>
      </c>
      <c r="R26" s="78" t="s">
        <v>44</v>
      </c>
      <c r="S26" s="78" t="s">
        <v>44</v>
      </c>
      <c r="T26" s="78" t="s">
        <v>44</v>
      </c>
      <c r="U26" s="78" t="s">
        <v>44</v>
      </c>
      <c r="V26" s="78" t="s">
        <v>44</v>
      </c>
      <c r="W26" s="69" t="s">
        <v>34</v>
      </c>
      <c r="X26" s="69" t="s">
        <v>34</v>
      </c>
      <c r="Y26" s="68" t="s">
        <v>34</v>
      </c>
      <c r="Z26" s="68" t="s">
        <v>34</v>
      </c>
      <c r="AA26" s="68" t="s">
        <v>34</v>
      </c>
      <c r="AB26" s="68" t="s">
        <v>34</v>
      </c>
      <c r="AC26" s="68" t="s">
        <v>34</v>
      </c>
      <c r="AD26" s="68" t="s">
        <v>34</v>
      </c>
      <c r="AE26" s="69" t="s">
        <v>34</v>
      </c>
      <c r="AF26" s="69" t="s">
        <v>34</v>
      </c>
      <c r="AG26" s="70">
        <f t="shared" si="4"/>
        <v>2</v>
      </c>
      <c r="AH26" s="71"/>
      <c r="AI26" s="71">
        <v>2</v>
      </c>
      <c r="AJ26" s="71"/>
      <c r="AK26" s="72" t="s">
        <v>52</v>
      </c>
      <c r="AL26" s="93"/>
      <c r="AM26" s="87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7">
        <v>45571</v>
      </c>
      <c r="B27" s="68">
        <v>1600</v>
      </c>
      <c r="C27" s="68"/>
      <c r="D27" s="66">
        <f>(SUM(粮草!A27:X27)+AG27*10*IF(AK27="是",$AY$4,$AY$3))</f>
        <v>840</v>
      </c>
      <c r="E27" s="101">
        <f>SUM($B$4:B27)+SUM($C$4:C27)-SUM($D$4:D27)</f>
        <v>8954</v>
      </c>
      <c r="F27" s="66">
        <f>SUM(经验!A27:X27)</f>
        <v>330</v>
      </c>
      <c r="G27" s="66">
        <f>SUM($F$4:F27)+SUM($H$4:H27)</f>
        <v>14455</v>
      </c>
      <c r="H27" s="68">
        <v>0</v>
      </c>
      <c r="I27" s="68" t="s">
        <v>34</v>
      </c>
      <c r="J27" s="68" t="s">
        <v>34</v>
      </c>
      <c r="K27" s="68" t="s">
        <v>34</v>
      </c>
      <c r="L27" s="68" t="s">
        <v>34</v>
      </c>
      <c r="M27" s="68" t="s">
        <v>34</v>
      </c>
      <c r="N27" s="68" t="s">
        <v>34</v>
      </c>
      <c r="O27" s="69" t="s">
        <v>34</v>
      </c>
      <c r="P27" s="69" t="s">
        <v>34</v>
      </c>
      <c r="Q27" s="78" t="s">
        <v>44</v>
      </c>
      <c r="R27" s="83" t="s">
        <v>39</v>
      </c>
      <c r="S27" s="78" t="s">
        <v>44</v>
      </c>
      <c r="T27" s="78" t="s">
        <v>44</v>
      </c>
      <c r="U27" s="78" t="s">
        <v>44</v>
      </c>
      <c r="V27" s="78" t="s">
        <v>44</v>
      </c>
      <c r="W27" s="69" t="s">
        <v>34</v>
      </c>
      <c r="X27" s="69" t="s">
        <v>34</v>
      </c>
      <c r="Y27" s="68" t="s">
        <v>34</v>
      </c>
      <c r="Z27" s="68" t="s">
        <v>34</v>
      </c>
      <c r="AA27" s="68" t="s">
        <v>34</v>
      </c>
      <c r="AB27" s="68" t="s">
        <v>34</v>
      </c>
      <c r="AC27" s="68" t="s">
        <v>34</v>
      </c>
      <c r="AD27" s="68" t="s">
        <v>34</v>
      </c>
      <c r="AE27" s="69" t="s">
        <v>34</v>
      </c>
      <c r="AF27" s="69" t="s">
        <v>34</v>
      </c>
      <c r="AG27" s="70">
        <f t="shared" si="4"/>
        <v>0</v>
      </c>
      <c r="AH27" s="71"/>
      <c r="AI27" s="71"/>
      <c r="AJ27" s="71"/>
      <c r="AK27" s="72" t="s">
        <v>52</v>
      </c>
      <c r="AL27" s="93"/>
      <c r="AM27" s="88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7">
        <v>45572</v>
      </c>
      <c r="B28" s="66">
        <v>1600</v>
      </c>
      <c r="C28" s="67"/>
      <c r="D28" s="66">
        <f>(SUM(粮草!A28:X28)+AG28*10*IF(AK28="是",$AY$4,$AY$3))</f>
        <v>910</v>
      </c>
      <c r="E28" s="101">
        <f>SUM($B$4:B28)+SUM($C$4:C28)-SUM($D$4:D28)</f>
        <v>9644</v>
      </c>
      <c r="F28" s="66">
        <f>SUM(经验!A28:X28)</f>
        <v>420</v>
      </c>
      <c r="G28" s="66">
        <f>SUM($F$4:F28)+SUM($H$4:H28)</f>
        <v>15075</v>
      </c>
      <c r="H28" s="66">
        <v>200</v>
      </c>
      <c r="I28" s="68" t="s">
        <v>34</v>
      </c>
      <c r="J28" s="68" t="s">
        <v>34</v>
      </c>
      <c r="K28" s="68" t="s">
        <v>34</v>
      </c>
      <c r="L28" s="68" t="s">
        <v>34</v>
      </c>
      <c r="M28" s="68" t="s">
        <v>34</v>
      </c>
      <c r="N28" s="68" t="s">
        <v>34</v>
      </c>
      <c r="O28" s="69" t="s">
        <v>34</v>
      </c>
      <c r="P28" s="69" t="s">
        <v>34</v>
      </c>
      <c r="Q28" s="78" t="s">
        <v>44</v>
      </c>
      <c r="R28" s="78" t="s">
        <v>44</v>
      </c>
      <c r="S28" s="78" t="s">
        <v>44</v>
      </c>
      <c r="T28" s="84" t="s">
        <v>46</v>
      </c>
      <c r="U28" s="78" t="s">
        <v>44</v>
      </c>
      <c r="V28" s="78" t="s">
        <v>44</v>
      </c>
      <c r="W28" s="78" t="s">
        <v>44</v>
      </c>
      <c r="X28" s="78" t="s">
        <v>44</v>
      </c>
      <c r="Y28" s="68" t="s">
        <v>34</v>
      </c>
      <c r="Z28" s="68" t="s">
        <v>34</v>
      </c>
      <c r="AA28" s="68" t="s">
        <v>34</v>
      </c>
      <c r="AB28" s="68" t="s">
        <v>34</v>
      </c>
      <c r="AC28" s="68" t="s">
        <v>34</v>
      </c>
      <c r="AD28" s="68" t="s">
        <v>34</v>
      </c>
      <c r="AE28" s="69" t="s">
        <v>34</v>
      </c>
      <c r="AF28" s="69" t="s">
        <v>34</v>
      </c>
      <c r="AG28" s="70">
        <f t="shared" si="4"/>
        <v>0</v>
      </c>
      <c r="AH28" s="71"/>
      <c r="AI28" s="71"/>
      <c r="AJ28" s="71"/>
      <c r="AK28" s="72" t="s">
        <v>52</v>
      </c>
      <c r="AL28" s="94"/>
      <c r="AM28" s="95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7">
        <v>45573</v>
      </c>
      <c r="B29" s="66">
        <v>1600</v>
      </c>
      <c r="C29" s="67"/>
      <c r="D29" s="66">
        <f>(SUM(粮草!A29:X29)+AG29*10*IF(AK29="是",$AY$4,$AY$3))</f>
        <v>968</v>
      </c>
      <c r="E29" s="101">
        <f>SUM($B$4:B29)+SUM($C$4:C29)-SUM($D$4:D29)</f>
        <v>10276</v>
      </c>
      <c r="F29" s="66">
        <f>SUM(经验!A29:X29)</f>
        <v>340</v>
      </c>
      <c r="G29" s="66">
        <f>SUM($F$4:F29)+SUM($H$4:H29)</f>
        <v>15515</v>
      </c>
      <c r="H29" s="66">
        <v>100</v>
      </c>
      <c r="I29" s="68" t="s">
        <v>34</v>
      </c>
      <c r="J29" s="68" t="s">
        <v>34</v>
      </c>
      <c r="K29" s="68" t="s">
        <v>34</v>
      </c>
      <c r="L29" s="68" t="s">
        <v>34</v>
      </c>
      <c r="M29" s="68" t="s">
        <v>34</v>
      </c>
      <c r="N29" s="68" t="s">
        <v>34</v>
      </c>
      <c r="O29" s="69" t="s">
        <v>34</v>
      </c>
      <c r="P29" s="69" t="s">
        <v>34</v>
      </c>
      <c r="Q29" s="78" t="s">
        <v>44</v>
      </c>
      <c r="R29" s="78" t="s">
        <v>44</v>
      </c>
      <c r="S29" s="78" t="s">
        <v>44</v>
      </c>
      <c r="T29" s="78" t="s">
        <v>44</v>
      </c>
      <c r="U29" s="78" t="s">
        <v>44</v>
      </c>
      <c r="V29" s="105" t="s">
        <v>37</v>
      </c>
      <c r="W29" s="69" t="s">
        <v>34</v>
      </c>
      <c r="X29" s="69" t="s">
        <v>34</v>
      </c>
      <c r="Y29" s="68" t="s">
        <v>34</v>
      </c>
      <c r="Z29" s="68" t="s">
        <v>34</v>
      </c>
      <c r="AA29" s="68" t="s">
        <v>34</v>
      </c>
      <c r="AB29" s="68" t="s">
        <v>34</v>
      </c>
      <c r="AC29" s="68" t="s">
        <v>34</v>
      </c>
      <c r="AD29" s="68" t="s">
        <v>34</v>
      </c>
      <c r="AE29" s="69" t="s">
        <v>34</v>
      </c>
      <c r="AF29" s="69" t="s">
        <v>34</v>
      </c>
      <c r="AG29" s="70">
        <f t="shared" si="4"/>
        <v>5</v>
      </c>
      <c r="AH29" s="71"/>
      <c r="AI29" s="71">
        <v>5</v>
      </c>
      <c r="AJ29" s="71"/>
      <c r="AK29" s="72" t="s">
        <v>52</v>
      </c>
      <c r="AM29" s="50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>
      <c r="A30" s="97">
        <v>45574</v>
      </c>
      <c r="B30" s="66">
        <v>1600</v>
      </c>
      <c r="C30" s="67"/>
      <c r="D30" s="66">
        <f>(SUM(粮草!A30:X30)+AG30*10*IF(AK30="是",$AY$4,$AY$3))</f>
        <v>784</v>
      </c>
      <c r="E30" s="101">
        <f>SUM($B$4:B30)+SUM($C$4:C30)-SUM($D$4:D30)</f>
        <v>11092</v>
      </c>
      <c r="F30" s="66">
        <f>SUM(经验!A30:X30)</f>
        <v>760</v>
      </c>
      <c r="G30" s="66">
        <f>SUM($F$4:F30)+SUM($H$4:H30)</f>
        <v>16475</v>
      </c>
      <c r="H30" s="66">
        <v>200</v>
      </c>
      <c r="I30" s="68" t="s">
        <v>34</v>
      </c>
      <c r="J30" s="68" t="s">
        <v>34</v>
      </c>
      <c r="K30" s="68" t="s">
        <v>34</v>
      </c>
      <c r="L30" s="68" t="s">
        <v>34</v>
      </c>
      <c r="M30" s="68" t="s">
        <v>34</v>
      </c>
      <c r="N30" s="68" t="s">
        <v>34</v>
      </c>
      <c r="O30" s="69" t="s">
        <v>34</v>
      </c>
      <c r="P30" s="69" t="s">
        <v>34</v>
      </c>
      <c r="Q30" s="73" t="s">
        <v>33</v>
      </c>
      <c r="R30" s="105" t="s">
        <v>37</v>
      </c>
      <c r="S30" s="50" t="s">
        <v>62</v>
      </c>
      <c r="T30" s="105" t="s">
        <v>37</v>
      </c>
      <c r="U30" s="83" t="s">
        <v>39</v>
      </c>
      <c r="V30" s="105" t="s">
        <v>37</v>
      </c>
      <c r="W30" s="77" t="s">
        <v>43</v>
      </c>
      <c r="X30" s="69" t="s">
        <v>34</v>
      </c>
      <c r="Y30" s="68" t="s">
        <v>34</v>
      </c>
      <c r="Z30" s="68" t="s">
        <v>34</v>
      </c>
      <c r="AA30" s="68" t="s">
        <v>34</v>
      </c>
      <c r="AB30" s="68" t="s">
        <v>34</v>
      </c>
      <c r="AC30" s="68" t="s">
        <v>34</v>
      </c>
      <c r="AD30" s="68" t="s">
        <v>34</v>
      </c>
      <c r="AE30" s="69" t="s">
        <v>34</v>
      </c>
      <c r="AF30" s="69" t="s">
        <v>34</v>
      </c>
      <c r="AG30" s="70">
        <f t="shared" si="4"/>
        <v>6</v>
      </c>
      <c r="AH30" s="71"/>
      <c r="AI30" s="71">
        <v>6</v>
      </c>
      <c r="AJ30" s="71"/>
      <c r="AK30" s="72" t="s">
        <v>52</v>
      </c>
      <c r="AM30" s="22"/>
      <c r="AN30" s="22"/>
      <c r="AO30" s="22"/>
      <c r="AP30" s="29"/>
    </row>
    <row r="31" spans="1:53">
      <c r="A31" s="97">
        <v>45575</v>
      </c>
      <c r="B31" s="66">
        <v>1600</v>
      </c>
      <c r="C31" s="67"/>
      <c r="D31" s="66">
        <f>(SUM(粮草!A31:X31)+AG31*10*IF(AK31="是",$AY$4,$AY$3))</f>
        <v>1568</v>
      </c>
      <c r="E31" s="101">
        <f>SUM($B$4:B31)+SUM($C$4:C31)-SUM($D$4:D31)</f>
        <v>11124</v>
      </c>
      <c r="F31" s="66">
        <f>SUM(经验!A31:X31)</f>
        <v>550</v>
      </c>
      <c r="G31" s="66">
        <f>SUM($F$4:F31)+SUM($H$4:H31)</f>
        <v>17025</v>
      </c>
      <c r="H31" s="66">
        <v>0</v>
      </c>
      <c r="I31" s="73" t="s">
        <v>33</v>
      </c>
      <c r="J31" s="73" t="s">
        <v>33</v>
      </c>
      <c r="K31" s="83" t="s">
        <v>39</v>
      </c>
      <c r="L31" s="73" t="s">
        <v>33</v>
      </c>
      <c r="M31" s="73" t="s">
        <v>33</v>
      </c>
      <c r="N31" s="73" t="s">
        <v>33</v>
      </c>
      <c r="O31" s="83" t="s">
        <v>39</v>
      </c>
      <c r="P31" s="69" t="s">
        <v>34</v>
      </c>
      <c r="Q31" s="77" t="s">
        <v>43</v>
      </c>
      <c r="R31" s="77" t="s">
        <v>43</v>
      </c>
      <c r="S31" s="77" t="s">
        <v>43</v>
      </c>
      <c r="T31" s="76" t="s">
        <v>42</v>
      </c>
      <c r="U31" s="76" t="s">
        <v>42</v>
      </c>
      <c r="V31" s="76" t="s">
        <v>42</v>
      </c>
      <c r="W31" s="69" t="s">
        <v>34</v>
      </c>
      <c r="X31" s="69" t="s">
        <v>34</v>
      </c>
      <c r="Y31" s="68" t="s">
        <v>34</v>
      </c>
      <c r="Z31" s="68" t="s">
        <v>34</v>
      </c>
      <c r="AA31" s="68" t="s">
        <v>34</v>
      </c>
      <c r="AB31" s="68" t="s">
        <v>34</v>
      </c>
      <c r="AC31" s="68" t="s">
        <v>34</v>
      </c>
      <c r="AD31" s="68" t="s">
        <v>34</v>
      </c>
      <c r="AE31" s="69" t="s">
        <v>34</v>
      </c>
      <c r="AF31" s="69" t="s">
        <v>34</v>
      </c>
      <c r="AG31" s="70">
        <f t="shared" si="4"/>
        <v>0</v>
      </c>
      <c r="AH31" s="71"/>
      <c r="AI31" s="71"/>
      <c r="AJ31" s="71"/>
      <c r="AK31" s="72" t="s">
        <v>52</v>
      </c>
      <c r="AM31" s="22"/>
      <c r="AN31" s="22"/>
      <c r="AO31" s="22"/>
      <c r="AP31" s="29"/>
    </row>
    <row r="32" spans="1:53">
      <c r="A32" s="97">
        <v>45576</v>
      </c>
      <c r="B32" s="66">
        <v>1600</v>
      </c>
      <c r="C32" s="67">
        <v>40</v>
      </c>
      <c r="D32" s="66">
        <f>(SUM(粮草!A32:X32)+AG32*10*IF(AK32="是",$AY$4,$AY$3))</f>
        <v>1276</v>
      </c>
      <c r="E32" s="101">
        <f>SUM($B$4:B32)+SUM($C$4:C32)-SUM($D$4:D32)</f>
        <v>11488</v>
      </c>
      <c r="F32" s="66">
        <f>SUM(经验!A32:X32)</f>
        <v>585</v>
      </c>
      <c r="G32" s="66">
        <f>SUM($F$4:F32)+SUM($H$4:H32)</f>
        <v>17610</v>
      </c>
      <c r="H32" s="66">
        <v>0</v>
      </c>
      <c r="I32" s="74" t="s">
        <v>37</v>
      </c>
      <c r="J32" s="74" t="s">
        <v>37</v>
      </c>
      <c r="K32" s="74" t="s">
        <v>37</v>
      </c>
      <c r="L32" s="83" t="s">
        <v>39</v>
      </c>
      <c r="M32" s="74" t="s">
        <v>37</v>
      </c>
      <c r="N32" s="74" t="s">
        <v>37</v>
      </c>
      <c r="O32" s="84" t="s">
        <v>46</v>
      </c>
      <c r="P32" s="69" t="s">
        <v>34</v>
      </c>
      <c r="Q32" s="76" t="s">
        <v>42</v>
      </c>
      <c r="R32" s="84" t="s">
        <v>46</v>
      </c>
      <c r="S32" s="76" t="s">
        <v>42</v>
      </c>
      <c r="T32" s="76" t="s">
        <v>42</v>
      </c>
      <c r="U32" s="76" t="s">
        <v>42</v>
      </c>
      <c r="V32" s="76" t="s">
        <v>42</v>
      </c>
      <c r="W32" s="76" t="s">
        <v>42</v>
      </c>
      <c r="X32" s="77" t="s">
        <v>43</v>
      </c>
      <c r="Y32" s="68" t="s">
        <v>34</v>
      </c>
      <c r="Z32" s="68" t="s">
        <v>34</v>
      </c>
      <c r="AA32" s="68" t="s">
        <v>34</v>
      </c>
      <c r="AB32" s="68" t="s">
        <v>34</v>
      </c>
      <c r="AC32" s="68" t="s">
        <v>34</v>
      </c>
      <c r="AD32" s="68" t="s">
        <v>34</v>
      </c>
      <c r="AE32" s="69" t="s">
        <v>34</v>
      </c>
      <c r="AF32" s="69" t="s">
        <v>34</v>
      </c>
      <c r="AG32" s="70">
        <f t="shared" si="4"/>
        <v>0</v>
      </c>
      <c r="AH32" s="71"/>
      <c r="AI32" s="71"/>
      <c r="AJ32" s="71"/>
      <c r="AK32" s="72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</row>
    <row r="33" spans="1:43">
      <c r="A33" s="97">
        <v>45577</v>
      </c>
      <c r="B33" s="66">
        <v>1600</v>
      </c>
      <c r="C33" s="67"/>
      <c r="D33" s="66">
        <f>(SUM(粮草!A33:X33)+AG33*10*IF(AK33="是",$AY$4,$AY$3))</f>
        <v>500</v>
      </c>
      <c r="E33" s="101">
        <f>SUM($B$4:B33)+SUM($C$4:C33)-SUM($D$4:D33)</f>
        <v>12588</v>
      </c>
      <c r="F33" s="66">
        <f>SUM(经验!A33:X33)</f>
        <v>335</v>
      </c>
      <c r="G33" s="66">
        <f>SUM($F$4:F33)+SUM($H$4:H33)</f>
        <v>17945</v>
      </c>
      <c r="H33" s="66">
        <v>0</v>
      </c>
      <c r="I33" s="68" t="s">
        <v>34</v>
      </c>
      <c r="J33" s="68" t="s">
        <v>34</v>
      </c>
      <c r="K33" s="68" t="s">
        <v>34</v>
      </c>
      <c r="L33" s="68" t="s">
        <v>34</v>
      </c>
      <c r="M33" s="68" t="s">
        <v>34</v>
      </c>
      <c r="N33" s="68" t="s">
        <v>34</v>
      </c>
      <c r="O33" s="69" t="s">
        <v>34</v>
      </c>
      <c r="P33" s="69" t="s">
        <v>34</v>
      </c>
      <c r="Q33" s="77" t="s">
        <v>43</v>
      </c>
      <c r="R33" s="84" t="s">
        <v>46</v>
      </c>
      <c r="S33" s="77" t="s">
        <v>43</v>
      </c>
      <c r="T33" s="77" t="s">
        <v>43</v>
      </c>
      <c r="U33" s="77" t="s">
        <v>43</v>
      </c>
      <c r="V33" s="77" t="s">
        <v>43</v>
      </c>
      <c r="W33" s="78" t="s">
        <v>44</v>
      </c>
      <c r="X33" s="84" t="s">
        <v>46</v>
      </c>
      <c r="Y33" s="68" t="s">
        <v>34</v>
      </c>
      <c r="Z33" s="68" t="s">
        <v>34</v>
      </c>
      <c r="AA33" s="68" t="s">
        <v>34</v>
      </c>
      <c r="AB33" s="68" t="s">
        <v>34</v>
      </c>
      <c r="AC33" s="68" t="s">
        <v>34</v>
      </c>
      <c r="AD33" s="68" t="s">
        <v>34</v>
      </c>
      <c r="AE33" s="69" t="s">
        <v>34</v>
      </c>
      <c r="AF33" s="69" t="s">
        <v>34</v>
      </c>
      <c r="AG33" s="70">
        <f t="shared" si="4"/>
        <v>0</v>
      </c>
      <c r="AH33" s="71"/>
      <c r="AI33" s="71"/>
      <c r="AJ33" s="71"/>
      <c r="AK33" s="72" t="s">
        <v>52</v>
      </c>
      <c r="AM33" s="75" t="s">
        <v>40</v>
      </c>
      <c r="AN33" s="22">
        <v>186</v>
      </c>
      <c r="AO33" s="22">
        <f>AN33-AT6</f>
        <v>77</v>
      </c>
      <c r="AP33" s="29">
        <f>AO33*AN6*0.8</f>
        <v>10472</v>
      </c>
      <c r="AQ33" s="29">
        <f>AO33*AO6</f>
        <v>3465</v>
      </c>
    </row>
    <row r="34" spans="1:43">
      <c r="A34" s="96">
        <v>45578</v>
      </c>
      <c r="B34" s="66">
        <v>1600</v>
      </c>
      <c r="C34" s="67"/>
      <c r="D34" s="66">
        <f>(SUM(粮草!A34:X34)+AG34*10*IF(AK34="是",$AY$4,$AY$3))</f>
        <v>0</v>
      </c>
      <c r="E34" s="101">
        <f>SUM($B$4:B34)+SUM($C$4:C34)-SUM($D$4:D34)</f>
        <v>14188</v>
      </c>
      <c r="F34" s="66">
        <f>SUM(经验!A34:X34)</f>
        <v>0</v>
      </c>
      <c r="G34" s="66">
        <f>SUM($F$4:F34)+SUM($H$4:H34)</f>
        <v>17945</v>
      </c>
      <c r="H34" s="66">
        <v>0</v>
      </c>
      <c r="I34" s="68" t="s">
        <v>34</v>
      </c>
      <c r="J34" s="68" t="s">
        <v>34</v>
      </c>
      <c r="K34" s="68" t="s">
        <v>34</v>
      </c>
      <c r="L34" s="68" t="s">
        <v>34</v>
      </c>
      <c r="M34" s="68" t="s">
        <v>34</v>
      </c>
      <c r="N34" s="68" t="s">
        <v>34</v>
      </c>
      <c r="O34" s="69" t="s">
        <v>34</v>
      </c>
      <c r="P34" s="69" t="s">
        <v>34</v>
      </c>
      <c r="Q34" s="68" t="s">
        <v>34</v>
      </c>
      <c r="R34" s="68" t="s">
        <v>34</v>
      </c>
      <c r="S34" s="68" t="s">
        <v>34</v>
      </c>
      <c r="T34" s="68" t="s">
        <v>34</v>
      </c>
      <c r="U34" s="68" t="s">
        <v>34</v>
      </c>
      <c r="V34" s="68" t="s">
        <v>34</v>
      </c>
      <c r="W34" s="69" t="s">
        <v>34</v>
      </c>
      <c r="X34" s="69" t="s">
        <v>34</v>
      </c>
      <c r="Y34" s="68" t="s">
        <v>34</v>
      </c>
      <c r="Z34" s="68" t="s">
        <v>34</v>
      </c>
      <c r="AA34" s="68" t="s">
        <v>34</v>
      </c>
      <c r="AB34" s="68" t="s">
        <v>34</v>
      </c>
      <c r="AC34" s="68" t="s">
        <v>34</v>
      </c>
      <c r="AD34" s="68" t="s">
        <v>34</v>
      </c>
      <c r="AE34" s="69" t="s">
        <v>34</v>
      </c>
      <c r="AF34" s="69" t="s">
        <v>34</v>
      </c>
      <c r="AG34" s="70">
        <f t="shared" si="4"/>
        <v>0</v>
      </c>
      <c r="AH34" s="71"/>
      <c r="AI34" s="71"/>
      <c r="AJ34" s="71"/>
      <c r="AK34" s="72" t="s">
        <v>52</v>
      </c>
      <c r="AM34" s="76" t="s">
        <v>42</v>
      </c>
      <c r="AN34" s="22">
        <v>276</v>
      </c>
      <c r="AO34" s="22">
        <f>AN34-AT7</f>
        <v>249</v>
      </c>
      <c r="AP34" s="29">
        <f t="shared" ref="AP34:AP36" si="11">AO34*AN7*0.8</f>
        <v>35856</v>
      </c>
      <c r="AQ34" s="29">
        <f>AO34*AO7</f>
        <v>12450</v>
      </c>
    </row>
    <row r="35" spans="1:43">
      <c r="A35" s="96">
        <v>45579</v>
      </c>
      <c r="B35" s="68">
        <v>1600</v>
      </c>
      <c r="C35" s="68"/>
      <c r="D35" s="66">
        <f>(SUM(粮草!A35:X35)+AG35*10*IF(AK35="是",$AY$4,$AY$3))</f>
        <v>0</v>
      </c>
      <c r="E35" s="101">
        <f>SUM($B$4:B35)+SUM($C$4:C35)-SUM($D$4:D35)</f>
        <v>15788</v>
      </c>
      <c r="F35" s="66">
        <f>SUM(经验!A35:X35)</f>
        <v>0</v>
      </c>
      <c r="G35" s="66">
        <f>SUM($F$4:F35)+SUM($H$4:H35)</f>
        <v>18145</v>
      </c>
      <c r="H35" s="68">
        <v>200</v>
      </c>
      <c r="I35" s="68" t="s">
        <v>34</v>
      </c>
      <c r="J35" s="68" t="s">
        <v>34</v>
      </c>
      <c r="K35" s="68" t="s">
        <v>34</v>
      </c>
      <c r="L35" s="68" t="s">
        <v>34</v>
      </c>
      <c r="M35" s="68" t="s">
        <v>34</v>
      </c>
      <c r="N35" s="68" t="s">
        <v>34</v>
      </c>
      <c r="O35" s="69" t="s">
        <v>34</v>
      </c>
      <c r="P35" s="69" t="s">
        <v>34</v>
      </c>
      <c r="Q35" s="68" t="s">
        <v>34</v>
      </c>
      <c r="R35" s="68" t="s">
        <v>34</v>
      </c>
      <c r="S35" s="68" t="s">
        <v>34</v>
      </c>
      <c r="T35" s="68" t="s">
        <v>34</v>
      </c>
      <c r="U35" s="68" t="s">
        <v>34</v>
      </c>
      <c r="V35" s="68" t="s">
        <v>34</v>
      </c>
      <c r="W35" s="69" t="s">
        <v>34</v>
      </c>
      <c r="X35" s="69" t="s">
        <v>34</v>
      </c>
      <c r="Y35" s="68" t="s">
        <v>34</v>
      </c>
      <c r="Z35" s="68" t="s">
        <v>34</v>
      </c>
      <c r="AA35" s="68" t="s">
        <v>34</v>
      </c>
      <c r="AB35" s="68" t="s">
        <v>34</v>
      </c>
      <c r="AC35" s="68" t="s">
        <v>34</v>
      </c>
      <c r="AD35" s="68" t="s">
        <v>34</v>
      </c>
      <c r="AE35" s="69" t="s">
        <v>34</v>
      </c>
      <c r="AF35" s="69" t="s">
        <v>34</v>
      </c>
      <c r="AG35" s="70">
        <f t="shared" si="4"/>
        <v>0</v>
      </c>
      <c r="AH35" s="71"/>
      <c r="AI35" s="71"/>
      <c r="AJ35" s="71"/>
      <c r="AK35" s="72" t="s">
        <v>52</v>
      </c>
      <c r="AM35" s="77" t="s">
        <v>43</v>
      </c>
      <c r="AN35" s="22">
        <v>238</v>
      </c>
      <c r="AO35" s="22">
        <f>AN35-AT8</f>
        <v>228</v>
      </c>
      <c r="AP35" s="29">
        <f t="shared" si="11"/>
        <v>34656</v>
      </c>
      <c r="AQ35" s="29">
        <f t="shared" ref="AQ35:AQ42" si="12">AO35*AO8</f>
        <v>12540</v>
      </c>
    </row>
    <row r="36" spans="1:43">
      <c r="A36" s="96">
        <v>45580</v>
      </c>
      <c r="B36" s="68">
        <v>1600</v>
      </c>
      <c r="C36" s="68"/>
      <c r="D36" s="66">
        <f>(SUM(粮草!A36:X36)+AG36*10*IF(AK36="是",$AY$4,$AY$3))</f>
        <v>0</v>
      </c>
      <c r="E36" s="101">
        <f>SUM($B$4:B36)+SUM($C$4:C36)-SUM($D$4:D36)</f>
        <v>17388</v>
      </c>
      <c r="F36" s="66">
        <f>SUM(经验!A36:X36)</f>
        <v>0</v>
      </c>
      <c r="G36" s="66">
        <f>SUM($F$4:F36)+SUM($H$4:H36)</f>
        <v>18245</v>
      </c>
      <c r="H36" s="68">
        <v>100</v>
      </c>
      <c r="I36" s="68" t="s">
        <v>34</v>
      </c>
      <c r="J36" s="68" t="s">
        <v>34</v>
      </c>
      <c r="K36" s="68" t="s">
        <v>34</v>
      </c>
      <c r="L36" s="68" t="s">
        <v>34</v>
      </c>
      <c r="M36" s="68" t="s">
        <v>34</v>
      </c>
      <c r="N36" s="68" t="s">
        <v>34</v>
      </c>
      <c r="O36" s="69" t="s">
        <v>34</v>
      </c>
      <c r="P36" s="69" t="s">
        <v>34</v>
      </c>
      <c r="Q36" s="68" t="s">
        <v>34</v>
      </c>
      <c r="R36" s="68" t="s">
        <v>34</v>
      </c>
      <c r="S36" s="68" t="s">
        <v>34</v>
      </c>
      <c r="T36" s="68" t="s">
        <v>34</v>
      </c>
      <c r="U36" s="68" t="s">
        <v>34</v>
      </c>
      <c r="V36" s="68" t="s">
        <v>34</v>
      </c>
      <c r="W36" s="69" t="s">
        <v>34</v>
      </c>
      <c r="X36" s="69" t="s">
        <v>34</v>
      </c>
      <c r="Y36" s="68" t="s">
        <v>34</v>
      </c>
      <c r="Z36" s="68" t="s">
        <v>34</v>
      </c>
      <c r="AA36" s="68" t="s">
        <v>34</v>
      </c>
      <c r="AB36" s="68" t="s">
        <v>34</v>
      </c>
      <c r="AC36" s="68" t="s">
        <v>34</v>
      </c>
      <c r="AD36" s="68" t="s">
        <v>34</v>
      </c>
      <c r="AE36" s="69" t="s">
        <v>34</v>
      </c>
      <c r="AF36" s="69" t="s">
        <v>34</v>
      </c>
      <c r="AG36" s="70">
        <f t="shared" si="4"/>
        <v>0</v>
      </c>
      <c r="AH36" s="71"/>
      <c r="AI36" s="71"/>
      <c r="AJ36" s="71"/>
      <c r="AK36" s="72" t="s">
        <v>52</v>
      </c>
      <c r="AM36" s="78" t="s">
        <v>44</v>
      </c>
      <c r="AN36" s="22">
        <v>190</v>
      </c>
      <c r="AO36" s="22">
        <f>AN36-AT9</f>
        <v>136</v>
      </c>
      <c r="AP36" s="29">
        <f t="shared" si="11"/>
        <v>21760</v>
      </c>
      <c r="AQ36" s="29">
        <f t="shared" si="12"/>
        <v>8160</v>
      </c>
    </row>
    <row r="37" spans="1:43">
      <c r="A37" s="96">
        <v>45581</v>
      </c>
      <c r="B37" s="68">
        <v>1600</v>
      </c>
      <c r="C37" s="68"/>
      <c r="D37" s="66">
        <f>(SUM(粮草!A37:X37)+AG37*10*IF(AK37="是",$AY$4,$AY$3))</f>
        <v>0</v>
      </c>
      <c r="E37" s="101">
        <f>SUM($B$4:B37)+SUM($C$4:C37)-SUM($D$4:D37)</f>
        <v>18988</v>
      </c>
      <c r="F37" s="66">
        <f>SUM(经验!A37:X37)</f>
        <v>0</v>
      </c>
      <c r="G37" s="66">
        <f>SUM($F$4:F37)+SUM($H$4:H37)</f>
        <v>18445</v>
      </c>
      <c r="H37" s="68">
        <v>200</v>
      </c>
      <c r="I37" s="68" t="s">
        <v>34</v>
      </c>
      <c r="J37" s="68" t="s">
        <v>34</v>
      </c>
      <c r="K37" s="68" t="s">
        <v>34</v>
      </c>
      <c r="L37" s="68" t="s">
        <v>34</v>
      </c>
      <c r="M37" s="68" t="s">
        <v>34</v>
      </c>
      <c r="N37" s="68" t="s">
        <v>34</v>
      </c>
      <c r="O37" s="69" t="s">
        <v>34</v>
      </c>
      <c r="P37" s="69" t="s">
        <v>34</v>
      </c>
      <c r="Q37" s="68" t="s">
        <v>34</v>
      </c>
      <c r="R37" s="68" t="s">
        <v>34</v>
      </c>
      <c r="S37" s="68" t="s">
        <v>34</v>
      </c>
      <c r="T37" s="68" t="s">
        <v>34</v>
      </c>
      <c r="U37" s="68" t="s">
        <v>34</v>
      </c>
      <c r="V37" s="68" t="s">
        <v>34</v>
      </c>
      <c r="W37" s="69" t="s">
        <v>34</v>
      </c>
      <c r="X37" s="69" t="s">
        <v>34</v>
      </c>
      <c r="Y37" s="68" t="s">
        <v>34</v>
      </c>
      <c r="Z37" s="68" t="s">
        <v>34</v>
      </c>
      <c r="AA37" s="68" t="s">
        <v>34</v>
      </c>
      <c r="AB37" s="68" t="s">
        <v>34</v>
      </c>
      <c r="AC37" s="68" t="s">
        <v>34</v>
      </c>
      <c r="AD37" s="68" t="s">
        <v>34</v>
      </c>
      <c r="AE37" s="69" t="s">
        <v>34</v>
      </c>
      <c r="AF37" s="69" t="s">
        <v>34</v>
      </c>
      <c r="AG37" s="70">
        <f t="shared" si="4"/>
        <v>0</v>
      </c>
      <c r="AH37" s="71"/>
      <c r="AI37" s="71"/>
      <c r="AJ37" s="71"/>
      <c r="AK37" s="72" t="s">
        <v>52</v>
      </c>
      <c r="AM37" s="83" t="s">
        <v>39</v>
      </c>
      <c r="AN37" s="22">
        <v>38</v>
      </c>
      <c r="AO37" s="22">
        <f>AN37-AT17</f>
        <v>13</v>
      </c>
      <c r="AP37" s="29">
        <f>AO37*AN17*0.8</f>
        <v>520</v>
      </c>
      <c r="AQ37" s="29">
        <f>AO37*AO17</f>
        <v>390</v>
      </c>
    </row>
    <row r="38" spans="1:43">
      <c r="A38" s="96">
        <v>45582</v>
      </c>
      <c r="B38" s="68">
        <v>1600</v>
      </c>
      <c r="C38" s="68"/>
      <c r="D38" s="66">
        <f>(SUM(粮草!A38:X38)+AG38*10*IF(AK38="是",$AY$4,$AY$3))</f>
        <v>0</v>
      </c>
      <c r="E38" s="101">
        <f>SUM($B$4:B38)+SUM($C$4:C38)-SUM($D$4:D38)</f>
        <v>20588</v>
      </c>
      <c r="F38" s="66">
        <f>SUM(经验!A38:X38)</f>
        <v>0</v>
      </c>
      <c r="G38" s="66">
        <f>SUM($F$4:F38)+SUM($H$4:H38)</f>
        <v>18445</v>
      </c>
      <c r="H38" s="68">
        <v>0</v>
      </c>
      <c r="I38" s="68" t="s">
        <v>34</v>
      </c>
      <c r="J38" s="68" t="s">
        <v>34</v>
      </c>
      <c r="K38" s="68" t="s">
        <v>34</v>
      </c>
      <c r="L38" s="68" t="s">
        <v>34</v>
      </c>
      <c r="M38" s="68" t="s">
        <v>34</v>
      </c>
      <c r="N38" s="68" t="s">
        <v>34</v>
      </c>
      <c r="O38" s="69" t="s">
        <v>34</v>
      </c>
      <c r="P38" s="69" t="s">
        <v>34</v>
      </c>
      <c r="Q38" s="68" t="s">
        <v>34</v>
      </c>
      <c r="R38" s="68" t="s">
        <v>34</v>
      </c>
      <c r="S38" s="68" t="s">
        <v>34</v>
      </c>
      <c r="T38" s="68" t="s">
        <v>34</v>
      </c>
      <c r="U38" s="68" t="s">
        <v>34</v>
      </c>
      <c r="V38" s="68" t="s">
        <v>34</v>
      </c>
      <c r="W38" s="69" t="s">
        <v>34</v>
      </c>
      <c r="X38" s="69" t="s">
        <v>34</v>
      </c>
      <c r="Y38" s="68" t="s">
        <v>34</v>
      </c>
      <c r="Z38" s="68" t="s">
        <v>34</v>
      </c>
      <c r="AA38" s="68" t="s">
        <v>34</v>
      </c>
      <c r="AB38" s="68" t="s">
        <v>34</v>
      </c>
      <c r="AC38" s="68" t="s">
        <v>34</v>
      </c>
      <c r="AD38" s="68" t="s">
        <v>34</v>
      </c>
      <c r="AE38" s="69" t="s">
        <v>34</v>
      </c>
      <c r="AF38" s="69" t="s">
        <v>34</v>
      </c>
      <c r="AG38" s="70">
        <f t="shared" si="4"/>
        <v>0</v>
      </c>
      <c r="AH38" s="71"/>
      <c r="AI38" s="71"/>
      <c r="AJ38" s="71"/>
      <c r="AK38" s="72" t="s">
        <v>52</v>
      </c>
      <c r="AM38" s="79" t="s">
        <v>41</v>
      </c>
      <c r="AN38" s="22">
        <v>2</v>
      </c>
      <c r="AO38" s="22">
        <f>AN38-AT11</f>
        <v>1</v>
      </c>
      <c r="AP38" s="29">
        <f>AO38*AN11*0.8</f>
        <v>120</v>
      </c>
      <c r="AQ38" s="29">
        <f>AO38*AO11</f>
        <v>40</v>
      </c>
    </row>
    <row r="39" spans="1:43">
      <c r="A39" s="96">
        <v>45583</v>
      </c>
      <c r="B39" s="68">
        <v>1600</v>
      </c>
      <c r="C39" s="68"/>
      <c r="D39" s="66">
        <f>(SUM(粮草!A39:X39)+AG39*10*IF(AK39="是",$AY$4,$AY$3))</f>
        <v>0</v>
      </c>
      <c r="E39" s="101">
        <f>SUM($B$4:B39)+SUM($C$4:C39)-SUM($D$4:D39)</f>
        <v>22188</v>
      </c>
      <c r="F39" s="66">
        <f>SUM(经验!A39:X39)</f>
        <v>0</v>
      </c>
      <c r="G39" s="66">
        <f>SUM($F$4:F39)+SUM($H$4:H39)</f>
        <v>18445</v>
      </c>
      <c r="H39" s="68">
        <v>0</v>
      </c>
      <c r="I39" s="68" t="s">
        <v>34</v>
      </c>
      <c r="J39" s="68" t="s">
        <v>34</v>
      </c>
      <c r="K39" s="68" t="s">
        <v>34</v>
      </c>
      <c r="L39" s="68" t="s">
        <v>34</v>
      </c>
      <c r="M39" s="68" t="s">
        <v>34</v>
      </c>
      <c r="N39" s="68" t="s">
        <v>34</v>
      </c>
      <c r="O39" s="69" t="s">
        <v>34</v>
      </c>
      <c r="P39" s="69" t="s">
        <v>34</v>
      </c>
      <c r="Q39" s="68" t="s">
        <v>34</v>
      </c>
      <c r="R39" s="68" t="s">
        <v>34</v>
      </c>
      <c r="S39" s="68" t="s">
        <v>34</v>
      </c>
      <c r="T39" s="68" t="s">
        <v>34</v>
      </c>
      <c r="U39" s="68" t="s">
        <v>34</v>
      </c>
      <c r="V39" s="68" t="s">
        <v>34</v>
      </c>
      <c r="W39" s="69" t="s">
        <v>34</v>
      </c>
      <c r="X39" s="69" t="s">
        <v>34</v>
      </c>
      <c r="Y39" s="68" t="s">
        <v>34</v>
      </c>
      <c r="Z39" s="68" t="s">
        <v>34</v>
      </c>
      <c r="AA39" s="68" t="s">
        <v>34</v>
      </c>
      <c r="AB39" s="68" t="s">
        <v>34</v>
      </c>
      <c r="AC39" s="68" t="s">
        <v>34</v>
      </c>
      <c r="AD39" s="68" t="s">
        <v>34</v>
      </c>
      <c r="AE39" s="69" t="s">
        <v>34</v>
      </c>
      <c r="AF39" s="69" t="s">
        <v>34</v>
      </c>
      <c r="AG39" s="70">
        <f t="shared" si="4"/>
        <v>0</v>
      </c>
      <c r="AH39" s="71"/>
      <c r="AI39" s="71"/>
      <c r="AJ39" s="71"/>
      <c r="AK39" s="72" t="s">
        <v>52</v>
      </c>
      <c r="AM39" s="80" t="s">
        <v>47</v>
      </c>
      <c r="AN39" s="104">
        <v>6</v>
      </c>
      <c r="AO39" s="22">
        <f>AN39-AT12</f>
        <v>2</v>
      </c>
      <c r="AP39" s="29">
        <f>AO39*AN12*0.8</f>
        <v>240</v>
      </c>
      <c r="AQ39" s="29">
        <f t="shared" si="12"/>
        <v>90</v>
      </c>
    </row>
    <row r="40" spans="1:43">
      <c r="A40" s="96">
        <v>45584</v>
      </c>
      <c r="B40" s="68">
        <v>1600</v>
      </c>
      <c r="C40" s="68"/>
      <c r="D40" s="66">
        <f>(SUM(粮草!A40:X40)+AG40*10*IF(AK40="是",$AY$4,$AY$3))</f>
        <v>0</v>
      </c>
      <c r="E40" s="101">
        <f>SUM($B$4:B40)+SUM($C$4:C40)-SUM($D$4:D40)</f>
        <v>23788</v>
      </c>
      <c r="F40" s="66">
        <f>SUM(经验!A40:X40)</f>
        <v>0</v>
      </c>
      <c r="G40" s="66">
        <f>SUM($F$4:F40)+SUM($H$4:H40)</f>
        <v>18445</v>
      </c>
      <c r="H40" s="68">
        <v>0</v>
      </c>
      <c r="I40" s="68" t="s">
        <v>34</v>
      </c>
      <c r="J40" s="68" t="s">
        <v>34</v>
      </c>
      <c r="K40" s="68" t="s">
        <v>34</v>
      </c>
      <c r="L40" s="68" t="s">
        <v>34</v>
      </c>
      <c r="M40" s="68" t="s">
        <v>34</v>
      </c>
      <c r="N40" s="68" t="s">
        <v>34</v>
      </c>
      <c r="O40" s="69" t="s">
        <v>34</v>
      </c>
      <c r="P40" s="69" t="s">
        <v>34</v>
      </c>
      <c r="Q40" s="68" t="s">
        <v>34</v>
      </c>
      <c r="R40" s="68" t="s">
        <v>34</v>
      </c>
      <c r="S40" s="68" t="s">
        <v>34</v>
      </c>
      <c r="T40" s="68" t="s">
        <v>34</v>
      </c>
      <c r="U40" s="68" t="s">
        <v>34</v>
      </c>
      <c r="V40" s="68" t="s">
        <v>34</v>
      </c>
      <c r="W40" s="69" t="s">
        <v>34</v>
      </c>
      <c r="X40" s="69" t="s">
        <v>34</v>
      </c>
      <c r="Y40" s="68" t="s">
        <v>34</v>
      </c>
      <c r="Z40" s="68" t="s">
        <v>34</v>
      </c>
      <c r="AA40" s="68" t="s">
        <v>34</v>
      </c>
      <c r="AB40" s="68" t="s">
        <v>34</v>
      </c>
      <c r="AC40" s="68" t="s">
        <v>34</v>
      </c>
      <c r="AD40" s="68" t="s">
        <v>34</v>
      </c>
      <c r="AE40" s="69" t="s">
        <v>34</v>
      </c>
      <c r="AF40" s="69" t="s">
        <v>34</v>
      </c>
      <c r="AG40" s="70">
        <f t="shared" si="4"/>
        <v>0</v>
      </c>
      <c r="AH40" s="71"/>
      <c r="AI40" s="71"/>
      <c r="AJ40" s="71"/>
      <c r="AK40" s="72" t="s">
        <v>52</v>
      </c>
      <c r="AM40" s="81" t="s">
        <v>48</v>
      </c>
      <c r="AN40" s="104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6">
        <v>45585</v>
      </c>
      <c r="B41" s="68">
        <v>1600</v>
      </c>
      <c r="C41" s="68"/>
      <c r="D41" s="66">
        <f>(SUM(粮草!A41:X41)+AG41*10*IF(AK41="是",$AY$4,$AY$3))</f>
        <v>0</v>
      </c>
      <c r="E41" s="101">
        <f>SUM($B$4:B41)+SUM($C$4:C41)-SUM($D$4:D41)</f>
        <v>25388</v>
      </c>
      <c r="F41" s="66">
        <f>SUM(经验!A41:X41)</f>
        <v>0</v>
      </c>
      <c r="G41" s="66">
        <f>SUM($F$4:F41)+SUM($H$4:H41)</f>
        <v>18445</v>
      </c>
      <c r="H41" s="68">
        <v>0</v>
      </c>
      <c r="I41" s="68" t="s">
        <v>34</v>
      </c>
      <c r="J41" s="68" t="s">
        <v>34</v>
      </c>
      <c r="K41" s="68" t="s">
        <v>34</v>
      </c>
      <c r="L41" s="68" t="s">
        <v>34</v>
      </c>
      <c r="M41" s="68" t="s">
        <v>34</v>
      </c>
      <c r="N41" s="68" t="s">
        <v>34</v>
      </c>
      <c r="O41" s="69" t="s">
        <v>34</v>
      </c>
      <c r="P41" s="69" t="s">
        <v>34</v>
      </c>
      <c r="Q41" s="68" t="s">
        <v>34</v>
      </c>
      <c r="R41" s="68" t="s">
        <v>34</v>
      </c>
      <c r="S41" s="68" t="s">
        <v>34</v>
      </c>
      <c r="T41" s="68" t="s">
        <v>34</v>
      </c>
      <c r="U41" s="68" t="s">
        <v>34</v>
      </c>
      <c r="V41" s="68" t="s">
        <v>34</v>
      </c>
      <c r="W41" s="69" t="s">
        <v>34</v>
      </c>
      <c r="X41" s="69" t="s">
        <v>34</v>
      </c>
      <c r="Y41" s="68" t="s">
        <v>34</v>
      </c>
      <c r="Z41" s="68" t="s">
        <v>34</v>
      </c>
      <c r="AA41" s="68" t="s">
        <v>34</v>
      </c>
      <c r="AB41" s="68" t="s">
        <v>34</v>
      </c>
      <c r="AC41" s="68" t="s">
        <v>34</v>
      </c>
      <c r="AD41" s="68" t="s">
        <v>34</v>
      </c>
      <c r="AE41" s="69" t="s">
        <v>34</v>
      </c>
      <c r="AF41" s="69" t="s">
        <v>34</v>
      </c>
      <c r="AG41" s="70">
        <f t="shared" si="4"/>
        <v>0</v>
      </c>
      <c r="AH41" s="71"/>
      <c r="AI41" s="71"/>
      <c r="AJ41" s="71"/>
      <c r="AK41" s="72" t="s">
        <v>52</v>
      </c>
      <c r="AM41" s="98" t="s">
        <v>49</v>
      </c>
      <c r="AN41" s="104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6">
        <v>45586</v>
      </c>
      <c r="B42" s="66">
        <v>1600</v>
      </c>
      <c r="C42" s="67"/>
      <c r="D42" s="66">
        <f>(SUM(粮草!A42:X42)+AG42*10*IF(AK42="是",$AY$4,$AY$3))</f>
        <v>0</v>
      </c>
      <c r="E42" s="101">
        <f>SUM($B$4:B42)+SUM($C$4:C42)-SUM($D$4:D42)</f>
        <v>26988</v>
      </c>
      <c r="F42" s="66">
        <f>SUM(经验!A42:X42)</f>
        <v>0</v>
      </c>
      <c r="G42" s="66">
        <f>SUM($F$4:F42)+SUM($H$4:H42)</f>
        <v>18745</v>
      </c>
      <c r="H42" s="66">
        <v>300</v>
      </c>
      <c r="I42" s="68" t="s">
        <v>34</v>
      </c>
      <c r="J42" s="68" t="s">
        <v>34</v>
      </c>
      <c r="K42" s="68" t="s">
        <v>34</v>
      </c>
      <c r="L42" s="68" t="s">
        <v>34</v>
      </c>
      <c r="M42" s="68" t="s">
        <v>34</v>
      </c>
      <c r="N42" s="68" t="s">
        <v>34</v>
      </c>
      <c r="O42" s="69" t="s">
        <v>34</v>
      </c>
      <c r="P42" s="69" t="s">
        <v>34</v>
      </c>
      <c r="Q42" s="68" t="s">
        <v>34</v>
      </c>
      <c r="R42" s="68" t="s">
        <v>34</v>
      </c>
      <c r="S42" s="68" t="s">
        <v>34</v>
      </c>
      <c r="T42" s="68" t="s">
        <v>34</v>
      </c>
      <c r="U42" s="68" t="s">
        <v>34</v>
      </c>
      <c r="V42" s="68" t="s">
        <v>34</v>
      </c>
      <c r="W42" s="69" t="s">
        <v>34</v>
      </c>
      <c r="X42" s="69" t="s">
        <v>34</v>
      </c>
      <c r="Y42" s="68" t="s">
        <v>34</v>
      </c>
      <c r="Z42" s="68" t="s">
        <v>34</v>
      </c>
      <c r="AA42" s="68" t="s">
        <v>34</v>
      </c>
      <c r="AB42" s="68" t="s">
        <v>34</v>
      </c>
      <c r="AC42" s="68" t="s">
        <v>34</v>
      </c>
      <c r="AD42" s="68" t="s">
        <v>34</v>
      </c>
      <c r="AE42" s="69" t="s">
        <v>34</v>
      </c>
      <c r="AF42" s="69" t="s">
        <v>34</v>
      </c>
      <c r="AG42" s="70">
        <f t="shared" si="4"/>
        <v>0</v>
      </c>
      <c r="AH42" s="71"/>
      <c r="AI42" s="71"/>
      <c r="AJ42" s="71"/>
      <c r="AK42" s="72" t="s">
        <v>52</v>
      </c>
      <c r="AM42" s="99" t="s">
        <v>50</v>
      </c>
      <c r="AN42" s="104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6">
        <v>45587</v>
      </c>
      <c r="B43" s="66">
        <v>1600</v>
      </c>
      <c r="C43" s="67"/>
      <c r="D43" s="66">
        <f>(SUM(粮草!A43:X43)+AG43*10*IF(AK43="是",$AY$4,$AY$3))</f>
        <v>0</v>
      </c>
      <c r="E43" s="101">
        <f>SUM($B$4:B43)+SUM($C$4:C43)-SUM($D$4:D43)</f>
        <v>28588</v>
      </c>
      <c r="F43" s="66">
        <f>SUM(经验!A43:X43)</f>
        <v>0</v>
      </c>
      <c r="G43" s="66">
        <f>SUM($F$4:F43)+SUM($H$4:H43)</f>
        <v>18745</v>
      </c>
      <c r="H43" s="66">
        <v>0</v>
      </c>
      <c r="I43" s="68" t="s">
        <v>34</v>
      </c>
      <c r="J43" s="68" t="s">
        <v>34</v>
      </c>
      <c r="K43" s="68" t="s">
        <v>34</v>
      </c>
      <c r="L43" s="68" t="s">
        <v>34</v>
      </c>
      <c r="M43" s="68" t="s">
        <v>34</v>
      </c>
      <c r="N43" s="68" t="s">
        <v>34</v>
      </c>
      <c r="O43" s="69" t="s">
        <v>34</v>
      </c>
      <c r="P43" s="69" t="s">
        <v>34</v>
      </c>
      <c r="Q43" s="68" t="s">
        <v>34</v>
      </c>
      <c r="R43" s="68" t="s">
        <v>34</v>
      </c>
      <c r="S43" s="68" t="s">
        <v>34</v>
      </c>
      <c r="T43" s="68" t="s">
        <v>34</v>
      </c>
      <c r="U43" s="68" t="s">
        <v>34</v>
      </c>
      <c r="V43" s="68" t="s">
        <v>34</v>
      </c>
      <c r="W43" s="69" t="s">
        <v>34</v>
      </c>
      <c r="X43" s="69" t="s">
        <v>34</v>
      </c>
      <c r="Y43" s="68" t="s">
        <v>34</v>
      </c>
      <c r="Z43" s="68" t="s">
        <v>34</v>
      </c>
      <c r="AA43" s="68" t="s">
        <v>34</v>
      </c>
      <c r="AB43" s="68" t="s">
        <v>34</v>
      </c>
      <c r="AC43" s="68" t="s">
        <v>34</v>
      </c>
      <c r="AD43" s="68" t="s">
        <v>34</v>
      </c>
      <c r="AE43" s="69" t="s">
        <v>34</v>
      </c>
      <c r="AF43" s="69" t="s">
        <v>34</v>
      </c>
      <c r="AG43" s="70">
        <f t="shared" si="4"/>
        <v>0</v>
      </c>
      <c r="AH43" s="71"/>
      <c r="AI43" s="71"/>
      <c r="AJ43" s="71"/>
      <c r="AK43" s="72" t="s">
        <v>52</v>
      </c>
      <c r="AM43" s="86" t="s">
        <v>54</v>
      </c>
      <c r="AN43" s="104">
        <v>2</v>
      </c>
      <c r="AO43" s="104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6">
        <v>45588</v>
      </c>
      <c r="B44" s="66">
        <v>1600</v>
      </c>
      <c r="C44" s="67"/>
      <c r="D44" s="66">
        <f>(SUM(粮草!A44:X44)+AG44*10*IF(AK44="是",$AY$4,$AY$3))</f>
        <v>0</v>
      </c>
      <c r="E44" s="101">
        <f>SUM($B$4:B44)+SUM($C$4:C44)-SUM($D$4:D44)</f>
        <v>30188</v>
      </c>
      <c r="F44" s="66">
        <f>SUM(经验!A44:X44)</f>
        <v>0</v>
      </c>
      <c r="G44" s="66">
        <f>SUM($F$4:F44)+SUM($H$4:H44)</f>
        <v>18945</v>
      </c>
      <c r="H44" s="66">
        <v>200</v>
      </c>
      <c r="I44" s="68" t="s">
        <v>34</v>
      </c>
      <c r="J44" s="68" t="s">
        <v>34</v>
      </c>
      <c r="K44" s="68" t="s">
        <v>34</v>
      </c>
      <c r="L44" s="68" t="s">
        <v>34</v>
      </c>
      <c r="M44" s="68" t="s">
        <v>34</v>
      </c>
      <c r="N44" s="68" t="s">
        <v>34</v>
      </c>
      <c r="O44" s="69" t="s">
        <v>34</v>
      </c>
      <c r="P44" s="69" t="s">
        <v>34</v>
      </c>
      <c r="Q44" s="68" t="s">
        <v>34</v>
      </c>
      <c r="R44" s="68" t="s">
        <v>34</v>
      </c>
      <c r="S44" s="68" t="s">
        <v>34</v>
      </c>
      <c r="T44" s="68" t="s">
        <v>34</v>
      </c>
      <c r="U44" s="68" t="s">
        <v>34</v>
      </c>
      <c r="V44" s="68" t="s">
        <v>34</v>
      </c>
      <c r="W44" s="69" t="s">
        <v>34</v>
      </c>
      <c r="X44" s="69" t="s">
        <v>34</v>
      </c>
      <c r="Y44" s="68" t="s">
        <v>34</v>
      </c>
      <c r="Z44" s="68" t="s">
        <v>34</v>
      </c>
      <c r="AA44" s="68" t="s">
        <v>34</v>
      </c>
      <c r="AB44" s="68" t="s">
        <v>34</v>
      </c>
      <c r="AC44" s="68" t="s">
        <v>34</v>
      </c>
      <c r="AD44" s="68" t="s">
        <v>34</v>
      </c>
      <c r="AE44" s="69" t="s">
        <v>34</v>
      </c>
      <c r="AF44" s="69" t="s">
        <v>34</v>
      </c>
      <c r="AG44" s="70">
        <f t="shared" si="4"/>
        <v>0</v>
      </c>
      <c r="AH44" s="71"/>
      <c r="AI44" s="71"/>
      <c r="AJ44" s="71"/>
      <c r="AK44" s="72" t="s">
        <v>52</v>
      </c>
      <c r="AM44" s="50" t="s">
        <v>62</v>
      </c>
      <c r="AN44" s="104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6">
        <v>45589</v>
      </c>
      <c r="B45" s="66">
        <v>1600</v>
      </c>
      <c r="C45" s="67"/>
      <c r="D45" s="66">
        <f>(SUM(粮草!A45:X45)+AG45*10*IF(AK45="是",$AY$4,$AY$3))</f>
        <v>0</v>
      </c>
      <c r="E45" s="101">
        <f>SUM($B$4:B45)+SUM($C$4:C45)-SUM($D$4:D45)</f>
        <v>31788</v>
      </c>
      <c r="F45" s="66">
        <f>SUM(经验!A45:X45)</f>
        <v>0</v>
      </c>
      <c r="G45" s="66">
        <f>SUM($F$4:F45)+SUM($H$4:H45)</f>
        <v>18945</v>
      </c>
      <c r="H45" s="66">
        <v>0</v>
      </c>
      <c r="I45" s="68" t="s">
        <v>34</v>
      </c>
      <c r="J45" s="68" t="s">
        <v>34</v>
      </c>
      <c r="K45" s="68" t="s">
        <v>34</v>
      </c>
      <c r="L45" s="68" t="s">
        <v>34</v>
      </c>
      <c r="M45" s="68" t="s">
        <v>34</v>
      </c>
      <c r="N45" s="68" t="s">
        <v>34</v>
      </c>
      <c r="O45" s="69" t="s">
        <v>34</v>
      </c>
      <c r="P45" s="69" t="s">
        <v>34</v>
      </c>
      <c r="Q45" s="68" t="s">
        <v>34</v>
      </c>
      <c r="R45" s="68" t="s">
        <v>34</v>
      </c>
      <c r="S45" s="68" t="s">
        <v>34</v>
      </c>
      <c r="T45" s="68" t="s">
        <v>34</v>
      </c>
      <c r="U45" s="68" t="s">
        <v>34</v>
      </c>
      <c r="V45" s="68" t="s">
        <v>34</v>
      </c>
      <c r="W45" s="69" t="s">
        <v>34</v>
      </c>
      <c r="X45" s="69" t="s">
        <v>34</v>
      </c>
      <c r="Y45" s="68" t="s">
        <v>34</v>
      </c>
      <c r="Z45" s="68" t="s">
        <v>34</v>
      </c>
      <c r="AA45" s="68" t="s">
        <v>34</v>
      </c>
      <c r="AB45" s="68" t="s">
        <v>34</v>
      </c>
      <c r="AC45" s="68" t="s">
        <v>34</v>
      </c>
      <c r="AD45" s="68" t="s">
        <v>34</v>
      </c>
      <c r="AE45" s="69" t="s">
        <v>34</v>
      </c>
      <c r="AF45" s="69" t="s">
        <v>34</v>
      </c>
      <c r="AG45" s="70">
        <f t="shared" si="4"/>
        <v>0</v>
      </c>
      <c r="AH45" s="71"/>
      <c r="AI45" s="71"/>
      <c r="AJ45" s="71"/>
      <c r="AK45" s="72" t="s">
        <v>52</v>
      </c>
      <c r="AM45" t="s">
        <v>74</v>
      </c>
      <c r="AO45" s="30">
        <f>SUM(AO33:AO43)</f>
        <v>714</v>
      </c>
      <c r="AP45" s="30">
        <f>SUM(AP33:AP44)</f>
        <v>104824</v>
      </c>
      <c r="AQ45" s="30">
        <f>SUM(AQ33:AQ44)</f>
        <v>39500</v>
      </c>
    </row>
    <row r="46" spans="1:43">
      <c r="A46" s="96">
        <v>45590</v>
      </c>
      <c r="B46" s="66">
        <v>1600</v>
      </c>
      <c r="C46" s="67"/>
      <c r="D46" s="66">
        <f>(SUM(粮草!A46:X46)+AG46*10*IF(AK46="是",$AY$4,$AY$3))</f>
        <v>0</v>
      </c>
      <c r="E46" s="101">
        <f>SUM($B$4:B46)+SUM($C$4:C46)-SUM($D$4:D46)</f>
        <v>33388</v>
      </c>
      <c r="F46" s="66">
        <f>SUM(经验!A46:X46)</f>
        <v>0</v>
      </c>
      <c r="G46" s="66">
        <f>SUM($F$4:F46)+SUM($H$4:H46)</f>
        <v>18945</v>
      </c>
      <c r="H46" s="66">
        <v>0</v>
      </c>
      <c r="I46" s="68" t="s">
        <v>34</v>
      </c>
      <c r="J46" s="68" t="s">
        <v>34</v>
      </c>
      <c r="K46" s="68" t="s">
        <v>34</v>
      </c>
      <c r="L46" s="68" t="s">
        <v>34</v>
      </c>
      <c r="M46" s="68" t="s">
        <v>34</v>
      </c>
      <c r="N46" s="68" t="s">
        <v>34</v>
      </c>
      <c r="O46" s="69" t="s">
        <v>34</v>
      </c>
      <c r="P46" s="69" t="s">
        <v>34</v>
      </c>
      <c r="Q46" s="68" t="s">
        <v>34</v>
      </c>
      <c r="R46" s="68" t="s">
        <v>34</v>
      </c>
      <c r="S46" s="68" t="s">
        <v>34</v>
      </c>
      <c r="T46" s="68" t="s">
        <v>34</v>
      </c>
      <c r="U46" s="68" t="s">
        <v>34</v>
      </c>
      <c r="V46" s="68" t="s">
        <v>34</v>
      </c>
      <c r="W46" s="69" t="s">
        <v>34</v>
      </c>
      <c r="X46" s="69" t="s">
        <v>34</v>
      </c>
      <c r="Y46" s="68" t="s">
        <v>34</v>
      </c>
      <c r="Z46" s="68" t="s">
        <v>34</v>
      </c>
      <c r="AA46" s="68" t="s">
        <v>34</v>
      </c>
      <c r="AB46" s="68" t="s">
        <v>34</v>
      </c>
      <c r="AC46" s="68" t="s">
        <v>34</v>
      </c>
      <c r="AD46" s="68" t="s">
        <v>34</v>
      </c>
      <c r="AE46" s="69" t="s">
        <v>34</v>
      </c>
      <c r="AF46" s="69" t="s">
        <v>34</v>
      </c>
      <c r="AG46" s="70">
        <f t="shared" si="4"/>
        <v>0</v>
      </c>
      <c r="AH46" s="71"/>
      <c r="AI46" s="71"/>
      <c r="AJ46" s="71"/>
      <c r="AK46" s="72" t="s">
        <v>52</v>
      </c>
      <c r="AN46" t="s">
        <v>77</v>
      </c>
      <c r="AP46">
        <f>E93-AP45</f>
        <v>1228</v>
      </c>
      <c r="AQ46">
        <f>AQ45+G93</f>
        <v>62780</v>
      </c>
    </row>
    <row r="47" spans="1:43">
      <c r="A47" s="96">
        <v>45591</v>
      </c>
      <c r="B47" s="66">
        <v>1600</v>
      </c>
      <c r="C47" s="67"/>
      <c r="D47" s="66">
        <f>(SUM(粮草!A47:X47)+AG47*10*IF(AK47="是",$AY$4,$AY$3))</f>
        <v>0</v>
      </c>
      <c r="E47" s="101">
        <f>SUM($B$4:B47)+SUM($C$4:C47)-SUM($D$4:D47)</f>
        <v>34988</v>
      </c>
      <c r="F47" s="66">
        <f>SUM(经验!A47:X47)</f>
        <v>0</v>
      </c>
      <c r="G47" s="66">
        <f>SUM($F$4:F47)+SUM($H$4:H47)</f>
        <v>18945</v>
      </c>
      <c r="H47" s="66">
        <v>0</v>
      </c>
      <c r="I47" s="68" t="s">
        <v>34</v>
      </c>
      <c r="J47" s="68" t="s">
        <v>34</v>
      </c>
      <c r="K47" s="68" t="s">
        <v>34</v>
      </c>
      <c r="L47" s="68" t="s">
        <v>34</v>
      </c>
      <c r="M47" s="68" t="s">
        <v>34</v>
      </c>
      <c r="N47" s="68" t="s">
        <v>34</v>
      </c>
      <c r="O47" s="69" t="s">
        <v>34</v>
      </c>
      <c r="P47" s="69" t="s">
        <v>34</v>
      </c>
      <c r="Q47" s="68" t="s">
        <v>34</v>
      </c>
      <c r="R47" s="68" t="s">
        <v>34</v>
      </c>
      <c r="S47" s="68" t="s">
        <v>34</v>
      </c>
      <c r="T47" s="68" t="s">
        <v>34</v>
      </c>
      <c r="U47" s="68" t="s">
        <v>34</v>
      </c>
      <c r="V47" s="68" t="s">
        <v>34</v>
      </c>
      <c r="W47" s="69" t="s">
        <v>34</v>
      </c>
      <c r="X47" s="69" t="s">
        <v>34</v>
      </c>
      <c r="Y47" s="68" t="s">
        <v>34</v>
      </c>
      <c r="Z47" s="68" t="s">
        <v>34</v>
      </c>
      <c r="AA47" s="68" t="s">
        <v>34</v>
      </c>
      <c r="AB47" s="68" t="s">
        <v>34</v>
      </c>
      <c r="AC47" s="68" t="s">
        <v>34</v>
      </c>
      <c r="AD47" s="68" t="s">
        <v>34</v>
      </c>
      <c r="AE47" s="69" t="s">
        <v>34</v>
      </c>
      <c r="AF47" s="69" t="s">
        <v>34</v>
      </c>
      <c r="AG47" s="70">
        <f t="shared" si="4"/>
        <v>0</v>
      </c>
      <c r="AH47" s="71"/>
      <c r="AI47" s="71"/>
      <c r="AJ47" s="71"/>
      <c r="AK47" s="72" t="s">
        <v>52</v>
      </c>
    </row>
    <row r="48" spans="1:43">
      <c r="A48" s="96">
        <v>45592</v>
      </c>
      <c r="B48" s="66">
        <v>1600</v>
      </c>
      <c r="C48" s="67"/>
      <c r="D48" s="66">
        <f>(SUM(粮草!A48:X48)+AG48*10*IF(AK48="是",$AY$4,$AY$3))</f>
        <v>0</v>
      </c>
      <c r="E48" s="101">
        <f>SUM($B$4:B48)+SUM($C$4:C48)-SUM($D$4:D48)</f>
        <v>36588</v>
      </c>
      <c r="F48" s="66">
        <f>SUM(经验!A48:X48)</f>
        <v>0</v>
      </c>
      <c r="G48" s="66">
        <f>SUM($F$4:F48)+SUM($H$4:H48)</f>
        <v>18945</v>
      </c>
      <c r="H48" s="66">
        <v>0</v>
      </c>
      <c r="I48" s="68" t="s">
        <v>34</v>
      </c>
      <c r="J48" s="68" t="s">
        <v>34</v>
      </c>
      <c r="K48" s="68" t="s">
        <v>34</v>
      </c>
      <c r="L48" s="68" t="s">
        <v>34</v>
      </c>
      <c r="M48" s="68" t="s">
        <v>34</v>
      </c>
      <c r="N48" s="68" t="s">
        <v>34</v>
      </c>
      <c r="O48" s="69" t="s">
        <v>34</v>
      </c>
      <c r="P48" s="69" t="s">
        <v>34</v>
      </c>
      <c r="Q48" s="68" t="s">
        <v>34</v>
      </c>
      <c r="R48" s="68" t="s">
        <v>34</v>
      </c>
      <c r="S48" s="68" t="s">
        <v>34</v>
      </c>
      <c r="T48" s="68" t="s">
        <v>34</v>
      </c>
      <c r="U48" s="68" t="s">
        <v>34</v>
      </c>
      <c r="V48" s="68" t="s">
        <v>34</v>
      </c>
      <c r="W48" s="69" t="s">
        <v>34</v>
      </c>
      <c r="X48" s="69" t="s">
        <v>34</v>
      </c>
      <c r="Y48" s="68" t="s">
        <v>34</v>
      </c>
      <c r="Z48" s="68" t="s">
        <v>34</v>
      </c>
      <c r="AA48" s="68" t="s">
        <v>34</v>
      </c>
      <c r="AB48" s="68" t="s">
        <v>34</v>
      </c>
      <c r="AC48" s="68" t="s">
        <v>34</v>
      </c>
      <c r="AD48" s="68" t="s">
        <v>34</v>
      </c>
      <c r="AE48" s="69" t="s">
        <v>34</v>
      </c>
      <c r="AF48" s="69" t="s">
        <v>34</v>
      </c>
      <c r="AG48" s="70">
        <f t="shared" si="4"/>
        <v>0</v>
      </c>
      <c r="AH48" s="71"/>
      <c r="AI48" s="71"/>
      <c r="AJ48" s="71"/>
      <c r="AK48" s="72" t="s">
        <v>52</v>
      </c>
      <c r="AO48" s="116" t="s">
        <v>71</v>
      </c>
      <c r="AP48" s="116"/>
    </row>
    <row r="49" spans="1:43">
      <c r="A49" s="97">
        <v>45593</v>
      </c>
      <c r="B49" s="68">
        <v>1600</v>
      </c>
      <c r="C49" s="68"/>
      <c r="D49" s="66">
        <f>(SUM(粮草!A49:X49)+AG49*10*IF(AK49="是",$AY$4,$AY$3))</f>
        <v>0</v>
      </c>
      <c r="E49" s="101">
        <f>SUM($B$4:B49)+SUM($C$4:C49)-SUM($D$4:D49)</f>
        <v>38188</v>
      </c>
      <c r="F49" s="66">
        <f>SUM(经验!A49:X49)</f>
        <v>0</v>
      </c>
      <c r="G49" s="66">
        <f>SUM($F$4:F49)+SUM($H$4:H49)</f>
        <v>19145</v>
      </c>
      <c r="H49" s="68">
        <v>200</v>
      </c>
      <c r="I49" s="68" t="s">
        <v>34</v>
      </c>
      <c r="J49" s="68" t="s">
        <v>34</v>
      </c>
      <c r="K49" s="68" t="s">
        <v>34</v>
      </c>
      <c r="L49" s="68" t="s">
        <v>34</v>
      </c>
      <c r="M49" s="68" t="s">
        <v>34</v>
      </c>
      <c r="N49" s="68" t="s">
        <v>34</v>
      </c>
      <c r="O49" s="69" t="s">
        <v>34</v>
      </c>
      <c r="P49" s="69" t="s">
        <v>34</v>
      </c>
      <c r="Q49" s="68" t="s">
        <v>34</v>
      </c>
      <c r="R49" s="68" t="s">
        <v>34</v>
      </c>
      <c r="S49" s="68" t="s">
        <v>34</v>
      </c>
      <c r="T49" s="68" t="s">
        <v>34</v>
      </c>
      <c r="U49" s="68" t="s">
        <v>34</v>
      </c>
      <c r="V49" s="68" t="s">
        <v>34</v>
      </c>
      <c r="W49" s="69" t="s">
        <v>34</v>
      </c>
      <c r="X49" s="69" t="s">
        <v>34</v>
      </c>
      <c r="Y49" s="68" t="s">
        <v>34</v>
      </c>
      <c r="Z49" s="68" t="s">
        <v>34</v>
      </c>
      <c r="AA49" s="68" t="s">
        <v>34</v>
      </c>
      <c r="AB49" s="68" t="s">
        <v>34</v>
      </c>
      <c r="AC49" s="68" t="s">
        <v>34</v>
      </c>
      <c r="AD49" s="68" t="s">
        <v>34</v>
      </c>
      <c r="AE49" s="69" t="s">
        <v>34</v>
      </c>
      <c r="AF49" s="69" t="s">
        <v>34</v>
      </c>
      <c r="AG49" s="70">
        <f t="shared" si="4"/>
        <v>0</v>
      </c>
      <c r="AH49" s="71"/>
      <c r="AI49" s="71"/>
      <c r="AJ49" s="71"/>
      <c r="AK49" s="72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7">
        <v>45594</v>
      </c>
      <c r="B50" s="68">
        <v>1600</v>
      </c>
      <c r="C50" s="68"/>
      <c r="D50" s="66">
        <f>(SUM(粮草!A50:X50)+AG50*10*IF(AK50="是",$AY$4,$AY$3))</f>
        <v>0</v>
      </c>
      <c r="E50" s="101">
        <f>SUM($B$4:B50)+SUM($C$4:C50)-SUM($D$4:D50)</f>
        <v>39788</v>
      </c>
      <c r="F50" s="66">
        <f>SUM(经验!A50:X50)</f>
        <v>0</v>
      </c>
      <c r="G50" s="66">
        <f>SUM($F$4:F50)+SUM($H$4:H50)</f>
        <v>19245</v>
      </c>
      <c r="H50" s="68">
        <v>100</v>
      </c>
      <c r="I50" s="68" t="s">
        <v>34</v>
      </c>
      <c r="J50" s="68" t="s">
        <v>34</v>
      </c>
      <c r="K50" s="68" t="s">
        <v>34</v>
      </c>
      <c r="L50" s="68" t="s">
        <v>34</v>
      </c>
      <c r="M50" s="68" t="s">
        <v>34</v>
      </c>
      <c r="N50" s="68" t="s">
        <v>34</v>
      </c>
      <c r="O50" s="69" t="s">
        <v>34</v>
      </c>
      <c r="P50" s="69" t="s">
        <v>34</v>
      </c>
      <c r="Q50" s="68" t="s">
        <v>34</v>
      </c>
      <c r="R50" s="68" t="s">
        <v>34</v>
      </c>
      <c r="S50" s="68" t="s">
        <v>34</v>
      </c>
      <c r="T50" s="68" t="s">
        <v>34</v>
      </c>
      <c r="U50" s="68" t="s">
        <v>34</v>
      </c>
      <c r="V50" s="68" t="s">
        <v>34</v>
      </c>
      <c r="W50" s="69" t="s">
        <v>34</v>
      </c>
      <c r="X50" s="69" t="s">
        <v>34</v>
      </c>
      <c r="Y50" s="68" t="s">
        <v>34</v>
      </c>
      <c r="Z50" s="68" t="s">
        <v>34</v>
      </c>
      <c r="AA50" s="68" t="s">
        <v>34</v>
      </c>
      <c r="AB50" s="68" t="s">
        <v>34</v>
      </c>
      <c r="AC50" s="68" t="s">
        <v>34</v>
      </c>
      <c r="AD50" s="68" t="s">
        <v>34</v>
      </c>
      <c r="AE50" s="69" t="s">
        <v>34</v>
      </c>
      <c r="AF50" s="69" t="s">
        <v>34</v>
      </c>
      <c r="AG50" s="70">
        <f t="shared" si="4"/>
        <v>0</v>
      </c>
      <c r="AH50" s="71"/>
      <c r="AI50" s="71"/>
      <c r="AJ50" s="71"/>
      <c r="AK50" s="72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3">
        <f>COUNTIF(I4:AF18,$AM$18)</f>
        <v>3</v>
      </c>
    </row>
    <row r="51" spans="1:43">
      <c r="A51" s="97">
        <v>45595</v>
      </c>
      <c r="B51" s="68">
        <v>1600</v>
      </c>
      <c r="C51" s="68"/>
      <c r="D51" s="66">
        <f>(SUM(粮草!A51:X51)+AG51*10*IF(AK51="是",$AY$4,$AY$3))</f>
        <v>0</v>
      </c>
      <c r="E51" s="101">
        <f>SUM($B$4:B51)+SUM($C$4:C51)-SUM($D$4:D51)</f>
        <v>41388</v>
      </c>
      <c r="F51" s="66">
        <f>SUM(经验!A51:X51)</f>
        <v>0</v>
      </c>
      <c r="G51" s="66">
        <f>SUM($F$4:F51)+SUM($H$4:H51)</f>
        <v>19445</v>
      </c>
      <c r="H51" s="68">
        <v>200</v>
      </c>
      <c r="I51" s="68" t="s">
        <v>34</v>
      </c>
      <c r="J51" s="68" t="s">
        <v>34</v>
      </c>
      <c r="K51" s="68" t="s">
        <v>34</v>
      </c>
      <c r="L51" s="68" t="s">
        <v>34</v>
      </c>
      <c r="M51" s="68" t="s">
        <v>34</v>
      </c>
      <c r="N51" s="68" t="s">
        <v>34</v>
      </c>
      <c r="O51" s="69" t="s">
        <v>34</v>
      </c>
      <c r="P51" s="69" t="s">
        <v>34</v>
      </c>
      <c r="Q51" s="68" t="s">
        <v>34</v>
      </c>
      <c r="R51" s="68" t="s">
        <v>34</v>
      </c>
      <c r="S51" s="68" t="s">
        <v>34</v>
      </c>
      <c r="T51" s="68" t="s">
        <v>34</v>
      </c>
      <c r="U51" s="68" t="s">
        <v>34</v>
      </c>
      <c r="V51" s="68" t="s">
        <v>34</v>
      </c>
      <c r="W51" s="69" t="s">
        <v>34</v>
      </c>
      <c r="X51" s="69" t="s">
        <v>34</v>
      </c>
      <c r="Y51" s="68" t="s">
        <v>34</v>
      </c>
      <c r="Z51" s="68" t="s">
        <v>34</v>
      </c>
      <c r="AA51" s="68" t="s">
        <v>34</v>
      </c>
      <c r="AB51" s="68" t="s">
        <v>34</v>
      </c>
      <c r="AC51" s="68" t="s">
        <v>34</v>
      </c>
      <c r="AD51" s="68" t="s">
        <v>34</v>
      </c>
      <c r="AE51" s="69" t="s">
        <v>34</v>
      </c>
      <c r="AF51" s="69" t="s">
        <v>34</v>
      </c>
      <c r="AG51" s="70">
        <f t="shared" si="4"/>
        <v>0</v>
      </c>
      <c r="AH51" s="71"/>
      <c r="AI51" s="71"/>
      <c r="AJ51" s="71"/>
      <c r="AK51" s="72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3">
        <f>COUNTIF(I19:AF33,$AM$18)</f>
        <v>6</v>
      </c>
    </row>
    <row r="52" spans="1:43">
      <c r="A52" s="97">
        <v>45596</v>
      </c>
      <c r="B52" s="68">
        <v>1600</v>
      </c>
      <c r="C52" s="68"/>
      <c r="D52" s="66">
        <f>(SUM(粮草!A52:X52)+AG52*10*IF(AK52="是",$AY$4,$AY$3))</f>
        <v>0</v>
      </c>
      <c r="E52" s="101">
        <f>SUM($B$4:B52)+SUM($C$4:C52)-SUM($D$4:D52)</f>
        <v>42988</v>
      </c>
      <c r="F52" s="66">
        <f>SUM(经验!A52:X52)</f>
        <v>0</v>
      </c>
      <c r="G52" s="66">
        <f>SUM($F$4:F52)+SUM($H$4:H52)</f>
        <v>19445</v>
      </c>
      <c r="H52" s="68">
        <v>0</v>
      </c>
      <c r="I52" s="68" t="s">
        <v>34</v>
      </c>
      <c r="J52" s="68" t="s">
        <v>34</v>
      </c>
      <c r="K52" s="68" t="s">
        <v>34</v>
      </c>
      <c r="L52" s="68" t="s">
        <v>34</v>
      </c>
      <c r="M52" s="68" t="s">
        <v>34</v>
      </c>
      <c r="N52" s="68" t="s">
        <v>34</v>
      </c>
      <c r="O52" s="69" t="s">
        <v>34</v>
      </c>
      <c r="P52" s="69" t="s">
        <v>34</v>
      </c>
      <c r="Q52" s="68" t="s">
        <v>34</v>
      </c>
      <c r="R52" s="68" t="s">
        <v>34</v>
      </c>
      <c r="S52" s="68" t="s">
        <v>34</v>
      </c>
      <c r="T52" s="68" t="s">
        <v>34</v>
      </c>
      <c r="U52" s="68" t="s">
        <v>34</v>
      </c>
      <c r="V52" s="68" t="s">
        <v>34</v>
      </c>
      <c r="W52" s="69" t="s">
        <v>34</v>
      </c>
      <c r="X52" s="69" t="s">
        <v>34</v>
      </c>
      <c r="Y52" s="68" t="s">
        <v>34</v>
      </c>
      <c r="Z52" s="68" t="s">
        <v>34</v>
      </c>
      <c r="AA52" s="68" t="s">
        <v>34</v>
      </c>
      <c r="AB52" s="68" t="s">
        <v>34</v>
      </c>
      <c r="AC52" s="68" t="s">
        <v>34</v>
      </c>
      <c r="AD52" s="68" t="s">
        <v>34</v>
      </c>
      <c r="AE52" s="69" t="s">
        <v>34</v>
      </c>
      <c r="AF52" s="69" t="s">
        <v>34</v>
      </c>
      <c r="AG52" s="70">
        <f t="shared" si="4"/>
        <v>0</v>
      </c>
      <c r="AH52" s="71"/>
      <c r="AI52" s="71"/>
      <c r="AJ52" s="71"/>
      <c r="AK52" s="72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3">
        <f>COUNTIF(I34:AF48,$AM$18)</f>
        <v>0</v>
      </c>
    </row>
    <row r="53" spans="1:43">
      <c r="A53" s="97">
        <v>45597</v>
      </c>
      <c r="B53" s="68">
        <v>1600</v>
      </c>
      <c r="C53" s="68"/>
      <c r="D53" s="66">
        <f>(SUM(粮草!A53:X53)+AG53*10*IF(AK53="是",$AY$4,$AY$3))</f>
        <v>0</v>
      </c>
      <c r="E53" s="101">
        <f>SUM($B$4:B53)+SUM($C$4:C53)-SUM($D$4:D53)</f>
        <v>44588</v>
      </c>
      <c r="F53" s="66">
        <f>SUM(经验!A53:X53)</f>
        <v>0</v>
      </c>
      <c r="G53" s="66">
        <f>SUM($F$4:F53)+SUM($H$4:H53)</f>
        <v>19445</v>
      </c>
      <c r="H53" s="68">
        <v>0</v>
      </c>
      <c r="I53" s="68" t="s">
        <v>34</v>
      </c>
      <c r="J53" s="68" t="s">
        <v>34</v>
      </c>
      <c r="K53" s="68" t="s">
        <v>34</v>
      </c>
      <c r="L53" s="68" t="s">
        <v>34</v>
      </c>
      <c r="M53" s="68" t="s">
        <v>34</v>
      </c>
      <c r="N53" s="68" t="s">
        <v>34</v>
      </c>
      <c r="O53" s="69" t="s">
        <v>34</v>
      </c>
      <c r="P53" s="69" t="s">
        <v>34</v>
      </c>
      <c r="Q53" s="68" t="s">
        <v>34</v>
      </c>
      <c r="R53" s="68" t="s">
        <v>34</v>
      </c>
      <c r="S53" s="68" t="s">
        <v>34</v>
      </c>
      <c r="T53" s="68" t="s">
        <v>34</v>
      </c>
      <c r="U53" s="68" t="s">
        <v>34</v>
      </c>
      <c r="V53" s="68" t="s">
        <v>34</v>
      </c>
      <c r="W53" s="69" t="s">
        <v>34</v>
      </c>
      <c r="X53" s="69" t="s">
        <v>34</v>
      </c>
      <c r="Y53" s="68" t="s">
        <v>34</v>
      </c>
      <c r="Z53" s="68" t="s">
        <v>34</v>
      </c>
      <c r="AA53" s="68" t="s">
        <v>34</v>
      </c>
      <c r="AB53" s="68" t="s">
        <v>34</v>
      </c>
      <c r="AC53" s="68" t="s">
        <v>34</v>
      </c>
      <c r="AD53" s="68" t="s">
        <v>34</v>
      </c>
      <c r="AE53" s="69" t="s">
        <v>34</v>
      </c>
      <c r="AF53" s="69" t="s">
        <v>34</v>
      </c>
      <c r="AG53" s="70">
        <f t="shared" si="4"/>
        <v>0</v>
      </c>
      <c r="AH53" s="71"/>
      <c r="AI53" s="71"/>
      <c r="AJ53" s="71"/>
      <c r="AK53" s="72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3">
        <f>COUNTIF(I49:AF63,$AM$18)</f>
        <v>0</v>
      </c>
    </row>
    <row r="54" spans="1:43">
      <c r="A54" s="97">
        <v>45598</v>
      </c>
      <c r="B54" s="68">
        <v>1600</v>
      </c>
      <c r="C54" s="68"/>
      <c r="D54" s="66">
        <f>(SUM(粮草!A54:X54)+AG54*10*IF(AK54="是",$AY$4,$AY$3))</f>
        <v>0</v>
      </c>
      <c r="E54" s="101">
        <f>SUM($B$4:B54)+SUM($C$4:C54)-SUM($D$4:D54)</f>
        <v>46188</v>
      </c>
      <c r="F54" s="66">
        <f>SUM(经验!A54:X54)</f>
        <v>0</v>
      </c>
      <c r="G54" s="66">
        <f>SUM($F$4:F54)+SUM($H$4:H54)</f>
        <v>19445</v>
      </c>
      <c r="H54" s="68">
        <v>0</v>
      </c>
      <c r="I54" s="68" t="s">
        <v>34</v>
      </c>
      <c r="J54" s="68" t="s">
        <v>34</v>
      </c>
      <c r="K54" s="68" t="s">
        <v>34</v>
      </c>
      <c r="L54" s="68" t="s">
        <v>34</v>
      </c>
      <c r="M54" s="68" t="s">
        <v>34</v>
      </c>
      <c r="N54" s="68" t="s">
        <v>34</v>
      </c>
      <c r="O54" s="69" t="s">
        <v>34</v>
      </c>
      <c r="P54" s="69" t="s">
        <v>34</v>
      </c>
      <c r="Q54" s="68" t="s">
        <v>34</v>
      </c>
      <c r="R54" s="68" t="s">
        <v>34</v>
      </c>
      <c r="S54" s="68" t="s">
        <v>34</v>
      </c>
      <c r="T54" s="68" t="s">
        <v>34</v>
      </c>
      <c r="U54" s="68" t="s">
        <v>34</v>
      </c>
      <c r="V54" s="68" t="s">
        <v>34</v>
      </c>
      <c r="W54" s="69" t="s">
        <v>34</v>
      </c>
      <c r="X54" s="69" t="s">
        <v>34</v>
      </c>
      <c r="Y54" s="68" t="s">
        <v>34</v>
      </c>
      <c r="Z54" s="68" t="s">
        <v>34</v>
      </c>
      <c r="AA54" s="68" t="s">
        <v>34</v>
      </c>
      <c r="AB54" s="68" t="s">
        <v>34</v>
      </c>
      <c r="AC54" s="68" t="s">
        <v>34</v>
      </c>
      <c r="AD54" s="68" t="s">
        <v>34</v>
      </c>
      <c r="AE54" s="69" t="s">
        <v>34</v>
      </c>
      <c r="AF54" s="69" t="s">
        <v>34</v>
      </c>
      <c r="AG54" s="70">
        <f t="shared" si="4"/>
        <v>0</v>
      </c>
      <c r="AH54" s="71"/>
      <c r="AI54" s="71"/>
      <c r="AJ54" s="71"/>
      <c r="AK54" s="72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3">
        <f>COUNTIF(I64:AF93,$AM$18)</f>
        <v>0</v>
      </c>
    </row>
    <row r="55" spans="1:43">
      <c r="A55" s="97">
        <v>45599</v>
      </c>
      <c r="B55" s="68">
        <v>1600</v>
      </c>
      <c r="C55" s="68"/>
      <c r="D55" s="66">
        <f>(SUM(粮草!A55:X55)+AG55*10*IF(AK55="是",$AY$4,$AY$3))</f>
        <v>0</v>
      </c>
      <c r="E55" s="101">
        <f>SUM($B$4:B55)+SUM($C$4:C55)-SUM($D$4:D55)</f>
        <v>47788</v>
      </c>
      <c r="F55" s="66">
        <f>SUM(经验!A55:X55)</f>
        <v>0</v>
      </c>
      <c r="G55" s="66">
        <f>SUM($F$4:F55)+SUM($H$4:H55)</f>
        <v>19445</v>
      </c>
      <c r="H55" s="68">
        <v>0</v>
      </c>
      <c r="I55" s="68" t="s">
        <v>34</v>
      </c>
      <c r="J55" s="68" t="s">
        <v>34</v>
      </c>
      <c r="K55" s="68" t="s">
        <v>34</v>
      </c>
      <c r="L55" s="68" t="s">
        <v>34</v>
      </c>
      <c r="M55" s="68" t="s">
        <v>34</v>
      </c>
      <c r="N55" s="68" t="s">
        <v>34</v>
      </c>
      <c r="O55" s="69" t="s">
        <v>34</v>
      </c>
      <c r="P55" s="69" t="s">
        <v>34</v>
      </c>
      <c r="Q55" s="68" t="s">
        <v>34</v>
      </c>
      <c r="R55" s="68" t="s">
        <v>34</v>
      </c>
      <c r="S55" s="68" t="s">
        <v>34</v>
      </c>
      <c r="T55" s="68" t="s">
        <v>34</v>
      </c>
      <c r="U55" s="68" t="s">
        <v>34</v>
      </c>
      <c r="V55" s="68" t="s">
        <v>34</v>
      </c>
      <c r="W55" s="69" t="s">
        <v>34</v>
      </c>
      <c r="X55" s="69" t="s">
        <v>34</v>
      </c>
      <c r="Y55" s="68" t="s">
        <v>34</v>
      </c>
      <c r="Z55" s="68" t="s">
        <v>34</v>
      </c>
      <c r="AA55" s="68" t="s">
        <v>34</v>
      </c>
      <c r="AB55" s="68" t="s">
        <v>34</v>
      </c>
      <c r="AC55" s="68" t="s">
        <v>34</v>
      </c>
      <c r="AD55" s="68" t="s">
        <v>34</v>
      </c>
      <c r="AE55" s="69" t="s">
        <v>34</v>
      </c>
      <c r="AF55" s="69" t="s">
        <v>34</v>
      </c>
      <c r="AG55" s="70">
        <f t="shared" si="4"/>
        <v>0</v>
      </c>
      <c r="AH55" s="71"/>
      <c r="AI55" s="71"/>
      <c r="AJ55" s="71"/>
      <c r="AK55" s="72" t="s">
        <v>52</v>
      </c>
    </row>
    <row r="56" spans="1:43">
      <c r="A56" s="97">
        <v>45600</v>
      </c>
      <c r="B56" s="66">
        <v>1600</v>
      </c>
      <c r="C56" s="67"/>
      <c r="D56" s="66">
        <f>(SUM(粮草!A56:X56)+AG56*10*IF(AK56="是",$AY$4,$AY$3))</f>
        <v>0</v>
      </c>
      <c r="E56" s="101">
        <f>SUM($B$4:B56)+SUM($C$4:C56)-SUM($D$4:D56)</f>
        <v>49388</v>
      </c>
      <c r="F56" s="66">
        <f>SUM(经验!A56:X56)</f>
        <v>0</v>
      </c>
      <c r="G56" s="66">
        <f>SUM($F$4:F56)+SUM($H$4:H56)</f>
        <v>19745</v>
      </c>
      <c r="H56" s="66">
        <v>300</v>
      </c>
      <c r="I56" s="68" t="s">
        <v>34</v>
      </c>
      <c r="J56" s="68" t="s">
        <v>34</v>
      </c>
      <c r="K56" s="68" t="s">
        <v>34</v>
      </c>
      <c r="L56" s="68" t="s">
        <v>34</v>
      </c>
      <c r="M56" s="68" t="s">
        <v>34</v>
      </c>
      <c r="N56" s="68" t="s">
        <v>34</v>
      </c>
      <c r="O56" s="69" t="s">
        <v>34</v>
      </c>
      <c r="P56" s="69" t="s">
        <v>34</v>
      </c>
      <c r="Q56" s="68" t="s">
        <v>34</v>
      </c>
      <c r="R56" s="68" t="s">
        <v>34</v>
      </c>
      <c r="S56" s="68" t="s">
        <v>34</v>
      </c>
      <c r="T56" s="68" t="s">
        <v>34</v>
      </c>
      <c r="U56" s="68" t="s">
        <v>34</v>
      </c>
      <c r="V56" s="68" t="s">
        <v>34</v>
      </c>
      <c r="W56" s="69" t="s">
        <v>34</v>
      </c>
      <c r="X56" s="69" t="s">
        <v>34</v>
      </c>
      <c r="Y56" s="68" t="s">
        <v>34</v>
      </c>
      <c r="Z56" s="68" t="s">
        <v>34</v>
      </c>
      <c r="AA56" s="68" t="s">
        <v>34</v>
      </c>
      <c r="AB56" s="68" t="s">
        <v>34</v>
      </c>
      <c r="AC56" s="68" t="s">
        <v>34</v>
      </c>
      <c r="AD56" s="68" t="s">
        <v>34</v>
      </c>
      <c r="AE56" s="69" t="s">
        <v>34</v>
      </c>
      <c r="AF56" s="69" t="s">
        <v>34</v>
      </c>
      <c r="AG56" s="70">
        <f t="shared" si="4"/>
        <v>0</v>
      </c>
      <c r="AH56" s="71"/>
      <c r="AI56" s="71"/>
      <c r="AJ56" s="71"/>
      <c r="AK56" s="72" t="s">
        <v>52</v>
      </c>
    </row>
    <row r="57" spans="1:43">
      <c r="A57" s="97">
        <v>45601</v>
      </c>
      <c r="B57" s="66">
        <v>1600</v>
      </c>
      <c r="C57" s="67"/>
      <c r="D57" s="66">
        <f>(SUM(粮草!A57:X57)+AG57*10*IF(AK57="是",$AY$4,$AY$3))</f>
        <v>0</v>
      </c>
      <c r="E57" s="101">
        <f>SUM($B$4:B57)+SUM($C$4:C57)-SUM($D$4:D57)</f>
        <v>50988</v>
      </c>
      <c r="F57" s="66">
        <f>SUM(经验!A57:X57)</f>
        <v>0</v>
      </c>
      <c r="G57" s="66">
        <f>SUM($F$4:F57)+SUM($H$4:H57)</f>
        <v>19745</v>
      </c>
      <c r="H57" s="66">
        <v>0</v>
      </c>
      <c r="I57" s="68" t="s">
        <v>34</v>
      </c>
      <c r="J57" s="68" t="s">
        <v>34</v>
      </c>
      <c r="K57" s="68" t="s">
        <v>34</v>
      </c>
      <c r="L57" s="68" t="s">
        <v>34</v>
      </c>
      <c r="M57" s="68" t="s">
        <v>34</v>
      </c>
      <c r="N57" s="68" t="s">
        <v>34</v>
      </c>
      <c r="O57" s="69" t="s">
        <v>34</v>
      </c>
      <c r="P57" s="69" t="s">
        <v>34</v>
      </c>
      <c r="Q57" s="68" t="s">
        <v>34</v>
      </c>
      <c r="R57" s="68" t="s">
        <v>34</v>
      </c>
      <c r="S57" s="68" t="s">
        <v>34</v>
      </c>
      <c r="T57" s="68" t="s">
        <v>34</v>
      </c>
      <c r="U57" s="68" t="s">
        <v>34</v>
      </c>
      <c r="V57" s="68" t="s">
        <v>34</v>
      </c>
      <c r="W57" s="69" t="s">
        <v>34</v>
      </c>
      <c r="X57" s="69" t="s">
        <v>34</v>
      </c>
      <c r="Y57" s="68" t="s">
        <v>34</v>
      </c>
      <c r="Z57" s="68" t="s">
        <v>34</v>
      </c>
      <c r="AA57" s="68" t="s">
        <v>34</v>
      </c>
      <c r="AB57" s="68" t="s">
        <v>34</v>
      </c>
      <c r="AC57" s="68" t="s">
        <v>34</v>
      </c>
      <c r="AD57" s="68" t="s">
        <v>34</v>
      </c>
      <c r="AE57" s="69" t="s">
        <v>34</v>
      </c>
      <c r="AF57" s="69" t="s">
        <v>34</v>
      </c>
      <c r="AG57" s="70">
        <f t="shared" si="4"/>
        <v>0</v>
      </c>
      <c r="AH57" s="71"/>
      <c r="AI57" s="71"/>
      <c r="AJ57" s="71"/>
      <c r="AK57" s="72" t="s">
        <v>52</v>
      </c>
    </row>
    <row r="58" spans="1:43">
      <c r="A58" s="97">
        <v>45602</v>
      </c>
      <c r="B58" s="66">
        <v>1600</v>
      </c>
      <c r="C58" s="67"/>
      <c r="D58" s="66">
        <f>(SUM(粮草!A58:X58)+AG58*10*IF(AK58="是",$AY$4,$AY$3))</f>
        <v>0</v>
      </c>
      <c r="E58" s="101">
        <f>SUM($B$4:B58)+SUM($C$4:C58)-SUM($D$4:D58)</f>
        <v>52588</v>
      </c>
      <c r="F58" s="66">
        <f>SUM(经验!A58:X58)</f>
        <v>0</v>
      </c>
      <c r="G58" s="66">
        <f>SUM($F$4:F58)+SUM($H$4:H58)</f>
        <v>19945</v>
      </c>
      <c r="H58" s="66">
        <v>200</v>
      </c>
      <c r="I58" s="68" t="s">
        <v>34</v>
      </c>
      <c r="J58" s="68" t="s">
        <v>34</v>
      </c>
      <c r="K58" s="68" t="s">
        <v>34</v>
      </c>
      <c r="L58" s="68" t="s">
        <v>34</v>
      </c>
      <c r="M58" s="68" t="s">
        <v>34</v>
      </c>
      <c r="N58" s="68" t="s">
        <v>34</v>
      </c>
      <c r="O58" s="69" t="s">
        <v>34</v>
      </c>
      <c r="P58" s="69" t="s">
        <v>34</v>
      </c>
      <c r="Q58" s="68" t="s">
        <v>34</v>
      </c>
      <c r="R58" s="68" t="s">
        <v>34</v>
      </c>
      <c r="S58" s="68" t="s">
        <v>34</v>
      </c>
      <c r="T58" s="68" t="s">
        <v>34</v>
      </c>
      <c r="U58" s="68" t="s">
        <v>34</v>
      </c>
      <c r="V58" s="68" t="s">
        <v>34</v>
      </c>
      <c r="W58" s="69" t="s">
        <v>34</v>
      </c>
      <c r="X58" s="69" t="s">
        <v>34</v>
      </c>
      <c r="Y58" s="68" t="s">
        <v>34</v>
      </c>
      <c r="Z58" s="68" t="s">
        <v>34</v>
      </c>
      <c r="AA58" s="68" t="s">
        <v>34</v>
      </c>
      <c r="AB58" s="68" t="s">
        <v>34</v>
      </c>
      <c r="AC58" s="68" t="s">
        <v>34</v>
      </c>
      <c r="AD58" s="68" t="s">
        <v>34</v>
      </c>
      <c r="AE58" s="69" t="s">
        <v>34</v>
      </c>
      <c r="AF58" s="69" t="s">
        <v>34</v>
      </c>
      <c r="AG58" s="70">
        <f t="shared" si="4"/>
        <v>0</v>
      </c>
      <c r="AH58" s="71"/>
      <c r="AI58" s="71"/>
      <c r="AJ58" s="71"/>
      <c r="AK58" s="72" t="s">
        <v>52</v>
      </c>
      <c r="AP58">
        <v>3</v>
      </c>
      <c r="AQ58">
        <v>4</v>
      </c>
    </row>
    <row r="59" spans="1:43">
      <c r="A59" s="97">
        <v>45603</v>
      </c>
      <c r="B59" s="66">
        <v>1600</v>
      </c>
      <c r="C59" s="67"/>
      <c r="D59" s="66">
        <f>(SUM(粮草!A59:X59)+AG59*10*IF(AK59="是",$AY$4,$AY$3))</f>
        <v>0</v>
      </c>
      <c r="E59" s="101">
        <f>SUM($B$4:B59)+SUM($C$4:C59)-SUM($D$4:D59)</f>
        <v>54188</v>
      </c>
      <c r="F59" s="66">
        <f>SUM(经验!A59:X59)</f>
        <v>0</v>
      </c>
      <c r="G59" s="66">
        <f>SUM($F$4:F59)+SUM($H$4:H59)</f>
        <v>19945</v>
      </c>
      <c r="H59" s="66">
        <v>0</v>
      </c>
      <c r="I59" s="68" t="s">
        <v>34</v>
      </c>
      <c r="J59" s="68" t="s">
        <v>34</v>
      </c>
      <c r="K59" s="68" t="s">
        <v>34</v>
      </c>
      <c r="L59" s="68" t="s">
        <v>34</v>
      </c>
      <c r="M59" s="68" t="s">
        <v>34</v>
      </c>
      <c r="N59" s="68" t="s">
        <v>34</v>
      </c>
      <c r="O59" s="69" t="s">
        <v>34</v>
      </c>
      <c r="P59" s="69" t="s">
        <v>34</v>
      </c>
      <c r="Q59" s="68" t="s">
        <v>34</v>
      </c>
      <c r="R59" s="68" t="s">
        <v>34</v>
      </c>
      <c r="S59" s="68" t="s">
        <v>34</v>
      </c>
      <c r="T59" s="68" t="s">
        <v>34</v>
      </c>
      <c r="U59" s="68" t="s">
        <v>34</v>
      </c>
      <c r="V59" s="68" t="s">
        <v>34</v>
      </c>
      <c r="W59" s="69" t="s">
        <v>34</v>
      </c>
      <c r="X59" s="69" t="s">
        <v>34</v>
      </c>
      <c r="Y59" s="68" t="s">
        <v>34</v>
      </c>
      <c r="Z59" s="68" t="s">
        <v>34</v>
      </c>
      <c r="AA59" s="68" t="s">
        <v>34</v>
      </c>
      <c r="AB59" s="68" t="s">
        <v>34</v>
      </c>
      <c r="AC59" s="68" t="s">
        <v>34</v>
      </c>
      <c r="AD59" s="68" t="s">
        <v>34</v>
      </c>
      <c r="AE59" s="69" t="s">
        <v>34</v>
      </c>
      <c r="AF59" s="69" t="s">
        <v>34</v>
      </c>
      <c r="AG59" s="70">
        <f t="shared" si="4"/>
        <v>0</v>
      </c>
      <c r="AH59" s="71"/>
      <c r="AI59" s="71"/>
      <c r="AJ59" s="71"/>
      <c r="AK59" s="72" t="s">
        <v>52</v>
      </c>
      <c r="AP59">
        <v>9</v>
      </c>
      <c r="AQ59">
        <v>10</v>
      </c>
    </row>
    <row r="60" spans="1:43">
      <c r="A60" s="97">
        <v>45604</v>
      </c>
      <c r="B60" s="66">
        <v>1600</v>
      </c>
      <c r="C60" s="67"/>
      <c r="D60" s="66">
        <f>(SUM(粮草!A60:X60)+AG60*10*IF(AK60="是",$AY$4,$AY$3))</f>
        <v>0</v>
      </c>
      <c r="E60" s="101">
        <f>SUM($B$4:B60)+SUM($C$4:C60)-SUM($D$4:D60)</f>
        <v>55788</v>
      </c>
      <c r="F60" s="66">
        <f>SUM(经验!A60:X60)</f>
        <v>0</v>
      </c>
      <c r="G60" s="66">
        <f>SUM($F$4:F60)+SUM($H$4:H60)</f>
        <v>19945</v>
      </c>
      <c r="H60" s="66">
        <v>0</v>
      </c>
      <c r="I60" s="68" t="s">
        <v>34</v>
      </c>
      <c r="J60" s="68" t="s">
        <v>34</v>
      </c>
      <c r="K60" s="68" t="s">
        <v>34</v>
      </c>
      <c r="L60" s="68" t="s">
        <v>34</v>
      </c>
      <c r="M60" s="68" t="s">
        <v>34</v>
      </c>
      <c r="N60" s="68" t="s">
        <v>34</v>
      </c>
      <c r="O60" s="69" t="s">
        <v>34</v>
      </c>
      <c r="P60" s="69" t="s">
        <v>34</v>
      </c>
      <c r="Q60" s="68" t="s">
        <v>34</v>
      </c>
      <c r="R60" s="68" t="s">
        <v>34</v>
      </c>
      <c r="S60" s="68" t="s">
        <v>34</v>
      </c>
      <c r="T60" s="68" t="s">
        <v>34</v>
      </c>
      <c r="U60" s="68" t="s">
        <v>34</v>
      </c>
      <c r="V60" s="68" t="s">
        <v>34</v>
      </c>
      <c r="W60" s="69" t="s">
        <v>34</v>
      </c>
      <c r="X60" s="69" t="s">
        <v>34</v>
      </c>
      <c r="Y60" s="68" t="s">
        <v>34</v>
      </c>
      <c r="Z60" s="68" t="s">
        <v>34</v>
      </c>
      <c r="AA60" s="68" t="s">
        <v>34</v>
      </c>
      <c r="AB60" s="68" t="s">
        <v>34</v>
      </c>
      <c r="AC60" s="68" t="s">
        <v>34</v>
      </c>
      <c r="AD60" s="68" t="s">
        <v>34</v>
      </c>
      <c r="AE60" s="69" t="s">
        <v>34</v>
      </c>
      <c r="AF60" s="69" t="s">
        <v>34</v>
      </c>
      <c r="AG60" s="70">
        <f t="shared" si="4"/>
        <v>0</v>
      </c>
      <c r="AH60" s="71"/>
      <c r="AI60" s="71"/>
      <c r="AJ60" s="71"/>
      <c r="AK60" s="72" t="s">
        <v>52</v>
      </c>
      <c r="AP60">
        <v>3</v>
      </c>
      <c r="AQ60">
        <v>1</v>
      </c>
    </row>
    <row r="61" spans="1:43">
      <c r="A61" s="97">
        <v>45605</v>
      </c>
      <c r="B61" s="66">
        <v>1600</v>
      </c>
      <c r="C61" s="67"/>
      <c r="D61" s="66">
        <f>(SUM(粮草!A61:X61)+AG61*10*IF(AK61="是",$AY$4,$AY$3))</f>
        <v>0</v>
      </c>
      <c r="E61" s="101">
        <f>SUM($B$4:B61)+SUM($C$4:C61)-SUM($D$4:D61)</f>
        <v>57388</v>
      </c>
      <c r="F61" s="66">
        <f>SUM(经验!A61:X61)</f>
        <v>0</v>
      </c>
      <c r="G61" s="66">
        <f>SUM($F$4:F61)+SUM($H$4:H61)</f>
        <v>19945</v>
      </c>
      <c r="H61" s="66">
        <v>0</v>
      </c>
      <c r="I61" s="68" t="s">
        <v>34</v>
      </c>
      <c r="J61" s="68" t="s">
        <v>34</v>
      </c>
      <c r="K61" s="68" t="s">
        <v>34</v>
      </c>
      <c r="L61" s="68" t="s">
        <v>34</v>
      </c>
      <c r="M61" s="68" t="s">
        <v>34</v>
      </c>
      <c r="N61" s="68" t="s">
        <v>34</v>
      </c>
      <c r="O61" s="69" t="s">
        <v>34</v>
      </c>
      <c r="P61" s="69" t="s">
        <v>34</v>
      </c>
      <c r="Q61" s="68" t="s">
        <v>34</v>
      </c>
      <c r="R61" s="68" t="s">
        <v>34</v>
      </c>
      <c r="S61" s="68" t="s">
        <v>34</v>
      </c>
      <c r="T61" s="68" t="s">
        <v>34</v>
      </c>
      <c r="U61" s="68" t="s">
        <v>34</v>
      </c>
      <c r="V61" s="68" t="s">
        <v>34</v>
      </c>
      <c r="W61" s="69" t="s">
        <v>34</v>
      </c>
      <c r="X61" s="69" t="s">
        <v>34</v>
      </c>
      <c r="Y61" s="68" t="s">
        <v>34</v>
      </c>
      <c r="Z61" s="68" t="s">
        <v>34</v>
      </c>
      <c r="AA61" s="68" t="s">
        <v>34</v>
      </c>
      <c r="AB61" s="68" t="s">
        <v>34</v>
      </c>
      <c r="AC61" s="68" t="s">
        <v>34</v>
      </c>
      <c r="AD61" s="68" t="s">
        <v>34</v>
      </c>
      <c r="AE61" s="69" t="s">
        <v>34</v>
      </c>
      <c r="AF61" s="69" t="s">
        <v>34</v>
      </c>
      <c r="AG61" s="70">
        <f t="shared" si="4"/>
        <v>0</v>
      </c>
      <c r="AH61" s="71"/>
      <c r="AI61" s="71"/>
      <c r="AJ61" s="71"/>
      <c r="AK61" s="72" t="s">
        <v>52</v>
      </c>
    </row>
    <row r="62" spans="1:43">
      <c r="A62" s="97">
        <v>45606</v>
      </c>
      <c r="B62" s="66">
        <v>1600</v>
      </c>
      <c r="C62" s="67"/>
      <c r="D62" s="66">
        <f>(SUM(粮草!A62:X62)+AG62*10*IF(AK62="是",$AY$4,$AY$3))</f>
        <v>0</v>
      </c>
      <c r="E62" s="101">
        <f>SUM($B$4:B62)+SUM($C$4:C62)-SUM($D$4:D62)</f>
        <v>58988</v>
      </c>
      <c r="F62" s="66">
        <f>SUM(经验!A62:X62)</f>
        <v>0</v>
      </c>
      <c r="G62" s="66">
        <f>SUM($F$4:F62)+SUM($H$4:H62)</f>
        <v>19945</v>
      </c>
      <c r="H62" s="66">
        <v>0</v>
      </c>
      <c r="I62" s="68" t="s">
        <v>34</v>
      </c>
      <c r="J62" s="68" t="s">
        <v>34</v>
      </c>
      <c r="K62" s="68" t="s">
        <v>34</v>
      </c>
      <c r="L62" s="68" t="s">
        <v>34</v>
      </c>
      <c r="M62" s="68" t="s">
        <v>34</v>
      </c>
      <c r="N62" s="68" t="s">
        <v>34</v>
      </c>
      <c r="O62" s="69" t="s">
        <v>34</v>
      </c>
      <c r="P62" s="69" t="s">
        <v>34</v>
      </c>
      <c r="Q62" s="68" t="s">
        <v>34</v>
      </c>
      <c r="R62" s="68" t="s">
        <v>34</v>
      </c>
      <c r="S62" s="68" t="s">
        <v>34</v>
      </c>
      <c r="T62" s="68" t="s">
        <v>34</v>
      </c>
      <c r="U62" s="68" t="s">
        <v>34</v>
      </c>
      <c r="V62" s="68" t="s">
        <v>34</v>
      </c>
      <c r="W62" s="69" t="s">
        <v>34</v>
      </c>
      <c r="X62" s="69" t="s">
        <v>34</v>
      </c>
      <c r="Y62" s="68" t="s">
        <v>34</v>
      </c>
      <c r="Z62" s="68" t="s">
        <v>34</v>
      </c>
      <c r="AA62" s="68" t="s">
        <v>34</v>
      </c>
      <c r="AB62" s="68" t="s">
        <v>34</v>
      </c>
      <c r="AC62" s="68" t="s">
        <v>34</v>
      </c>
      <c r="AD62" s="68" t="s">
        <v>34</v>
      </c>
      <c r="AE62" s="69" t="s">
        <v>34</v>
      </c>
      <c r="AF62" s="69" t="s">
        <v>34</v>
      </c>
      <c r="AG62" s="70">
        <f t="shared" si="4"/>
        <v>0</v>
      </c>
      <c r="AH62" s="71"/>
      <c r="AI62" s="71"/>
      <c r="AJ62" s="71"/>
      <c r="AK62" s="72" t="s">
        <v>52</v>
      </c>
    </row>
    <row r="63" spans="1:43">
      <c r="A63" s="97">
        <v>45607</v>
      </c>
      <c r="B63" s="68">
        <v>1600</v>
      </c>
      <c r="C63" s="68"/>
      <c r="D63" s="66">
        <f>(SUM(粮草!A63:X63)+AG63*10*IF(AK63="是",$AY$4,$AY$3))</f>
        <v>0</v>
      </c>
      <c r="E63" s="101">
        <f>SUM($B$4:B63)+SUM($C$4:C63)-SUM($D$4:D63)</f>
        <v>60588</v>
      </c>
      <c r="F63" s="66">
        <f>SUM(经验!A63:X63)</f>
        <v>0</v>
      </c>
      <c r="G63" s="66">
        <f>SUM($F$4:F63)+SUM($H$4:H63)</f>
        <v>20245</v>
      </c>
      <c r="H63" s="68">
        <v>300</v>
      </c>
      <c r="I63" s="68" t="s">
        <v>34</v>
      </c>
      <c r="J63" s="68" t="s">
        <v>34</v>
      </c>
      <c r="K63" s="68" t="s">
        <v>34</v>
      </c>
      <c r="L63" s="68" t="s">
        <v>34</v>
      </c>
      <c r="M63" s="68" t="s">
        <v>34</v>
      </c>
      <c r="N63" s="68" t="s">
        <v>34</v>
      </c>
      <c r="O63" s="69" t="s">
        <v>34</v>
      </c>
      <c r="P63" s="69" t="s">
        <v>34</v>
      </c>
      <c r="Q63" s="68" t="s">
        <v>34</v>
      </c>
      <c r="R63" s="68" t="s">
        <v>34</v>
      </c>
      <c r="S63" s="68" t="s">
        <v>34</v>
      </c>
      <c r="T63" s="68" t="s">
        <v>34</v>
      </c>
      <c r="U63" s="68" t="s">
        <v>34</v>
      </c>
      <c r="V63" s="68" t="s">
        <v>34</v>
      </c>
      <c r="W63" s="69" t="s">
        <v>34</v>
      </c>
      <c r="X63" s="69" t="s">
        <v>34</v>
      </c>
      <c r="Y63" s="68" t="s">
        <v>34</v>
      </c>
      <c r="Z63" s="68" t="s">
        <v>34</v>
      </c>
      <c r="AA63" s="68" t="s">
        <v>34</v>
      </c>
      <c r="AB63" s="68" t="s">
        <v>34</v>
      </c>
      <c r="AC63" s="68" t="s">
        <v>34</v>
      </c>
      <c r="AD63" s="68" t="s">
        <v>34</v>
      </c>
      <c r="AE63" s="69" t="s">
        <v>34</v>
      </c>
      <c r="AF63" s="69" t="s">
        <v>34</v>
      </c>
      <c r="AG63" s="70">
        <f t="shared" si="4"/>
        <v>0</v>
      </c>
      <c r="AH63" s="71"/>
      <c r="AI63" s="71"/>
      <c r="AJ63" s="71"/>
      <c r="AK63" s="72" t="s">
        <v>52</v>
      </c>
    </row>
    <row r="64" spans="1:43">
      <c r="A64" s="96">
        <v>45608</v>
      </c>
      <c r="B64" s="68">
        <v>1600</v>
      </c>
      <c r="C64" s="68"/>
      <c r="D64" s="66">
        <f>(SUM(粮草!A64:X64)+AG64*10*IF(AK64="是",$AY$4,$AY$3))</f>
        <v>0</v>
      </c>
      <c r="E64" s="101">
        <f>SUM($B$4:B64)+SUM($C$4:C64)-SUM($D$4:D64)</f>
        <v>62188</v>
      </c>
      <c r="F64" s="66">
        <f>SUM(经验!A64:X64)</f>
        <v>0</v>
      </c>
      <c r="G64" s="66">
        <f>SUM($F$4:F64)+SUM($H$4:H64)</f>
        <v>20245</v>
      </c>
      <c r="H64" s="68">
        <v>0</v>
      </c>
      <c r="I64" s="68" t="s">
        <v>34</v>
      </c>
      <c r="J64" s="68" t="s">
        <v>34</v>
      </c>
      <c r="K64" s="68" t="s">
        <v>34</v>
      </c>
      <c r="L64" s="68" t="s">
        <v>34</v>
      </c>
      <c r="M64" s="68" t="s">
        <v>34</v>
      </c>
      <c r="N64" s="68" t="s">
        <v>34</v>
      </c>
      <c r="O64" s="69" t="s">
        <v>34</v>
      </c>
      <c r="P64" s="69" t="s">
        <v>34</v>
      </c>
      <c r="Q64" s="68" t="s">
        <v>34</v>
      </c>
      <c r="R64" s="68" t="s">
        <v>34</v>
      </c>
      <c r="S64" s="68" t="s">
        <v>34</v>
      </c>
      <c r="T64" s="68" t="s">
        <v>34</v>
      </c>
      <c r="U64" s="68" t="s">
        <v>34</v>
      </c>
      <c r="V64" s="68" t="s">
        <v>34</v>
      </c>
      <c r="W64" s="69" t="s">
        <v>34</v>
      </c>
      <c r="X64" s="69" t="s">
        <v>34</v>
      </c>
      <c r="Y64" s="68" t="s">
        <v>34</v>
      </c>
      <c r="Z64" s="68" t="s">
        <v>34</v>
      </c>
      <c r="AA64" s="68" t="s">
        <v>34</v>
      </c>
      <c r="AB64" s="68" t="s">
        <v>34</v>
      </c>
      <c r="AC64" s="68" t="s">
        <v>34</v>
      </c>
      <c r="AD64" s="68" t="s">
        <v>34</v>
      </c>
      <c r="AE64" s="69" t="s">
        <v>34</v>
      </c>
      <c r="AF64" s="69" t="s">
        <v>34</v>
      </c>
      <c r="AG64" s="70">
        <f t="shared" si="4"/>
        <v>0</v>
      </c>
      <c r="AH64" s="71"/>
      <c r="AI64" s="71"/>
      <c r="AJ64" s="71"/>
      <c r="AK64" s="72" t="s">
        <v>52</v>
      </c>
    </row>
    <row r="65" spans="1:37">
      <c r="A65" s="96">
        <v>45609</v>
      </c>
      <c r="B65" s="68">
        <v>1600</v>
      </c>
      <c r="C65" s="68"/>
      <c r="D65" s="66">
        <f>(SUM(粮草!A65:X65)+AG65*10*IF(AK65="是",$AY$4,$AY$3))</f>
        <v>0</v>
      </c>
      <c r="E65" s="101">
        <f>SUM($B$4:B65)+SUM($C$4:C65)-SUM($D$4:D65)</f>
        <v>63788</v>
      </c>
      <c r="F65" s="66">
        <f>SUM(经验!A65:X65)</f>
        <v>0</v>
      </c>
      <c r="G65" s="66">
        <f>SUM($F$4:F65)+SUM($H$4:H65)</f>
        <v>20445</v>
      </c>
      <c r="H65" s="68">
        <v>200</v>
      </c>
      <c r="I65" s="68" t="s">
        <v>34</v>
      </c>
      <c r="J65" s="68" t="s">
        <v>34</v>
      </c>
      <c r="K65" s="68" t="s">
        <v>34</v>
      </c>
      <c r="L65" s="68" t="s">
        <v>34</v>
      </c>
      <c r="M65" s="68" t="s">
        <v>34</v>
      </c>
      <c r="N65" s="68" t="s">
        <v>34</v>
      </c>
      <c r="O65" s="69" t="s">
        <v>34</v>
      </c>
      <c r="P65" s="69" t="s">
        <v>34</v>
      </c>
      <c r="Q65" s="68" t="s">
        <v>34</v>
      </c>
      <c r="R65" s="68" t="s">
        <v>34</v>
      </c>
      <c r="S65" s="68" t="s">
        <v>34</v>
      </c>
      <c r="T65" s="68" t="s">
        <v>34</v>
      </c>
      <c r="U65" s="68" t="s">
        <v>34</v>
      </c>
      <c r="V65" s="68" t="s">
        <v>34</v>
      </c>
      <c r="W65" s="69" t="s">
        <v>34</v>
      </c>
      <c r="X65" s="69" t="s">
        <v>34</v>
      </c>
      <c r="Y65" s="68" t="s">
        <v>34</v>
      </c>
      <c r="Z65" s="68" t="s">
        <v>34</v>
      </c>
      <c r="AA65" s="68" t="s">
        <v>34</v>
      </c>
      <c r="AB65" s="68" t="s">
        <v>34</v>
      </c>
      <c r="AC65" s="68" t="s">
        <v>34</v>
      </c>
      <c r="AD65" s="68" t="s">
        <v>34</v>
      </c>
      <c r="AE65" s="69" t="s">
        <v>34</v>
      </c>
      <c r="AF65" s="69" t="s">
        <v>34</v>
      </c>
      <c r="AG65" s="70">
        <f t="shared" si="4"/>
        <v>0</v>
      </c>
      <c r="AH65" s="71"/>
      <c r="AI65" s="71"/>
      <c r="AJ65" s="71"/>
      <c r="AK65" s="72" t="s">
        <v>52</v>
      </c>
    </row>
    <row r="66" spans="1:37">
      <c r="A66" s="96">
        <v>45610</v>
      </c>
      <c r="B66" s="68">
        <v>1600</v>
      </c>
      <c r="C66" s="68"/>
      <c r="D66" s="66">
        <f>(SUM(粮草!A66:X66)+AG66*10*IF(AK66="是",$AY$4,$AY$3))</f>
        <v>0</v>
      </c>
      <c r="E66" s="101">
        <f>SUM($B$4:B66)+SUM($C$4:C66)-SUM($D$4:D66)</f>
        <v>65388</v>
      </c>
      <c r="F66" s="66">
        <f>SUM(经验!A66:X66)</f>
        <v>0</v>
      </c>
      <c r="G66" s="66">
        <f>SUM($F$4:F66)+SUM($H$4:H66)</f>
        <v>20445</v>
      </c>
      <c r="H66" s="68">
        <v>0</v>
      </c>
      <c r="I66" s="68" t="s">
        <v>34</v>
      </c>
      <c r="J66" s="68" t="s">
        <v>34</v>
      </c>
      <c r="K66" s="68" t="s">
        <v>34</v>
      </c>
      <c r="L66" s="68" t="s">
        <v>34</v>
      </c>
      <c r="M66" s="68" t="s">
        <v>34</v>
      </c>
      <c r="N66" s="68" t="s">
        <v>34</v>
      </c>
      <c r="O66" s="69" t="s">
        <v>34</v>
      </c>
      <c r="P66" s="69" t="s">
        <v>34</v>
      </c>
      <c r="Q66" s="68" t="s">
        <v>34</v>
      </c>
      <c r="R66" s="68" t="s">
        <v>34</v>
      </c>
      <c r="S66" s="68" t="s">
        <v>34</v>
      </c>
      <c r="T66" s="68" t="s">
        <v>34</v>
      </c>
      <c r="U66" s="68" t="s">
        <v>34</v>
      </c>
      <c r="V66" s="68" t="s">
        <v>34</v>
      </c>
      <c r="W66" s="69" t="s">
        <v>34</v>
      </c>
      <c r="X66" s="69" t="s">
        <v>34</v>
      </c>
      <c r="Y66" s="68" t="s">
        <v>34</v>
      </c>
      <c r="Z66" s="68" t="s">
        <v>34</v>
      </c>
      <c r="AA66" s="68" t="s">
        <v>34</v>
      </c>
      <c r="AB66" s="68" t="s">
        <v>34</v>
      </c>
      <c r="AC66" s="68" t="s">
        <v>34</v>
      </c>
      <c r="AD66" s="68" t="s">
        <v>34</v>
      </c>
      <c r="AE66" s="69" t="s">
        <v>34</v>
      </c>
      <c r="AF66" s="69" t="s">
        <v>34</v>
      </c>
      <c r="AG66" s="70">
        <f t="shared" si="4"/>
        <v>0</v>
      </c>
      <c r="AH66" s="71"/>
      <c r="AI66" s="71"/>
      <c r="AJ66" s="71"/>
      <c r="AK66" s="72" t="s">
        <v>52</v>
      </c>
    </row>
    <row r="67" spans="1:37">
      <c r="A67" s="96">
        <v>45611</v>
      </c>
      <c r="B67" s="68">
        <v>1600</v>
      </c>
      <c r="C67" s="68"/>
      <c r="D67" s="66">
        <f>(SUM(粮草!A67:X67)+AG67*10*IF(AK67="是",$AY$4,$AY$3))</f>
        <v>0</v>
      </c>
      <c r="E67" s="101">
        <f>SUM($B$4:B67)+SUM($C$4:C67)-SUM($D$4:D67)</f>
        <v>66988</v>
      </c>
      <c r="F67" s="66">
        <f>SUM(经验!A67:X67)</f>
        <v>0</v>
      </c>
      <c r="G67" s="66">
        <f>SUM($F$4:F67)+SUM($H$4:H67)</f>
        <v>20445</v>
      </c>
      <c r="H67" s="68">
        <v>0</v>
      </c>
      <c r="I67" s="68" t="s">
        <v>34</v>
      </c>
      <c r="J67" s="68" t="s">
        <v>34</v>
      </c>
      <c r="K67" s="68" t="s">
        <v>34</v>
      </c>
      <c r="L67" s="68" t="s">
        <v>34</v>
      </c>
      <c r="M67" s="68" t="s">
        <v>34</v>
      </c>
      <c r="N67" s="68" t="s">
        <v>34</v>
      </c>
      <c r="O67" s="69" t="s">
        <v>34</v>
      </c>
      <c r="P67" s="69" t="s">
        <v>34</v>
      </c>
      <c r="Q67" s="68" t="s">
        <v>34</v>
      </c>
      <c r="R67" s="68" t="s">
        <v>34</v>
      </c>
      <c r="S67" s="68" t="s">
        <v>34</v>
      </c>
      <c r="T67" s="68" t="s">
        <v>34</v>
      </c>
      <c r="U67" s="68" t="s">
        <v>34</v>
      </c>
      <c r="V67" s="68" t="s">
        <v>34</v>
      </c>
      <c r="W67" s="69" t="s">
        <v>34</v>
      </c>
      <c r="X67" s="69" t="s">
        <v>34</v>
      </c>
      <c r="Y67" s="68" t="s">
        <v>34</v>
      </c>
      <c r="Z67" s="68" t="s">
        <v>34</v>
      </c>
      <c r="AA67" s="68" t="s">
        <v>34</v>
      </c>
      <c r="AB67" s="68" t="s">
        <v>34</v>
      </c>
      <c r="AC67" s="68" t="s">
        <v>34</v>
      </c>
      <c r="AD67" s="68" t="s">
        <v>34</v>
      </c>
      <c r="AE67" s="69" t="s">
        <v>34</v>
      </c>
      <c r="AF67" s="69" t="s">
        <v>34</v>
      </c>
      <c r="AG67" s="70">
        <f t="shared" si="4"/>
        <v>0</v>
      </c>
      <c r="AH67" s="71"/>
      <c r="AI67" s="71"/>
      <c r="AJ67" s="71"/>
      <c r="AK67" s="72" t="s">
        <v>52</v>
      </c>
    </row>
    <row r="68" spans="1:37">
      <c r="A68" s="96">
        <v>45612</v>
      </c>
      <c r="B68" s="68">
        <v>1600</v>
      </c>
      <c r="C68" s="68"/>
      <c r="D68" s="66">
        <f>(SUM(粮草!A68:X68)+AG68*10*IF(AK68="是",$AY$4,$AY$3))</f>
        <v>0</v>
      </c>
      <c r="E68" s="101">
        <f>SUM($B$4:B68)+SUM($C$4:C68)-SUM($D$4:D68)</f>
        <v>68588</v>
      </c>
      <c r="F68" s="66">
        <f>SUM(经验!A68:X68)</f>
        <v>0</v>
      </c>
      <c r="G68" s="66">
        <f>SUM($F$4:F68)+SUM($H$4:H68)</f>
        <v>20445</v>
      </c>
      <c r="H68" s="68">
        <v>0</v>
      </c>
      <c r="I68" s="68" t="s">
        <v>34</v>
      </c>
      <c r="J68" s="68" t="s">
        <v>34</v>
      </c>
      <c r="K68" s="68" t="s">
        <v>34</v>
      </c>
      <c r="L68" s="68" t="s">
        <v>34</v>
      </c>
      <c r="M68" s="68" t="s">
        <v>34</v>
      </c>
      <c r="N68" s="68" t="s">
        <v>34</v>
      </c>
      <c r="O68" s="69" t="s">
        <v>34</v>
      </c>
      <c r="P68" s="69" t="s">
        <v>34</v>
      </c>
      <c r="Q68" s="68" t="s">
        <v>34</v>
      </c>
      <c r="R68" s="68" t="s">
        <v>34</v>
      </c>
      <c r="S68" s="68" t="s">
        <v>34</v>
      </c>
      <c r="T68" s="68" t="s">
        <v>34</v>
      </c>
      <c r="U68" s="68" t="s">
        <v>34</v>
      </c>
      <c r="V68" s="68" t="s">
        <v>34</v>
      </c>
      <c r="W68" s="69" t="s">
        <v>34</v>
      </c>
      <c r="X68" s="69" t="s">
        <v>34</v>
      </c>
      <c r="Y68" s="68" t="s">
        <v>34</v>
      </c>
      <c r="Z68" s="68" t="s">
        <v>34</v>
      </c>
      <c r="AA68" s="68" t="s">
        <v>34</v>
      </c>
      <c r="AB68" s="68" t="s">
        <v>34</v>
      </c>
      <c r="AC68" s="68" t="s">
        <v>34</v>
      </c>
      <c r="AD68" s="68" t="s">
        <v>34</v>
      </c>
      <c r="AE68" s="69" t="s">
        <v>34</v>
      </c>
      <c r="AF68" s="69" t="s">
        <v>34</v>
      </c>
      <c r="AG68" s="70">
        <f t="shared" si="4"/>
        <v>0</v>
      </c>
      <c r="AH68" s="71"/>
      <c r="AI68" s="71"/>
      <c r="AJ68" s="71"/>
      <c r="AK68" s="72" t="s">
        <v>52</v>
      </c>
    </row>
    <row r="69" spans="1:37">
      <c r="A69" s="96">
        <v>45613</v>
      </c>
      <c r="B69" s="68">
        <v>1600</v>
      </c>
      <c r="C69" s="68"/>
      <c r="D69" s="66">
        <f>(SUM(粮草!A69:X69)+AG69*10*IF(AK69="是",$AY$4,$AY$3))</f>
        <v>0</v>
      </c>
      <c r="E69" s="101">
        <f>SUM($B$4:B69)+SUM($C$4:C69)-SUM($D$4:D69)</f>
        <v>70188</v>
      </c>
      <c r="F69" s="66">
        <f>SUM(经验!A69:X69)</f>
        <v>0</v>
      </c>
      <c r="G69" s="66">
        <f>SUM($F$4:F69)+SUM($H$4:H69)</f>
        <v>20445</v>
      </c>
      <c r="H69" s="68">
        <v>0</v>
      </c>
      <c r="I69" s="68" t="s">
        <v>34</v>
      </c>
      <c r="J69" s="68" t="s">
        <v>34</v>
      </c>
      <c r="K69" s="68" t="s">
        <v>34</v>
      </c>
      <c r="L69" s="68" t="s">
        <v>34</v>
      </c>
      <c r="M69" s="68" t="s">
        <v>34</v>
      </c>
      <c r="N69" s="68" t="s">
        <v>34</v>
      </c>
      <c r="O69" s="69" t="s">
        <v>34</v>
      </c>
      <c r="P69" s="69" t="s">
        <v>34</v>
      </c>
      <c r="Q69" s="68" t="s">
        <v>34</v>
      </c>
      <c r="R69" s="68" t="s">
        <v>34</v>
      </c>
      <c r="S69" s="68" t="s">
        <v>34</v>
      </c>
      <c r="T69" s="68" t="s">
        <v>34</v>
      </c>
      <c r="U69" s="68" t="s">
        <v>34</v>
      </c>
      <c r="V69" s="68" t="s">
        <v>34</v>
      </c>
      <c r="W69" s="69" t="s">
        <v>34</v>
      </c>
      <c r="X69" s="69" t="s">
        <v>34</v>
      </c>
      <c r="Y69" s="68" t="s">
        <v>34</v>
      </c>
      <c r="Z69" s="68" t="s">
        <v>34</v>
      </c>
      <c r="AA69" s="68" t="s">
        <v>34</v>
      </c>
      <c r="AB69" s="68" t="s">
        <v>34</v>
      </c>
      <c r="AC69" s="68" t="s">
        <v>34</v>
      </c>
      <c r="AD69" s="68" t="s">
        <v>34</v>
      </c>
      <c r="AE69" s="69" t="s">
        <v>34</v>
      </c>
      <c r="AF69" s="69" t="s">
        <v>34</v>
      </c>
      <c r="AG69" s="70">
        <f t="shared" ref="AG69:AG93" si="17">AH69+AI69+AJ69</f>
        <v>0</v>
      </c>
      <c r="AH69" s="71"/>
      <c r="AI69" s="71"/>
      <c r="AJ69" s="71"/>
      <c r="AK69" s="72" t="s">
        <v>52</v>
      </c>
    </row>
    <row r="70" spans="1:37">
      <c r="A70" s="96">
        <v>45614</v>
      </c>
      <c r="B70" s="66">
        <v>1600</v>
      </c>
      <c r="C70" s="67"/>
      <c r="D70" s="66">
        <f>(SUM(粮草!A70:X70)+AG70*10*IF(AK70="是",$AY$4,$AY$3))</f>
        <v>0</v>
      </c>
      <c r="E70" s="101">
        <f>SUM($B$4:B70)+SUM($C$4:C70)-SUM($D$4:D70)</f>
        <v>71788</v>
      </c>
      <c r="F70" s="66">
        <f>SUM(经验!A70:X70)</f>
        <v>0</v>
      </c>
      <c r="G70" s="66">
        <f>SUM($F$4:F70)+SUM($H$4:H70)</f>
        <v>20745</v>
      </c>
      <c r="H70" s="66">
        <v>300</v>
      </c>
      <c r="I70" s="68" t="s">
        <v>34</v>
      </c>
      <c r="J70" s="68" t="s">
        <v>34</v>
      </c>
      <c r="K70" s="68" t="s">
        <v>34</v>
      </c>
      <c r="L70" s="68" t="s">
        <v>34</v>
      </c>
      <c r="M70" s="68" t="s">
        <v>34</v>
      </c>
      <c r="N70" s="68" t="s">
        <v>34</v>
      </c>
      <c r="O70" s="69" t="s">
        <v>34</v>
      </c>
      <c r="P70" s="69" t="s">
        <v>34</v>
      </c>
      <c r="Q70" s="68" t="s">
        <v>34</v>
      </c>
      <c r="R70" s="68" t="s">
        <v>34</v>
      </c>
      <c r="S70" s="68" t="s">
        <v>34</v>
      </c>
      <c r="T70" s="68" t="s">
        <v>34</v>
      </c>
      <c r="U70" s="68" t="s">
        <v>34</v>
      </c>
      <c r="V70" s="68" t="s">
        <v>34</v>
      </c>
      <c r="W70" s="69" t="s">
        <v>34</v>
      </c>
      <c r="X70" s="69" t="s">
        <v>34</v>
      </c>
      <c r="Y70" s="68" t="s">
        <v>34</v>
      </c>
      <c r="Z70" s="68" t="s">
        <v>34</v>
      </c>
      <c r="AA70" s="68" t="s">
        <v>34</v>
      </c>
      <c r="AB70" s="68" t="s">
        <v>34</v>
      </c>
      <c r="AC70" s="68" t="s">
        <v>34</v>
      </c>
      <c r="AD70" s="68" t="s">
        <v>34</v>
      </c>
      <c r="AE70" s="69" t="s">
        <v>34</v>
      </c>
      <c r="AF70" s="69" t="s">
        <v>34</v>
      </c>
      <c r="AG70" s="70">
        <f t="shared" si="17"/>
        <v>0</v>
      </c>
      <c r="AH70" s="71"/>
      <c r="AI70" s="71"/>
      <c r="AJ70" s="71"/>
      <c r="AK70" s="72" t="s">
        <v>52</v>
      </c>
    </row>
    <row r="71" spans="1:37">
      <c r="A71" s="96">
        <v>45615</v>
      </c>
      <c r="B71" s="66">
        <v>1600</v>
      </c>
      <c r="C71" s="67"/>
      <c r="D71" s="66">
        <f>(SUM(粮草!A71:X71)+AG71*10*IF(AK71="是",$AY$4,$AY$3))</f>
        <v>0</v>
      </c>
      <c r="E71" s="101">
        <f>SUM($B$4:B71)+SUM($C$4:C71)-SUM($D$4:D71)</f>
        <v>73388</v>
      </c>
      <c r="F71" s="66">
        <f>SUM(经验!A71:X71)</f>
        <v>0</v>
      </c>
      <c r="G71" s="66">
        <f>SUM($F$4:F71)+SUM($H$4:H71)</f>
        <v>20745</v>
      </c>
      <c r="H71" s="66">
        <v>0</v>
      </c>
      <c r="I71" s="68" t="s">
        <v>34</v>
      </c>
      <c r="J71" s="68" t="s">
        <v>34</v>
      </c>
      <c r="K71" s="68" t="s">
        <v>34</v>
      </c>
      <c r="L71" s="68" t="s">
        <v>34</v>
      </c>
      <c r="M71" s="68" t="s">
        <v>34</v>
      </c>
      <c r="N71" s="68" t="s">
        <v>34</v>
      </c>
      <c r="O71" s="69" t="s">
        <v>34</v>
      </c>
      <c r="P71" s="69" t="s">
        <v>34</v>
      </c>
      <c r="Q71" s="68" t="s">
        <v>34</v>
      </c>
      <c r="R71" s="68" t="s">
        <v>34</v>
      </c>
      <c r="S71" s="68" t="s">
        <v>34</v>
      </c>
      <c r="T71" s="68" t="s">
        <v>34</v>
      </c>
      <c r="U71" s="68" t="s">
        <v>34</v>
      </c>
      <c r="V71" s="68" t="s">
        <v>34</v>
      </c>
      <c r="W71" s="69" t="s">
        <v>34</v>
      </c>
      <c r="X71" s="69" t="s">
        <v>34</v>
      </c>
      <c r="Y71" s="68" t="s">
        <v>34</v>
      </c>
      <c r="Z71" s="68" t="s">
        <v>34</v>
      </c>
      <c r="AA71" s="68" t="s">
        <v>34</v>
      </c>
      <c r="AB71" s="68" t="s">
        <v>34</v>
      </c>
      <c r="AC71" s="68" t="s">
        <v>34</v>
      </c>
      <c r="AD71" s="68" t="s">
        <v>34</v>
      </c>
      <c r="AE71" s="69" t="s">
        <v>34</v>
      </c>
      <c r="AF71" s="69" t="s">
        <v>34</v>
      </c>
      <c r="AG71" s="70">
        <f t="shared" si="17"/>
        <v>0</v>
      </c>
      <c r="AH71" s="71"/>
      <c r="AI71" s="71"/>
      <c r="AJ71" s="71"/>
      <c r="AK71" s="72" t="s">
        <v>52</v>
      </c>
    </row>
    <row r="72" spans="1:37">
      <c r="A72" s="96">
        <v>45616</v>
      </c>
      <c r="B72" s="66">
        <v>1600</v>
      </c>
      <c r="C72" s="67"/>
      <c r="D72" s="66">
        <f>(SUM(粮草!A72:X72)+AG72*10*IF(AK72="是",$AY$4,$AY$3))</f>
        <v>0</v>
      </c>
      <c r="E72" s="101">
        <f>SUM($B$4:B72)+SUM($C$4:C72)-SUM($D$4:D72)</f>
        <v>74988</v>
      </c>
      <c r="F72" s="66">
        <f>SUM(经验!A72:X72)</f>
        <v>0</v>
      </c>
      <c r="G72" s="66">
        <f>SUM($F$4:F72)+SUM($H$4:H72)</f>
        <v>20945</v>
      </c>
      <c r="H72" s="66">
        <v>200</v>
      </c>
      <c r="I72" s="68" t="s">
        <v>34</v>
      </c>
      <c r="J72" s="68" t="s">
        <v>34</v>
      </c>
      <c r="K72" s="68" t="s">
        <v>34</v>
      </c>
      <c r="L72" s="68" t="s">
        <v>34</v>
      </c>
      <c r="M72" s="68" t="s">
        <v>34</v>
      </c>
      <c r="N72" s="68" t="s">
        <v>34</v>
      </c>
      <c r="O72" s="69" t="s">
        <v>34</v>
      </c>
      <c r="P72" s="69" t="s">
        <v>34</v>
      </c>
      <c r="Q72" s="68" t="s">
        <v>34</v>
      </c>
      <c r="R72" s="68" t="s">
        <v>34</v>
      </c>
      <c r="S72" s="68" t="s">
        <v>34</v>
      </c>
      <c r="T72" s="68" t="s">
        <v>34</v>
      </c>
      <c r="U72" s="68" t="s">
        <v>34</v>
      </c>
      <c r="V72" s="68" t="s">
        <v>34</v>
      </c>
      <c r="W72" s="69" t="s">
        <v>34</v>
      </c>
      <c r="X72" s="69" t="s">
        <v>34</v>
      </c>
      <c r="Y72" s="68" t="s">
        <v>34</v>
      </c>
      <c r="Z72" s="68" t="s">
        <v>34</v>
      </c>
      <c r="AA72" s="68" t="s">
        <v>34</v>
      </c>
      <c r="AB72" s="68" t="s">
        <v>34</v>
      </c>
      <c r="AC72" s="68" t="s">
        <v>34</v>
      </c>
      <c r="AD72" s="68" t="s">
        <v>34</v>
      </c>
      <c r="AE72" s="69" t="s">
        <v>34</v>
      </c>
      <c r="AF72" s="69" t="s">
        <v>34</v>
      </c>
      <c r="AG72" s="70">
        <f t="shared" si="17"/>
        <v>0</v>
      </c>
      <c r="AH72" s="71"/>
      <c r="AI72" s="71"/>
      <c r="AJ72" s="71"/>
      <c r="AK72" s="72" t="s">
        <v>52</v>
      </c>
    </row>
    <row r="73" spans="1:37">
      <c r="A73" s="96">
        <v>45617</v>
      </c>
      <c r="B73" s="66">
        <v>1600</v>
      </c>
      <c r="C73" s="67"/>
      <c r="D73" s="66">
        <f>(SUM(粮草!A73:X73)+AG73*10*IF(AK73="是",$AY$4,$AY$3))</f>
        <v>0</v>
      </c>
      <c r="E73" s="101">
        <f>SUM($B$4:B73)+SUM($C$4:C73)-SUM($D$4:D73)</f>
        <v>76588</v>
      </c>
      <c r="F73" s="66">
        <f>SUM(经验!A73:X73)</f>
        <v>0</v>
      </c>
      <c r="G73" s="66">
        <f>SUM($F$4:F73)+SUM($H$4:H73)</f>
        <v>20945</v>
      </c>
      <c r="H73" s="66">
        <v>0</v>
      </c>
      <c r="I73" s="68" t="s">
        <v>34</v>
      </c>
      <c r="J73" s="68" t="s">
        <v>34</v>
      </c>
      <c r="K73" s="68" t="s">
        <v>34</v>
      </c>
      <c r="L73" s="68" t="s">
        <v>34</v>
      </c>
      <c r="M73" s="68" t="s">
        <v>34</v>
      </c>
      <c r="N73" s="68" t="s">
        <v>34</v>
      </c>
      <c r="O73" s="69" t="s">
        <v>34</v>
      </c>
      <c r="P73" s="69" t="s">
        <v>34</v>
      </c>
      <c r="Q73" s="68" t="s">
        <v>34</v>
      </c>
      <c r="R73" s="68" t="s">
        <v>34</v>
      </c>
      <c r="S73" s="68" t="s">
        <v>34</v>
      </c>
      <c r="T73" s="68" t="s">
        <v>34</v>
      </c>
      <c r="U73" s="68" t="s">
        <v>34</v>
      </c>
      <c r="V73" s="68" t="s">
        <v>34</v>
      </c>
      <c r="W73" s="69" t="s">
        <v>34</v>
      </c>
      <c r="X73" s="69" t="s">
        <v>34</v>
      </c>
      <c r="Y73" s="68" t="s">
        <v>34</v>
      </c>
      <c r="Z73" s="68" t="s">
        <v>34</v>
      </c>
      <c r="AA73" s="68" t="s">
        <v>34</v>
      </c>
      <c r="AB73" s="68" t="s">
        <v>34</v>
      </c>
      <c r="AC73" s="68" t="s">
        <v>34</v>
      </c>
      <c r="AD73" s="68" t="s">
        <v>34</v>
      </c>
      <c r="AE73" s="69" t="s">
        <v>34</v>
      </c>
      <c r="AF73" s="69" t="s">
        <v>34</v>
      </c>
      <c r="AG73" s="70">
        <f t="shared" si="17"/>
        <v>0</v>
      </c>
      <c r="AH73" s="71"/>
      <c r="AI73" s="71"/>
      <c r="AJ73" s="71"/>
      <c r="AK73" s="72" t="s">
        <v>52</v>
      </c>
    </row>
    <row r="74" spans="1:37">
      <c r="A74" s="96">
        <v>45618</v>
      </c>
      <c r="B74" s="66">
        <v>1600</v>
      </c>
      <c r="C74" s="67"/>
      <c r="D74" s="66">
        <f>(SUM(粮草!A74:X74)+AG74*10*IF(AK74="是",$AY$4,$AY$3))</f>
        <v>0</v>
      </c>
      <c r="E74" s="101">
        <f>SUM($B$4:B74)+SUM($C$4:C74)-SUM($D$4:D74)</f>
        <v>78188</v>
      </c>
      <c r="F74" s="66">
        <f>SUM(经验!A74:X74)</f>
        <v>0</v>
      </c>
      <c r="G74" s="66">
        <f>SUM($F$4:F74)+SUM($H$4:H74)</f>
        <v>20945</v>
      </c>
      <c r="H74" s="66">
        <v>0</v>
      </c>
      <c r="I74" s="68" t="s">
        <v>34</v>
      </c>
      <c r="J74" s="68" t="s">
        <v>34</v>
      </c>
      <c r="K74" s="68" t="s">
        <v>34</v>
      </c>
      <c r="L74" s="68" t="s">
        <v>34</v>
      </c>
      <c r="M74" s="68" t="s">
        <v>34</v>
      </c>
      <c r="N74" s="68" t="s">
        <v>34</v>
      </c>
      <c r="O74" s="69" t="s">
        <v>34</v>
      </c>
      <c r="P74" s="69" t="s">
        <v>34</v>
      </c>
      <c r="Q74" s="68" t="s">
        <v>34</v>
      </c>
      <c r="R74" s="68" t="s">
        <v>34</v>
      </c>
      <c r="S74" s="68" t="s">
        <v>34</v>
      </c>
      <c r="T74" s="68" t="s">
        <v>34</v>
      </c>
      <c r="U74" s="68" t="s">
        <v>34</v>
      </c>
      <c r="V74" s="68" t="s">
        <v>34</v>
      </c>
      <c r="W74" s="69" t="s">
        <v>34</v>
      </c>
      <c r="X74" s="69" t="s">
        <v>34</v>
      </c>
      <c r="Y74" s="68" t="s">
        <v>34</v>
      </c>
      <c r="Z74" s="68" t="s">
        <v>34</v>
      </c>
      <c r="AA74" s="68" t="s">
        <v>34</v>
      </c>
      <c r="AB74" s="68" t="s">
        <v>34</v>
      </c>
      <c r="AC74" s="68" t="s">
        <v>34</v>
      </c>
      <c r="AD74" s="68" t="s">
        <v>34</v>
      </c>
      <c r="AE74" s="69" t="s">
        <v>34</v>
      </c>
      <c r="AF74" s="69" t="s">
        <v>34</v>
      </c>
      <c r="AG74" s="70">
        <f t="shared" si="17"/>
        <v>0</v>
      </c>
      <c r="AH74" s="71"/>
      <c r="AI74" s="71"/>
      <c r="AJ74" s="71"/>
      <c r="AK74" s="72" t="s">
        <v>52</v>
      </c>
    </row>
    <row r="75" spans="1:37">
      <c r="A75" s="96">
        <v>45619</v>
      </c>
      <c r="B75" s="66">
        <v>1600</v>
      </c>
      <c r="C75" s="67"/>
      <c r="D75" s="66">
        <f>(SUM(粮草!A75:X75)+AG75*10*IF(AK75="是",$AY$4,$AY$3))</f>
        <v>0</v>
      </c>
      <c r="E75" s="101">
        <f>SUM($B$4:B75)+SUM($C$4:C75)-SUM($D$4:D75)</f>
        <v>79788</v>
      </c>
      <c r="F75" s="66">
        <f>SUM(经验!A75:X75)</f>
        <v>0</v>
      </c>
      <c r="G75" s="66">
        <f>SUM($F$4:F75)+SUM($H$4:H75)</f>
        <v>20945</v>
      </c>
      <c r="H75" s="66">
        <v>0</v>
      </c>
      <c r="I75" s="68" t="s">
        <v>34</v>
      </c>
      <c r="J75" s="68" t="s">
        <v>34</v>
      </c>
      <c r="K75" s="68" t="s">
        <v>34</v>
      </c>
      <c r="L75" s="68" t="s">
        <v>34</v>
      </c>
      <c r="M75" s="68" t="s">
        <v>34</v>
      </c>
      <c r="N75" s="68" t="s">
        <v>34</v>
      </c>
      <c r="O75" s="69" t="s">
        <v>34</v>
      </c>
      <c r="P75" s="69" t="s">
        <v>34</v>
      </c>
      <c r="Q75" s="68" t="s">
        <v>34</v>
      </c>
      <c r="R75" s="68" t="s">
        <v>34</v>
      </c>
      <c r="S75" s="68" t="s">
        <v>34</v>
      </c>
      <c r="T75" s="68" t="s">
        <v>34</v>
      </c>
      <c r="U75" s="68" t="s">
        <v>34</v>
      </c>
      <c r="V75" s="68" t="s">
        <v>34</v>
      </c>
      <c r="W75" s="69" t="s">
        <v>34</v>
      </c>
      <c r="X75" s="69" t="s">
        <v>34</v>
      </c>
      <c r="Y75" s="68" t="s">
        <v>34</v>
      </c>
      <c r="Z75" s="68" t="s">
        <v>34</v>
      </c>
      <c r="AA75" s="68" t="s">
        <v>34</v>
      </c>
      <c r="AB75" s="68" t="s">
        <v>34</v>
      </c>
      <c r="AC75" s="68" t="s">
        <v>34</v>
      </c>
      <c r="AD75" s="68" t="s">
        <v>34</v>
      </c>
      <c r="AE75" s="69" t="s">
        <v>34</v>
      </c>
      <c r="AF75" s="69" t="s">
        <v>34</v>
      </c>
      <c r="AG75" s="70">
        <f t="shared" si="17"/>
        <v>0</v>
      </c>
      <c r="AH75" s="71"/>
      <c r="AI75" s="71"/>
      <c r="AJ75" s="71"/>
      <c r="AK75" s="72" t="s">
        <v>52</v>
      </c>
    </row>
    <row r="76" spans="1:37">
      <c r="A76" s="96">
        <v>45620</v>
      </c>
      <c r="B76" s="66">
        <v>1600</v>
      </c>
      <c r="C76" s="67"/>
      <c r="D76" s="66">
        <f>(SUM(粮草!A76:X76)+AG76*10*IF(AK76="是",$AY$4,$AY$3))</f>
        <v>0</v>
      </c>
      <c r="E76" s="101">
        <f>SUM($B$4:B76)+SUM($C$4:C76)-SUM($D$4:D76)</f>
        <v>81388</v>
      </c>
      <c r="F76" s="66">
        <f>SUM(经验!A76:X76)</f>
        <v>0</v>
      </c>
      <c r="G76" s="66">
        <f>SUM($F$4:F76)+SUM($H$4:H76)</f>
        <v>20945</v>
      </c>
      <c r="H76" s="66">
        <v>0</v>
      </c>
      <c r="I76" s="68" t="s">
        <v>34</v>
      </c>
      <c r="J76" s="68" t="s">
        <v>34</v>
      </c>
      <c r="K76" s="68" t="s">
        <v>34</v>
      </c>
      <c r="L76" s="68" t="s">
        <v>34</v>
      </c>
      <c r="M76" s="68" t="s">
        <v>34</v>
      </c>
      <c r="N76" s="68" t="s">
        <v>34</v>
      </c>
      <c r="O76" s="69" t="s">
        <v>34</v>
      </c>
      <c r="P76" s="69" t="s">
        <v>34</v>
      </c>
      <c r="Q76" s="68" t="s">
        <v>34</v>
      </c>
      <c r="R76" s="68" t="s">
        <v>34</v>
      </c>
      <c r="S76" s="68" t="s">
        <v>34</v>
      </c>
      <c r="T76" s="68" t="s">
        <v>34</v>
      </c>
      <c r="U76" s="68" t="s">
        <v>34</v>
      </c>
      <c r="V76" s="68" t="s">
        <v>34</v>
      </c>
      <c r="W76" s="69" t="s">
        <v>34</v>
      </c>
      <c r="X76" s="69" t="s">
        <v>34</v>
      </c>
      <c r="Y76" s="68" t="s">
        <v>34</v>
      </c>
      <c r="Z76" s="68" t="s">
        <v>34</v>
      </c>
      <c r="AA76" s="68" t="s">
        <v>34</v>
      </c>
      <c r="AB76" s="68" t="s">
        <v>34</v>
      </c>
      <c r="AC76" s="68" t="s">
        <v>34</v>
      </c>
      <c r="AD76" s="68" t="s">
        <v>34</v>
      </c>
      <c r="AE76" s="69" t="s">
        <v>34</v>
      </c>
      <c r="AF76" s="69" t="s">
        <v>34</v>
      </c>
      <c r="AG76" s="70">
        <f t="shared" si="17"/>
        <v>0</v>
      </c>
      <c r="AH76" s="71"/>
      <c r="AI76" s="71"/>
      <c r="AJ76" s="71"/>
      <c r="AK76" s="72" t="s">
        <v>52</v>
      </c>
    </row>
    <row r="77" spans="1:37">
      <c r="A77" s="96">
        <v>45621</v>
      </c>
      <c r="B77" s="68">
        <v>1600</v>
      </c>
      <c r="C77" s="68"/>
      <c r="D77" s="66">
        <f>(SUM(粮草!A77:X77)+AG77*10*IF(AK77="是",$AY$4,$AY$3))</f>
        <v>0</v>
      </c>
      <c r="E77" s="101">
        <f>SUM($B$4:B77)+SUM($C$4:C77)-SUM($D$4:D77)</f>
        <v>82988</v>
      </c>
      <c r="F77" s="66">
        <f>SUM(经验!A77:X77)</f>
        <v>0</v>
      </c>
      <c r="G77" s="66">
        <f>SUM($F$4:F77)+SUM($H$4:H77)</f>
        <v>21245</v>
      </c>
      <c r="H77" s="68">
        <v>300</v>
      </c>
      <c r="I77" s="68" t="s">
        <v>34</v>
      </c>
      <c r="J77" s="68" t="s">
        <v>34</v>
      </c>
      <c r="K77" s="68" t="s">
        <v>34</v>
      </c>
      <c r="L77" s="68" t="s">
        <v>34</v>
      </c>
      <c r="M77" s="68" t="s">
        <v>34</v>
      </c>
      <c r="N77" s="68" t="s">
        <v>34</v>
      </c>
      <c r="O77" s="69" t="s">
        <v>34</v>
      </c>
      <c r="P77" s="69" t="s">
        <v>34</v>
      </c>
      <c r="Q77" s="68" t="s">
        <v>34</v>
      </c>
      <c r="R77" s="68" t="s">
        <v>34</v>
      </c>
      <c r="S77" s="68" t="s">
        <v>34</v>
      </c>
      <c r="T77" s="68" t="s">
        <v>34</v>
      </c>
      <c r="U77" s="68" t="s">
        <v>34</v>
      </c>
      <c r="V77" s="68" t="s">
        <v>34</v>
      </c>
      <c r="W77" s="69" t="s">
        <v>34</v>
      </c>
      <c r="X77" s="69" t="s">
        <v>34</v>
      </c>
      <c r="Y77" s="68" t="s">
        <v>34</v>
      </c>
      <c r="Z77" s="68" t="s">
        <v>34</v>
      </c>
      <c r="AA77" s="68" t="s">
        <v>34</v>
      </c>
      <c r="AB77" s="68" t="s">
        <v>34</v>
      </c>
      <c r="AC77" s="68" t="s">
        <v>34</v>
      </c>
      <c r="AD77" s="68" t="s">
        <v>34</v>
      </c>
      <c r="AE77" s="69" t="s">
        <v>34</v>
      </c>
      <c r="AF77" s="69" t="s">
        <v>34</v>
      </c>
      <c r="AG77" s="70">
        <f t="shared" si="17"/>
        <v>0</v>
      </c>
      <c r="AH77" s="71"/>
      <c r="AI77" s="71"/>
      <c r="AJ77" s="71"/>
      <c r="AK77" s="72" t="s">
        <v>52</v>
      </c>
    </row>
    <row r="78" spans="1:37">
      <c r="A78" s="96">
        <v>45622</v>
      </c>
      <c r="B78" s="68">
        <v>1600</v>
      </c>
      <c r="C78" s="68"/>
      <c r="D78" s="66">
        <f>(SUM(粮草!A78:X78)+AG78*10*IF(AK78="是",$AY$4,$AY$3))</f>
        <v>0</v>
      </c>
      <c r="E78" s="101">
        <f>SUM($B$4:B78)+SUM($C$4:C78)-SUM($D$4:D78)</f>
        <v>84588</v>
      </c>
      <c r="F78" s="66">
        <f>SUM(经验!A78:X78)</f>
        <v>0</v>
      </c>
      <c r="G78" s="66">
        <f>SUM($F$4:F78)+SUM($H$4:H78)</f>
        <v>21245</v>
      </c>
      <c r="H78" s="68">
        <v>0</v>
      </c>
      <c r="I78" s="68" t="s">
        <v>34</v>
      </c>
      <c r="J78" s="68" t="s">
        <v>34</v>
      </c>
      <c r="K78" s="68" t="s">
        <v>34</v>
      </c>
      <c r="L78" s="68" t="s">
        <v>34</v>
      </c>
      <c r="M78" s="68" t="s">
        <v>34</v>
      </c>
      <c r="N78" s="68" t="s">
        <v>34</v>
      </c>
      <c r="O78" s="69" t="s">
        <v>34</v>
      </c>
      <c r="P78" s="69" t="s">
        <v>34</v>
      </c>
      <c r="Q78" s="68" t="s">
        <v>34</v>
      </c>
      <c r="R78" s="68" t="s">
        <v>34</v>
      </c>
      <c r="S78" s="68" t="s">
        <v>34</v>
      </c>
      <c r="T78" s="68" t="s">
        <v>34</v>
      </c>
      <c r="U78" s="68" t="s">
        <v>34</v>
      </c>
      <c r="V78" s="68" t="s">
        <v>34</v>
      </c>
      <c r="W78" s="69" t="s">
        <v>34</v>
      </c>
      <c r="X78" s="69" t="s">
        <v>34</v>
      </c>
      <c r="Y78" s="68" t="s">
        <v>34</v>
      </c>
      <c r="Z78" s="68" t="s">
        <v>34</v>
      </c>
      <c r="AA78" s="68" t="s">
        <v>34</v>
      </c>
      <c r="AB78" s="68" t="s">
        <v>34</v>
      </c>
      <c r="AC78" s="68" t="s">
        <v>34</v>
      </c>
      <c r="AD78" s="68" t="s">
        <v>34</v>
      </c>
      <c r="AE78" s="69" t="s">
        <v>34</v>
      </c>
      <c r="AF78" s="69" t="s">
        <v>34</v>
      </c>
      <c r="AG78" s="70">
        <f t="shared" si="17"/>
        <v>0</v>
      </c>
      <c r="AH78" s="71"/>
      <c r="AI78" s="71"/>
      <c r="AJ78" s="71"/>
      <c r="AK78" s="72" t="s">
        <v>52</v>
      </c>
    </row>
    <row r="79" spans="1:37">
      <c r="A79" s="96">
        <v>45623</v>
      </c>
      <c r="B79" s="68">
        <v>1600</v>
      </c>
      <c r="C79" s="68"/>
      <c r="D79" s="66">
        <f>(SUM(粮草!A79:X79)+AG79*10*IF(AK79="是",$AY$4,$AY$3))</f>
        <v>0</v>
      </c>
      <c r="E79" s="101">
        <f>SUM($B$4:B79)+SUM($C$4:C79)-SUM($D$4:D79)</f>
        <v>86188</v>
      </c>
      <c r="F79" s="66">
        <f>SUM(经验!A79:X79)</f>
        <v>0</v>
      </c>
      <c r="G79" s="66">
        <f>SUM($F$4:F79)+SUM($H$4:H79)</f>
        <v>21445</v>
      </c>
      <c r="H79" s="68">
        <v>200</v>
      </c>
      <c r="I79" s="68" t="s">
        <v>34</v>
      </c>
      <c r="J79" s="68" t="s">
        <v>34</v>
      </c>
      <c r="K79" s="68" t="s">
        <v>34</v>
      </c>
      <c r="L79" s="68" t="s">
        <v>34</v>
      </c>
      <c r="M79" s="68" t="s">
        <v>34</v>
      </c>
      <c r="N79" s="68" t="s">
        <v>34</v>
      </c>
      <c r="O79" s="69" t="s">
        <v>34</v>
      </c>
      <c r="P79" s="69" t="s">
        <v>34</v>
      </c>
      <c r="Q79" s="68" t="s">
        <v>34</v>
      </c>
      <c r="R79" s="68" t="s">
        <v>34</v>
      </c>
      <c r="S79" s="68" t="s">
        <v>34</v>
      </c>
      <c r="T79" s="68" t="s">
        <v>34</v>
      </c>
      <c r="U79" s="68" t="s">
        <v>34</v>
      </c>
      <c r="V79" s="68" t="s">
        <v>34</v>
      </c>
      <c r="W79" s="69" t="s">
        <v>34</v>
      </c>
      <c r="X79" s="69" t="s">
        <v>34</v>
      </c>
      <c r="Y79" s="68" t="s">
        <v>34</v>
      </c>
      <c r="Z79" s="68" t="s">
        <v>34</v>
      </c>
      <c r="AA79" s="68" t="s">
        <v>34</v>
      </c>
      <c r="AB79" s="68" t="s">
        <v>34</v>
      </c>
      <c r="AC79" s="68" t="s">
        <v>34</v>
      </c>
      <c r="AD79" s="68" t="s">
        <v>34</v>
      </c>
      <c r="AE79" s="69" t="s">
        <v>34</v>
      </c>
      <c r="AF79" s="69" t="s">
        <v>34</v>
      </c>
      <c r="AG79" s="70">
        <f t="shared" si="17"/>
        <v>0</v>
      </c>
      <c r="AH79" s="71"/>
      <c r="AI79" s="71"/>
      <c r="AJ79" s="71"/>
      <c r="AK79" s="72" t="s">
        <v>52</v>
      </c>
    </row>
    <row r="80" spans="1:37">
      <c r="A80" s="96">
        <v>45624</v>
      </c>
      <c r="B80" s="68">
        <v>1600</v>
      </c>
      <c r="C80" s="68"/>
      <c r="D80" s="66">
        <f>(SUM(粮草!A80:X80)+AG80*10*IF(AK80="是",$AY$4,$AY$3))</f>
        <v>0</v>
      </c>
      <c r="E80" s="101">
        <f>SUM($B$4:B80)+SUM($C$4:C80)-SUM($D$4:D80)</f>
        <v>87788</v>
      </c>
      <c r="F80" s="66">
        <f>SUM(经验!A80:X80)</f>
        <v>0</v>
      </c>
      <c r="G80" s="66">
        <f>SUM($F$4:F80)+SUM($H$4:H80)</f>
        <v>21445</v>
      </c>
      <c r="H80" s="68">
        <v>0</v>
      </c>
      <c r="I80" s="68" t="s">
        <v>34</v>
      </c>
      <c r="J80" s="68" t="s">
        <v>34</v>
      </c>
      <c r="K80" s="68" t="s">
        <v>34</v>
      </c>
      <c r="L80" s="68" t="s">
        <v>34</v>
      </c>
      <c r="M80" s="68" t="s">
        <v>34</v>
      </c>
      <c r="N80" s="68" t="s">
        <v>34</v>
      </c>
      <c r="O80" s="69" t="s">
        <v>34</v>
      </c>
      <c r="P80" s="69" t="s">
        <v>34</v>
      </c>
      <c r="Q80" s="68" t="s">
        <v>34</v>
      </c>
      <c r="R80" s="68" t="s">
        <v>34</v>
      </c>
      <c r="S80" s="68" t="s">
        <v>34</v>
      </c>
      <c r="T80" s="68" t="s">
        <v>34</v>
      </c>
      <c r="U80" s="68" t="s">
        <v>34</v>
      </c>
      <c r="V80" s="68" t="s">
        <v>34</v>
      </c>
      <c r="W80" s="69" t="s">
        <v>34</v>
      </c>
      <c r="X80" s="69" t="s">
        <v>34</v>
      </c>
      <c r="Y80" s="68" t="s">
        <v>34</v>
      </c>
      <c r="Z80" s="68" t="s">
        <v>34</v>
      </c>
      <c r="AA80" s="68" t="s">
        <v>34</v>
      </c>
      <c r="AB80" s="68" t="s">
        <v>34</v>
      </c>
      <c r="AC80" s="68" t="s">
        <v>34</v>
      </c>
      <c r="AD80" s="68" t="s">
        <v>34</v>
      </c>
      <c r="AE80" s="69" t="s">
        <v>34</v>
      </c>
      <c r="AF80" s="69" t="s">
        <v>34</v>
      </c>
      <c r="AG80" s="70">
        <f t="shared" si="17"/>
        <v>0</v>
      </c>
      <c r="AH80" s="71"/>
      <c r="AI80" s="71"/>
      <c r="AJ80" s="71"/>
      <c r="AK80" s="72" t="s">
        <v>52</v>
      </c>
    </row>
    <row r="81" spans="1:37">
      <c r="A81" s="96">
        <v>45625</v>
      </c>
      <c r="B81" s="68">
        <v>1600</v>
      </c>
      <c r="C81" s="68"/>
      <c r="D81" s="66">
        <f>(SUM(粮草!A81:X81)+AG81*10*IF(AK81="是",$AY$4,$AY$3))</f>
        <v>0</v>
      </c>
      <c r="E81" s="101">
        <f>SUM($B$4:B81)+SUM($C$4:C81)-SUM($D$4:D81)</f>
        <v>89388</v>
      </c>
      <c r="F81" s="66">
        <f>SUM(经验!A81:X81)</f>
        <v>0</v>
      </c>
      <c r="G81" s="66">
        <f>SUM($F$4:F81)+SUM($H$4:H81)</f>
        <v>21445</v>
      </c>
      <c r="H81" s="68">
        <v>0</v>
      </c>
      <c r="I81" s="68" t="s">
        <v>34</v>
      </c>
      <c r="J81" s="68" t="s">
        <v>34</v>
      </c>
      <c r="K81" s="68" t="s">
        <v>34</v>
      </c>
      <c r="L81" s="68" t="s">
        <v>34</v>
      </c>
      <c r="M81" s="68" t="s">
        <v>34</v>
      </c>
      <c r="N81" s="68" t="s">
        <v>34</v>
      </c>
      <c r="O81" s="69" t="s">
        <v>34</v>
      </c>
      <c r="P81" s="69" t="s">
        <v>34</v>
      </c>
      <c r="Q81" s="68" t="s">
        <v>34</v>
      </c>
      <c r="R81" s="68" t="s">
        <v>34</v>
      </c>
      <c r="S81" s="68" t="s">
        <v>34</v>
      </c>
      <c r="T81" s="68" t="s">
        <v>34</v>
      </c>
      <c r="U81" s="68" t="s">
        <v>34</v>
      </c>
      <c r="V81" s="68" t="s">
        <v>34</v>
      </c>
      <c r="W81" s="69" t="s">
        <v>34</v>
      </c>
      <c r="X81" s="69" t="s">
        <v>34</v>
      </c>
      <c r="Y81" s="68" t="s">
        <v>34</v>
      </c>
      <c r="Z81" s="68" t="s">
        <v>34</v>
      </c>
      <c r="AA81" s="68" t="s">
        <v>34</v>
      </c>
      <c r="AB81" s="68" t="s">
        <v>34</v>
      </c>
      <c r="AC81" s="68" t="s">
        <v>34</v>
      </c>
      <c r="AD81" s="68" t="s">
        <v>34</v>
      </c>
      <c r="AE81" s="69" t="s">
        <v>34</v>
      </c>
      <c r="AF81" s="69" t="s">
        <v>34</v>
      </c>
      <c r="AG81" s="70">
        <f t="shared" si="17"/>
        <v>0</v>
      </c>
      <c r="AH81" s="71"/>
      <c r="AI81" s="71"/>
      <c r="AJ81" s="71"/>
      <c r="AK81" s="72" t="s">
        <v>52</v>
      </c>
    </row>
    <row r="82" spans="1:37">
      <c r="A82" s="96">
        <v>45626</v>
      </c>
      <c r="B82" s="68">
        <v>1600</v>
      </c>
      <c r="C82" s="68"/>
      <c r="D82" s="66">
        <f>(SUM(粮草!A82:X82)+AG82*10*IF(AK82="是",$AY$4,$AY$3))</f>
        <v>0</v>
      </c>
      <c r="E82" s="101">
        <f>SUM($B$4:B82)+SUM($C$4:C82)-SUM($D$4:D82)</f>
        <v>90988</v>
      </c>
      <c r="F82" s="66">
        <f>SUM(经验!A82:X82)</f>
        <v>0</v>
      </c>
      <c r="G82" s="66">
        <f>SUM($F$4:F82)+SUM($H$4:H82)</f>
        <v>21445</v>
      </c>
      <c r="H82" s="68">
        <v>0</v>
      </c>
      <c r="I82" s="68" t="s">
        <v>34</v>
      </c>
      <c r="J82" s="68" t="s">
        <v>34</v>
      </c>
      <c r="K82" s="68" t="s">
        <v>34</v>
      </c>
      <c r="L82" s="68" t="s">
        <v>34</v>
      </c>
      <c r="M82" s="68" t="s">
        <v>34</v>
      </c>
      <c r="N82" s="68" t="s">
        <v>34</v>
      </c>
      <c r="O82" s="69" t="s">
        <v>34</v>
      </c>
      <c r="P82" s="69" t="s">
        <v>34</v>
      </c>
      <c r="Q82" s="68" t="s">
        <v>34</v>
      </c>
      <c r="R82" s="68" t="s">
        <v>34</v>
      </c>
      <c r="S82" s="68" t="s">
        <v>34</v>
      </c>
      <c r="T82" s="68" t="s">
        <v>34</v>
      </c>
      <c r="U82" s="68" t="s">
        <v>34</v>
      </c>
      <c r="V82" s="68" t="s">
        <v>34</v>
      </c>
      <c r="W82" s="69" t="s">
        <v>34</v>
      </c>
      <c r="X82" s="69" t="s">
        <v>34</v>
      </c>
      <c r="Y82" s="68" t="s">
        <v>34</v>
      </c>
      <c r="Z82" s="68" t="s">
        <v>34</v>
      </c>
      <c r="AA82" s="68" t="s">
        <v>34</v>
      </c>
      <c r="AB82" s="68" t="s">
        <v>34</v>
      </c>
      <c r="AC82" s="68" t="s">
        <v>34</v>
      </c>
      <c r="AD82" s="68" t="s">
        <v>34</v>
      </c>
      <c r="AE82" s="69" t="s">
        <v>34</v>
      </c>
      <c r="AF82" s="69" t="s">
        <v>34</v>
      </c>
      <c r="AG82" s="70">
        <f t="shared" si="17"/>
        <v>0</v>
      </c>
      <c r="AH82" s="71"/>
      <c r="AI82" s="71"/>
      <c r="AJ82" s="71"/>
      <c r="AK82" s="72" t="s">
        <v>52</v>
      </c>
    </row>
    <row r="83" spans="1:37">
      <c r="A83" s="96">
        <v>45627</v>
      </c>
      <c r="B83" s="68">
        <v>1600</v>
      </c>
      <c r="C83" s="68"/>
      <c r="D83" s="66">
        <f>(SUM(粮草!A83:X83)+AG83*10*IF(AK83="是",$AY$4,$AY$3))</f>
        <v>0</v>
      </c>
      <c r="E83" s="101">
        <f>SUM($B$4:B83)+SUM($C$4:C83)-SUM($D$4:D83)</f>
        <v>92588</v>
      </c>
      <c r="F83" s="66">
        <f>SUM(经验!A83:X83)</f>
        <v>0</v>
      </c>
      <c r="G83" s="66">
        <f>SUM($F$4:F83)+SUM($H$4:H83)</f>
        <v>21445</v>
      </c>
      <c r="H83" s="68">
        <v>0</v>
      </c>
      <c r="I83" s="68" t="s">
        <v>34</v>
      </c>
      <c r="J83" s="68" t="s">
        <v>34</v>
      </c>
      <c r="K83" s="68" t="s">
        <v>34</v>
      </c>
      <c r="L83" s="68" t="s">
        <v>34</v>
      </c>
      <c r="M83" s="68" t="s">
        <v>34</v>
      </c>
      <c r="N83" s="68" t="s">
        <v>34</v>
      </c>
      <c r="O83" s="69" t="s">
        <v>34</v>
      </c>
      <c r="P83" s="69" t="s">
        <v>34</v>
      </c>
      <c r="Q83" s="68" t="s">
        <v>34</v>
      </c>
      <c r="R83" s="68" t="s">
        <v>34</v>
      </c>
      <c r="S83" s="68" t="s">
        <v>34</v>
      </c>
      <c r="T83" s="68" t="s">
        <v>34</v>
      </c>
      <c r="U83" s="68" t="s">
        <v>34</v>
      </c>
      <c r="V83" s="68" t="s">
        <v>34</v>
      </c>
      <c r="W83" s="69" t="s">
        <v>34</v>
      </c>
      <c r="X83" s="69" t="s">
        <v>34</v>
      </c>
      <c r="Y83" s="68" t="s">
        <v>34</v>
      </c>
      <c r="Z83" s="68" t="s">
        <v>34</v>
      </c>
      <c r="AA83" s="68" t="s">
        <v>34</v>
      </c>
      <c r="AB83" s="68" t="s">
        <v>34</v>
      </c>
      <c r="AC83" s="68" t="s">
        <v>34</v>
      </c>
      <c r="AD83" s="68" t="s">
        <v>34</v>
      </c>
      <c r="AE83" s="69" t="s">
        <v>34</v>
      </c>
      <c r="AF83" s="69" t="s">
        <v>34</v>
      </c>
      <c r="AG83" s="70">
        <f t="shared" si="17"/>
        <v>0</v>
      </c>
      <c r="AH83" s="71"/>
      <c r="AI83" s="71"/>
      <c r="AJ83" s="71"/>
      <c r="AK83" s="72" t="s">
        <v>52</v>
      </c>
    </row>
    <row r="84" spans="1:37">
      <c r="A84" s="96">
        <v>45628</v>
      </c>
      <c r="B84" s="66">
        <v>1600</v>
      </c>
      <c r="C84" s="67"/>
      <c r="D84" s="66">
        <f>(SUM(粮草!A84:X84)+AG84*10*IF(AK84="是",$AY$4,$AY$3))</f>
        <v>0</v>
      </c>
      <c r="E84" s="101">
        <f>SUM($B$4:B84)+SUM($C$4:C84)-SUM($D$4:D84)</f>
        <v>94188</v>
      </c>
      <c r="F84" s="66">
        <f>SUM(经验!A84:X84)</f>
        <v>0</v>
      </c>
      <c r="G84" s="66">
        <f>SUM($F$4:F84)+SUM($H$4:H84)</f>
        <v>21645</v>
      </c>
      <c r="H84" s="66">
        <v>200</v>
      </c>
      <c r="I84" s="68" t="s">
        <v>34</v>
      </c>
      <c r="J84" s="68" t="s">
        <v>34</v>
      </c>
      <c r="K84" s="68" t="s">
        <v>34</v>
      </c>
      <c r="L84" s="68" t="s">
        <v>34</v>
      </c>
      <c r="M84" s="68" t="s">
        <v>34</v>
      </c>
      <c r="N84" s="68" t="s">
        <v>34</v>
      </c>
      <c r="O84" s="69" t="s">
        <v>34</v>
      </c>
      <c r="P84" s="69" t="s">
        <v>34</v>
      </c>
      <c r="Q84" s="68" t="s">
        <v>34</v>
      </c>
      <c r="R84" s="68" t="s">
        <v>34</v>
      </c>
      <c r="S84" s="68" t="s">
        <v>34</v>
      </c>
      <c r="T84" s="68" t="s">
        <v>34</v>
      </c>
      <c r="U84" s="68" t="s">
        <v>34</v>
      </c>
      <c r="V84" s="68" t="s">
        <v>34</v>
      </c>
      <c r="W84" s="69" t="s">
        <v>34</v>
      </c>
      <c r="X84" s="69" t="s">
        <v>34</v>
      </c>
      <c r="Y84" s="68" t="s">
        <v>34</v>
      </c>
      <c r="Z84" s="68" t="s">
        <v>34</v>
      </c>
      <c r="AA84" s="68" t="s">
        <v>34</v>
      </c>
      <c r="AB84" s="68" t="s">
        <v>34</v>
      </c>
      <c r="AC84" s="68" t="s">
        <v>34</v>
      </c>
      <c r="AD84" s="68" t="s">
        <v>34</v>
      </c>
      <c r="AE84" s="69" t="s">
        <v>34</v>
      </c>
      <c r="AF84" s="69" t="s">
        <v>34</v>
      </c>
      <c r="AG84" s="70">
        <f t="shared" si="17"/>
        <v>0</v>
      </c>
      <c r="AH84" s="71"/>
      <c r="AI84" s="71"/>
      <c r="AJ84" s="71"/>
      <c r="AK84" s="72" t="s">
        <v>52</v>
      </c>
    </row>
    <row r="85" spans="1:37">
      <c r="A85" s="96">
        <v>45629</v>
      </c>
      <c r="B85" s="66">
        <v>1600</v>
      </c>
      <c r="C85" s="67"/>
      <c r="D85" s="66">
        <f>(SUM(粮草!A85:X85)+AG85*10*IF(AK85="是",$AY$4,$AY$3))</f>
        <v>0</v>
      </c>
      <c r="E85" s="101">
        <f>SUM($B$4:B85)+SUM($C$4:C85)-SUM($D$4:D85)</f>
        <v>95788</v>
      </c>
      <c r="F85" s="66">
        <f>SUM(经验!A85:X85)</f>
        <v>0</v>
      </c>
      <c r="G85" s="66">
        <f>SUM($F$4:F85)+SUM($H$4:H85)</f>
        <v>21645</v>
      </c>
      <c r="H85" s="66">
        <v>0</v>
      </c>
      <c r="I85" s="68" t="s">
        <v>34</v>
      </c>
      <c r="J85" s="68" t="s">
        <v>34</v>
      </c>
      <c r="K85" s="68" t="s">
        <v>34</v>
      </c>
      <c r="L85" s="68" t="s">
        <v>34</v>
      </c>
      <c r="M85" s="68" t="s">
        <v>34</v>
      </c>
      <c r="N85" s="68" t="s">
        <v>34</v>
      </c>
      <c r="O85" s="69" t="s">
        <v>34</v>
      </c>
      <c r="P85" s="69" t="s">
        <v>34</v>
      </c>
      <c r="Q85" s="68" t="s">
        <v>34</v>
      </c>
      <c r="R85" s="68" t="s">
        <v>34</v>
      </c>
      <c r="S85" s="68" t="s">
        <v>34</v>
      </c>
      <c r="T85" s="68" t="s">
        <v>34</v>
      </c>
      <c r="U85" s="68" t="s">
        <v>34</v>
      </c>
      <c r="V85" s="68" t="s">
        <v>34</v>
      </c>
      <c r="W85" s="69" t="s">
        <v>34</v>
      </c>
      <c r="X85" s="69" t="s">
        <v>34</v>
      </c>
      <c r="Y85" s="68" t="s">
        <v>34</v>
      </c>
      <c r="Z85" s="68" t="s">
        <v>34</v>
      </c>
      <c r="AA85" s="68" t="s">
        <v>34</v>
      </c>
      <c r="AB85" s="68" t="s">
        <v>34</v>
      </c>
      <c r="AC85" s="68" t="s">
        <v>34</v>
      </c>
      <c r="AD85" s="68" t="s">
        <v>34</v>
      </c>
      <c r="AE85" s="69" t="s">
        <v>34</v>
      </c>
      <c r="AF85" s="69" t="s">
        <v>34</v>
      </c>
      <c r="AG85" s="70">
        <f t="shared" si="17"/>
        <v>0</v>
      </c>
      <c r="AH85" s="71"/>
      <c r="AI85" s="71"/>
      <c r="AJ85" s="71"/>
      <c r="AK85" s="72" t="s">
        <v>52</v>
      </c>
    </row>
    <row r="86" spans="1:37">
      <c r="A86" s="96">
        <v>45630</v>
      </c>
      <c r="B86" s="66">
        <v>1600</v>
      </c>
      <c r="C86" s="67"/>
      <c r="D86" s="66">
        <f>(SUM(粮草!A86:X86)+AG86*10*IF(AK86="是",$AY$4,$AY$3))</f>
        <v>0</v>
      </c>
      <c r="E86" s="101">
        <f>SUM($B$4:B86)+SUM($C$4:C86)-SUM($D$4:D86)</f>
        <v>97388</v>
      </c>
      <c r="F86" s="66">
        <f>SUM(经验!A86:X86)</f>
        <v>0</v>
      </c>
      <c r="G86" s="66">
        <f>SUM($F$4:F86)+SUM($H$4:H86)</f>
        <v>21945</v>
      </c>
      <c r="H86" s="66">
        <v>300</v>
      </c>
      <c r="I86" s="68" t="s">
        <v>34</v>
      </c>
      <c r="J86" s="68" t="s">
        <v>34</v>
      </c>
      <c r="K86" s="68" t="s">
        <v>34</v>
      </c>
      <c r="L86" s="68" t="s">
        <v>34</v>
      </c>
      <c r="M86" s="68" t="s">
        <v>34</v>
      </c>
      <c r="N86" s="68" t="s">
        <v>34</v>
      </c>
      <c r="O86" s="69" t="s">
        <v>34</v>
      </c>
      <c r="P86" s="69" t="s">
        <v>34</v>
      </c>
      <c r="Q86" s="68" t="s">
        <v>34</v>
      </c>
      <c r="R86" s="68" t="s">
        <v>34</v>
      </c>
      <c r="S86" s="68" t="s">
        <v>34</v>
      </c>
      <c r="T86" s="68" t="s">
        <v>34</v>
      </c>
      <c r="U86" s="68" t="s">
        <v>34</v>
      </c>
      <c r="V86" s="68" t="s">
        <v>34</v>
      </c>
      <c r="W86" s="69" t="s">
        <v>34</v>
      </c>
      <c r="X86" s="69" t="s">
        <v>34</v>
      </c>
      <c r="Y86" s="68" t="s">
        <v>34</v>
      </c>
      <c r="Z86" s="68" t="s">
        <v>34</v>
      </c>
      <c r="AA86" s="68" t="s">
        <v>34</v>
      </c>
      <c r="AB86" s="68" t="s">
        <v>34</v>
      </c>
      <c r="AC86" s="68" t="s">
        <v>34</v>
      </c>
      <c r="AD86" s="68" t="s">
        <v>34</v>
      </c>
      <c r="AE86" s="69" t="s">
        <v>34</v>
      </c>
      <c r="AF86" s="69" t="s">
        <v>34</v>
      </c>
      <c r="AG86" s="70">
        <f t="shared" si="17"/>
        <v>0</v>
      </c>
      <c r="AH86" s="71"/>
      <c r="AI86" s="71"/>
      <c r="AJ86" s="71"/>
      <c r="AK86" s="72" t="s">
        <v>52</v>
      </c>
    </row>
    <row r="87" spans="1:37">
      <c r="A87" s="96">
        <v>45631</v>
      </c>
      <c r="B87" s="66">
        <v>1600</v>
      </c>
      <c r="C87" s="67"/>
      <c r="D87" s="66">
        <f>(SUM(粮草!A87:X87)+AG87*10*IF(AK87="是",$AY$4,$AY$3))</f>
        <v>0</v>
      </c>
      <c r="E87" s="101">
        <f>SUM($B$4:B87)+SUM($C$4:C87)-SUM($D$4:D87)</f>
        <v>98988</v>
      </c>
      <c r="F87" s="66">
        <f>SUM(经验!A87:X87)</f>
        <v>0</v>
      </c>
      <c r="G87" s="66">
        <f>SUM($F$4:F87)+SUM($H$4:H87)</f>
        <v>21945</v>
      </c>
      <c r="H87" s="66">
        <v>0</v>
      </c>
      <c r="I87" s="68" t="s">
        <v>34</v>
      </c>
      <c r="J87" s="68" t="s">
        <v>34</v>
      </c>
      <c r="K87" s="68" t="s">
        <v>34</v>
      </c>
      <c r="L87" s="68" t="s">
        <v>34</v>
      </c>
      <c r="M87" s="68" t="s">
        <v>34</v>
      </c>
      <c r="N87" s="68" t="s">
        <v>34</v>
      </c>
      <c r="O87" s="69" t="s">
        <v>34</v>
      </c>
      <c r="P87" s="69" t="s">
        <v>34</v>
      </c>
      <c r="Q87" s="68" t="s">
        <v>34</v>
      </c>
      <c r="R87" s="68" t="s">
        <v>34</v>
      </c>
      <c r="S87" s="68" t="s">
        <v>34</v>
      </c>
      <c r="T87" s="68" t="s">
        <v>34</v>
      </c>
      <c r="U87" s="68" t="s">
        <v>34</v>
      </c>
      <c r="V87" s="68" t="s">
        <v>34</v>
      </c>
      <c r="W87" s="69" t="s">
        <v>34</v>
      </c>
      <c r="X87" s="69" t="s">
        <v>34</v>
      </c>
      <c r="Y87" s="68" t="s">
        <v>34</v>
      </c>
      <c r="Z87" s="68" t="s">
        <v>34</v>
      </c>
      <c r="AA87" s="68" t="s">
        <v>34</v>
      </c>
      <c r="AB87" s="68" t="s">
        <v>34</v>
      </c>
      <c r="AC87" s="68" t="s">
        <v>34</v>
      </c>
      <c r="AD87" s="68" t="s">
        <v>34</v>
      </c>
      <c r="AE87" s="69" t="s">
        <v>34</v>
      </c>
      <c r="AF87" s="69" t="s">
        <v>34</v>
      </c>
      <c r="AG87" s="70">
        <f t="shared" si="17"/>
        <v>0</v>
      </c>
      <c r="AH87" s="71"/>
      <c r="AI87" s="71"/>
      <c r="AJ87" s="71"/>
      <c r="AK87" s="72" t="s">
        <v>52</v>
      </c>
    </row>
    <row r="88" spans="1:37">
      <c r="A88" s="96">
        <v>45632</v>
      </c>
      <c r="B88" s="66">
        <v>1600</v>
      </c>
      <c r="C88" s="67"/>
      <c r="D88" s="66">
        <f>(SUM(粮草!A88:X88)+AG88*10*IF(AK88="是",$AY$4,$AY$3))</f>
        <v>0</v>
      </c>
      <c r="E88" s="101">
        <f>SUM($B$4:B88)+SUM($C$4:C88)-SUM($D$4:D88)</f>
        <v>100588</v>
      </c>
      <c r="F88" s="66">
        <f>SUM(经验!A88:X88)</f>
        <v>0</v>
      </c>
      <c r="G88" s="66">
        <f>SUM($F$4:F88)+SUM($H$4:H88)</f>
        <v>21945</v>
      </c>
      <c r="H88" s="66">
        <v>0</v>
      </c>
      <c r="I88" s="68" t="s">
        <v>34</v>
      </c>
      <c r="J88" s="68" t="s">
        <v>34</v>
      </c>
      <c r="K88" s="68" t="s">
        <v>34</v>
      </c>
      <c r="L88" s="68" t="s">
        <v>34</v>
      </c>
      <c r="M88" s="68" t="s">
        <v>34</v>
      </c>
      <c r="N88" s="68" t="s">
        <v>34</v>
      </c>
      <c r="O88" s="69" t="s">
        <v>34</v>
      </c>
      <c r="P88" s="69" t="s">
        <v>34</v>
      </c>
      <c r="Q88" s="68" t="s">
        <v>34</v>
      </c>
      <c r="R88" s="68" t="s">
        <v>34</v>
      </c>
      <c r="S88" s="68" t="s">
        <v>34</v>
      </c>
      <c r="T88" s="68" t="s">
        <v>34</v>
      </c>
      <c r="U88" s="68" t="s">
        <v>34</v>
      </c>
      <c r="V88" s="68" t="s">
        <v>34</v>
      </c>
      <c r="W88" s="69" t="s">
        <v>34</v>
      </c>
      <c r="X88" s="69" t="s">
        <v>34</v>
      </c>
      <c r="Y88" s="68" t="s">
        <v>34</v>
      </c>
      <c r="Z88" s="68" t="s">
        <v>34</v>
      </c>
      <c r="AA88" s="68" t="s">
        <v>34</v>
      </c>
      <c r="AB88" s="68" t="s">
        <v>34</v>
      </c>
      <c r="AC88" s="68" t="s">
        <v>34</v>
      </c>
      <c r="AD88" s="68" t="s">
        <v>34</v>
      </c>
      <c r="AE88" s="69" t="s">
        <v>34</v>
      </c>
      <c r="AF88" s="69" t="s">
        <v>34</v>
      </c>
      <c r="AG88" s="70">
        <f t="shared" si="17"/>
        <v>0</v>
      </c>
      <c r="AH88" s="71"/>
      <c r="AI88" s="71"/>
      <c r="AJ88" s="71"/>
      <c r="AK88" s="72" t="s">
        <v>52</v>
      </c>
    </row>
    <row r="89" spans="1:37">
      <c r="A89" s="96">
        <v>45633</v>
      </c>
      <c r="B89" s="66">
        <v>1600</v>
      </c>
      <c r="C89" s="67"/>
      <c r="D89" s="66">
        <f>(SUM(粮草!A89:X89)+AG89*10*IF(AK89="是",$AY$4,$AY$3))</f>
        <v>0</v>
      </c>
      <c r="E89" s="101">
        <f>SUM($B$4:B89)+SUM($C$4:C89)-SUM($D$4:D89)</f>
        <v>102188</v>
      </c>
      <c r="F89" s="66">
        <f>SUM(经验!A89:X89)</f>
        <v>0</v>
      </c>
      <c r="G89" s="66">
        <f>SUM($F$4:F89)+SUM($H$4:H89)</f>
        <v>21945</v>
      </c>
      <c r="H89" s="66">
        <v>0</v>
      </c>
      <c r="I89" s="68" t="s">
        <v>34</v>
      </c>
      <c r="J89" s="68" t="s">
        <v>34</v>
      </c>
      <c r="K89" s="68" t="s">
        <v>34</v>
      </c>
      <c r="L89" s="68" t="s">
        <v>34</v>
      </c>
      <c r="M89" s="68" t="s">
        <v>34</v>
      </c>
      <c r="N89" s="68" t="s">
        <v>34</v>
      </c>
      <c r="O89" s="69" t="s">
        <v>34</v>
      </c>
      <c r="P89" s="69" t="s">
        <v>34</v>
      </c>
      <c r="Q89" s="68" t="s">
        <v>34</v>
      </c>
      <c r="R89" s="68" t="s">
        <v>34</v>
      </c>
      <c r="S89" s="68" t="s">
        <v>34</v>
      </c>
      <c r="T89" s="68" t="s">
        <v>34</v>
      </c>
      <c r="U89" s="68" t="s">
        <v>34</v>
      </c>
      <c r="V89" s="68" t="s">
        <v>34</v>
      </c>
      <c r="W89" s="69" t="s">
        <v>34</v>
      </c>
      <c r="X89" s="69" t="s">
        <v>34</v>
      </c>
      <c r="Y89" s="68" t="s">
        <v>34</v>
      </c>
      <c r="Z89" s="68" t="s">
        <v>34</v>
      </c>
      <c r="AA89" s="68" t="s">
        <v>34</v>
      </c>
      <c r="AB89" s="68" t="s">
        <v>34</v>
      </c>
      <c r="AC89" s="68" t="s">
        <v>34</v>
      </c>
      <c r="AD89" s="68" t="s">
        <v>34</v>
      </c>
      <c r="AE89" s="69" t="s">
        <v>34</v>
      </c>
      <c r="AF89" s="69" t="s">
        <v>34</v>
      </c>
      <c r="AG89" s="70">
        <f t="shared" si="17"/>
        <v>0</v>
      </c>
      <c r="AH89" s="71"/>
      <c r="AI89" s="71"/>
      <c r="AJ89" s="71"/>
      <c r="AK89" s="72" t="s">
        <v>52</v>
      </c>
    </row>
    <row r="90" spans="1:37">
      <c r="A90" s="96">
        <v>45634</v>
      </c>
      <c r="B90" s="66">
        <v>1600</v>
      </c>
      <c r="C90" s="67"/>
      <c r="D90" s="66">
        <f>(SUM(粮草!A90:X90)+AG90*10*IF(AK90="是",$AY$4,$AY$3))</f>
        <v>0</v>
      </c>
      <c r="E90" s="101">
        <f>SUM($B$4:B90)+SUM($C$4:C90)-SUM($D$4:D90)</f>
        <v>103788</v>
      </c>
      <c r="F90" s="66">
        <f>SUM(经验!A90:X90)</f>
        <v>0</v>
      </c>
      <c r="G90" s="66">
        <f>SUM($F$4:F90)+SUM($H$4:H90)</f>
        <v>21945</v>
      </c>
      <c r="H90" s="66">
        <v>0</v>
      </c>
      <c r="I90" s="68" t="s">
        <v>34</v>
      </c>
      <c r="J90" s="68" t="s">
        <v>34</v>
      </c>
      <c r="K90" s="68" t="s">
        <v>34</v>
      </c>
      <c r="L90" s="68" t="s">
        <v>34</v>
      </c>
      <c r="M90" s="68" t="s">
        <v>34</v>
      </c>
      <c r="N90" s="68" t="s">
        <v>34</v>
      </c>
      <c r="O90" s="69" t="s">
        <v>34</v>
      </c>
      <c r="P90" s="69" t="s">
        <v>34</v>
      </c>
      <c r="Q90" s="68" t="s">
        <v>34</v>
      </c>
      <c r="R90" s="68" t="s">
        <v>34</v>
      </c>
      <c r="S90" s="68" t="s">
        <v>34</v>
      </c>
      <c r="T90" s="68" t="s">
        <v>34</v>
      </c>
      <c r="U90" s="68" t="s">
        <v>34</v>
      </c>
      <c r="V90" s="68" t="s">
        <v>34</v>
      </c>
      <c r="W90" s="69" t="s">
        <v>34</v>
      </c>
      <c r="X90" s="69" t="s">
        <v>34</v>
      </c>
      <c r="Y90" s="68" t="s">
        <v>34</v>
      </c>
      <c r="Z90" s="68" t="s">
        <v>34</v>
      </c>
      <c r="AA90" s="68" t="s">
        <v>34</v>
      </c>
      <c r="AB90" s="68" t="s">
        <v>34</v>
      </c>
      <c r="AC90" s="68" t="s">
        <v>34</v>
      </c>
      <c r="AD90" s="68" t="s">
        <v>34</v>
      </c>
      <c r="AE90" s="69" t="s">
        <v>34</v>
      </c>
      <c r="AF90" s="69" t="s">
        <v>34</v>
      </c>
      <c r="AG90" s="70">
        <f t="shared" si="17"/>
        <v>0</v>
      </c>
      <c r="AH90" s="71"/>
      <c r="AI90" s="71"/>
      <c r="AJ90" s="71"/>
      <c r="AK90" s="72" t="s">
        <v>52</v>
      </c>
    </row>
    <row r="91" spans="1:37">
      <c r="A91" s="96">
        <v>45635</v>
      </c>
      <c r="B91" s="68">
        <v>1600</v>
      </c>
      <c r="C91" s="68"/>
      <c r="D91" s="66">
        <f>(SUM(粮草!A91:X91)+AG91*10*IF(AK91="是",$AY$4,$AY$3))</f>
        <v>1776</v>
      </c>
      <c r="E91" s="101">
        <f>SUM($B$4:B91)+SUM($C$4:C91)-SUM($D$4:D91)</f>
        <v>103612</v>
      </c>
      <c r="F91" s="66">
        <f>SUM(经验!A91:X91)</f>
        <v>610</v>
      </c>
      <c r="G91" s="66">
        <f>SUM($F$4:F91)+SUM($H$4:H91)</f>
        <v>22755</v>
      </c>
      <c r="H91" s="68">
        <v>200</v>
      </c>
      <c r="I91" s="74" t="s">
        <v>37</v>
      </c>
      <c r="J91" s="74" t="s">
        <v>37</v>
      </c>
      <c r="K91" s="74" t="s">
        <v>37</v>
      </c>
      <c r="L91" s="74" t="s">
        <v>37</v>
      </c>
      <c r="M91" s="74" t="s">
        <v>37</v>
      </c>
      <c r="N91" s="83" t="s">
        <v>39</v>
      </c>
      <c r="O91" s="69" t="s">
        <v>34</v>
      </c>
      <c r="P91" s="69" t="s">
        <v>34</v>
      </c>
      <c r="Q91" s="74" t="s">
        <v>37</v>
      </c>
      <c r="R91" s="74" t="s">
        <v>37</v>
      </c>
      <c r="S91" s="74" t="s">
        <v>37</v>
      </c>
      <c r="T91" s="74" t="s">
        <v>37</v>
      </c>
      <c r="U91" s="83" t="s">
        <v>39</v>
      </c>
      <c r="V91" s="68" t="s">
        <v>34</v>
      </c>
      <c r="W91" s="69" t="s">
        <v>34</v>
      </c>
      <c r="X91" s="69" t="s">
        <v>34</v>
      </c>
      <c r="Y91" s="74" t="s">
        <v>37</v>
      </c>
      <c r="Z91" s="83" t="s">
        <v>39</v>
      </c>
      <c r="AA91" s="74" t="s">
        <v>37</v>
      </c>
      <c r="AB91" s="79" t="s">
        <v>41</v>
      </c>
      <c r="AC91" s="74" t="s">
        <v>37</v>
      </c>
      <c r="AD91" s="68" t="s">
        <v>34</v>
      </c>
      <c r="AE91" s="69" t="s">
        <v>34</v>
      </c>
      <c r="AF91" s="69" t="s">
        <v>34</v>
      </c>
      <c r="AG91" s="70">
        <f t="shared" si="17"/>
        <v>0</v>
      </c>
      <c r="AH91" s="71"/>
      <c r="AI91" s="71"/>
      <c r="AJ91" s="71"/>
      <c r="AK91" s="72" t="s">
        <v>52</v>
      </c>
    </row>
    <row r="92" spans="1:37">
      <c r="A92" s="96">
        <v>45636</v>
      </c>
      <c r="B92" s="68">
        <v>1600</v>
      </c>
      <c r="C92" s="68"/>
      <c r="D92" s="66">
        <f>(SUM(粮草!A92:X92)+AG92*10*IF(AK92="是",$AY$4,$AY$3))</f>
        <v>672</v>
      </c>
      <c r="E92" s="101">
        <f>SUM($B$4:B92)+SUM($C$4:C92)-SUM($D$4:D92)</f>
        <v>104540</v>
      </c>
      <c r="F92" s="66">
        <f>SUM(经验!A92:X92)</f>
        <v>225</v>
      </c>
      <c r="G92" s="66">
        <f>SUM($F$4:F92)+SUM($H$4:H92)</f>
        <v>23080</v>
      </c>
      <c r="H92" s="68">
        <v>100</v>
      </c>
      <c r="I92" s="74" t="s">
        <v>37</v>
      </c>
      <c r="J92" s="74" t="s">
        <v>37</v>
      </c>
      <c r="K92" s="73" t="s">
        <v>33</v>
      </c>
      <c r="L92" s="74" t="s">
        <v>37</v>
      </c>
      <c r="M92" s="74" t="s">
        <v>37</v>
      </c>
      <c r="N92" s="83" t="s">
        <v>39</v>
      </c>
      <c r="O92" s="69" t="s">
        <v>34</v>
      </c>
      <c r="P92" s="69" t="s">
        <v>34</v>
      </c>
      <c r="Q92" s="68" t="s">
        <v>34</v>
      </c>
      <c r="R92" s="68" t="s">
        <v>34</v>
      </c>
      <c r="S92" s="68" t="s">
        <v>34</v>
      </c>
      <c r="T92" s="68" t="s">
        <v>34</v>
      </c>
      <c r="U92" s="68" t="s">
        <v>34</v>
      </c>
      <c r="V92" s="68" t="s">
        <v>34</v>
      </c>
      <c r="W92" s="69" t="s">
        <v>34</v>
      </c>
      <c r="X92" s="69" t="s">
        <v>34</v>
      </c>
      <c r="Y92" s="68" t="s">
        <v>34</v>
      </c>
      <c r="Z92" s="68" t="s">
        <v>34</v>
      </c>
      <c r="AA92" s="68" t="s">
        <v>34</v>
      </c>
      <c r="AB92" s="68" t="s">
        <v>34</v>
      </c>
      <c r="AC92" s="68" t="s">
        <v>34</v>
      </c>
      <c r="AD92" s="68" t="s">
        <v>34</v>
      </c>
      <c r="AE92" s="69" t="s">
        <v>34</v>
      </c>
      <c r="AF92" s="69" t="s">
        <v>34</v>
      </c>
      <c r="AG92" s="70">
        <f t="shared" si="17"/>
        <v>0</v>
      </c>
      <c r="AH92" s="71"/>
      <c r="AI92" s="71"/>
      <c r="AJ92" s="71"/>
      <c r="AK92" s="72" t="s">
        <v>52</v>
      </c>
    </row>
    <row r="93" spans="1:37">
      <c r="A93" s="96">
        <v>45637</v>
      </c>
      <c r="B93" s="68">
        <v>1600</v>
      </c>
      <c r="C93" s="68">
        <v>40</v>
      </c>
      <c r="D93" s="66">
        <f>(SUM(粮草!A93:X93)+AG93*10*IF(AK93="是",$AY$4,$AY$3))</f>
        <v>128</v>
      </c>
      <c r="E93" s="101">
        <f>SUM($B$4:B93)+SUM($C$4:C93)-SUM($D$4:D93)</f>
        <v>106052</v>
      </c>
      <c r="F93" s="66">
        <f>SUM(经验!A93:X93)</f>
        <v>0</v>
      </c>
      <c r="G93" s="66">
        <f>SUM($F$4:F93)+SUM($H$4:H93)</f>
        <v>23280</v>
      </c>
      <c r="H93" s="68">
        <v>200</v>
      </c>
      <c r="I93" s="68" t="s">
        <v>34</v>
      </c>
      <c r="J93" s="68" t="s">
        <v>34</v>
      </c>
      <c r="K93" s="68" t="s">
        <v>34</v>
      </c>
      <c r="L93" s="68" t="s">
        <v>34</v>
      </c>
      <c r="M93" s="68" t="s">
        <v>34</v>
      </c>
      <c r="N93" s="68" t="s">
        <v>34</v>
      </c>
      <c r="O93" s="69" t="s">
        <v>34</v>
      </c>
      <c r="P93" s="69" t="s">
        <v>34</v>
      </c>
      <c r="Q93" s="68" t="s">
        <v>34</v>
      </c>
      <c r="R93" s="68" t="s">
        <v>34</v>
      </c>
      <c r="S93" s="68" t="s">
        <v>34</v>
      </c>
      <c r="T93" s="68" t="s">
        <v>34</v>
      </c>
      <c r="U93" s="68" t="s">
        <v>34</v>
      </c>
      <c r="V93" s="68" t="s">
        <v>34</v>
      </c>
      <c r="W93" s="69" t="s">
        <v>34</v>
      </c>
      <c r="X93" s="69" t="s">
        <v>34</v>
      </c>
      <c r="Y93" s="68" t="s">
        <v>34</v>
      </c>
      <c r="Z93" s="68" t="s">
        <v>34</v>
      </c>
      <c r="AA93" s="68" t="s">
        <v>34</v>
      </c>
      <c r="AB93" s="68" t="s">
        <v>34</v>
      </c>
      <c r="AC93" s="68" t="s">
        <v>34</v>
      </c>
      <c r="AD93" s="68" t="s">
        <v>34</v>
      </c>
      <c r="AE93" s="69" t="s">
        <v>34</v>
      </c>
      <c r="AF93" s="69" t="s">
        <v>34</v>
      </c>
      <c r="AG93" s="70">
        <f t="shared" si="17"/>
        <v>16</v>
      </c>
      <c r="AH93" s="71"/>
      <c r="AI93" s="71"/>
      <c r="AJ93" s="71">
        <v>16</v>
      </c>
      <c r="AK93" s="72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43" t="s">
        <v>59</v>
      </c>
      <c r="B2" s="144"/>
      <c r="C2" s="1" t="s">
        <v>4</v>
      </c>
      <c r="D2" s="1">
        <f>COUNTIF(A4:H94,"&lt;&gt;空")</f>
        <v>728</v>
      </c>
      <c r="E2" s="144" t="s">
        <v>5</v>
      </c>
      <c r="F2" s="144"/>
      <c r="G2" s="144"/>
      <c r="H2" s="145"/>
      <c r="I2" s="146" t="s">
        <v>6</v>
      </c>
      <c r="J2" s="147"/>
      <c r="K2" s="6" t="s">
        <v>4</v>
      </c>
      <c r="L2" s="6">
        <f>COUNTIF(I4:P94,"&lt;&gt;空")</f>
        <v>728</v>
      </c>
      <c r="M2" s="147" t="s">
        <v>5</v>
      </c>
      <c r="N2" s="147"/>
      <c r="O2" s="147"/>
      <c r="P2" s="148"/>
      <c r="Q2" s="149" t="s">
        <v>7</v>
      </c>
      <c r="R2" s="141"/>
      <c r="S2" s="10" t="s">
        <v>8</v>
      </c>
      <c r="T2" s="9">
        <f>COUNTIF(Q4:X94,"&lt;&gt;空")</f>
        <v>728</v>
      </c>
      <c r="U2" s="141" t="s">
        <v>5</v>
      </c>
      <c r="V2" s="141"/>
      <c r="W2" s="141"/>
      <c r="X2" s="14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IF(ISNUMBER(SEARCH("营",'17.01'!I4)),(-$Y4+50*IF('17.01'!$AK4="是",'17.01'!$AY$4,'17.01'!$AY$3)),(VLOOKUP('17.01'!I4,'17.01'!$AM$4:$AO$55,2,FALSE))*IF('17.01'!$AK4="是",'17.01'!$AY$4,'17.01'!$AY$3))</f>
        <v>150</v>
      </c>
      <c r="B4" s="4">
        <f>IF(ISNUMBER(SEARCH("营",'17.01'!J4)),(-$Y4+50*IF('17.01'!$AK4="是",'17.01'!$AY$4,'17.01'!$AY$3)),(VLOOKUP('17.01'!J4,'17.01'!$AM$4:$AO$55,2,FALSE))*IF('17.01'!$AK4="是",'17.01'!$AY$4,'17.01'!$AY$3))</f>
        <v>150</v>
      </c>
      <c r="C4" s="4">
        <f>IF(ISNUMBER(SEARCH("营",'17.01'!K4)),(-$Y4+50*IF('17.01'!$AK4="是",'17.01'!$AY$4,'17.01'!$AY$3)),(VLOOKUP('17.01'!K4,'17.01'!$AM$4:$AO$55,2,FALSE))*IF('17.01'!$AK4="是",'17.01'!$AY$4,'17.01'!$AY$3))</f>
        <v>150</v>
      </c>
      <c r="D4" s="4">
        <f>IF(ISNUMBER(SEARCH("营",'17.01'!L4)),(-$Y4+50*IF('17.01'!$AK4="是",'17.01'!$AY$4,'17.01'!$AY$3)),(VLOOKUP('17.01'!L4,'17.01'!$AM$4:$AO$55,2,FALSE))*IF('17.01'!$AK4="是",'17.01'!$AY$4,'17.01'!$AY$3))</f>
        <v>0</v>
      </c>
      <c r="E4" s="4">
        <f>IF(ISNUMBER(SEARCH("营",'17.01'!M4)),(-$Y4+50*IF('17.01'!$AK4="是",'17.01'!$AY$4,'17.01'!$AY$3)),(VLOOKUP('17.01'!M4,'17.01'!$AM$4:$AO$55,2,FALSE))*IF('17.01'!$AK4="是",'17.01'!$AY$4,'17.01'!$AY$3))</f>
        <v>0</v>
      </c>
      <c r="F4" s="4">
        <f>IF(ISNUMBER(SEARCH("营",'17.01'!N4)),(-$Y4+50*IF('17.01'!$AK4="是",'17.01'!$AY$4,'17.01'!$AY$3)),(VLOOKUP('17.01'!N4,'17.01'!$AM$4:$AO$55,2,FALSE))*IF('17.01'!$AK4="是",'17.01'!$AY$4,'17.01'!$AY$3))</f>
        <v>0</v>
      </c>
      <c r="G4" s="4">
        <f>IF(ISNUMBER(SEARCH("营",'17.01'!O4)),(-$Y4+50*IF('17.01'!$AK4="是",'17.01'!$AY$4,'17.01'!$AY$3)),(VLOOKUP('17.01'!O4,'17.01'!$AM$4:$AO$55,2,FALSE))*IF('17.01'!$AK4="是",'17.01'!$AY$4,'17.01'!$AY$3))</f>
        <v>0</v>
      </c>
      <c r="H4" s="4">
        <f>IF(ISNUMBER(SEARCH("营",'17.01'!P4)),(-$Y4+50*IF('17.01'!$AK4="是",'17.01'!$AY$4,'17.01'!$AY$3)),(VLOOKUP('17.01'!P4,'17.01'!$AM$4:$AO$55,2,FALSE))*IF('17.01'!$AK4="是",'17.01'!$AY$4,'17.01'!$AY$3))</f>
        <v>0</v>
      </c>
      <c r="I4" s="4">
        <f>IF(ISNUMBER(SEARCH("营",'17.01'!Q4)),(-$Y4+50*IF('17.01'!$AK4="是",'17.01'!$AY$4,'17.01'!$AY$3)),(VLOOKUP('17.01'!Q4,'17.01'!$AM$4:$AO$55,2,FALSE))*IF('17.01'!$AK4="是",'17.01'!$AY$4,'17.01'!$AY$3))</f>
        <v>150</v>
      </c>
      <c r="J4" s="4">
        <f>IF(ISNUMBER(SEARCH("营",'17.01'!R4)),(-$Y4+50*IF('17.01'!$AK4="是",'17.01'!$AY$4,'17.01'!$AY$3)),(VLOOKUP('17.01'!R4,'17.01'!$AM$4:$AO$55,2,FALSE))*IF('17.01'!$AK4="是",'17.01'!$AY$4,'17.01'!$AY$3))</f>
        <v>150</v>
      </c>
      <c r="K4" s="4">
        <f>IF(ISNUMBER(SEARCH("营",'17.01'!S4)),(-$Y4+50*IF('17.01'!$AK4="是",'17.01'!$AY$4,'17.01'!$AY$3)),(VLOOKUP('17.01'!S4,'17.01'!$AM$4:$AO$55,2,FALSE))*IF('17.01'!$AK4="是",'17.01'!$AY$4,'17.01'!$AY$3))</f>
        <v>50</v>
      </c>
      <c r="L4" s="4">
        <f>IF(ISNUMBER(SEARCH("营",'17.01'!T4)),(-$Y4+50*IF('17.01'!$AK4="是",'17.01'!$AY$4,'17.01'!$AY$3)),(VLOOKUP('17.01'!T4,'17.01'!$AM$4:$AO$55,2,FALSE))*IF('17.01'!$AK4="是",'17.01'!$AY$4,'17.01'!$AY$3))</f>
        <v>150</v>
      </c>
      <c r="M4" s="4">
        <f>IF(ISNUMBER(SEARCH("营",'17.01'!U4)),(-$Y4+50*IF('17.01'!$AK4="是",'17.01'!$AY$4,'17.01'!$AY$3)),(VLOOKUP('17.01'!U4,'17.01'!$AM$4:$AO$55,2,FALSE))*IF('17.01'!$AK4="是",'17.01'!$AY$4,'17.01'!$AY$3))</f>
        <v>150</v>
      </c>
      <c r="N4" s="4">
        <f>IF(ISNUMBER(SEARCH("营",'17.01'!V4)),(-$Y4+50*IF('17.01'!$AK4="是",'17.01'!$AY$4,'17.01'!$AY$3)),(VLOOKUP('17.01'!V4,'17.01'!$AM$4:$AO$55,2,FALSE))*IF('17.01'!$AK4="是",'17.01'!$AY$4,'17.01'!$AY$3))</f>
        <v>150</v>
      </c>
      <c r="O4" s="4">
        <f>IF(ISNUMBER(SEARCH("营",'17.01'!W4)),(-$Y4+50*IF('17.01'!$AK4="是",'17.01'!$AY$4,'17.01'!$AY$3)),(VLOOKUP('17.01'!W4,'17.01'!$AM$4:$AO$55,2,FALSE))*IF('17.01'!$AK4="是",'17.01'!$AY$4,'17.01'!$AY$3))</f>
        <v>0</v>
      </c>
      <c r="P4" s="4">
        <f>IF(ISNUMBER(SEARCH("营",'17.01'!X4)),(-$Y4+50*IF('17.01'!$AK4="是",'17.01'!$AY$4,'17.01'!$AY$3)),(VLOOKUP('17.01'!X4,'17.01'!$AM$4:$AO$55,2,FALSE))*IF('17.01'!$AK4="是",'17.01'!$AY$4,'17.01'!$AY$3))</f>
        <v>0</v>
      </c>
      <c r="Q4" s="4">
        <f>IF(ISNUMBER(SEARCH("营",'17.01'!Y4)),(-$Y4+50*IF('17.01'!$AK4="是",'17.01'!$AY$4,'17.01'!$AY$3)),(VLOOKUP('17.01'!Y4,'17.01'!$AM$4:$AO$55,2,FALSE))*IF('17.01'!$AK4="是",'17.01'!$AY$4,'17.01'!$AY$3))</f>
        <v>150</v>
      </c>
      <c r="R4" s="4">
        <f>IF(ISNUMBER(SEARCH("营",'17.01'!Z4)),(-$Y4+50*IF('17.01'!$AK4="是",'17.01'!$AY$4,'17.01'!$AY$3)),(VLOOKUP('17.01'!Z4,'17.01'!$AM$4:$AO$55,2,FALSE))*IF('17.01'!$AK4="是",'17.01'!$AY$4,'17.01'!$AY$3))</f>
        <v>150</v>
      </c>
      <c r="S4" s="4">
        <f>IF(ISNUMBER(SEARCH("营",'17.01'!AA4)),(-$Y4+50*IF('17.01'!$AK4="是",'17.01'!$AY$4,'17.01'!$AY$3)),(VLOOKUP('17.01'!AA4,'17.01'!$AM$4:$AO$55,2,FALSE))*IF('17.01'!$AK4="是",'17.01'!$AY$4,'17.01'!$AY$3))</f>
        <v>150</v>
      </c>
      <c r="T4" s="4">
        <f>IF(ISNUMBER(SEARCH("营",'17.01'!AB4)),(-$Y4+50*IF('17.01'!$AK4="是",'17.01'!$AY$4,'17.01'!$AY$3)),(VLOOKUP('17.01'!AB4,'17.01'!$AM$4:$AO$55,2,FALSE))*IF('17.01'!$AK4="是",'17.01'!$AY$4,'17.01'!$AY$3))</f>
        <v>150</v>
      </c>
      <c r="U4" s="4">
        <f>IF(ISNUMBER(SEARCH("营",'17.01'!AC4)),(-$Y4+50*IF('17.01'!$AK4="是",'17.01'!$AY$4,'17.01'!$AY$3)),(VLOOKUP('17.01'!AC4,'17.01'!$AM$4:$AO$55,2,FALSE))*IF('17.01'!$AK4="是",'17.01'!$AY$4,'17.01'!$AY$3))</f>
        <v>150</v>
      </c>
      <c r="V4" s="4">
        <f>IF(ISNUMBER(SEARCH("营",'17.01'!AD4)),(-$Y4+50*IF('17.01'!$AK4="是",'17.01'!$AY$4,'17.01'!$AY$3)),(VLOOKUP('17.01'!AD4,'17.01'!$AM$4:$AO$55,2,FALSE))*IF('17.01'!$AK4="是",'17.01'!$AY$4,'17.01'!$AY$3))</f>
        <v>0</v>
      </c>
      <c r="W4" s="4">
        <f>IF(ISNUMBER(SEARCH("营",'17.01'!AE4)),(-$Y4+50*IF('17.01'!$AK4="是",'17.01'!$AY$4,'17.01'!$AY$3)),(VLOOKUP('17.01'!AE4,'17.01'!$AM$4:$AO$55,2,FALSE))*IF('17.01'!$AK4="是",'17.01'!$AY$4,'17.01'!$AY$3))</f>
        <v>0</v>
      </c>
      <c r="X4" s="4">
        <f>IF(ISNUMBER(SEARCH("营",'17.01'!AF4)),(-$Y4+50*IF('17.01'!$AK4="是",'17.01'!$AY$4,'17.01'!$AY$3)),(VLOOKUP('17.01'!AF4,'17.01'!$AM$4:$AO$55,2,FALSE))*IF('17.01'!$AK4="是",'17.01'!$AY$4,'17.01'!$AY$3))</f>
        <v>0</v>
      </c>
      <c r="Y4" s="89">
        <v>300</v>
      </c>
    </row>
    <row r="5" spans="1:25">
      <c r="A5" s="4">
        <f>IF(ISNUMBER(SEARCH("营",'17.01'!I5)),(-$Y5+50*IF('17.01'!$AK5="是",'17.01'!$AY$4,'17.01'!$AY$3)),(VLOOKUP('17.01'!I5,'17.01'!$AM$4:$AO$55,2,FALSE))*IF('17.01'!$AK5="是",'17.01'!$AY$4,'17.01'!$AY$3))</f>
        <v>0</v>
      </c>
      <c r="B5" s="4">
        <f>IF(ISNUMBER(SEARCH("营",'17.01'!J5)),(-$Y5+50*IF('17.01'!$AK5="是",'17.01'!$AY$4,'17.01'!$AY$3)),(VLOOKUP('17.01'!J5,'17.01'!$AM$4:$AO$55,2,FALSE))*IF('17.01'!$AK5="是",'17.01'!$AY$4,'17.01'!$AY$3))</f>
        <v>0</v>
      </c>
      <c r="C5" s="4">
        <f>IF(ISNUMBER(SEARCH("营",'17.01'!K5)),(-$Y5+50*IF('17.01'!$AK5="是",'17.01'!$AY$4,'17.01'!$AY$3)),(VLOOKUP('17.01'!K5,'17.01'!$AM$4:$AO$55,2,FALSE))*IF('17.01'!$AK5="是",'17.01'!$AY$4,'17.01'!$AY$3))</f>
        <v>0</v>
      </c>
      <c r="D5" s="4">
        <f>IF(ISNUMBER(SEARCH("营",'17.01'!L5)),(-$Y5+50*IF('17.01'!$AK5="是",'17.01'!$AY$4,'17.01'!$AY$3)),(VLOOKUP('17.01'!L5,'17.01'!$AM$4:$AO$55,2,FALSE))*IF('17.01'!$AK5="是",'17.01'!$AY$4,'17.01'!$AY$3))</f>
        <v>0</v>
      </c>
      <c r="E5" s="4">
        <f>IF(ISNUMBER(SEARCH("营",'17.01'!M5)),(-$Y5+50*IF('17.01'!$AK5="是",'17.01'!$AY$4,'17.01'!$AY$3)),(VLOOKUP('17.01'!M5,'17.01'!$AM$4:$AO$55,2,FALSE))*IF('17.01'!$AK5="是",'17.01'!$AY$4,'17.01'!$AY$3))</f>
        <v>0</v>
      </c>
      <c r="F5" s="4">
        <f>IF(ISNUMBER(SEARCH("营",'17.01'!N5)),(-$Y5+50*IF('17.01'!$AK5="是",'17.01'!$AY$4,'17.01'!$AY$3)),(VLOOKUP('17.01'!N5,'17.01'!$AM$4:$AO$55,2,FALSE))*IF('17.01'!$AK5="是",'17.01'!$AY$4,'17.01'!$AY$3))</f>
        <v>0</v>
      </c>
      <c r="G5" s="4">
        <f>IF(ISNUMBER(SEARCH("营",'17.01'!O5)),(-$Y5+50*IF('17.01'!$AK5="是",'17.01'!$AY$4,'17.01'!$AY$3)),(VLOOKUP('17.01'!O5,'17.01'!$AM$4:$AO$55,2,FALSE))*IF('17.01'!$AK5="是",'17.01'!$AY$4,'17.01'!$AY$3))</f>
        <v>0</v>
      </c>
      <c r="H5" s="4">
        <f>IF(ISNUMBER(SEARCH("营",'17.01'!P5)),(-$Y5+50*IF('17.01'!$AK5="是",'17.01'!$AY$4,'17.01'!$AY$3)),(VLOOKUP('17.01'!P5,'17.01'!$AM$4:$AO$55,2,FALSE))*IF('17.01'!$AK5="是",'17.01'!$AY$4,'17.01'!$AY$3))</f>
        <v>0</v>
      </c>
      <c r="I5" s="4">
        <f>IF(ISNUMBER(SEARCH("营",'17.01'!Q5)),(-$Y5+50*IF('17.01'!$AK5="是",'17.01'!$AY$4,'17.01'!$AY$3)),(VLOOKUP('17.01'!Q5,'17.01'!$AM$4:$AO$55,2,FALSE))*IF('17.01'!$AK5="是",'17.01'!$AY$4,'17.01'!$AY$3))</f>
        <v>150</v>
      </c>
      <c r="J5" s="4">
        <f>IF(ISNUMBER(SEARCH("营",'17.01'!R5)),(-$Y5+50*IF('17.01'!$AK5="是",'17.01'!$AY$4,'17.01'!$AY$3)),(VLOOKUP('17.01'!R5,'17.01'!$AM$4:$AO$55,2,FALSE))*IF('17.01'!$AK5="是",'17.01'!$AY$4,'17.01'!$AY$3))</f>
        <v>50</v>
      </c>
      <c r="K5" s="4">
        <f>IF(ISNUMBER(SEARCH("营",'17.01'!S5)),(-$Y5+50*IF('17.01'!$AK5="是",'17.01'!$AY$4,'17.01'!$AY$3)),(VLOOKUP('17.01'!S5,'17.01'!$AM$4:$AO$55,2,FALSE))*IF('17.01'!$AK5="是",'17.01'!$AY$4,'17.01'!$AY$3))</f>
        <v>0</v>
      </c>
      <c r="L5" s="4">
        <f>IF(ISNUMBER(SEARCH("营",'17.01'!T5)),(-$Y5+50*IF('17.01'!$AK5="是",'17.01'!$AY$4,'17.01'!$AY$3)),(VLOOKUP('17.01'!T5,'17.01'!$AM$4:$AO$55,2,FALSE))*IF('17.01'!$AK5="是",'17.01'!$AY$4,'17.01'!$AY$3))</f>
        <v>0</v>
      </c>
      <c r="M5" s="4">
        <f>IF(ISNUMBER(SEARCH("营",'17.01'!U5)),(-$Y5+50*IF('17.01'!$AK5="是",'17.01'!$AY$4,'17.01'!$AY$3)),(VLOOKUP('17.01'!U5,'17.01'!$AM$4:$AO$55,2,FALSE))*IF('17.01'!$AK5="是",'17.01'!$AY$4,'17.01'!$AY$3))</f>
        <v>0</v>
      </c>
      <c r="N5" s="4">
        <f>IF(ISNUMBER(SEARCH("营",'17.01'!V5)),(-$Y5+50*IF('17.01'!$AK5="是",'17.01'!$AY$4,'17.01'!$AY$3)),(VLOOKUP('17.01'!V5,'17.01'!$AM$4:$AO$55,2,FALSE))*IF('17.01'!$AK5="是",'17.01'!$AY$4,'17.01'!$AY$3))</f>
        <v>0</v>
      </c>
      <c r="O5" s="4">
        <f>IF(ISNUMBER(SEARCH("营",'17.01'!W5)),(-$Y5+50*IF('17.01'!$AK5="是",'17.01'!$AY$4,'17.01'!$AY$3)),(VLOOKUP('17.01'!W5,'17.01'!$AM$4:$AO$55,2,FALSE))*IF('17.01'!$AK5="是",'17.01'!$AY$4,'17.01'!$AY$3))</f>
        <v>0</v>
      </c>
      <c r="P5" s="4">
        <f>IF(ISNUMBER(SEARCH("营",'17.01'!X5)),(-$Y5+50*IF('17.01'!$AK5="是",'17.01'!$AY$4,'17.01'!$AY$3)),(VLOOKUP('17.01'!X5,'17.01'!$AM$4:$AO$55,2,FALSE))*IF('17.01'!$AK5="是",'17.01'!$AY$4,'17.01'!$AY$3))</f>
        <v>0</v>
      </c>
      <c r="Q5" s="4">
        <f>IF(ISNUMBER(SEARCH("营",'17.01'!Y5)),(-$Y5+50*IF('17.01'!$AK5="是",'17.01'!$AY$4,'17.01'!$AY$3)),(VLOOKUP('17.01'!Y5,'17.01'!$AM$4:$AO$55,2,FALSE))*IF('17.01'!$AK5="是",'17.01'!$AY$4,'17.01'!$AY$3))</f>
        <v>50</v>
      </c>
      <c r="R5" s="4">
        <f>IF(ISNUMBER(SEARCH("营",'17.01'!Z5)),(-$Y5+50*IF('17.01'!$AK5="是",'17.01'!$AY$4,'17.01'!$AY$3)),(VLOOKUP('17.01'!Z5,'17.01'!$AM$4:$AO$55,2,FALSE))*IF('17.01'!$AK5="是",'17.01'!$AY$4,'17.01'!$AY$3))</f>
        <v>150</v>
      </c>
      <c r="S5" s="4">
        <f>IF(ISNUMBER(SEARCH("营",'17.01'!AA5)),(-$Y5+50*IF('17.01'!$AK5="是",'17.01'!$AY$4,'17.01'!$AY$3)),(VLOOKUP('17.01'!AA5,'17.01'!$AM$4:$AO$55,2,FALSE))*IF('17.01'!$AK5="是",'17.01'!$AY$4,'17.01'!$AY$3))</f>
        <v>150</v>
      </c>
      <c r="T5" s="4">
        <f>IF(ISNUMBER(SEARCH("营",'17.01'!AB5)),(-$Y5+50*IF('17.01'!$AK5="是",'17.01'!$AY$4,'17.01'!$AY$3)),(VLOOKUP('17.01'!AB5,'17.01'!$AM$4:$AO$55,2,FALSE))*IF('17.01'!$AK5="是",'17.01'!$AY$4,'17.01'!$AY$3))</f>
        <v>150</v>
      </c>
      <c r="U5" s="4">
        <f>IF(ISNUMBER(SEARCH("营",'17.01'!AC5)),(-$Y5+50*IF('17.01'!$AK5="是",'17.01'!$AY$4,'17.01'!$AY$3)),(VLOOKUP('17.01'!AC5,'17.01'!$AM$4:$AO$55,2,FALSE))*IF('17.01'!$AK5="是",'17.01'!$AY$4,'17.01'!$AY$3))</f>
        <v>150</v>
      </c>
      <c r="V5" s="4">
        <f>IF(ISNUMBER(SEARCH("营",'17.01'!AD5)),(-$Y5+50*IF('17.01'!$AK5="是",'17.01'!$AY$4,'17.01'!$AY$3)),(VLOOKUP('17.01'!AD5,'17.01'!$AM$4:$AO$55,2,FALSE))*IF('17.01'!$AK5="是",'17.01'!$AY$4,'17.01'!$AY$3))</f>
        <v>150</v>
      </c>
      <c r="W5" s="4">
        <f>IF(ISNUMBER(SEARCH("营",'17.01'!AE5)),(-$Y5+50*IF('17.01'!$AK5="是",'17.01'!$AY$4,'17.01'!$AY$3)),(VLOOKUP('17.01'!AE5,'17.01'!$AM$4:$AO$55,2,FALSE))*IF('17.01'!$AK5="是",'17.01'!$AY$4,'17.01'!$AY$3))</f>
        <v>150</v>
      </c>
      <c r="X5" s="4">
        <f>IF(ISNUMBER(SEARCH("营",'17.01'!AF5)),(-$Y5+50*IF('17.01'!$AK5="是",'17.01'!$AY$4,'17.01'!$AY$3)),(VLOOKUP('17.01'!AF5,'17.01'!$AM$4:$AO$55,2,FALSE))*IF('17.01'!$AK5="是",'17.01'!$AY$4,'17.01'!$AY$3))</f>
        <v>0</v>
      </c>
      <c r="Y5" s="89">
        <v>300</v>
      </c>
    </row>
    <row r="6" spans="1:25">
      <c r="A6" s="4">
        <f>IF(ISNUMBER(SEARCH("营",'17.01'!I6)),(-$Y6+50*IF('17.01'!$AK6="是",'17.01'!$AY$4,'17.01'!$AY$3)),(VLOOKUP('17.01'!I6,'17.01'!$AM$4:$AO$55,2,FALSE))*IF('17.01'!$AK6="是",'17.01'!$AY$4,'17.01'!$AY$3))</f>
        <v>0</v>
      </c>
      <c r="B6" s="4">
        <f>IF(ISNUMBER(SEARCH("营",'17.01'!J6)),(-$Y6+50*IF('17.01'!$AK6="是",'17.01'!$AY$4,'17.01'!$AY$3)),(VLOOKUP('17.01'!J6,'17.01'!$AM$4:$AO$55,2,FALSE))*IF('17.01'!$AK6="是",'17.01'!$AY$4,'17.01'!$AY$3))</f>
        <v>0</v>
      </c>
      <c r="C6" s="4">
        <f>IF(ISNUMBER(SEARCH("营",'17.01'!K6)),(-$Y6+50*IF('17.01'!$AK6="是",'17.01'!$AY$4,'17.01'!$AY$3)),(VLOOKUP('17.01'!K6,'17.01'!$AM$4:$AO$55,2,FALSE))*IF('17.01'!$AK6="是",'17.01'!$AY$4,'17.01'!$AY$3))</f>
        <v>0</v>
      </c>
      <c r="D6" s="4">
        <f>IF(ISNUMBER(SEARCH("营",'17.01'!L6)),(-$Y6+50*IF('17.01'!$AK6="是",'17.01'!$AY$4,'17.01'!$AY$3)),(VLOOKUP('17.01'!L6,'17.01'!$AM$4:$AO$55,2,FALSE))*IF('17.01'!$AK6="是",'17.01'!$AY$4,'17.01'!$AY$3))</f>
        <v>0</v>
      </c>
      <c r="E6" s="4">
        <f>IF(ISNUMBER(SEARCH("营",'17.01'!M6)),(-$Y6+50*IF('17.01'!$AK6="是",'17.01'!$AY$4,'17.01'!$AY$3)),(VLOOKUP('17.01'!M6,'17.01'!$AM$4:$AO$55,2,FALSE))*IF('17.01'!$AK6="是",'17.01'!$AY$4,'17.01'!$AY$3))</f>
        <v>0</v>
      </c>
      <c r="F6" s="4">
        <f>IF(ISNUMBER(SEARCH("营",'17.01'!N6)),(-$Y6+50*IF('17.01'!$AK6="是",'17.01'!$AY$4,'17.01'!$AY$3)),(VLOOKUP('17.01'!N6,'17.01'!$AM$4:$AO$55,2,FALSE))*IF('17.01'!$AK6="是",'17.01'!$AY$4,'17.01'!$AY$3))</f>
        <v>0</v>
      </c>
      <c r="G6" s="4">
        <f>IF(ISNUMBER(SEARCH("营",'17.01'!O6)),(-$Y6+50*IF('17.01'!$AK6="是",'17.01'!$AY$4,'17.01'!$AY$3)),(VLOOKUP('17.01'!O6,'17.01'!$AM$4:$AO$55,2,FALSE))*IF('17.01'!$AK6="是",'17.01'!$AY$4,'17.01'!$AY$3))</f>
        <v>0</v>
      </c>
      <c r="H6" s="4">
        <f>IF(ISNUMBER(SEARCH("营",'17.01'!P6)),(-$Y6+50*IF('17.01'!$AK6="是",'17.01'!$AY$4,'17.01'!$AY$3)),(VLOOKUP('17.01'!P6,'17.01'!$AM$4:$AO$55,2,FALSE))*IF('17.01'!$AK6="是",'17.01'!$AY$4,'17.01'!$AY$3))</f>
        <v>0</v>
      </c>
      <c r="I6" s="4">
        <f>IF(ISNUMBER(SEARCH("营",'17.01'!Q6)),(-$Y6+50*IF('17.01'!$AK6="是",'17.01'!$AY$4,'17.01'!$AY$3)),(VLOOKUP('17.01'!Q6,'17.01'!$AM$4:$AO$55,2,FALSE))*IF('17.01'!$AK6="是",'17.01'!$AY$4,'17.01'!$AY$3))</f>
        <v>170</v>
      </c>
      <c r="J6" s="4">
        <f>IF(ISNUMBER(SEARCH("营",'17.01'!R6)),(-$Y6+50*IF('17.01'!$AK6="是",'17.01'!$AY$4,'17.01'!$AY$3)),(VLOOKUP('17.01'!R6,'17.01'!$AM$4:$AO$55,2,FALSE))*IF('17.01'!$AK6="是",'17.01'!$AY$4,'17.01'!$AY$3))</f>
        <v>170</v>
      </c>
      <c r="K6" s="4">
        <f>IF(ISNUMBER(SEARCH("营",'17.01'!S6)),(-$Y6+50*IF('17.01'!$AK6="是",'17.01'!$AY$4,'17.01'!$AY$3)),(VLOOKUP('17.01'!S6,'17.01'!$AM$4:$AO$55,2,FALSE))*IF('17.01'!$AK6="是",'17.01'!$AY$4,'17.01'!$AY$3))</f>
        <v>170</v>
      </c>
      <c r="L6" s="4">
        <f>IF(ISNUMBER(SEARCH("营",'17.01'!T6)),(-$Y6+50*IF('17.01'!$AK6="是",'17.01'!$AY$4,'17.01'!$AY$3)),(VLOOKUP('17.01'!T6,'17.01'!$AM$4:$AO$55,2,FALSE))*IF('17.01'!$AK6="是",'17.01'!$AY$4,'17.01'!$AY$3))</f>
        <v>170</v>
      </c>
      <c r="M6" s="4">
        <f>IF(ISNUMBER(SEARCH("营",'17.01'!U6)),(-$Y6+50*IF('17.01'!$AK6="是",'17.01'!$AY$4,'17.01'!$AY$3)),(VLOOKUP('17.01'!U6,'17.01'!$AM$4:$AO$55,2,FALSE))*IF('17.01'!$AK6="是",'17.01'!$AY$4,'17.01'!$AY$3))</f>
        <v>170</v>
      </c>
      <c r="N6" s="4">
        <f>IF(ISNUMBER(SEARCH("营",'17.01'!V6)),(-$Y6+50*IF('17.01'!$AK6="是",'17.01'!$AY$4,'17.01'!$AY$3)),(VLOOKUP('17.01'!V6,'17.01'!$AM$4:$AO$55,2,FALSE))*IF('17.01'!$AK6="是",'17.01'!$AY$4,'17.01'!$AY$3))</f>
        <v>170</v>
      </c>
      <c r="O6" s="4">
        <f>IF(ISNUMBER(SEARCH("营",'17.01'!W6)),(-$Y6+50*IF('17.01'!$AK6="是",'17.01'!$AY$4,'17.01'!$AY$3)),(VLOOKUP('17.01'!W6,'17.01'!$AM$4:$AO$55,2,FALSE))*IF('17.01'!$AK6="是",'17.01'!$AY$4,'17.01'!$AY$3))</f>
        <v>170</v>
      </c>
      <c r="P6" s="4">
        <f>IF(ISNUMBER(SEARCH("营",'17.01'!X6)),(-$Y6+50*IF('17.01'!$AK6="是",'17.01'!$AY$4,'17.01'!$AY$3)),(VLOOKUP('17.01'!X6,'17.01'!$AM$4:$AO$55,2,FALSE))*IF('17.01'!$AK6="是",'17.01'!$AY$4,'17.01'!$AY$3))</f>
        <v>170</v>
      </c>
      <c r="Q6" s="4">
        <f>IF(ISNUMBER(SEARCH("营",'17.01'!Y6)),(-$Y6+50*IF('17.01'!$AK6="是",'17.01'!$AY$4,'17.01'!$AY$3)),(VLOOKUP('17.01'!Y6,'17.01'!$AM$4:$AO$55,2,FALSE))*IF('17.01'!$AK6="是",'17.01'!$AY$4,'17.01'!$AY$3))</f>
        <v>50</v>
      </c>
      <c r="R6" s="4">
        <f>IF(ISNUMBER(SEARCH("营",'17.01'!Z6)),(-$Y6+50*IF('17.01'!$AK6="是",'17.01'!$AY$4,'17.01'!$AY$3)),(VLOOKUP('17.01'!Z6,'17.01'!$AM$4:$AO$55,2,FALSE))*IF('17.01'!$AK6="是",'17.01'!$AY$4,'17.01'!$AY$3))</f>
        <v>150</v>
      </c>
      <c r="S6" s="4">
        <f>IF(ISNUMBER(SEARCH("营",'17.01'!AA6)),(-$Y6+50*IF('17.01'!$AK6="是",'17.01'!$AY$4,'17.01'!$AY$3)),(VLOOKUP('17.01'!AA6,'17.01'!$AM$4:$AO$55,2,FALSE))*IF('17.01'!$AK6="是",'17.01'!$AY$4,'17.01'!$AY$3))</f>
        <v>150</v>
      </c>
      <c r="T6" s="4">
        <f>IF(ISNUMBER(SEARCH("营",'17.01'!AB6)),(-$Y6+50*IF('17.01'!$AK6="是",'17.01'!$AY$4,'17.01'!$AY$3)),(VLOOKUP('17.01'!AB6,'17.01'!$AM$4:$AO$55,2,FALSE))*IF('17.01'!$AK6="是",'17.01'!$AY$4,'17.01'!$AY$3))</f>
        <v>170</v>
      </c>
      <c r="U6" s="4">
        <f>IF(ISNUMBER(SEARCH("营",'17.01'!AC6)),(-$Y6+50*IF('17.01'!$AK6="是",'17.01'!$AY$4,'17.01'!$AY$3)),(VLOOKUP('17.01'!AC6,'17.01'!$AM$4:$AO$55,2,FALSE))*IF('17.01'!$AK6="是",'17.01'!$AY$4,'17.01'!$AY$3))</f>
        <v>170</v>
      </c>
      <c r="V6" s="4">
        <f>IF(ISNUMBER(SEARCH("营",'17.01'!AD6)),(-$Y6+50*IF('17.01'!$AK6="是",'17.01'!$AY$4,'17.01'!$AY$3)),(VLOOKUP('17.01'!AD6,'17.01'!$AM$4:$AO$55,2,FALSE))*IF('17.01'!$AK6="是",'17.01'!$AY$4,'17.01'!$AY$3))</f>
        <v>170</v>
      </c>
      <c r="W6" s="4">
        <f>IF(ISNUMBER(SEARCH("营",'17.01'!AE6)),(-$Y6+50*IF('17.01'!$AK6="是",'17.01'!$AY$4,'17.01'!$AY$3)),(VLOOKUP('17.01'!AE6,'17.01'!$AM$4:$AO$55,2,FALSE))*IF('17.01'!$AK6="是",'17.01'!$AY$4,'17.01'!$AY$3))</f>
        <v>0</v>
      </c>
      <c r="X6" s="4">
        <f>IF(ISNUMBER(SEARCH("营",'17.01'!AF6)),(-$Y6+50*IF('17.01'!$AK6="是",'17.01'!$AY$4,'17.01'!$AY$3)),(VLOOKUP('17.01'!AF6,'17.01'!$AM$4:$AO$55,2,FALSE))*IF('17.01'!$AK6="是",'17.01'!$AY$4,'17.01'!$AY$3))</f>
        <v>0</v>
      </c>
      <c r="Y6" s="89">
        <v>300</v>
      </c>
    </row>
    <row r="7" spans="1:25">
      <c r="A7" s="4">
        <f>IF(ISNUMBER(SEARCH("营",'17.01'!I7)),(-$Y7+50*IF('17.01'!$AK7="是",'17.01'!$AY$4,'17.01'!$AY$3)),(VLOOKUP('17.01'!I7,'17.01'!$AM$4:$AO$55,2,FALSE))*IF('17.01'!$AK7="是",'17.01'!$AY$4,'17.01'!$AY$3))</f>
        <v>0</v>
      </c>
      <c r="B7" s="4">
        <f>IF(ISNUMBER(SEARCH("营",'17.01'!J7)),(-$Y7+50*IF('17.01'!$AK7="是",'17.01'!$AY$4,'17.01'!$AY$3)),(VLOOKUP('17.01'!J7,'17.01'!$AM$4:$AO$55,2,FALSE))*IF('17.01'!$AK7="是",'17.01'!$AY$4,'17.01'!$AY$3))</f>
        <v>0</v>
      </c>
      <c r="C7" s="4">
        <f>IF(ISNUMBER(SEARCH("营",'17.01'!K7)),(-$Y7+50*IF('17.01'!$AK7="是",'17.01'!$AY$4,'17.01'!$AY$3)),(VLOOKUP('17.01'!K7,'17.01'!$AM$4:$AO$55,2,FALSE))*IF('17.01'!$AK7="是",'17.01'!$AY$4,'17.01'!$AY$3))</f>
        <v>0</v>
      </c>
      <c r="D7" s="4">
        <f>IF(ISNUMBER(SEARCH("营",'17.01'!L7)),(-$Y7+50*IF('17.01'!$AK7="是",'17.01'!$AY$4,'17.01'!$AY$3)),(VLOOKUP('17.01'!L7,'17.01'!$AM$4:$AO$55,2,FALSE))*IF('17.01'!$AK7="是",'17.01'!$AY$4,'17.01'!$AY$3))</f>
        <v>0</v>
      </c>
      <c r="E7" s="4">
        <f>IF(ISNUMBER(SEARCH("营",'17.01'!M7)),(-$Y7+50*IF('17.01'!$AK7="是",'17.01'!$AY$4,'17.01'!$AY$3)),(VLOOKUP('17.01'!M7,'17.01'!$AM$4:$AO$55,2,FALSE))*IF('17.01'!$AK7="是",'17.01'!$AY$4,'17.01'!$AY$3))</f>
        <v>0</v>
      </c>
      <c r="F7" s="4">
        <f>IF(ISNUMBER(SEARCH("营",'17.01'!N7)),(-$Y7+50*IF('17.01'!$AK7="是",'17.01'!$AY$4,'17.01'!$AY$3)),(VLOOKUP('17.01'!N7,'17.01'!$AM$4:$AO$55,2,FALSE))*IF('17.01'!$AK7="是",'17.01'!$AY$4,'17.01'!$AY$3))</f>
        <v>0</v>
      </c>
      <c r="G7" s="4">
        <f>IF(ISNUMBER(SEARCH("营",'17.01'!O7)),(-$Y7+50*IF('17.01'!$AK7="是",'17.01'!$AY$4,'17.01'!$AY$3)),(VLOOKUP('17.01'!O7,'17.01'!$AM$4:$AO$55,2,FALSE))*IF('17.01'!$AK7="是",'17.01'!$AY$4,'17.01'!$AY$3))</f>
        <v>0</v>
      </c>
      <c r="H7" s="4">
        <f>IF(ISNUMBER(SEARCH("营",'17.01'!P7)),(-$Y7+50*IF('17.01'!$AK7="是",'17.01'!$AY$4,'17.01'!$AY$3)),(VLOOKUP('17.01'!P7,'17.01'!$AM$4:$AO$55,2,FALSE))*IF('17.01'!$AK7="是",'17.01'!$AY$4,'17.01'!$AY$3))</f>
        <v>0</v>
      </c>
      <c r="I7" s="4">
        <f>IF(ISNUMBER(SEARCH("营",'17.01'!Q7)),(-$Y7+50*IF('17.01'!$AK7="是",'17.01'!$AY$4,'17.01'!$AY$3)),(VLOOKUP('17.01'!Q7,'17.01'!$AM$4:$AO$55,2,FALSE))*IF('17.01'!$AK7="是",'17.01'!$AY$4,'17.01'!$AY$3))</f>
        <v>150</v>
      </c>
      <c r="J7" s="4">
        <f>IF(ISNUMBER(SEARCH("营",'17.01'!R7)),(-$Y7+50*IF('17.01'!$AK7="是",'17.01'!$AY$4,'17.01'!$AY$3)),(VLOOKUP('17.01'!R7,'17.01'!$AM$4:$AO$55,2,FALSE))*IF('17.01'!$AK7="是",'17.01'!$AY$4,'17.01'!$AY$3))</f>
        <v>170</v>
      </c>
      <c r="K7" s="4">
        <f>IF(ISNUMBER(SEARCH("营",'17.01'!S7)),(-$Y7+50*IF('17.01'!$AK7="是",'17.01'!$AY$4,'17.01'!$AY$3)),(VLOOKUP('17.01'!S7,'17.01'!$AM$4:$AO$55,2,FALSE))*IF('17.01'!$AK7="是",'17.01'!$AY$4,'17.01'!$AY$3))</f>
        <v>170</v>
      </c>
      <c r="L7" s="4">
        <f>IF(ISNUMBER(SEARCH("营",'17.01'!T7)),(-$Y7+50*IF('17.01'!$AK7="是",'17.01'!$AY$4,'17.01'!$AY$3)),(VLOOKUP('17.01'!T7,'17.01'!$AM$4:$AO$55,2,FALSE))*IF('17.01'!$AK7="是",'17.01'!$AY$4,'17.01'!$AY$3))</f>
        <v>170</v>
      </c>
      <c r="M7" s="4">
        <f>IF(ISNUMBER(SEARCH("营",'17.01'!U7)),(-$Y7+50*IF('17.01'!$AK7="是",'17.01'!$AY$4,'17.01'!$AY$3)),(VLOOKUP('17.01'!U7,'17.01'!$AM$4:$AO$55,2,FALSE))*IF('17.01'!$AK7="是",'17.01'!$AY$4,'17.01'!$AY$3))</f>
        <v>250</v>
      </c>
      <c r="N7" s="4">
        <f>IF(ISNUMBER(SEARCH("营",'17.01'!V7)),(-$Y7+50*IF('17.01'!$AK7="是",'17.01'!$AY$4,'17.01'!$AY$3)),(VLOOKUP('17.01'!V7,'17.01'!$AM$4:$AO$55,2,FALSE))*IF('17.01'!$AK7="是",'17.01'!$AY$4,'17.01'!$AY$3))</f>
        <v>170</v>
      </c>
      <c r="O7" s="4">
        <f>IF(ISNUMBER(SEARCH("营",'17.01'!W7)),(-$Y7+50*IF('17.01'!$AK7="是",'17.01'!$AY$4,'17.01'!$AY$3)),(VLOOKUP('17.01'!W7,'17.01'!$AM$4:$AO$55,2,FALSE))*IF('17.01'!$AK7="是",'17.01'!$AY$4,'17.01'!$AY$3))</f>
        <v>170</v>
      </c>
      <c r="P7" s="4">
        <f>IF(ISNUMBER(SEARCH("营",'17.01'!X7)),(-$Y7+50*IF('17.01'!$AK7="是",'17.01'!$AY$4,'17.01'!$AY$3)),(VLOOKUP('17.01'!X7,'17.01'!$AM$4:$AO$55,2,FALSE))*IF('17.01'!$AK7="是",'17.01'!$AY$4,'17.01'!$AY$3))</f>
        <v>170</v>
      </c>
      <c r="Q7" s="4">
        <f>IF(ISNUMBER(SEARCH("营",'17.01'!Y7)),(-$Y7+50*IF('17.01'!$AK7="是",'17.01'!$AY$4,'17.01'!$AY$3)),(VLOOKUP('17.01'!Y7,'17.01'!$AM$4:$AO$55,2,FALSE))*IF('17.01'!$AK7="是",'17.01'!$AY$4,'17.01'!$AY$3))</f>
        <v>170</v>
      </c>
      <c r="R7" s="4">
        <f>IF(ISNUMBER(SEARCH("营",'17.01'!Z7)),(-$Y7+50*IF('17.01'!$AK7="是",'17.01'!$AY$4,'17.01'!$AY$3)),(VLOOKUP('17.01'!Z7,'17.01'!$AM$4:$AO$55,2,FALSE))*IF('17.01'!$AK7="是",'17.01'!$AY$4,'17.01'!$AY$3))</f>
        <v>50</v>
      </c>
      <c r="S7" s="4">
        <f>IF(ISNUMBER(SEARCH("营",'17.01'!AA7)),(-$Y7+50*IF('17.01'!$AK7="是",'17.01'!$AY$4,'17.01'!$AY$3)),(VLOOKUP('17.01'!AA7,'17.01'!$AM$4:$AO$55,2,FALSE))*IF('17.01'!$AK7="是",'17.01'!$AY$4,'17.01'!$AY$3))</f>
        <v>170</v>
      </c>
      <c r="T7" s="4">
        <f>IF(ISNUMBER(SEARCH("营",'17.01'!AB7)),(-$Y7+50*IF('17.01'!$AK7="是",'17.01'!$AY$4,'17.01'!$AY$3)),(VLOOKUP('17.01'!AB7,'17.01'!$AM$4:$AO$55,2,FALSE))*IF('17.01'!$AK7="是",'17.01'!$AY$4,'17.01'!$AY$3))</f>
        <v>170</v>
      </c>
      <c r="U7" s="4">
        <f>IF(ISNUMBER(SEARCH("营",'17.01'!AC7)),(-$Y7+50*IF('17.01'!$AK7="是",'17.01'!$AY$4,'17.01'!$AY$3)),(VLOOKUP('17.01'!AC7,'17.01'!$AM$4:$AO$55,2,FALSE))*IF('17.01'!$AK7="是",'17.01'!$AY$4,'17.01'!$AY$3))</f>
        <v>170</v>
      </c>
      <c r="V7" s="4">
        <f>IF(ISNUMBER(SEARCH("营",'17.01'!AD7)),(-$Y7+50*IF('17.01'!$AK7="是",'17.01'!$AY$4,'17.01'!$AY$3)),(VLOOKUP('17.01'!AD7,'17.01'!$AM$4:$AO$55,2,FALSE))*IF('17.01'!$AK7="是",'17.01'!$AY$4,'17.01'!$AY$3))</f>
        <v>170</v>
      </c>
      <c r="W7" s="4">
        <f>IF(ISNUMBER(SEARCH("营",'17.01'!AE7)),(-$Y7+50*IF('17.01'!$AK7="是",'17.01'!$AY$4,'17.01'!$AY$3)),(VLOOKUP('17.01'!AE7,'17.01'!$AM$4:$AO$55,2,FALSE))*IF('17.01'!$AK7="是",'17.01'!$AY$4,'17.01'!$AY$3))</f>
        <v>0</v>
      </c>
      <c r="X7" s="4">
        <f>IF(ISNUMBER(SEARCH("营",'17.01'!AF7)),(-$Y7+50*IF('17.01'!$AK7="是",'17.01'!$AY$4,'17.01'!$AY$3)),(VLOOKUP('17.01'!AF7,'17.01'!$AM$4:$AO$55,2,FALSE))*IF('17.01'!$AK7="是",'17.01'!$AY$4,'17.01'!$AY$3))</f>
        <v>0</v>
      </c>
      <c r="Y7" s="89">
        <v>300</v>
      </c>
    </row>
    <row r="8" spans="1:25">
      <c r="A8" s="4">
        <f>IF(ISNUMBER(SEARCH("营",'17.01'!I8)),(-$Y8+50*IF('17.01'!$AK8="是",'17.01'!$AY$4,'17.01'!$AY$3)),(VLOOKUP('17.01'!I8,'17.01'!$AM$4:$AO$55,2,FALSE))*IF('17.01'!$AK8="是",'17.01'!$AY$4,'17.01'!$AY$3))</f>
        <v>0</v>
      </c>
      <c r="B8" s="4">
        <f>IF(ISNUMBER(SEARCH("营",'17.01'!J8)),(-$Y8+50*IF('17.01'!$AK8="是",'17.01'!$AY$4,'17.01'!$AY$3)),(VLOOKUP('17.01'!J8,'17.01'!$AM$4:$AO$55,2,FALSE))*IF('17.01'!$AK8="是",'17.01'!$AY$4,'17.01'!$AY$3))</f>
        <v>0</v>
      </c>
      <c r="C8" s="4">
        <f>IF(ISNUMBER(SEARCH("营",'17.01'!K8)),(-$Y8+50*IF('17.01'!$AK8="是",'17.01'!$AY$4,'17.01'!$AY$3)),(VLOOKUP('17.01'!K8,'17.01'!$AM$4:$AO$55,2,FALSE))*IF('17.01'!$AK8="是",'17.01'!$AY$4,'17.01'!$AY$3))</f>
        <v>0</v>
      </c>
      <c r="D8" s="4">
        <f>IF(ISNUMBER(SEARCH("营",'17.01'!L8)),(-$Y8+50*IF('17.01'!$AK8="是",'17.01'!$AY$4,'17.01'!$AY$3)),(VLOOKUP('17.01'!L8,'17.01'!$AM$4:$AO$55,2,FALSE))*IF('17.01'!$AK8="是",'17.01'!$AY$4,'17.01'!$AY$3))</f>
        <v>0</v>
      </c>
      <c r="E8" s="4">
        <f>IF(ISNUMBER(SEARCH("营",'17.01'!M8)),(-$Y8+50*IF('17.01'!$AK8="是",'17.01'!$AY$4,'17.01'!$AY$3)),(VLOOKUP('17.01'!M8,'17.01'!$AM$4:$AO$55,2,FALSE))*IF('17.01'!$AK8="是",'17.01'!$AY$4,'17.01'!$AY$3))</f>
        <v>0</v>
      </c>
      <c r="F8" s="4">
        <f>IF(ISNUMBER(SEARCH("营",'17.01'!N8)),(-$Y8+50*IF('17.01'!$AK8="是",'17.01'!$AY$4,'17.01'!$AY$3)),(VLOOKUP('17.01'!N8,'17.01'!$AM$4:$AO$55,2,FALSE))*IF('17.01'!$AK8="是",'17.01'!$AY$4,'17.01'!$AY$3))</f>
        <v>0</v>
      </c>
      <c r="G8" s="4">
        <f>IF(ISNUMBER(SEARCH("营",'17.01'!O8)),(-$Y8+50*IF('17.01'!$AK8="是",'17.01'!$AY$4,'17.01'!$AY$3)),(VLOOKUP('17.01'!O8,'17.01'!$AM$4:$AO$55,2,FALSE))*IF('17.01'!$AK8="是",'17.01'!$AY$4,'17.01'!$AY$3))</f>
        <v>0</v>
      </c>
      <c r="H8" s="4">
        <f>IF(ISNUMBER(SEARCH("营",'17.01'!P8)),(-$Y8+50*IF('17.01'!$AK8="是",'17.01'!$AY$4,'17.01'!$AY$3)),(VLOOKUP('17.01'!P8,'17.01'!$AM$4:$AO$55,2,FALSE))*IF('17.01'!$AK8="是",'17.01'!$AY$4,'17.01'!$AY$3))</f>
        <v>0</v>
      </c>
      <c r="I8" s="4">
        <f>IF(ISNUMBER(SEARCH("营",'17.01'!Q8)),(-$Y8+50*IF('17.01'!$AK8="是",'17.01'!$AY$4,'17.01'!$AY$3)),(VLOOKUP('17.01'!Q8,'17.01'!$AM$4:$AO$55,2,FALSE))*IF('17.01'!$AK8="是",'17.01'!$AY$4,'17.01'!$AY$3))</f>
        <v>170</v>
      </c>
      <c r="J8" s="4">
        <f>IF(ISNUMBER(SEARCH("营",'17.01'!R8)),(-$Y8+50*IF('17.01'!$AK8="是",'17.01'!$AY$4,'17.01'!$AY$3)),(VLOOKUP('17.01'!R8,'17.01'!$AM$4:$AO$55,2,FALSE))*IF('17.01'!$AK8="是",'17.01'!$AY$4,'17.01'!$AY$3))</f>
        <v>170</v>
      </c>
      <c r="K8" s="4">
        <f>IF(ISNUMBER(SEARCH("营",'17.01'!S8)),(-$Y8+50*IF('17.01'!$AK8="是",'17.01'!$AY$4,'17.01'!$AY$3)),(VLOOKUP('17.01'!S8,'17.01'!$AM$4:$AO$55,2,FALSE))*IF('17.01'!$AK8="是",'17.01'!$AY$4,'17.01'!$AY$3))</f>
        <v>170</v>
      </c>
      <c r="L8" s="4">
        <f>IF(ISNUMBER(SEARCH("营",'17.01'!T8)),(-$Y8+50*IF('17.01'!$AK8="是",'17.01'!$AY$4,'17.01'!$AY$3)),(VLOOKUP('17.01'!T8,'17.01'!$AM$4:$AO$55,2,FALSE))*IF('17.01'!$AK8="是",'17.01'!$AY$4,'17.01'!$AY$3))</f>
        <v>50</v>
      </c>
      <c r="M8" s="4">
        <f>IF(ISNUMBER(SEARCH("营",'17.01'!U8)),(-$Y8+50*IF('17.01'!$AK8="是",'17.01'!$AY$4,'17.01'!$AY$3)),(VLOOKUP('17.01'!U8,'17.01'!$AM$4:$AO$55,2,FALSE))*IF('17.01'!$AK8="是",'17.01'!$AY$4,'17.01'!$AY$3))</f>
        <v>170</v>
      </c>
      <c r="N8" s="4">
        <f>IF(ISNUMBER(SEARCH("营",'17.01'!V8)),(-$Y8+50*IF('17.01'!$AK8="是",'17.01'!$AY$4,'17.01'!$AY$3)),(VLOOKUP('17.01'!V8,'17.01'!$AM$4:$AO$55,2,FALSE))*IF('17.01'!$AK8="是",'17.01'!$AY$4,'17.01'!$AY$3))</f>
        <v>170</v>
      </c>
      <c r="O8" s="4">
        <f>IF(ISNUMBER(SEARCH("营",'17.01'!W8)),(-$Y8+50*IF('17.01'!$AK8="是",'17.01'!$AY$4,'17.01'!$AY$3)),(VLOOKUP('17.01'!W8,'17.01'!$AM$4:$AO$55,2,FALSE))*IF('17.01'!$AK8="是",'17.01'!$AY$4,'17.01'!$AY$3))</f>
        <v>0</v>
      </c>
      <c r="P8" s="4">
        <f>IF(ISNUMBER(SEARCH("营",'17.01'!X8)),(-$Y8+50*IF('17.01'!$AK8="是",'17.01'!$AY$4,'17.01'!$AY$3)),(VLOOKUP('17.01'!X8,'17.01'!$AM$4:$AO$55,2,FALSE))*IF('17.01'!$AK8="是",'17.01'!$AY$4,'17.01'!$AY$3))</f>
        <v>0</v>
      </c>
      <c r="Q8" s="4">
        <f>IF(ISNUMBER(SEARCH("营",'17.01'!Y8)),(-$Y8+50*IF('17.01'!$AK8="是",'17.01'!$AY$4,'17.01'!$AY$3)),(VLOOKUP('17.01'!Y8,'17.01'!$AM$4:$AO$55,2,FALSE))*IF('17.01'!$AK8="是",'17.01'!$AY$4,'17.01'!$AY$3))</f>
        <v>170</v>
      </c>
      <c r="R8" s="4">
        <f>IF(ISNUMBER(SEARCH("营",'17.01'!Z8)),(-$Y8+50*IF('17.01'!$AK8="是",'17.01'!$AY$4,'17.01'!$AY$3)),(VLOOKUP('17.01'!Z8,'17.01'!$AM$4:$AO$55,2,FALSE))*IF('17.01'!$AK8="是",'17.01'!$AY$4,'17.01'!$AY$3))</f>
        <v>170</v>
      </c>
      <c r="S8" s="4">
        <f>IF(ISNUMBER(SEARCH("营",'17.01'!AA8)),(-$Y8+50*IF('17.01'!$AK8="是",'17.01'!$AY$4,'17.01'!$AY$3)),(VLOOKUP('17.01'!AA8,'17.01'!$AM$4:$AO$55,2,FALSE))*IF('17.01'!$AK8="是",'17.01'!$AY$4,'17.01'!$AY$3))</f>
        <v>170</v>
      </c>
      <c r="T8" s="4">
        <f>IF(ISNUMBER(SEARCH("营",'17.01'!AB8)),(-$Y8+50*IF('17.01'!$AK8="是",'17.01'!$AY$4,'17.01'!$AY$3)),(VLOOKUP('17.01'!AB8,'17.01'!$AM$4:$AO$55,2,FALSE))*IF('17.01'!$AK8="是",'17.01'!$AY$4,'17.01'!$AY$3))</f>
        <v>250</v>
      </c>
      <c r="U8" s="4">
        <f>IF(ISNUMBER(SEARCH("营",'17.01'!AC8)),(-$Y8+50*IF('17.01'!$AK8="是",'17.01'!$AY$4,'17.01'!$AY$3)),(VLOOKUP('17.01'!AC8,'17.01'!$AM$4:$AO$55,2,FALSE))*IF('17.01'!$AK8="是",'17.01'!$AY$4,'17.01'!$AY$3))</f>
        <v>170</v>
      </c>
      <c r="V8" s="4">
        <f>IF(ISNUMBER(SEARCH("营",'17.01'!AD8)),(-$Y8+50*IF('17.01'!$AK8="是",'17.01'!$AY$4,'17.01'!$AY$3)),(VLOOKUP('17.01'!AD8,'17.01'!$AM$4:$AO$55,2,FALSE))*IF('17.01'!$AK8="是",'17.01'!$AY$4,'17.01'!$AY$3))</f>
        <v>0</v>
      </c>
      <c r="W8" s="4">
        <f>IF(ISNUMBER(SEARCH("营",'17.01'!AE8)),(-$Y8+50*IF('17.01'!$AK8="是",'17.01'!$AY$4,'17.01'!$AY$3)),(VLOOKUP('17.01'!AE8,'17.01'!$AM$4:$AO$55,2,FALSE))*IF('17.01'!$AK8="是",'17.01'!$AY$4,'17.01'!$AY$3))</f>
        <v>0</v>
      </c>
      <c r="X8" s="4">
        <f>IF(ISNUMBER(SEARCH("营",'17.01'!AF8)),(-$Y8+50*IF('17.01'!$AK8="是",'17.01'!$AY$4,'17.01'!$AY$3)),(VLOOKUP('17.01'!AF8,'17.01'!$AM$4:$AO$55,2,FALSE))*IF('17.01'!$AK8="是",'17.01'!$AY$4,'17.01'!$AY$3))</f>
        <v>0</v>
      </c>
      <c r="Y8" s="89">
        <v>300</v>
      </c>
    </row>
    <row r="9" spans="1:25">
      <c r="A9" s="4">
        <f>IF(ISNUMBER(SEARCH("营",'17.01'!I9)),(-$Y9+50*IF('17.01'!$AK9="是",'17.01'!$AY$4,'17.01'!$AY$3)),(VLOOKUP('17.01'!I9,'17.01'!$AM$4:$AO$55,2,FALSE))*IF('17.01'!$AK9="是",'17.01'!$AY$4,'17.01'!$AY$3))</f>
        <v>0</v>
      </c>
      <c r="B9" s="4">
        <f>IF(ISNUMBER(SEARCH("营",'17.01'!J9)),(-$Y9+50*IF('17.01'!$AK9="是",'17.01'!$AY$4,'17.01'!$AY$3)),(VLOOKUP('17.01'!J9,'17.01'!$AM$4:$AO$55,2,FALSE))*IF('17.01'!$AK9="是",'17.01'!$AY$4,'17.01'!$AY$3))</f>
        <v>0</v>
      </c>
      <c r="C9" s="4">
        <f>IF(ISNUMBER(SEARCH("营",'17.01'!K9)),(-$Y9+50*IF('17.01'!$AK9="是",'17.01'!$AY$4,'17.01'!$AY$3)),(VLOOKUP('17.01'!K9,'17.01'!$AM$4:$AO$55,2,FALSE))*IF('17.01'!$AK9="是",'17.01'!$AY$4,'17.01'!$AY$3))</f>
        <v>0</v>
      </c>
      <c r="D9" s="4">
        <f>IF(ISNUMBER(SEARCH("营",'17.01'!L9)),(-$Y9+50*IF('17.01'!$AK9="是",'17.01'!$AY$4,'17.01'!$AY$3)),(VLOOKUP('17.01'!L9,'17.01'!$AM$4:$AO$55,2,FALSE))*IF('17.01'!$AK9="是",'17.01'!$AY$4,'17.01'!$AY$3))</f>
        <v>0</v>
      </c>
      <c r="E9" s="4">
        <f>IF(ISNUMBER(SEARCH("营",'17.01'!M9)),(-$Y9+50*IF('17.01'!$AK9="是",'17.01'!$AY$4,'17.01'!$AY$3)),(VLOOKUP('17.01'!M9,'17.01'!$AM$4:$AO$55,2,FALSE))*IF('17.01'!$AK9="是",'17.01'!$AY$4,'17.01'!$AY$3))</f>
        <v>0</v>
      </c>
      <c r="F9" s="4">
        <f>IF(ISNUMBER(SEARCH("营",'17.01'!N9)),(-$Y9+50*IF('17.01'!$AK9="是",'17.01'!$AY$4,'17.01'!$AY$3)),(VLOOKUP('17.01'!N9,'17.01'!$AM$4:$AO$55,2,FALSE))*IF('17.01'!$AK9="是",'17.01'!$AY$4,'17.01'!$AY$3))</f>
        <v>0</v>
      </c>
      <c r="G9" s="4">
        <f>IF(ISNUMBER(SEARCH("营",'17.01'!O9)),(-$Y9+50*IF('17.01'!$AK9="是",'17.01'!$AY$4,'17.01'!$AY$3)),(VLOOKUP('17.01'!O9,'17.01'!$AM$4:$AO$55,2,FALSE))*IF('17.01'!$AK9="是",'17.01'!$AY$4,'17.01'!$AY$3))</f>
        <v>0</v>
      </c>
      <c r="H9" s="4">
        <f>IF(ISNUMBER(SEARCH("营",'17.01'!P9)),(-$Y9+50*IF('17.01'!$AK9="是",'17.01'!$AY$4,'17.01'!$AY$3)),(VLOOKUP('17.01'!P9,'17.01'!$AM$4:$AO$55,2,FALSE))*IF('17.01'!$AK9="是",'17.01'!$AY$4,'17.01'!$AY$3))</f>
        <v>0</v>
      </c>
      <c r="I9" s="4">
        <f>IF(ISNUMBER(SEARCH("营",'17.01'!Q9)),(-$Y9+50*IF('17.01'!$AK9="是",'17.01'!$AY$4,'17.01'!$AY$3)),(VLOOKUP('17.01'!Q9,'17.01'!$AM$4:$AO$55,2,FALSE))*IF('17.01'!$AK9="是",'17.01'!$AY$4,'17.01'!$AY$3))</f>
        <v>170</v>
      </c>
      <c r="J9" s="4">
        <f>IF(ISNUMBER(SEARCH("营",'17.01'!R9)),(-$Y9+50*IF('17.01'!$AK9="是",'17.01'!$AY$4,'17.01'!$AY$3)),(VLOOKUP('17.01'!R9,'17.01'!$AM$4:$AO$55,2,FALSE))*IF('17.01'!$AK9="是",'17.01'!$AY$4,'17.01'!$AY$3))</f>
        <v>180</v>
      </c>
      <c r="K9" s="4">
        <f>IF(ISNUMBER(SEARCH("营",'17.01'!S9)),(-$Y9+50*IF('17.01'!$AK9="是",'17.01'!$AY$4,'17.01'!$AY$3)),(VLOOKUP('17.01'!S9,'17.01'!$AM$4:$AO$55,2,FALSE))*IF('17.01'!$AK9="是",'17.01'!$AY$4,'17.01'!$AY$3))</f>
        <v>180</v>
      </c>
      <c r="L9" s="4">
        <f>IF(ISNUMBER(SEARCH("营",'17.01'!T9)),(-$Y9+50*IF('17.01'!$AK9="是",'17.01'!$AY$4,'17.01'!$AY$3)),(VLOOKUP('17.01'!T9,'17.01'!$AM$4:$AO$55,2,FALSE))*IF('17.01'!$AK9="是",'17.01'!$AY$4,'17.01'!$AY$3))</f>
        <v>180</v>
      </c>
      <c r="M9" s="4">
        <f>IF(ISNUMBER(SEARCH("营",'17.01'!U9)),(-$Y9+50*IF('17.01'!$AK9="是",'17.01'!$AY$4,'17.01'!$AY$3)),(VLOOKUP('17.01'!U9,'17.01'!$AM$4:$AO$55,2,FALSE))*IF('17.01'!$AK9="是",'17.01'!$AY$4,'17.01'!$AY$3))</f>
        <v>180</v>
      </c>
      <c r="N9" s="4">
        <f>IF(ISNUMBER(SEARCH("营",'17.01'!V9)),(-$Y9+50*IF('17.01'!$AK9="是",'17.01'!$AY$4,'17.01'!$AY$3)),(VLOOKUP('17.01'!V9,'17.01'!$AM$4:$AO$55,2,FALSE))*IF('17.01'!$AK9="是",'17.01'!$AY$4,'17.01'!$AY$3))</f>
        <v>180</v>
      </c>
      <c r="O9" s="4">
        <f>IF(ISNUMBER(SEARCH("营",'17.01'!W9)),(-$Y9+50*IF('17.01'!$AK9="是",'17.01'!$AY$4,'17.01'!$AY$3)),(VLOOKUP('17.01'!W9,'17.01'!$AM$4:$AO$55,2,FALSE))*IF('17.01'!$AK9="是",'17.01'!$AY$4,'17.01'!$AY$3))</f>
        <v>0</v>
      </c>
      <c r="P9" s="4">
        <f>IF(ISNUMBER(SEARCH("营",'17.01'!X9)),(-$Y9+50*IF('17.01'!$AK9="是",'17.01'!$AY$4,'17.01'!$AY$3)),(VLOOKUP('17.01'!X9,'17.01'!$AM$4:$AO$55,2,FALSE))*IF('17.01'!$AK9="是",'17.01'!$AY$4,'17.01'!$AY$3))</f>
        <v>0</v>
      </c>
      <c r="Q9" s="4">
        <f>IF(ISNUMBER(SEARCH("营",'17.01'!Y9)),(-$Y9+50*IF('17.01'!$AK9="是",'17.01'!$AY$4,'17.01'!$AY$3)),(VLOOKUP('17.01'!Y9,'17.01'!$AM$4:$AO$55,2,FALSE))*IF('17.01'!$AK9="是",'17.01'!$AY$4,'17.01'!$AY$3))</f>
        <v>170</v>
      </c>
      <c r="R9" s="4">
        <f>IF(ISNUMBER(SEARCH("营",'17.01'!Z9)),(-$Y9+50*IF('17.01'!$AK9="是",'17.01'!$AY$4,'17.01'!$AY$3)),(VLOOKUP('17.01'!Z9,'17.01'!$AM$4:$AO$55,2,FALSE))*IF('17.01'!$AK9="是",'17.01'!$AY$4,'17.01'!$AY$3))</f>
        <v>170</v>
      </c>
      <c r="S9" s="4">
        <f>IF(ISNUMBER(SEARCH("营",'17.01'!AA9)),(-$Y9+50*IF('17.01'!$AK9="是",'17.01'!$AY$4,'17.01'!$AY$3)),(VLOOKUP('17.01'!AA9,'17.01'!$AM$4:$AO$55,2,FALSE))*IF('17.01'!$AK9="是",'17.01'!$AY$4,'17.01'!$AY$3))</f>
        <v>170</v>
      </c>
      <c r="T9" s="4">
        <f>IF(ISNUMBER(SEARCH("营",'17.01'!AB9)),(-$Y9+50*IF('17.01'!$AK9="是",'17.01'!$AY$4,'17.01'!$AY$3)),(VLOOKUP('17.01'!AB9,'17.01'!$AM$4:$AO$55,2,FALSE))*IF('17.01'!$AK9="是",'17.01'!$AY$4,'17.01'!$AY$3))</f>
        <v>170</v>
      </c>
      <c r="U9" s="4">
        <f>IF(ISNUMBER(SEARCH("营",'17.01'!AC9)),(-$Y9+50*IF('17.01'!$AK9="是",'17.01'!$AY$4,'17.01'!$AY$3)),(VLOOKUP('17.01'!AC9,'17.01'!$AM$4:$AO$55,2,FALSE))*IF('17.01'!$AK9="是",'17.01'!$AY$4,'17.01'!$AY$3))</f>
        <v>50</v>
      </c>
      <c r="V9" s="4">
        <f>IF(ISNUMBER(SEARCH("营",'17.01'!AD9)),(-$Y9+50*IF('17.01'!$AK9="是",'17.01'!$AY$4,'17.01'!$AY$3)),(VLOOKUP('17.01'!AD9,'17.01'!$AM$4:$AO$55,2,FALSE))*IF('17.01'!$AK9="是",'17.01'!$AY$4,'17.01'!$AY$3))</f>
        <v>170</v>
      </c>
      <c r="W9" s="4">
        <f>IF(ISNUMBER(SEARCH("营",'17.01'!AE9)),(-$Y9+50*IF('17.01'!$AK9="是",'17.01'!$AY$4,'17.01'!$AY$3)),(VLOOKUP('17.01'!AE9,'17.01'!$AM$4:$AO$55,2,FALSE))*IF('17.01'!$AK9="是",'17.01'!$AY$4,'17.01'!$AY$3))</f>
        <v>0</v>
      </c>
      <c r="X9" s="4">
        <f>IF(ISNUMBER(SEARCH("营",'17.01'!AF9)),(-$Y9+50*IF('17.01'!$AK9="是",'17.01'!$AY$4,'17.01'!$AY$3)),(VLOOKUP('17.01'!AF9,'17.01'!$AM$4:$AO$55,2,FALSE))*IF('17.01'!$AK9="是",'17.01'!$AY$4,'17.01'!$AY$3))</f>
        <v>0</v>
      </c>
      <c r="Y9" s="89">
        <v>300</v>
      </c>
    </row>
    <row r="10" spans="1:25">
      <c r="A10" s="4">
        <f>IF(ISNUMBER(SEARCH("营",'17.01'!I10)),(-$Y10+50*IF('17.01'!$AK10="是",'17.01'!$AY$4,'17.01'!$AY$3)),(VLOOKUP('17.01'!I10,'17.01'!$AM$4:$AO$55,2,FALSE))*IF('17.01'!$AK10="是",'17.01'!$AY$4,'17.01'!$AY$3))</f>
        <v>0</v>
      </c>
      <c r="B10" s="4">
        <f>IF(ISNUMBER(SEARCH("营",'17.01'!J10)),(-$Y10+50*IF('17.01'!$AK10="是",'17.01'!$AY$4,'17.01'!$AY$3)),(VLOOKUP('17.01'!J10,'17.01'!$AM$4:$AO$55,2,FALSE))*IF('17.01'!$AK10="是",'17.01'!$AY$4,'17.01'!$AY$3))</f>
        <v>0</v>
      </c>
      <c r="C10" s="4">
        <f>IF(ISNUMBER(SEARCH("营",'17.01'!K10)),(-$Y10+50*IF('17.01'!$AK10="是",'17.01'!$AY$4,'17.01'!$AY$3)),(VLOOKUP('17.01'!K10,'17.01'!$AM$4:$AO$55,2,FALSE))*IF('17.01'!$AK10="是",'17.01'!$AY$4,'17.01'!$AY$3))</f>
        <v>0</v>
      </c>
      <c r="D10" s="4">
        <f>IF(ISNUMBER(SEARCH("营",'17.01'!L10)),(-$Y10+50*IF('17.01'!$AK10="是",'17.01'!$AY$4,'17.01'!$AY$3)),(VLOOKUP('17.01'!L10,'17.01'!$AM$4:$AO$55,2,FALSE))*IF('17.01'!$AK10="是",'17.01'!$AY$4,'17.01'!$AY$3))</f>
        <v>0</v>
      </c>
      <c r="E10" s="4">
        <f>IF(ISNUMBER(SEARCH("营",'17.01'!M10)),(-$Y10+50*IF('17.01'!$AK10="是",'17.01'!$AY$4,'17.01'!$AY$3)),(VLOOKUP('17.01'!M10,'17.01'!$AM$4:$AO$55,2,FALSE))*IF('17.01'!$AK10="是",'17.01'!$AY$4,'17.01'!$AY$3))</f>
        <v>0</v>
      </c>
      <c r="F10" s="4">
        <f>IF(ISNUMBER(SEARCH("营",'17.01'!N10)),(-$Y10+50*IF('17.01'!$AK10="是",'17.01'!$AY$4,'17.01'!$AY$3)),(VLOOKUP('17.01'!N10,'17.01'!$AM$4:$AO$55,2,FALSE))*IF('17.01'!$AK10="是",'17.01'!$AY$4,'17.01'!$AY$3))</f>
        <v>0</v>
      </c>
      <c r="G10" s="4">
        <f>IF(ISNUMBER(SEARCH("营",'17.01'!O10)),(-$Y10+50*IF('17.01'!$AK10="是",'17.01'!$AY$4,'17.01'!$AY$3)),(VLOOKUP('17.01'!O10,'17.01'!$AM$4:$AO$55,2,FALSE))*IF('17.01'!$AK10="是",'17.01'!$AY$4,'17.01'!$AY$3))</f>
        <v>0</v>
      </c>
      <c r="H10" s="4">
        <f>IF(ISNUMBER(SEARCH("营",'17.01'!P10)),(-$Y10+50*IF('17.01'!$AK10="是",'17.01'!$AY$4,'17.01'!$AY$3)),(VLOOKUP('17.01'!P10,'17.01'!$AM$4:$AO$55,2,FALSE))*IF('17.01'!$AK10="是",'17.01'!$AY$4,'17.01'!$AY$3))</f>
        <v>0</v>
      </c>
      <c r="I10" s="4">
        <f>IF(ISNUMBER(SEARCH("营",'17.01'!Q10)),(-$Y10+50*IF('17.01'!$AK10="是",'17.01'!$AY$4,'17.01'!$AY$3)),(VLOOKUP('17.01'!Q10,'17.01'!$AM$4:$AO$55,2,FALSE))*IF('17.01'!$AK10="是",'17.01'!$AY$4,'17.01'!$AY$3))</f>
        <v>150</v>
      </c>
      <c r="J10" s="4">
        <f>IF(ISNUMBER(SEARCH("营",'17.01'!R10)),(-$Y10+50*IF('17.01'!$AK10="是",'17.01'!$AY$4,'17.01'!$AY$3)),(VLOOKUP('17.01'!R10,'17.01'!$AM$4:$AO$55,2,FALSE))*IF('17.01'!$AK10="是",'17.01'!$AY$4,'17.01'!$AY$3))</f>
        <v>180</v>
      </c>
      <c r="K10" s="4">
        <f>IF(ISNUMBER(SEARCH("营",'17.01'!S10)),(-$Y10+50*IF('17.01'!$AK10="是",'17.01'!$AY$4,'17.01'!$AY$3)),(VLOOKUP('17.01'!S10,'17.01'!$AM$4:$AO$55,2,FALSE))*IF('17.01'!$AK10="是",'17.01'!$AY$4,'17.01'!$AY$3))</f>
        <v>180</v>
      </c>
      <c r="L10" s="4">
        <f>IF(ISNUMBER(SEARCH("营",'17.01'!T10)),(-$Y10+50*IF('17.01'!$AK10="是",'17.01'!$AY$4,'17.01'!$AY$3)),(VLOOKUP('17.01'!T10,'17.01'!$AM$4:$AO$55,2,FALSE))*IF('17.01'!$AK10="是",'17.01'!$AY$4,'17.01'!$AY$3))</f>
        <v>170</v>
      </c>
      <c r="M10" s="4">
        <f>IF(ISNUMBER(SEARCH("营",'17.01'!U10)),(-$Y10+50*IF('17.01'!$AK10="是",'17.01'!$AY$4,'17.01'!$AY$3)),(VLOOKUP('17.01'!U10,'17.01'!$AM$4:$AO$55,2,FALSE))*IF('17.01'!$AK10="是",'17.01'!$AY$4,'17.01'!$AY$3))</f>
        <v>170</v>
      </c>
      <c r="N10" s="4">
        <f>IF(ISNUMBER(SEARCH("营",'17.01'!V10)),(-$Y10+50*IF('17.01'!$AK10="是",'17.01'!$AY$4,'17.01'!$AY$3)),(VLOOKUP('17.01'!V10,'17.01'!$AM$4:$AO$55,2,FALSE))*IF('17.01'!$AK10="是",'17.01'!$AY$4,'17.01'!$AY$3))</f>
        <v>170</v>
      </c>
      <c r="O10" s="4">
        <f>IF(ISNUMBER(SEARCH("营",'17.01'!W10)),(-$Y10+50*IF('17.01'!$AK10="是",'17.01'!$AY$4,'17.01'!$AY$3)),(VLOOKUP('17.01'!W10,'17.01'!$AM$4:$AO$55,2,FALSE))*IF('17.01'!$AK10="是",'17.01'!$AY$4,'17.01'!$AY$3))</f>
        <v>0</v>
      </c>
      <c r="P10" s="4">
        <f>IF(ISNUMBER(SEARCH("营",'17.01'!X10)),(-$Y10+50*IF('17.01'!$AK10="是",'17.01'!$AY$4,'17.01'!$AY$3)),(VLOOKUP('17.01'!X10,'17.01'!$AM$4:$AO$55,2,FALSE))*IF('17.01'!$AK10="是",'17.01'!$AY$4,'17.01'!$AY$3))</f>
        <v>0</v>
      </c>
      <c r="Q10" s="4">
        <f>IF(ISNUMBER(SEARCH("营",'17.01'!Y10)),(-$Y10+50*IF('17.01'!$AK10="是",'17.01'!$AY$4,'17.01'!$AY$3)),(VLOOKUP('17.01'!Y10,'17.01'!$AM$4:$AO$55,2,FALSE))*IF('17.01'!$AK10="是",'17.01'!$AY$4,'17.01'!$AY$3))</f>
        <v>170</v>
      </c>
      <c r="R10" s="4">
        <f>IF(ISNUMBER(SEARCH("营",'17.01'!Z10)),(-$Y10+50*IF('17.01'!$AK10="是",'17.01'!$AY$4,'17.01'!$AY$3)),(VLOOKUP('17.01'!Z10,'17.01'!$AM$4:$AO$55,2,FALSE))*IF('17.01'!$AK10="是",'17.01'!$AY$4,'17.01'!$AY$3))</f>
        <v>170</v>
      </c>
      <c r="S10" s="4">
        <f>IF(ISNUMBER(SEARCH("营",'17.01'!AA10)),(-$Y10+50*IF('17.01'!$AK10="是",'17.01'!$AY$4,'17.01'!$AY$3)),(VLOOKUP('17.01'!AA10,'17.01'!$AM$4:$AO$55,2,FALSE))*IF('17.01'!$AK10="是",'17.01'!$AY$4,'17.01'!$AY$3))</f>
        <v>170</v>
      </c>
      <c r="T10" s="4">
        <f>IF(ISNUMBER(SEARCH("营",'17.01'!AB10)),(-$Y10+50*IF('17.01'!$AK10="是",'17.01'!$AY$4,'17.01'!$AY$3)),(VLOOKUP('17.01'!AB10,'17.01'!$AM$4:$AO$55,2,FALSE))*IF('17.01'!$AK10="是",'17.01'!$AY$4,'17.01'!$AY$3))</f>
        <v>170</v>
      </c>
      <c r="U10" s="4">
        <f>IF(ISNUMBER(SEARCH("营",'17.01'!AC10)),(-$Y10+50*IF('17.01'!$AK10="是",'17.01'!$AY$4,'17.01'!$AY$3)),(VLOOKUP('17.01'!AC10,'17.01'!$AM$4:$AO$55,2,FALSE))*IF('17.01'!$AK10="是",'17.01'!$AY$4,'17.01'!$AY$3))</f>
        <v>170</v>
      </c>
      <c r="V10" s="4">
        <f>IF(ISNUMBER(SEARCH("营",'17.01'!AD10)),(-$Y10+50*IF('17.01'!$AK10="是",'17.01'!$AY$4,'17.01'!$AY$3)),(VLOOKUP('17.01'!AD10,'17.01'!$AM$4:$AO$55,2,FALSE))*IF('17.01'!$AK10="是",'17.01'!$AY$4,'17.01'!$AY$3))</f>
        <v>170</v>
      </c>
      <c r="W10" s="4">
        <f>IF(ISNUMBER(SEARCH("营",'17.01'!AE10)),(-$Y10+50*IF('17.01'!$AK10="是",'17.01'!$AY$4,'17.01'!$AY$3)),(VLOOKUP('17.01'!AE10,'17.01'!$AM$4:$AO$55,2,FALSE))*IF('17.01'!$AK10="是",'17.01'!$AY$4,'17.01'!$AY$3))</f>
        <v>0</v>
      </c>
      <c r="X10" s="4">
        <f>IF(ISNUMBER(SEARCH("营",'17.01'!AF10)),(-$Y10+50*IF('17.01'!$AK10="是",'17.01'!$AY$4,'17.01'!$AY$3)),(VLOOKUP('17.01'!AF10,'17.01'!$AM$4:$AO$55,2,FALSE))*IF('17.01'!$AK10="是",'17.01'!$AY$4,'17.01'!$AY$3))</f>
        <v>0</v>
      </c>
      <c r="Y10" s="89">
        <v>300</v>
      </c>
    </row>
    <row r="11" spans="1:25">
      <c r="A11" s="4">
        <f>IF(ISNUMBER(SEARCH("营",'17.01'!I11)),(-$Y11+50*IF('17.01'!$AK11="是",'17.01'!$AY$4,'17.01'!$AY$3)),(VLOOKUP('17.01'!I11,'17.01'!$AM$4:$AO$55,2,FALSE))*IF('17.01'!$AK11="是",'17.01'!$AY$4,'17.01'!$AY$3))</f>
        <v>0</v>
      </c>
      <c r="B11" s="4">
        <f>IF(ISNUMBER(SEARCH("营",'17.01'!J11)),(-$Y11+50*IF('17.01'!$AK11="是",'17.01'!$AY$4,'17.01'!$AY$3)),(VLOOKUP('17.01'!J11,'17.01'!$AM$4:$AO$55,2,FALSE))*IF('17.01'!$AK11="是",'17.01'!$AY$4,'17.01'!$AY$3))</f>
        <v>0</v>
      </c>
      <c r="C11" s="4">
        <f>IF(ISNUMBER(SEARCH("营",'17.01'!K11)),(-$Y11+50*IF('17.01'!$AK11="是",'17.01'!$AY$4,'17.01'!$AY$3)),(VLOOKUP('17.01'!K11,'17.01'!$AM$4:$AO$55,2,FALSE))*IF('17.01'!$AK11="是",'17.01'!$AY$4,'17.01'!$AY$3))</f>
        <v>0</v>
      </c>
      <c r="D11" s="4">
        <f>IF(ISNUMBER(SEARCH("营",'17.01'!L11)),(-$Y11+50*IF('17.01'!$AK11="是",'17.01'!$AY$4,'17.01'!$AY$3)),(VLOOKUP('17.01'!L11,'17.01'!$AM$4:$AO$55,2,FALSE))*IF('17.01'!$AK11="是",'17.01'!$AY$4,'17.01'!$AY$3))</f>
        <v>0</v>
      </c>
      <c r="E11" s="4">
        <f>IF(ISNUMBER(SEARCH("营",'17.01'!M11)),(-$Y11+50*IF('17.01'!$AK11="是",'17.01'!$AY$4,'17.01'!$AY$3)),(VLOOKUP('17.01'!M11,'17.01'!$AM$4:$AO$55,2,FALSE))*IF('17.01'!$AK11="是",'17.01'!$AY$4,'17.01'!$AY$3))</f>
        <v>0</v>
      </c>
      <c r="F11" s="4">
        <f>IF(ISNUMBER(SEARCH("营",'17.01'!N11)),(-$Y11+50*IF('17.01'!$AK11="是",'17.01'!$AY$4,'17.01'!$AY$3)),(VLOOKUP('17.01'!N11,'17.01'!$AM$4:$AO$55,2,FALSE))*IF('17.01'!$AK11="是",'17.01'!$AY$4,'17.01'!$AY$3))</f>
        <v>0</v>
      </c>
      <c r="G11" s="4">
        <f>IF(ISNUMBER(SEARCH("营",'17.01'!O11)),(-$Y11+50*IF('17.01'!$AK11="是",'17.01'!$AY$4,'17.01'!$AY$3)),(VLOOKUP('17.01'!O11,'17.01'!$AM$4:$AO$55,2,FALSE))*IF('17.01'!$AK11="是",'17.01'!$AY$4,'17.01'!$AY$3))</f>
        <v>0</v>
      </c>
      <c r="H11" s="4">
        <f>IF(ISNUMBER(SEARCH("营",'17.01'!P11)),(-$Y11+50*IF('17.01'!$AK11="是",'17.01'!$AY$4,'17.01'!$AY$3)),(VLOOKUP('17.01'!P11,'17.01'!$AM$4:$AO$55,2,FALSE))*IF('17.01'!$AK11="是",'17.01'!$AY$4,'17.01'!$AY$3))</f>
        <v>0</v>
      </c>
      <c r="I11" s="4">
        <f>IF(ISNUMBER(SEARCH("营",'17.01'!Q11)),(-$Y11+50*IF('17.01'!$AK11="是",'17.01'!$AY$4,'17.01'!$AY$3)),(VLOOKUP('17.01'!Q11,'17.01'!$AM$4:$AO$55,2,FALSE))*IF('17.01'!$AK11="是",'17.01'!$AY$4,'17.01'!$AY$3))</f>
        <v>170</v>
      </c>
      <c r="J11" s="4">
        <f>IF(ISNUMBER(SEARCH("营",'17.01'!R11)),(-$Y11+50*IF('17.01'!$AK11="是",'17.01'!$AY$4,'17.01'!$AY$3)),(VLOOKUP('17.01'!R11,'17.01'!$AM$4:$AO$55,2,FALSE))*IF('17.01'!$AK11="是",'17.01'!$AY$4,'17.01'!$AY$3))</f>
        <v>170</v>
      </c>
      <c r="K11" s="4">
        <f>IF(ISNUMBER(SEARCH("营",'17.01'!S11)),(-$Y11+50*IF('17.01'!$AK11="是",'17.01'!$AY$4,'17.01'!$AY$3)),(VLOOKUP('17.01'!S11,'17.01'!$AM$4:$AO$55,2,FALSE))*IF('17.01'!$AK11="是",'17.01'!$AY$4,'17.01'!$AY$3))</f>
        <v>150</v>
      </c>
      <c r="L11" s="4">
        <f>IF(ISNUMBER(SEARCH("营",'17.01'!T11)),(-$Y11+50*IF('17.01'!$AK11="是",'17.01'!$AY$4,'17.01'!$AY$3)),(VLOOKUP('17.01'!T11,'17.01'!$AM$4:$AO$55,2,FALSE))*IF('17.01'!$AK11="是",'17.01'!$AY$4,'17.01'!$AY$3))</f>
        <v>170</v>
      </c>
      <c r="M11" s="4">
        <f>IF(ISNUMBER(SEARCH("营",'17.01'!U11)),(-$Y11+50*IF('17.01'!$AK11="是",'17.01'!$AY$4,'17.01'!$AY$3)),(VLOOKUP('17.01'!U11,'17.01'!$AM$4:$AO$55,2,FALSE))*IF('17.01'!$AK11="是",'17.01'!$AY$4,'17.01'!$AY$3))</f>
        <v>-250</v>
      </c>
      <c r="N11" s="4">
        <f>IF(ISNUMBER(SEARCH("营",'17.01'!V11)),(-$Y11+50*IF('17.01'!$AK11="是",'17.01'!$AY$4,'17.01'!$AY$3)),(VLOOKUP('17.01'!V11,'17.01'!$AM$4:$AO$55,2,FALSE))*IF('17.01'!$AK11="是",'17.01'!$AY$4,'17.01'!$AY$3))</f>
        <v>170</v>
      </c>
      <c r="O11" s="4">
        <f>IF(ISNUMBER(SEARCH("营",'17.01'!W11)),(-$Y11+50*IF('17.01'!$AK11="是",'17.01'!$AY$4,'17.01'!$AY$3)),(VLOOKUP('17.01'!W11,'17.01'!$AM$4:$AO$55,2,FALSE))*IF('17.01'!$AK11="是",'17.01'!$AY$4,'17.01'!$AY$3))</f>
        <v>170</v>
      </c>
      <c r="P11" s="4">
        <f>IF(ISNUMBER(SEARCH("营",'17.01'!X11)),(-$Y11+50*IF('17.01'!$AK11="是",'17.01'!$AY$4,'17.01'!$AY$3)),(VLOOKUP('17.01'!X11,'17.01'!$AM$4:$AO$55,2,FALSE))*IF('17.01'!$AK11="是",'17.01'!$AY$4,'17.01'!$AY$3))</f>
        <v>170</v>
      </c>
      <c r="Q11" s="4">
        <f>IF(ISNUMBER(SEARCH("营",'17.01'!Y11)),(-$Y11+50*IF('17.01'!$AK11="是",'17.01'!$AY$4,'17.01'!$AY$3)),(VLOOKUP('17.01'!Y11,'17.01'!$AM$4:$AO$55,2,FALSE))*IF('17.01'!$AK11="是",'17.01'!$AY$4,'17.01'!$AY$3))</f>
        <v>170</v>
      </c>
      <c r="R11" s="4">
        <f>IF(ISNUMBER(SEARCH("营",'17.01'!Z11)),(-$Y11+50*IF('17.01'!$AK11="是",'17.01'!$AY$4,'17.01'!$AY$3)),(VLOOKUP('17.01'!Z11,'17.01'!$AM$4:$AO$55,2,FALSE))*IF('17.01'!$AK11="是",'17.01'!$AY$4,'17.01'!$AY$3))</f>
        <v>170</v>
      </c>
      <c r="S11" s="4">
        <f>IF(ISNUMBER(SEARCH("营",'17.01'!AA11)),(-$Y11+50*IF('17.01'!$AK11="是",'17.01'!$AY$4,'17.01'!$AY$3)),(VLOOKUP('17.01'!AA11,'17.01'!$AM$4:$AO$55,2,FALSE))*IF('17.01'!$AK11="是",'17.01'!$AY$4,'17.01'!$AY$3))</f>
        <v>170</v>
      </c>
      <c r="T11" s="4">
        <f>IF(ISNUMBER(SEARCH("营",'17.01'!AB11)),(-$Y11+50*IF('17.01'!$AK11="是",'17.01'!$AY$4,'17.01'!$AY$3)),(VLOOKUP('17.01'!AB11,'17.01'!$AM$4:$AO$55,2,FALSE))*IF('17.01'!$AK11="是",'17.01'!$AY$4,'17.01'!$AY$3))</f>
        <v>170</v>
      </c>
      <c r="U11" s="4">
        <f>IF(ISNUMBER(SEARCH("营",'17.01'!AC11)),(-$Y11+50*IF('17.01'!$AK11="是",'17.01'!$AY$4,'17.01'!$AY$3)),(VLOOKUP('17.01'!AC11,'17.01'!$AM$4:$AO$55,2,FALSE))*IF('17.01'!$AK11="是",'17.01'!$AY$4,'17.01'!$AY$3))</f>
        <v>170</v>
      </c>
      <c r="V11" s="4">
        <f>IF(ISNUMBER(SEARCH("营",'17.01'!AD11)),(-$Y11+50*IF('17.01'!$AK11="是",'17.01'!$AY$4,'17.01'!$AY$3)),(VLOOKUP('17.01'!AD11,'17.01'!$AM$4:$AO$55,2,FALSE))*IF('17.01'!$AK11="是",'17.01'!$AY$4,'17.01'!$AY$3))</f>
        <v>170</v>
      </c>
      <c r="W11" s="4">
        <f>IF(ISNUMBER(SEARCH("营",'17.01'!AE11)),(-$Y11+50*IF('17.01'!$AK11="是",'17.01'!$AY$4,'17.01'!$AY$3)),(VLOOKUP('17.01'!AE11,'17.01'!$AM$4:$AO$55,2,FALSE))*IF('17.01'!$AK11="是",'17.01'!$AY$4,'17.01'!$AY$3))</f>
        <v>0</v>
      </c>
      <c r="X11" s="4">
        <f>IF(ISNUMBER(SEARCH("营",'17.01'!AF11)),(-$Y11+50*IF('17.01'!$AK11="是",'17.01'!$AY$4,'17.01'!$AY$3)),(VLOOKUP('17.01'!AF11,'17.01'!$AM$4:$AO$55,2,FALSE))*IF('17.01'!$AK11="是",'17.01'!$AY$4,'17.01'!$AY$3))</f>
        <v>0</v>
      </c>
      <c r="Y11" s="89">
        <v>300</v>
      </c>
    </row>
    <row r="12" spans="1:25">
      <c r="A12" s="4">
        <f>IF(ISNUMBER(SEARCH("营",'17.01'!I12)),(-$Y12+50*IF('17.01'!$AK12="是",'17.01'!$AY$4,'17.01'!$AY$3)),(VLOOKUP('17.01'!I12,'17.01'!$AM$4:$AO$55,2,FALSE))*IF('17.01'!$AK12="是",'17.01'!$AY$4,'17.01'!$AY$3))</f>
        <v>0</v>
      </c>
      <c r="B12" s="4">
        <f>IF(ISNUMBER(SEARCH("营",'17.01'!J12)),(-$Y12+50*IF('17.01'!$AK12="是",'17.01'!$AY$4,'17.01'!$AY$3)),(VLOOKUP('17.01'!J12,'17.01'!$AM$4:$AO$55,2,FALSE))*IF('17.01'!$AK12="是",'17.01'!$AY$4,'17.01'!$AY$3))</f>
        <v>0</v>
      </c>
      <c r="C12" s="4">
        <f>IF(ISNUMBER(SEARCH("营",'17.01'!K12)),(-$Y12+50*IF('17.01'!$AK12="是",'17.01'!$AY$4,'17.01'!$AY$3)),(VLOOKUP('17.01'!K12,'17.01'!$AM$4:$AO$55,2,FALSE))*IF('17.01'!$AK12="是",'17.01'!$AY$4,'17.01'!$AY$3))</f>
        <v>0</v>
      </c>
      <c r="D12" s="4">
        <f>IF(ISNUMBER(SEARCH("营",'17.01'!L12)),(-$Y12+50*IF('17.01'!$AK12="是",'17.01'!$AY$4,'17.01'!$AY$3)),(VLOOKUP('17.01'!L12,'17.01'!$AM$4:$AO$55,2,FALSE))*IF('17.01'!$AK12="是",'17.01'!$AY$4,'17.01'!$AY$3))</f>
        <v>0</v>
      </c>
      <c r="E12" s="4">
        <f>IF(ISNUMBER(SEARCH("营",'17.01'!M12)),(-$Y12+50*IF('17.01'!$AK12="是",'17.01'!$AY$4,'17.01'!$AY$3)),(VLOOKUP('17.01'!M12,'17.01'!$AM$4:$AO$55,2,FALSE))*IF('17.01'!$AK12="是",'17.01'!$AY$4,'17.01'!$AY$3))</f>
        <v>0</v>
      </c>
      <c r="F12" s="4">
        <f>IF(ISNUMBER(SEARCH("营",'17.01'!N12)),(-$Y12+50*IF('17.01'!$AK12="是",'17.01'!$AY$4,'17.01'!$AY$3)),(VLOOKUP('17.01'!N12,'17.01'!$AM$4:$AO$55,2,FALSE))*IF('17.01'!$AK12="是",'17.01'!$AY$4,'17.01'!$AY$3))</f>
        <v>0</v>
      </c>
      <c r="G12" s="4">
        <f>IF(ISNUMBER(SEARCH("营",'17.01'!O12)),(-$Y12+50*IF('17.01'!$AK12="是",'17.01'!$AY$4,'17.01'!$AY$3)),(VLOOKUP('17.01'!O12,'17.01'!$AM$4:$AO$55,2,FALSE))*IF('17.01'!$AK12="是",'17.01'!$AY$4,'17.01'!$AY$3))</f>
        <v>0</v>
      </c>
      <c r="H12" s="4">
        <f>IF(ISNUMBER(SEARCH("营",'17.01'!P12)),(-$Y12+50*IF('17.01'!$AK12="是",'17.01'!$AY$4,'17.01'!$AY$3)),(VLOOKUP('17.01'!P12,'17.01'!$AM$4:$AO$55,2,FALSE))*IF('17.01'!$AK12="是",'17.01'!$AY$4,'17.01'!$AY$3))</f>
        <v>0</v>
      </c>
      <c r="I12" s="4">
        <f>IF(ISNUMBER(SEARCH("营",'17.01'!Q12)),(-$Y12+50*IF('17.01'!$AK12="是",'17.01'!$AY$4,'17.01'!$AY$3)),(VLOOKUP('17.01'!Q12,'17.01'!$AM$4:$AO$55,2,FALSE))*IF('17.01'!$AK12="是",'17.01'!$AY$4,'17.01'!$AY$3))</f>
        <v>170</v>
      </c>
      <c r="J12" s="4">
        <f>IF(ISNUMBER(SEARCH("营",'17.01'!R12)),(-$Y12+50*IF('17.01'!$AK12="是",'17.01'!$AY$4,'17.01'!$AY$3)),(VLOOKUP('17.01'!R12,'17.01'!$AM$4:$AO$55,2,FALSE))*IF('17.01'!$AK12="是",'17.01'!$AY$4,'17.01'!$AY$3))</f>
        <v>170</v>
      </c>
      <c r="K12" s="4">
        <f>IF(ISNUMBER(SEARCH("营",'17.01'!S12)),(-$Y12+50*IF('17.01'!$AK12="是",'17.01'!$AY$4,'17.01'!$AY$3)),(VLOOKUP('17.01'!S12,'17.01'!$AM$4:$AO$55,2,FALSE))*IF('17.01'!$AK12="是",'17.01'!$AY$4,'17.01'!$AY$3))</f>
        <v>150</v>
      </c>
      <c r="L12" s="4">
        <f>IF(ISNUMBER(SEARCH("营",'17.01'!T12)),(-$Y12+50*IF('17.01'!$AK12="是",'17.01'!$AY$4,'17.01'!$AY$3)),(VLOOKUP('17.01'!T12,'17.01'!$AM$4:$AO$55,2,FALSE))*IF('17.01'!$AK12="是",'17.01'!$AY$4,'17.01'!$AY$3))</f>
        <v>170</v>
      </c>
      <c r="M12" s="4">
        <f>IF(ISNUMBER(SEARCH("营",'17.01'!U12)),(-$Y12+50*IF('17.01'!$AK12="是",'17.01'!$AY$4,'17.01'!$AY$3)),(VLOOKUP('17.01'!U12,'17.01'!$AM$4:$AO$55,2,FALSE))*IF('17.01'!$AK12="是",'17.01'!$AY$4,'17.01'!$AY$3))</f>
        <v>170</v>
      </c>
      <c r="N12" s="4">
        <f>IF(ISNUMBER(SEARCH("营",'17.01'!V12)),(-$Y12+50*IF('17.01'!$AK12="是",'17.01'!$AY$4,'17.01'!$AY$3)),(VLOOKUP('17.01'!V12,'17.01'!$AM$4:$AO$55,2,FALSE))*IF('17.01'!$AK12="是",'17.01'!$AY$4,'17.01'!$AY$3))</f>
        <v>170</v>
      </c>
      <c r="O12" s="4">
        <f>IF(ISNUMBER(SEARCH("营",'17.01'!W12)),(-$Y12+50*IF('17.01'!$AK12="是",'17.01'!$AY$4,'17.01'!$AY$3)),(VLOOKUP('17.01'!W12,'17.01'!$AM$4:$AO$55,2,FALSE))*IF('17.01'!$AK12="是",'17.01'!$AY$4,'17.01'!$AY$3))</f>
        <v>0</v>
      </c>
      <c r="P12" s="4">
        <f>IF(ISNUMBER(SEARCH("营",'17.01'!X12)),(-$Y12+50*IF('17.01'!$AK12="是",'17.01'!$AY$4,'17.01'!$AY$3)),(VLOOKUP('17.01'!X12,'17.01'!$AM$4:$AO$55,2,FALSE))*IF('17.01'!$AK12="是",'17.01'!$AY$4,'17.01'!$AY$3))</f>
        <v>0</v>
      </c>
      <c r="Q12" s="4">
        <f>IF(ISNUMBER(SEARCH("营",'17.01'!Y12)),(-$Y12+50*IF('17.01'!$AK12="是",'17.01'!$AY$4,'17.01'!$AY$3)),(VLOOKUP('17.01'!Y12,'17.01'!$AM$4:$AO$55,2,FALSE))*IF('17.01'!$AK12="是",'17.01'!$AY$4,'17.01'!$AY$3))</f>
        <v>170</v>
      </c>
      <c r="R12" s="4">
        <f>IF(ISNUMBER(SEARCH("营",'17.01'!Z12)),(-$Y12+50*IF('17.01'!$AK12="是",'17.01'!$AY$4,'17.01'!$AY$3)),(VLOOKUP('17.01'!Z12,'17.01'!$AM$4:$AO$55,2,FALSE))*IF('17.01'!$AK12="是",'17.01'!$AY$4,'17.01'!$AY$3))</f>
        <v>50</v>
      </c>
      <c r="S12" s="4">
        <f>IF(ISNUMBER(SEARCH("营",'17.01'!AA12)),(-$Y12+50*IF('17.01'!$AK12="是",'17.01'!$AY$4,'17.01'!$AY$3)),(VLOOKUP('17.01'!AA12,'17.01'!$AM$4:$AO$55,2,FALSE))*IF('17.01'!$AK12="是",'17.01'!$AY$4,'17.01'!$AY$3))</f>
        <v>170</v>
      </c>
      <c r="T12" s="4">
        <f>IF(ISNUMBER(SEARCH("营",'17.01'!AB12)),(-$Y12+50*IF('17.01'!$AK12="是",'17.01'!$AY$4,'17.01'!$AY$3)),(VLOOKUP('17.01'!AB12,'17.01'!$AM$4:$AO$55,2,FALSE))*IF('17.01'!$AK12="是",'17.01'!$AY$4,'17.01'!$AY$3))</f>
        <v>170</v>
      </c>
      <c r="U12" s="4">
        <f>IF(ISNUMBER(SEARCH("营",'17.01'!AC12)),(-$Y12+50*IF('17.01'!$AK12="是",'17.01'!$AY$4,'17.01'!$AY$3)),(VLOOKUP('17.01'!AC12,'17.01'!$AM$4:$AO$55,2,FALSE))*IF('17.01'!$AK12="是",'17.01'!$AY$4,'17.01'!$AY$3))</f>
        <v>170</v>
      </c>
      <c r="V12" s="4">
        <f>IF(ISNUMBER(SEARCH("营",'17.01'!AD12)),(-$Y12+50*IF('17.01'!$AK12="是",'17.01'!$AY$4,'17.01'!$AY$3)),(VLOOKUP('17.01'!AD12,'17.01'!$AM$4:$AO$55,2,FALSE))*IF('17.01'!$AK12="是",'17.01'!$AY$4,'17.01'!$AY$3))</f>
        <v>170</v>
      </c>
      <c r="W12" s="4">
        <f>IF(ISNUMBER(SEARCH("营",'17.01'!AE12)),(-$Y12+50*IF('17.01'!$AK12="是",'17.01'!$AY$4,'17.01'!$AY$3)),(VLOOKUP('17.01'!AE12,'17.01'!$AM$4:$AO$55,2,FALSE))*IF('17.01'!$AK12="是",'17.01'!$AY$4,'17.01'!$AY$3))</f>
        <v>0</v>
      </c>
      <c r="X12" s="4">
        <f>IF(ISNUMBER(SEARCH("营",'17.01'!AF12)),(-$Y12+50*IF('17.01'!$AK12="是",'17.01'!$AY$4,'17.01'!$AY$3)),(VLOOKUP('17.01'!AF12,'17.01'!$AM$4:$AO$55,2,FALSE))*IF('17.01'!$AK12="是",'17.01'!$AY$4,'17.01'!$AY$3))</f>
        <v>0</v>
      </c>
      <c r="Y12" s="89">
        <v>300</v>
      </c>
    </row>
    <row r="13" spans="1:25">
      <c r="A13" s="4">
        <f>IF(ISNUMBER(SEARCH("营",'17.01'!I13)),(-$Y13+50*IF('17.01'!$AK13="是",'17.01'!$AY$4,'17.01'!$AY$3)),(VLOOKUP('17.01'!I13,'17.01'!$AM$4:$AO$55,2,FALSE))*IF('17.01'!$AK13="是",'17.01'!$AY$4,'17.01'!$AY$3))</f>
        <v>0</v>
      </c>
      <c r="B13" s="4">
        <f>IF(ISNUMBER(SEARCH("营",'17.01'!J13)),(-$Y13+50*IF('17.01'!$AK13="是",'17.01'!$AY$4,'17.01'!$AY$3)),(VLOOKUP('17.01'!J13,'17.01'!$AM$4:$AO$55,2,FALSE))*IF('17.01'!$AK13="是",'17.01'!$AY$4,'17.01'!$AY$3))</f>
        <v>0</v>
      </c>
      <c r="C13" s="4">
        <f>IF(ISNUMBER(SEARCH("营",'17.01'!K13)),(-$Y13+50*IF('17.01'!$AK13="是",'17.01'!$AY$4,'17.01'!$AY$3)),(VLOOKUP('17.01'!K13,'17.01'!$AM$4:$AO$55,2,FALSE))*IF('17.01'!$AK13="是",'17.01'!$AY$4,'17.01'!$AY$3))</f>
        <v>0</v>
      </c>
      <c r="D13" s="4">
        <f>IF(ISNUMBER(SEARCH("营",'17.01'!L13)),(-$Y13+50*IF('17.01'!$AK13="是",'17.01'!$AY$4,'17.01'!$AY$3)),(VLOOKUP('17.01'!L13,'17.01'!$AM$4:$AO$55,2,FALSE))*IF('17.01'!$AK13="是",'17.01'!$AY$4,'17.01'!$AY$3))</f>
        <v>0</v>
      </c>
      <c r="E13" s="4">
        <f>IF(ISNUMBER(SEARCH("营",'17.01'!M13)),(-$Y13+50*IF('17.01'!$AK13="是",'17.01'!$AY$4,'17.01'!$AY$3)),(VLOOKUP('17.01'!M13,'17.01'!$AM$4:$AO$55,2,FALSE))*IF('17.01'!$AK13="是",'17.01'!$AY$4,'17.01'!$AY$3))</f>
        <v>0</v>
      </c>
      <c r="F13" s="4">
        <f>IF(ISNUMBER(SEARCH("营",'17.01'!N13)),(-$Y13+50*IF('17.01'!$AK13="是",'17.01'!$AY$4,'17.01'!$AY$3)),(VLOOKUP('17.01'!N13,'17.01'!$AM$4:$AO$55,2,FALSE))*IF('17.01'!$AK13="是",'17.01'!$AY$4,'17.01'!$AY$3))</f>
        <v>0</v>
      </c>
      <c r="G13" s="4">
        <f>IF(ISNUMBER(SEARCH("营",'17.01'!O13)),(-$Y13+50*IF('17.01'!$AK13="是",'17.01'!$AY$4,'17.01'!$AY$3)),(VLOOKUP('17.01'!O13,'17.01'!$AM$4:$AO$55,2,FALSE))*IF('17.01'!$AK13="是",'17.01'!$AY$4,'17.01'!$AY$3))</f>
        <v>0</v>
      </c>
      <c r="H13" s="4">
        <f>IF(ISNUMBER(SEARCH("营",'17.01'!P13)),(-$Y13+50*IF('17.01'!$AK13="是",'17.01'!$AY$4,'17.01'!$AY$3)),(VLOOKUP('17.01'!P13,'17.01'!$AM$4:$AO$55,2,FALSE))*IF('17.01'!$AK13="是",'17.01'!$AY$4,'17.01'!$AY$3))</f>
        <v>0</v>
      </c>
      <c r="I13" s="4">
        <f>IF(ISNUMBER(SEARCH("营",'17.01'!Q13)),(-$Y13+50*IF('17.01'!$AK13="是",'17.01'!$AY$4,'17.01'!$AY$3)),(VLOOKUP('17.01'!Q13,'17.01'!$AM$4:$AO$55,2,FALSE))*IF('17.01'!$AK13="是",'17.01'!$AY$4,'17.01'!$AY$3))</f>
        <v>180</v>
      </c>
      <c r="J13" s="4">
        <f>IF(ISNUMBER(SEARCH("营",'17.01'!R13)),(-$Y13+50*IF('17.01'!$AK13="是",'17.01'!$AY$4,'17.01'!$AY$3)),(VLOOKUP('17.01'!R13,'17.01'!$AM$4:$AO$55,2,FALSE))*IF('17.01'!$AK13="是",'17.01'!$AY$4,'17.01'!$AY$3))</f>
        <v>50</v>
      </c>
      <c r="K13" s="4">
        <f>IF(ISNUMBER(SEARCH("营",'17.01'!S13)),(-$Y13+50*IF('17.01'!$AK13="是",'17.01'!$AY$4,'17.01'!$AY$3)),(VLOOKUP('17.01'!S13,'17.01'!$AM$4:$AO$55,2,FALSE))*IF('17.01'!$AK13="是",'17.01'!$AY$4,'17.01'!$AY$3))</f>
        <v>180</v>
      </c>
      <c r="L13" s="4">
        <f>IF(ISNUMBER(SEARCH("营",'17.01'!T13)),(-$Y13+50*IF('17.01'!$AK13="是",'17.01'!$AY$4,'17.01'!$AY$3)),(VLOOKUP('17.01'!T13,'17.01'!$AM$4:$AO$55,2,FALSE))*IF('17.01'!$AK13="是",'17.01'!$AY$4,'17.01'!$AY$3))</f>
        <v>180</v>
      </c>
      <c r="M13" s="4">
        <f>IF(ISNUMBER(SEARCH("营",'17.01'!U13)),(-$Y13+50*IF('17.01'!$AK13="是",'17.01'!$AY$4,'17.01'!$AY$3)),(VLOOKUP('17.01'!U13,'17.01'!$AM$4:$AO$55,2,FALSE))*IF('17.01'!$AK13="是",'17.01'!$AY$4,'17.01'!$AY$3))</f>
        <v>180</v>
      </c>
      <c r="N13" s="4">
        <f>IF(ISNUMBER(SEARCH("营",'17.01'!V13)),(-$Y13+50*IF('17.01'!$AK13="是",'17.01'!$AY$4,'17.01'!$AY$3)),(VLOOKUP('17.01'!V13,'17.01'!$AM$4:$AO$55,2,FALSE))*IF('17.01'!$AK13="是",'17.01'!$AY$4,'17.01'!$AY$3))</f>
        <v>180</v>
      </c>
      <c r="O13" s="4">
        <f>IF(ISNUMBER(SEARCH("营",'17.01'!W13)),(-$Y13+50*IF('17.01'!$AK13="是",'17.01'!$AY$4,'17.01'!$AY$3)),(VLOOKUP('17.01'!W13,'17.01'!$AM$4:$AO$55,2,FALSE))*IF('17.01'!$AK13="是",'17.01'!$AY$4,'17.01'!$AY$3))</f>
        <v>0</v>
      </c>
      <c r="P13" s="4">
        <f>IF(ISNUMBER(SEARCH("营",'17.01'!X13)),(-$Y13+50*IF('17.01'!$AK13="是",'17.01'!$AY$4,'17.01'!$AY$3)),(VLOOKUP('17.01'!X13,'17.01'!$AM$4:$AO$55,2,FALSE))*IF('17.01'!$AK13="是",'17.01'!$AY$4,'17.01'!$AY$3))</f>
        <v>0</v>
      </c>
      <c r="Q13" s="4">
        <f>IF(ISNUMBER(SEARCH("营",'17.01'!Y13)),(-$Y13+50*IF('17.01'!$AK13="是",'17.01'!$AY$4,'17.01'!$AY$3)),(VLOOKUP('17.01'!Y13,'17.01'!$AM$4:$AO$55,2,FALSE))*IF('17.01'!$AK13="是",'17.01'!$AY$4,'17.01'!$AY$3))</f>
        <v>250</v>
      </c>
      <c r="R13" s="4">
        <f>IF(ISNUMBER(SEARCH("营",'17.01'!Z13)),(-$Y13+50*IF('17.01'!$AK13="是",'17.01'!$AY$4,'17.01'!$AY$3)),(VLOOKUP('17.01'!Z13,'17.01'!$AM$4:$AO$55,2,FALSE))*IF('17.01'!$AK13="是",'17.01'!$AY$4,'17.01'!$AY$3))</f>
        <v>0</v>
      </c>
      <c r="S13" s="4">
        <f>IF(ISNUMBER(SEARCH("营",'17.01'!AA13)),(-$Y13+50*IF('17.01'!$AK13="是",'17.01'!$AY$4,'17.01'!$AY$3)),(VLOOKUP('17.01'!AA13,'17.01'!$AM$4:$AO$55,2,FALSE))*IF('17.01'!$AK13="是",'17.01'!$AY$4,'17.01'!$AY$3))</f>
        <v>0</v>
      </c>
      <c r="T13" s="4">
        <f>IF(ISNUMBER(SEARCH("营",'17.01'!AB13)),(-$Y13+50*IF('17.01'!$AK13="是",'17.01'!$AY$4,'17.01'!$AY$3)),(VLOOKUP('17.01'!AB13,'17.01'!$AM$4:$AO$55,2,FALSE))*IF('17.01'!$AK13="是",'17.01'!$AY$4,'17.01'!$AY$3))</f>
        <v>0</v>
      </c>
      <c r="U13" s="4">
        <f>IF(ISNUMBER(SEARCH("营",'17.01'!AC13)),(-$Y13+50*IF('17.01'!$AK13="是",'17.01'!$AY$4,'17.01'!$AY$3)),(VLOOKUP('17.01'!AC13,'17.01'!$AM$4:$AO$55,2,FALSE))*IF('17.01'!$AK13="是",'17.01'!$AY$4,'17.01'!$AY$3))</f>
        <v>0</v>
      </c>
      <c r="V13" s="4">
        <f>IF(ISNUMBER(SEARCH("营",'17.01'!AD13)),(-$Y13+50*IF('17.01'!$AK13="是",'17.01'!$AY$4,'17.01'!$AY$3)),(VLOOKUP('17.01'!AD13,'17.01'!$AM$4:$AO$55,2,FALSE))*IF('17.01'!$AK13="是",'17.01'!$AY$4,'17.01'!$AY$3))</f>
        <v>0</v>
      </c>
      <c r="W13" s="4">
        <f>IF(ISNUMBER(SEARCH("营",'17.01'!AE13)),(-$Y13+50*IF('17.01'!$AK13="是",'17.01'!$AY$4,'17.01'!$AY$3)),(VLOOKUP('17.01'!AE13,'17.01'!$AM$4:$AO$55,2,FALSE))*IF('17.01'!$AK13="是",'17.01'!$AY$4,'17.01'!$AY$3))</f>
        <v>0</v>
      </c>
      <c r="X13" s="4">
        <f>IF(ISNUMBER(SEARCH("营",'17.01'!AF13)),(-$Y13+50*IF('17.01'!$AK13="是",'17.01'!$AY$4,'17.01'!$AY$3)),(VLOOKUP('17.01'!AF13,'17.01'!$AM$4:$AO$55,2,FALSE))*IF('17.01'!$AK13="是",'17.01'!$AY$4,'17.01'!$AY$3))</f>
        <v>0</v>
      </c>
      <c r="Y13" s="89">
        <v>300</v>
      </c>
    </row>
    <row r="14" spans="1:25">
      <c r="A14" s="4">
        <f>IF(ISNUMBER(SEARCH("营",'17.01'!I14)),(-$Y14+50*IF('17.01'!$AK14="是",'17.01'!$AY$4,'17.01'!$AY$3)),(VLOOKUP('17.01'!I14,'17.01'!$AM$4:$AO$55,2,FALSE))*IF('17.01'!$AK14="是",'17.01'!$AY$4,'17.01'!$AY$3))</f>
        <v>0</v>
      </c>
      <c r="B14" s="4">
        <f>IF(ISNUMBER(SEARCH("营",'17.01'!J14)),(-$Y14+50*IF('17.01'!$AK14="是",'17.01'!$AY$4,'17.01'!$AY$3)),(VLOOKUP('17.01'!J14,'17.01'!$AM$4:$AO$55,2,FALSE))*IF('17.01'!$AK14="是",'17.01'!$AY$4,'17.01'!$AY$3))</f>
        <v>0</v>
      </c>
      <c r="C14" s="4">
        <f>IF(ISNUMBER(SEARCH("营",'17.01'!K14)),(-$Y14+50*IF('17.01'!$AK14="是",'17.01'!$AY$4,'17.01'!$AY$3)),(VLOOKUP('17.01'!K14,'17.01'!$AM$4:$AO$55,2,FALSE))*IF('17.01'!$AK14="是",'17.01'!$AY$4,'17.01'!$AY$3))</f>
        <v>0</v>
      </c>
      <c r="D14" s="4">
        <f>IF(ISNUMBER(SEARCH("营",'17.01'!L14)),(-$Y14+50*IF('17.01'!$AK14="是",'17.01'!$AY$4,'17.01'!$AY$3)),(VLOOKUP('17.01'!L14,'17.01'!$AM$4:$AO$55,2,FALSE))*IF('17.01'!$AK14="是",'17.01'!$AY$4,'17.01'!$AY$3))</f>
        <v>0</v>
      </c>
      <c r="E14" s="4">
        <f>IF(ISNUMBER(SEARCH("营",'17.01'!M14)),(-$Y14+50*IF('17.01'!$AK14="是",'17.01'!$AY$4,'17.01'!$AY$3)),(VLOOKUP('17.01'!M14,'17.01'!$AM$4:$AO$55,2,FALSE))*IF('17.01'!$AK14="是",'17.01'!$AY$4,'17.01'!$AY$3))</f>
        <v>0</v>
      </c>
      <c r="F14" s="4">
        <f>IF(ISNUMBER(SEARCH("营",'17.01'!N14)),(-$Y14+50*IF('17.01'!$AK14="是",'17.01'!$AY$4,'17.01'!$AY$3)),(VLOOKUP('17.01'!N14,'17.01'!$AM$4:$AO$55,2,FALSE))*IF('17.01'!$AK14="是",'17.01'!$AY$4,'17.01'!$AY$3))</f>
        <v>0</v>
      </c>
      <c r="G14" s="4">
        <f>IF(ISNUMBER(SEARCH("营",'17.01'!O14)),(-$Y14+50*IF('17.01'!$AK14="是",'17.01'!$AY$4,'17.01'!$AY$3)),(VLOOKUP('17.01'!O14,'17.01'!$AM$4:$AO$55,2,FALSE))*IF('17.01'!$AK14="是",'17.01'!$AY$4,'17.01'!$AY$3))</f>
        <v>0</v>
      </c>
      <c r="H14" s="4">
        <f>IF(ISNUMBER(SEARCH("营",'17.01'!P14)),(-$Y14+50*IF('17.01'!$AK14="是",'17.01'!$AY$4,'17.01'!$AY$3)),(VLOOKUP('17.01'!P14,'17.01'!$AM$4:$AO$55,2,FALSE))*IF('17.01'!$AK14="是",'17.01'!$AY$4,'17.01'!$AY$3))</f>
        <v>0</v>
      </c>
      <c r="I14" s="4">
        <f>IF(ISNUMBER(SEARCH("营",'17.01'!Q14)),(-$Y14+50*IF('17.01'!$AK14="是",'17.01'!$AY$4,'17.01'!$AY$3)),(VLOOKUP('17.01'!Q14,'17.01'!$AM$4:$AO$55,2,FALSE))*IF('17.01'!$AK14="是",'17.01'!$AY$4,'17.01'!$AY$3))</f>
        <v>180</v>
      </c>
      <c r="J14" s="4">
        <f>IF(ISNUMBER(SEARCH("营",'17.01'!R14)),(-$Y14+50*IF('17.01'!$AK14="是",'17.01'!$AY$4,'17.01'!$AY$3)),(VLOOKUP('17.01'!R14,'17.01'!$AM$4:$AO$55,2,FALSE))*IF('17.01'!$AK14="是",'17.01'!$AY$4,'17.01'!$AY$3))</f>
        <v>180</v>
      </c>
      <c r="K14" s="4">
        <f>IF(ISNUMBER(SEARCH("营",'17.01'!S14)),(-$Y14+50*IF('17.01'!$AK14="是",'17.01'!$AY$4,'17.01'!$AY$3)),(VLOOKUP('17.01'!S14,'17.01'!$AM$4:$AO$55,2,FALSE))*IF('17.01'!$AK14="是",'17.01'!$AY$4,'17.01'!$AY$3))</f>
        <v>180</v>
      </c>
      <c r="L14" s="4">
        <f>IF(ISNUMBER(SEARCH("营",'17.01'!T14)),(-$Y14+50*IF('17.01'!$AK14="是",'17.01'!$AY$4,'17.01'!$AY$3)),(VLOOKUP('17.01'!T14,'17.01'!$AM$4:$AO$55,2,FALSE))*IF('17.01'!$AK14="是",'17.01'!$AY$4,'17.01'!$AY$3))</f>
        <v>180</v>
      </c>
      <c r="M14" s="4">
        <f>IF(ISNUMBER(SEARCH("营",'17.01'!U14)),(-$Y14+50*IF('17.01'!$AK14="是",'17.01'!$AY$4,'17.01'!$AY$3)),(VLOOKUP('17.01'!U14,'17.01'!$AM$4:$AO$55,2,FALSE))*IF('17.01'!$AK14="是",'17.01'!$AY$4,'17.01'!$AY$3))</f>
        <v>180</v>
      </c>
      <c r="N14" s="4">
        <f>IF(ISNUMBER(SEARCH("营",'17.01'!V14)),(-$Y14+50*IF('17.01'!$AK14="是",'17.01'!$AY$4,'17.01'!$AY$3)),(VLOOKUP('17.01'!V14,'17.01'!$AM$4:$AO$55,2,FALSE))*IF('17.01'!$AK14="是",'17.01'!$AY$4,'17.01'!$AY$3))</f>
        <v>50</v>
      </c>
      <c r="O14" s="4">
        <f>IF(ISNUMBER(SEARCH("营",'17.01'!W14)),(-$Y14+50*IF('17.01'!$AK14="是",'17.01'!$AY$4,'17.01'!$AY$3)),(VLOOKUP('17.01'!W14,'17.01'!$AM$4:$AO$55,2,FALSE))*IF('17.01'!$AK14="是",'17.01'!$AY$4,'17.01'!$AY$3))</f>
        <v>0</v>
      </c>
      <c r="P14" s="4">
        <f>IF(ISNUMBER(SEARCH("营",'17.01'!X14)),(-$Y14+50*IF('17.01'!$AK14="是",'17.01'!$AY$4,'17.01'!$AY$3)),(VLOOKUP('17.01'!X14,'17.01'!$AM$4:$AO$55,2,FALSE))*IF('17.01'!$AK14="是",'17.01'!$AY$4,'17.01'!$AY$3))</f>
        <v>0</v>
      </c>
      <c r="Q14" s="4">
        <f>IF(ISNUMBER(SEARCH("营",'17.01'!Y14)),(-$Y14+50*IF('17.01'!$AK14="是",'17.01'!$AY$4,'17.01'!$AY$3)),(VLOOKUP('17.01'!Y14,'17.01'!$AM$4:$AO$55,2,FALSE))*IF('17.01'!$AK14="是",'17.01'!$AY$4,'17.01'!$AY$3))</f>
        <v>170</v>
      </c>
      <c r="R14" s="4">
        <f>IF(ISNUMBER(SEARCH("营",'17.01'!Z14)),(-$Y14+50*IF('17.01'!$AK14="是",'17.01'!$AY$4,'17.01'!$AY$3)),(VLOOKUP('17.01'!Z14,'17.01'!$AM$4:$AO$55,2,FALSE))*IF('17.01'!$AK14="是",'17.01'!$AY$4,'17.01'!$AY$3))</f>
        <v>170</v>
      </c>
      <c r="S14" s="4">
        <f>IF(ISNUMBER(SEARCH("营",'17.01'!AA14)),(-$Y14+50*IF('17.01'!$AK14="是",'17.01'!$AY$4,'17.01'!$AY$3)),(VLOOKUP('17.01'!AA14,'17.01'!$AM$4:$AO$55,2,FALSE))*IF('17.01'!$AK14="是",'17.01'!$AY$4,'17.01'!$AY$3))</f>
        <v>170</v>
      </c>
      <c r="T14" s="4">
        <f>IF(ISNUMBER(SEARCH("营",'17.01'!AB14)),(-$Y14+50*IF('17.01'!$AK14="是",'17.01'!$AY$4,'17.01'!$AY$3)),(VLOOKUP('17.01'!AB14,'17.01'!$AM$4:$AO$55,2,FALSE))*IF('17.01'!$AK14="是",'17.01'!$AY$4,'17.01'!$AY$3))</f>
        <v>170</v>
      </c>
      <c r="U14" s="4">
        <f>IF(ISNUMBER(SEARCH("营",'17.01'!AC14)),(-$Y14+50*IF('17.01'!$AK14="是",'17.01'!$AY$4,'17.01'!$AY$3)),(VLOOKUP('17.01'!AC14,'17.01'!$AM$4:$AO$55,2,FALSE))*IF('17.01'!$AK14="是",'17.01'!$AY$4,'17.01'!$AY$3))</f>
        <v>170</v>
      </c>
      <c r="V14" s="4">
        <f>IF(ISNUMBER(SEARCH("营",'17.01'!AD14)),(-$Y14+50*IF('17.01'!$AK14="是",'17.01'!$AY$4,'17.01'!$AY$3)),(VLOOKUP('17.01'!AD14,'17.01'!$AM$4:$AO$55,2,FALSE))*IF('17.01'!$AK14="是",'17.01'!$AY$4,'17.01'!$AY$3))</f>
        <v>170</v>
      </c>
      <c r="W14" s="4">
        <f>IF(ISNUMBER(SEARCH("营",'17.01'!AE14)),(-$Y14+50*IF('17.01'!$AK14="是",'17.01'!$AY$4,'17.01'!$AY$3)),(VLOOKUP('17.01'!AE14,'17.01'!$AM$4:$AO$55,2,FALSE))*IF('17.01'!$AK14="是",'17.01'!$AY$4,'17.01'!$AY$3))</f>
        <v>0</v>
      </c>
      <c r="X14" s="4">
        <f>IF(ISNUMBER(SEARCH("营",'17.01'!AF14)),(-$Y14+50*IF('17.01'!$AK14="是",'17.01'!$AY$4,'17.01'!$AY$3)),(VLOOKUP('17.01'!AF14,'17.01'!$AM$4:$AO$55,2,FALSE))*IF('17.01'!$AK14="是",'17.01'!$AY$4,'17.01'!$AY$3))</f>
        <v>0</v>
      </c>
      <c r="Y14" s="89">
        <v>300</v>
      </c>
    </row>
    <row r="15" spans="1:25">
      <c r="A15" s="4">
        <f>IF(ISNUMBER(SEARCH("营",'17.01'!I15)),(-$Y15+50*IF('17.01'!$AK15="是",'17.01'!$AY$4,'17.01'!$AY$3)),(VLOOKUP('17.01'!I15,'17.01'!$AM$4:$AO$55,2,FALSE))*IF('17.01'!$AK15="是",'17.01'!$AY$4,'17.01'!$AY$3))</f>
        <v>0</v>
      </c>
      <c r="B15" s="4">
        <f>IF(ISNUMBER(SEARCH("营",'17.01'!J15)),(-$Y15+50*IF('17.01'!$AK15="是",'17.01'!$AY$4,'17.01'!$AY$3)),(VLOOKUP('17.01'!J15,'17.01'!$AM$4:$AO$55,2,FALSE))*IF('17.01'!$AK15="是",'17.01'!$AY$4,'17.01'!$AY$3))</f>
        <v>0</v>
      </c>
      <c r="C15" s="4">
        <f>IF(ISNUMBER(SEARCH("营",'17.01'!K15)),(-$Y15+50*IF('17.01'!$AK15="是",'17.01'!$AY$4,'17.01'!$AY$3)),(VLOOKUP('17.01'!K15,'17.01'!$AM$4:$AO$55,2,FALSE))*IF('17.01'!$AK15="是",'17.01'!$AY$4,'17.01'!$AY$3))</f>
        <v>0</v>
      </c>
      <c r="D15" s="4">
        <f>IF(ISNUMBER(SEARCH("营",'17.01'!L15)),(-$Y15+50*IF('17.01'!$AK15="是",'17.01'!$AY$4,'17.01'!$AY$3)),(VLOOKUP('17.01'!L15,'17.01'!$AM$4:$AO$55,2,FALSE))*IF('17.01'!$AK15="是",'17.01'!$AY$4,'17.01'!$AY$3))</f>
        <v>0</v>
      </c>
      <c r="E15" s="4">
        <f>IF(ISNUMBER(SEARCH("营",'17.01'!M15)),(-$Y15+50*IF('17.01'!$AK15="是",'17.01'!$AY$4,'17.01'!$AY$3)),(VLOOKUP('17.01'!M15,'17.01'!$AM$4:$AO$55,2,FALSE))*IF('17.01'!$AK15="是",'17.01'!$AY$4,'17.01'!$AY$3))</f>
        <v>0</v>
      </c>
      <c r="F15" s="4">
        <f>IF(ISNUMBER(SEARCH("营",'17.01'!N15)),(-$Y15+50*IF('17.01'!$AK15="是",'17.01'!$AY$4,'17.01'!$AY$3)),(VLOOKUP('17.01'!N15,'17.01'!$AM$4:$AO$55,2,FALSE))*IF('17.01'!$AK15="是",'17.01'!$AY$4,'17.01'!$AY$3))</f>
        <v>0</v>
      </c>
      <c r="G15" s="4">
        <f>IF(ISNUMBER(SEARCH("营",'17.01'!O15)),(-$Y15+50*IF('17.01'!$AK15="是",'17.01'!$AY$4,'17.01'!$AY$3)),(VLOOKUP('17.01'!O15,'17.01'!$AM$4:$AO$55,2,FALSE))*IF('17.01'!$AK15="是",'17.01'!$AY$4,'17.01'!$AY$3))</f>
        <v>0</v>
      </c>
      <c r="H15" s="4">
        <f>IF(ISNUMBER(SEARCH("营",'17.01'!P15)),(-$Y15+50*IF('17.01'!$AK15="是",'17.01'!$AY$4,'17.01'!$AY$3)),(VLOOKUP('17.01'!P15,'17.01'!$AM$4:$AO$55,2,FALSE))*IF('17.01'!$AK15="是",'17.01'!$AY$4,'17.01'!$AY$3))</f>
        <v>0</v>
      </c>
      <c r="I15" s="4">
        <f>IF(ISNUMBER(SEARCH("营",'17.01'!Q15)),(-$Y15+50*IF('17.01'!$AK15="是",'17.01'!$AY$4,'17.01'!$AY$3)),(VLOOKUP('17.01'!Q15,'17.01'!$AM$4:$AO$55,2,FALSE))*IF('17.01'!$AK15="是",'17.01'!$AY$4,'17.01'!$AY$3))</f>
        <v>180</v>
      </c>
      <c r="J15" s="4">
        <f>IF(ISNUMBER(SEARCH("营",'17.01'!R15)),(-$Y15+50*IF('17.01'!$AK15="是",'17.01'!$AY$4,'17.01'!$AY$3)),(VLOOKUP('17.01'!R15,'17.01'!$AM$4:$AO$55,2,FALSE))*IF('17.01'!$AK15="是",'17.01'!$AY$4,'17.01'!$AY$3))</f>
        <v>170</v>
      </c>
      <c r="K15" s="4">
        <f>IF(ISNUMBER(SEARCH("营",'17.01'!S15)),(-$Y15+50*IF('17.01'!$AK15="是",'17.01'!$AY$4,'17.01'!$AY$3)),(VLOOKUP('17.01'!S15,'17.01'!$AM$4:$AO$55,2,FALSE))*IF('17.01'!$AK15="是",'17.01'!$AY$4,'17.01'!$AY$3))</f>
        <v>170</v>
      </c>
      <c r="L15" s="4">
        <f>IF(ISNUMBER(SEARCH("营",'17.01'!T15)),(-$Y15+50*IF('17.01'!$AK15="是",'17.01'!$AY$4,'17.01'!$AY$3)),(VLOOKUP('17.01'!T15,'17.01'!$AM$4:$AO$55,2,FALSE))*IF('17.01'!$AK15="是",'17.01'!$AY$4,'17.01'!$AY$3))</f>
        <v>170</v>
      </c>
      <c r="M15" s="4">
        <f>IF(ISNUMBER(SEARCH("营",'17.01'!U15)),(-$Y15+50*IF('17.01'!$AK15="是",'17.01'!$AY$4,'17.01'!$AY$3)),(VLOOKUP('17.01'!U15,'17.01'!$AM$4:$AO$55,2,FALSE))*IF('17.01'!$AK15="是",'17.01'!$AY$4,'17.01'!$AY$3))</f>
        <v>170</v>
      </c>
      <c r="N15" s="4">
        <f>IF(ISNUMBER(SEARCH("营",'17.01'!V15)),(-$Y15+50*IF('17.01'!$AK15="是",'17.01'!$AY$4,'17.01'!$AY$3)),(VLOOKUP('17.01'!V15,'17.01'!$AM$4:$AO$55,2,FALSE))*IF('17.01'!$AK15="是",'17.01'!$AY$4,'17.01'!$AY$3))</f>
        <v>170</v>
      </c>
      <c r="O15" s="4">
        <f>IF(ISNUMBER(SEARCH("营",'17.01'!W15)),(-$Y15+50*IF('17.01'!$AK15="是",'17.01'!$AY$4,'17.01'!$AY$3)),(VLOOKUP('17.01'!W15,'17.01'!$AM$4:$AO$55,2,FALSE))*IF('17.01'!$AK15="是",'17.01'!$AY$4,'17.01'!$AY$3))</f>
        <v>0</v>
      </c>
      <c r="P15" s="4">
        <f>IF(ISNUMBER(SEARCH("营",'17.01'!X15)),(-$Y15+50*IF('17.01'!$AK15="是",'17.01'!$AY$4,'17.01'!$AY$3)),(VLOOKUP('17.01'!X15,'17.01'!$AM$4:$AO$55,2,FALSE))*IF('17.01'!$AK15="是",'17.01'!$AY$4,'17.01'!$AY$3))</f>
        <v>0</v>
      </c>
      <c r="Q15" s="4">
        <f>IF(ISNUMBER(SEARCH("营",'17.01'!Y15)),(-$Y15+50*IF('17.01'!$AK15="是",'17.01'!$AY$4,'17.01'!$AY$3)),(VLOOKUP('17.01'!Y15,'17.01'!$AM$4:$AO$55,2,FALSE))*IF('17.01'!$AK15="是",'17.01'!$AY$4,'17.01'!$AY$3))</f>
        <v>170</v>
      </c>
      <c r="R15" s="4">
        <f>IF(ISNUMBER(SEARCH("营",'17.01'!Z15)),(-$Y15+50*IF('17.01'!$AK15="是",'17.01'!$AY$4,'17.01'!$AY$3)),(VLOOKUP('17.01'!Z15,'17.01'!$AM$4:$AO$55,2,FALSE))*IF('17.01'!$AK15="是",'17.01'!$AY$4,'17.01'!$AY$3))</f>
        <v>170</v>
      </c>
      <c r="S15" s="4">
        <f>IF(ISNUMBER(SEARCH("营",'17.01'!AA15)),(-$Y15+50*IF('17.01'!$AK15="是",'17.01'!$AY$4,'17.01'!$AY$3)),(VLOOKUP('17.01'!AA15,'17.01'!$AM$4:$AO$55,2,FALSE))*IF('17.01'!$AK15="是",'17.01'!$AY$4,'17.01'!$AY$3))</f>
        <v>170</v>
      </c>
      <c r="T15" s="4">
        <f>IF(ISNUMBER(SEARCH("营",'17.01'!AB15)),(-$Y15+50*IF('17.01'!$AK15="是",'17.01'!$AY$4,'17.01'!$AY$3)),(VLOOKUP('17.01'!AB15,'17.01'!$AM$4:$AO$55,2,FALSE))*IF('17.01'!$AK15="是",'17.01'!$AY$4,'17.01'!$AY$3))</f>
        <v>170</v>
      </c>
      <c r="U15" s="4">
        <f>IF(ISNUMBER(SEARCH("营",'17.01'!AC15)),(-$Y15+50*IF('17.01'!$AK15="是",'17.01'!$AY$4,'17.01'!$AY$3)),(VLOOKUP('17.01'!AC15,'17.01'!$AM$4:$AO$55,2,FALSE))*IF('17.01'!$AK15="是",'17.01'!$AY$4,'17.01'!$AY$3))</f>
        <v>50</v>
      </c>
      <c r="V15" s="4">
        <f>IF(ISNUMBER(SEARCH("营",'17.01'!AD15)),(-$Y15+50*IF('17.01'!$AK15="是",'17.01'!$AY$4,'17.01'!$AY$3)),(VLOOKUP('17.01'!AD15,'17.01'!$AM$4:$AO$55,2,FALSE))*IF('17.01'!$AK15="是",'17.01'!$AY$4,'17.01'!$AY$3))</f>
        <v>170</v>
      </c>
      <c r="W15" s="4">
        <f>IF(ISNUMBER(SEARCH("营",'17.01'!AE15)),(-$Y15+50*IF('17.01'!$AK15="是",'17.01'!$AY$4,'17.01'!$AY$3)),(VLOOKUP('17.01'!AE15,'17.01'!$AM$4:$AO$55,2,FALSE))*IF('17.01'!$AK15="是",'17.01'!$AY$4,'17.01'!$AY$3))</f>
        <v>0</v>
      </c>
      <c r="X15" s="4">
        <f>IF(ISNUMBER(SEARCH("营",'17.01'!AF15)),(-$Y15+50*IF('17.01'!$AK15="是",'17.01'!$AY$4,'17.01'!$AY$3)),(VLOOKUP('17.01'!AF15,'17.01'!$AM$4:$AO$55,2,FALSE))*IF('17.01'!$AK15="是",'17.01'!$AY$4,'17.01'!$AY$3))</f>
        <v>0</v>
      </c>
      <c r="Y15" s="89">
        <v>300</v>
      </c>
    </row>
    <row r="16" spans="1:25">
      <c r="A16" s="4">
        <f>IF(ISNUMBER(SEARCH("营",'17.01'!I16)),(-$Y16+50*IF('17.01'!$AK16="是",'17.01'!$AY$4,'17.01'!$AY$3)),(VLOOKUP('17.01'!I16,'17.01'!$AM$4:$AO$55,2,FALSE))*IF('17.01'!$AK16="是",'17.01'!$AY$4,'17.01'!$AY$3))</f>
        <v>0</v>
      </c>
      <c r="B16" s="4">
        <f>IF(ISNUMBER(SEARCH("营",'17.01'!J16)),(-$Y16+50*IF('17.01'!$AK16="是",'17.01'!$AY$4,'17.01'!$AY$3)),(VLOOKUP('17.01'!J16,'17.01'!$AM$4:$AO$55,2,FALSE))*IF('17.01'!$AK16="是",'17.01'!$AY$4,'17.01'!$AY$3))</f>
        <v>0</v>
      </c>
      <c r="C16" s="4">
        <f>IF(ISNUMBER(SEARCH("营",'17.01'!K16)),(-$Y16+50*IF('17.01'!$AK16="是",'17.01'!$AY$4,'17.01'!$AY$3)),(VLOOKUP('17.01'!K16,'17.01'!$AM$4:$AO$55,2,FALSE))*IF('17.01'!$AK16="是",'17.01'!$AY$4,'17.01'!$AY$3))</f>
        <v>0</v>
      </c>
      <c r="D16" s="4">
        <f>IF(ISNUMBER(SEARCH("营",'17.01'!L16)),(-$Y16+50*IF('17.01'!$AK16="是",'17.01'!$AY$4,'17.01'!$AY$3)),(VLOOKUP('17.01'!L16,'17.01'!$AM$4:$AO$55,2,FALSE))*IF('17.01'!$AK16="是",'17.01'!$AY$4,'17.01'!$AY$3))</f>
        <v>0</v>
      </c>
      <c r="E16" s="4">
        <f>IF(ISNUMBER(SEARCH("营",'17.01'!M16)),(-$Y16+50*IF('17.01'!$AK16="是",'17.01'!$AY$4,'17.01'!$AY$3)),(VLOOKUP('17.01'!M16,'17.01'!$AM$4:$AO$55,2,FALSE))*IF('17.01'!$AK16="是",'17.01'!$AY$4,'17.01'!$AY$3))</f>
        <v>0</v>
      </c>
      <c r="F16" s="4">
        <f>IF(ISNUMBER(SEARCH("营",'17.01'!N16)),(-$Y16+50*IF('17.01'!$AK16="是",'17.01'!$AY$4,'17.01'!$AY$3)),(VLOOKUP('17.01'!N16,'17.01'!$AM$4:$AO$55,2,FALSE))*IF('17.01'!$AK16="是",'17.01'!$AY$4,'17.01'!$AY$3))</f>
        <v>0</v>
      </c>
      <c r="G16" s="4">
        <f>IF(ISNUMBER(SEARCH("营",'17.01'!O16)),(-$Y16+50*IF('17.01'!$AK16="是",'17.01'!$AY$4,'17.01'!$AY$3)),(VLOOKUP('17.01'!O16,'17.01'!$AM$4:$AO$55,2,FALSE))*IF('17.01'!$AK16="是",'17.01'!$AY$4,'17.01'!$AY$3))</f>
        <v>0</v>
      </c>
      <c r="H16" s="4">
        <f>IF(ISNUMBER(SEARCH("营",'17.01'!P16)),(-$Y16+50*IF('17.01'!$AK16="是",'17.01'!$AY$4,'17.01'!$AY$3)),(VLOOKUP('17.01'!P16,'17.01'!$AM$4:$AO$55,2,FALSE))*IF('17.01'!$AK16="是",'17.01'!$AY$4,'17.01'!$AY$3))</f>
        <v>0</v>
      </c>
      <c r="I16" s="4">
        <f>IF(ISNUMBER(SEARCH("营",'17.01'!Q16)),(-$Y16+50*IF('17.01'!$AK16="是",'17.01'!$AY$4,'17.01'!$AY$3)),(VLOOKUP('17.01'!Q16,'17.01'!$AM$4:$AO$55,2,FALSE))*IF('17.01'!$AK16="是",'17.01'!$AY$4,'17.01'!$AY$3))</f>
        <v>136</v>
      </c>
      <c r="J16" s="4">
        <f>IF(ISNUMBER(SEARCH("营",'17.01'!R16)),(-$Y16+50*IF('17.01'!$AK16="是",'17.01'!$AY$4,'17.01'!$AY$3)),(VLOOKUP('17.01'!R16,'17.01'!$AM$4:$AO$55,2,FALSE))*IF('17.01'!$AK16="是",'17.01'!$AY$4,'17.01'!$AY$3))</f>
        <v>136</v>
      </c>
      <c r="K16" s="4">
        <f>IF(ISNUMBER(SEARCH("营",'17.01'!S16)),(-$Y16+50*IF('17.01'!$AK16="是",'17.01'!$AY$4,'17.01'!$AY$3)),(VLOOKUP('17.01'!S16,'17.01'!$AM$4:$AO$55,2,FALSE))*IF('17.01'!$AK16="是",'17.01'!$AY$4,'17.01'!$AY$3))</f>
        <v>136</v>
      </c>
      <c r="L16" s="4">
        <f>IF(ISNUMBER(SEARCH("营",'17.01'!T16)),(-$Y16+50*IF('17.01'!$AK16="是",'17.01'!$AY$4,'17.01'!$AY$3)),(VLOOKUP('17.01'!T16,'17.01'!$AM$4:$AO$55,2,FALSE))*IF('17.01'!$AK16="是",'17.01'!$AY$4,'17.01'!$AY$3))</f>
        <v>136</v>
      </c>
      <c r="M16" s="4">
        <f>IF(ISNUMBER(SEARCH("营",'17.01'!U16)),(-$Y16+50*IF('17.01'!$AK16="是",'17.01'!$AY$4,'17.01'!$AY$3)),(VLOOKUP('17.01'!U16,'17.01'!$AM$4:$AO$55,2,FALSE))*IF('17.01'!$AK16="是",'17.01'!$AY$4,'17.01'!$AY$3))</f>
        <v>40</v>
      </c>
      <c r="N16" s="4">
        <f>IF(ISNUMBER(SEARCH("营",'17.01'!V16)),(-$Y16+50*IF('17.01'!$AK16="是",'17.01'!$AY$4,'17.01'!$AY$3)),(VLOOKUP('17.01'!V16,'17.01'!$AM$4:$AO$55,2,FALSE))*IF('17.01'!$AK16="是",'17.01'!$AY$4,'17.01'!$AY$3))</f>
        <v>136</v>
      </c>
      <c r="O16" s="4">
        <f>IF(ISNUMBER(SEARCH("营",'17.01'!W16)),(-$Y16+50*IF('17.01'!$AK16="是",'17.01'!$AY$4,'17.01'!$AY$3)),(VLOOKUP('17.01'!W16,'17.01'!$AM$4:$AO$55,2,FALSE))*IF('17.01'!$AK16="是",'17.01'!$AY$4,'17.01'!$AY$3))</f>
        <v>0</v>
      </c>
      <c r="P16" s="4">
        <f>IF(ISNUMBER(SEARCH("营",'17.01'!X16)),(-$Y16+50*IF('17.01'!$AK16="是",'17.01'!$AY$4,'17.01'!$AY$3)),(VLOOKUP('17.01'!X16,'17.01'!$AM$4:$AO$55,2,FALSE))*IF('17.01'!$AK16="是",'17.01'!$AY$4,'17.01'!$AY$3))</f>
        <v>0</v>
      </c>
      <c r="Q16" s="4">
        <f>IF(ISNUMBER(SEARCH("营",'17.01'!Y16)),(-$Y16+50*IF('17.01'!$AK16="是",'17.01'!$AY$4,'17.01'!$AY$3)),(VLOOKUP('17.01'!Y16,'17.01'!$AM$4:$AO$55,2,FALSE))*IF('17.01'!$AK16="是",'17.01'!$AY$4,'17.01'!$AY$3))</f>
        <v>136</v>
      </c>
      <c r="R16" s="4">
        <f>IF(ISNUMBER(SEARCH("营",'17.01'!Z16)),(-$Y16+50*IF('17.01'!$AK16="是",'17.01'!$AY$4,'17.01'!$AY$3)),(VLOOKUP('17.01'!Z16,'17.01'!$AM$4:$AO$55,2,FALSE))*IF('17.01'!$AK16="是",'17.01'!$AY$4,'17.01'!$AY$3))</f>
        <v>136</v>
      </c>
      <c r="S16" s="4">
        <f>IF(ISNUMBER(SEARCH("营",'17.01'!AA16)),(-$Y16+50*IF('17.01'!$AK16="是",'17.01'!$AY$4,'17.01'!$AY$3)),(VLOOKUP('17.01'!AA16,'17.01'!$AM$4:$AO$55,2,FALSE))*IF('17.01'!$AK16="是",'17.01'!$AY$4,'17.01'!$AY$3))</f>
        <v>136</v>
      </c>
      <c r="T16" s="4">
        <f>IF(ISNUMBER(SEARCH("营",'17.01'!AB16)),(-$Y16+50*IF('17.01'!$AK16="是",'17.01'!$AY$4,'17.01'!$AY$3)),(VLOOKUP('17.01'!AB16,'17.01'!$AM$4:$AO$55,2,FALSE))*IF('17.01'!$AK16="是",'17.01'!$AY$4,'17.01'!$AY$3))</f>
        <v>-260</v>
      </c>
      <c r="U16" s="4">
        <f>IF(ISNUMBER(SEARCH("营",'17.01'!AC16)),(-$Y16+50*IF('17.01'!$AK16="是",'17.01'!$AY$4,'17.01'!$AY$3)),(VLOOKUP('17.01'!AC16,'17.01'!$AM$4:$AO$55,2,FALSE))*IF('17.01'!$AK16="是",'17.01'!$AY$4,'17.01'!$AY$3))</f>
        <v>136</v>
      </c>
      <c r="V16" s="4">
        <f>IF(ISNUMBER(SEARCH("营",'17.01'!AD16)),(-$Y16+50*IF('17.01'!$AK16="是",'17.01'!$AY$4,'17.01'!$AY$3)),(VLOOKUP('17.01'!AD16,'17.01'!$AM$4:$AO$55,2,FALSE))*IF('17.01'!$AK16="是",'17.01'!$AY$4,'17.01'!$AY$3))</f>
        <v>136</v>
      </c>
      <c r="W16" s="4">
        <f>IF(ISNUMBER(SEARCH("营",'17.01'!AE16)),(-$Y16+50*IF('17.01'!$AK16="是",'17.01'!$AY$4,'17.01'!$AY$3)),(VLOOKUP('17.01'!AE16,'17.01'!$AM$4:$AO$55,2,FALSE))*IF('17.01'!$AK16="是",'17.01'!$AY$4,'17.01'!$AY$3))</f>
        <v>128</v>
      </c>
      <c r="X16" s="4">
        <f>IF(ISNUMBER(SEARCH("营",'17.01'!AF16)),(-$Y16+50*IF('17.01'!$AK16="是",'17.01'!$AY$4,'17.01'!$AY$3)),(VLOOKUP('17.01'!AF16,'17.01'!$AM$4:$AO$55,2,FALSE))*IF('17.01'!$AK16="是",'17.01'!$AY$4,'17.01'!$AY$3))</f>
        <v>128</v>
      </c>
      <c r="Y16" s="89">
        <v>300</v>
      </c>
    </row>
    <row r="17" spans="1:25">
      <c r="A17" s="4">
        <f>IF(ISNUMBER(SEARCH("营",'17.01'!I17)),(-$Y17+50*IF('17.01'!$AK17="是",'17.01'!$AY$4,'17.01'!$AY$3)),(VLOOKUP('17.01'!I17,'17.01'!$AM$4:$AO$55,2,FALSE))*IF('17.01'!$AK17="是",'17.01'!$AY$4,'17.01'!$AY$3))</f>
        <v>0</v>
      </c>
      <c r="B17" s="4">
        <f>IF(ISNUMBER(SEARCH("营",'17.01'!J17)),(-$Y17+50*IF('17.01'!$AK17="是",'17.01'!$AY$4,'17.01'!$AY$3)),(VLOOKUP('17.01'!J17,'17.01'!$AM$4:$AO$55,2,FALSE))*IF('17.01'!$AK17="是",'17.01'!$AY$4,'17.01'!$AY$3))</f>
        <v>0</v>
      </c>
      <c r="C17" s="4">
        <f>IF(ISNUMBER(SEARCH("营",'17.01'!K17)),(-$Y17+50*IF('17.01'!$AK17="是",'17.01'!$AY$4,'17.01'!$AY$3)),(VLOOKUP('17.01'!K17,'17.01'!$AM$4:$AO$55,2,FALSE))*IF('17.01'!$AK17="是",'17.01'!$AY$4,'17.01'!$AY$3))</f>
        <v>0</v>
      </c>
      <c r="D17" s="4">
        <f>IF(ISNUMBER(SEARCH("营",'17.01'!L17)),(-$Y17+50*IF('17.01'!$AK17="是",'17.01'!$AY$4,'17.01'!$AY$3)),(VLOOKUP('17.01'!L17,'17.01'!$AM$4:$AO$55,2,FALSE))*IF('17.01'!$AK17="是",'17.01'!$AY$4,'17.01'!$AY$3))</f>
        <v>0</v>
      </c>
      <c r="E17" s="4">
        <f>IF(ISNUMBER(SEARCH("营",'17.01'!M17)),(-$Y17+50*IF('17.01'!$AK17="是",'17.01'!$AY$4,'17.01'!$AY$3)),(VLOOKUP('17.01'!M17,'17.01'!$AM$4:$AO$55,2,FALSE))*IF('17.01'!$AK17="是",'17.01'!$AY$4,'17.01'!$AY$3))</f>
        <v>0</v>
      </c>
      <c r="F17" s="4">
        <f>IF(ISNUMBER(SEARCH("营",'17.01'!N17)),(-$Y17+50*IF('17.01'!$AK17="是",'17.01'!$AY$4,'17.01'!$AY$3)),(VLOOKUP('17.01'!N17,'17.01'!$AM$4:$AO$55,2,FALSE))*IF('17.01'!$AK17="是",'17.01'!$AY$4,'17.01'!$AY$3))</f>
        <v>0</v>
      </c>
      <c r="G17" s="4">
        <f>IF(ISNUMBER(SEARCH("营",'17.01'!O17)),(-$Y17+50*IF('17.01'!$AK17="是",'17.01'!$AY$4,'17.01'!$AY$3)),(VLOOKUP('17.01'!O17,'17.01'!$AM$4:$AO$55,2,FALSE))*IF('17.01'!$AK17="是",'17.01'!$AY$4,'17.01'!$AY$3))</f>
        <v>0</v>
      </c>
      <c r="H17" s="4">
        <f>IF(ISNUMBER(SEARCH("营",'17.01'!P17)),(-$Y17+50*IF('17.01'!$AK17="是",'17.01'!$AY$4,'17.01'!$AY$3)),(VLOOKUP('17.01'!P17,'17.01'!$AM$4:$AO$55,2,FALSE))*IF('17.01'!$AK17="是",'17.01'!$AY$4,'17.01'!$AY$3))</f>
        <v>0</v>
      </c>
      <c r="I17" s="4">
        <f>IF(ISNUMBER(SEARCH("营",'17.01'!Q17)),(-$Y17+50*IF('17.01'!$AK17="是",'17.01'!$AY$4,'17.01'!$AY$3)),(VLOOKUP('17.01'!Q17,'17.01'!$AM$4:$AO$55,2,FALSE))*IF('17.01'!$AK17="是",'17.01'!$AY$4,'17.01'!$AY$3))</f>
        <v>136</v>
      </c>
      <c r="J17" s="4">
        <f>IF(ISNUMBER(SEARCH("营",'17.01'!R17)),(-$Y17+50*IF('17.01'!$AK17="是",'17.01'!$AY$4,'17.01'!$AY$3)),(VLOOKUP('17.01'!R17,'17.01'!$AM$4:$AO$55,2,FALSE))*IF('17.01'!$AK17="是",'17.01'!$AY$4,'17.01'!$AY$3))</f>
        <v>136</v>
      </c>
      <c r="K17" s="4">
        <f>IF(ISNUMBER(SEARCH("营",'17.01'!S17)),(-$Y17+50*IF('17.01'!$AK17="是",'17.01'!$AY$4,'17.01'!$AY$3)),(VLOOKUP('17.01'!S17,'17.01'!$AM$4:$AO$55,2,FALSE))*IF('17.01'!$AK17="是",'17.01'!$AY$4,'17.01'!$AY$3))</f>
        <v>136</v>
      </c>
      <c r="L17" s="4">
        <f>IF(ISNUMBER(SEARCH("营",'17.01'!T17)),(-$Y17+50*IF('17.01'!$AK17="是",'17.01'!$AY$4,'17.01'!$AY$3)),(VLOOKUP('17.01'!T17,'17.01'!$AM$4:$AO$55,2,FALSE))*IF('17.01'!$AK17="是",'17.01'!$AY$4,'17.01'!$AY$3))</f>
        <v>136</v>
      </c>
      <c r="M17" s="4">
        <f>IF(ISNUMBER(SEARCH("营",'17.01'!U17)),(-$Y17+50*IF('17.01'!$AK17="是",'17.01'!$AY$4,'17.01'!$AY$3)),(VLOOKUP('17.01'!U17,'17.01'!$AM$4:$AO$55,2,FALSE))*IF('17.01'!$AK17="是",'17.01'!$AY$4,'17.01'!$AY$3))</f>
        <v>136</v>
      </c>
      <c r="N17" s="4">
        <f>IF(ISNUMBER(SEARCH("营",'17.01'!V17)),(-$Y17+50*IF('17.01'!$AK17="是",'17.01'!$AY$4,'17.01'!$AY$3)),(VLOOKUP('17.01'!V17,'17.01'!$AM$4:$AO$55,2,FALSE))*IF('17.01'!$AK17="是",'17.01'!$AY$4,'17.01'!$AY$3))</f>
        <v>40</v>
      </c>
      <c r="O17" s="4">
        <f>IF(ISNUMBER(SEARCH("营",'17.01'!W17)),(-$Y17+50*IF('17.01'!$AK17="是",'17.01'!$AY$4,'17.01'!$AY$3)),(VLOOKUP('17.01'!W17,'17.01'!$AM$4:$AO$55,2,FALSE))*IF('17.01'!$AK17="是",'17.01'!$AY$4,'17.01'!$AY$3))</f>
        <v>0</v>
      </c>
      <c r="P17" s="4">
        <f>IF(ISNUMBER(SEARCH("营",'17.01'!X17)),(-$Y17+50*IF('17.01'!$AK17="是",'17.01'!$AY$4,'17.01'!$AY$3)),(VLOOKUP('17.01'!X17,'17.01'!$AM$4:$AO$55,2,FALSE))*IF('17.01'!$AK17="是",'17.01'!$AY$4,'17.01'!$AY$3))</f>
        <v>0</v>
      </c>
      <c r="Q17" s="4">
        <f>IF(ISNUMBER(SEARCH("营",'17.01'!Y17)),(-$Y17+50*IF('17.01'!$AK17="是",'17.01'!$AY$4,'17.01'!$AY$3)),(VLOOKUP('17.01'!Y17,'17.01'!$AM$4:$AO$55,2,FALSE))*IF('17.01'!$AK17="是",'17.01'!$AY$4,'17.01'!$AY$3))</f>
        <v>128</v>
      </c>
      <c r="R17" s="4">
        <f>IF(ISNUMBER(SEARCH("营",'17.01'!Z17)),(-$Y17+50*IF('17.01'!$AK17="是",'17.01'!$AY$4,'17.01'!$AY$3)),(VLOOKUP('17.01'!Z17,'17.01'!$AM$4:$AO$55,2,FALSE))*IF('17.01'!$AK17="是",'17.01'!$AY$4,'17.01'!$AY$3))</f>
        <v>128</v>
      </c>
      <c r="S17" s="4">
        <f>IF(ISNUMBER(SEARCH("营",'17.01'!AA17)),(-$Y17+50*IF('17.01'!$AK17="是",'17.01'!$AY$4,'17.01'!$AY$3)),(VLOOKUP('17.01'!AA17,'17.01'!$AM$4:$AO$55,2,FALSE))*IF('17.01'!$AK17="是",'17.01'!$AY$4,'17.01'!$AY$3))</f>
        <v>40</v>
      </c>
      <c r="T17" s="4">
        <f>IF(ISNUMBER(SEARCH("营",'17.01'!AB17)),(-$Y17+50*IF('17.01'!$AK17="是",'17.01'!$AY$4,'17.01'!$AY$3)),(VLOOKUP('17.01'!AB17,'17.01'!$AM$4:$AO$55,2,FALSE))*IF('17.01'!$AK17="是",'17.01'!$AY$4,'17.01'!$AY$3))</f>
        <v>128</v>
      </c>
      <c r="U17" s="4">
        <f>IF(ISNUMBER(SEARCH("营",'17.01'!AC17)),(-$Y17+50*IF('17.01'!$AK17="是",'17.01'!$AY$4,'17.01'!$AY$3)),(VLOOKUP('17.01'!AC17,'17.01'!$AM$4:$AO$55,2,FALSE))*IF('17.01'!$AK17="是",'17.01'!$AY$4,'17.01'!$AY$3))</f>
        <v>128</v>
      </c>
      <c r="V17" s="4">
        <f>IF(ISNUMBER(SEARCH("营",'17.01'!AD17)),(-$Y17+50*IF('17.01'!$AK17="是",'17.01'!$AY$4,'17.01'!$AY$3)),(VLOOKUP('17.01'!AD17,'17.01'!$AM$4:$AO$55,2,FALSE))*IF('17.01'!$AK17="是",'17.01'!$AY$4,'17.01'!$AY$3))</f>
        <v>128</v>
      </c>
      <c r="W17" s="4">
        <f>IF(ISNUMBER(SEARCH("营",'17.01'!AE17)),(-$Y17+50*IF('17.01'!$AK17="是",'17.01'!$AY$4,'17.01'!$AY$3)),(VLOOKUP('17.01'!AE17,'17.01'!$AM$4:$AO$55,2,FALSE))*IF('17.01'!$AK17="是",'17.01'!$AY$4,'17.01'!$AY$3))</f>
        <v>0</v>
      </c>
      <c r="X17" s="4">
        <f>IF(ISNUMBER(SEARCH("营",'17.01'!AF17)),(-$Y17+50*IF('17.01'!$AK17="是",'17.01'!$AY$4,'17.01'!$AY$3)),(VLOOKUP('17.01'!AF17,'17.01'!$AM$4:$AO$55,2,FALSE))*IF('17.01'!$AK17="是",'17.01'!$AY$4,'17.01'!$AY$3))</f>
        <v>0</v>
      </c>
      <c r="Y17" s="89">
        <v>300</v>
      </c>
    </row>
    <row r="18" spans="1:25">
      <c r="A18" s="4">
        <f>IF(ISNUMBER(SEARCH("营",'17.01'!I18)),(-$Y18+50*IF('17.01'!$AK18="是",'17.01'!$AY$4,'17.01'!$AY$3)),(VLOOKUP('17.01'!I18,'17.01'!$AM$4:$AO$55,2,FALSE))*IF('17.01'!$AK18="是",'17.01'!$AY$4,'17.01'!$AY$3))</f>
        <v>0</v>
      </c>
      <c r="B18" s="4">
        <f>IF(ISNUMBER(SEARCH("营",'17.01'!J18)),(-$Y18+50*IF('17.01'!$AK18="是",'17.01'!$AY$4,'17.01'!$AY$3)),(VLOOKUP('17.01'!J18,'17.01'!$AM$4:$AO$55,2,FALSE))*IF('17.01'!$AK18="是",'17.01'!$AY$4,'17.01'!$AY$3))</f>
        <v>0</v>
      </c>
      <c r="C18" s="4">
        <f>IF(ISNUMBER(SEARCH("营",'17.01'!K18)),(-$Y18+50*IF('17.01'!$AK18="是",'17.01'!$AY$4,'17.01'!$AY$3)),(VLOOKUP('17.01'!K18,'17.01'!$AM$4:$AO$55,2,FALSE))*IF('17.01'!$AK18="是",'17.01'!$AY$4,'17.01'!$AY$3))</f>
        <v>0</v>
      </c>
      <c r="D18" s="4">
        <f>IF(ISNUMBER(SEARCH("营",'17.01'!L18)),(-$Y18+50*IF('17.01'!$AK18="是",'17.01'!$AY$4,'17.01'!$AY$3)),(VLOOKUP('17.01'!L18,'17.01'!$AM$4:$AO$55,2,FALSE))*IF('17.01'!$AK18="是",'17.01'!$AY$4,'17.01'!$AY$3))</f>
        <v>0</v>
      </c>
      <c r="E18" s="4">
        <f>IF(ISNUMBER(SEARCH("营",'17.01'!M18)),(-$Y18+50*IF('17.01'!$AK18="是",'17.01'!$AY$4,'17.01'!$AY$3)),(VLOOKUP('17.01'!M18,'17.01'!$AM$4:$AO$55,2,FALSE))*IF('17.01'!$AK18="是",'17.01'!$AY$4,'17.01'!$AY$3))</f>
        <v>0</v>
      </c>
      <c r="F18" s="4">
        <f>IF(ISNUMBER(SEARCH("营",'17.01'!N18)),(-$Y18+50*IF('17.01'!$AK18="是",'17.01'!$AY$4,'17.01'!$AY$3)),(VLOOKUP('17.01'!N18,'17.01'!$AM$4:$AO$55,2,FALSE))*IF('17.01'!$AK18="是",'17.01'!$AY$4,'17.01'!$AY$3))</f>
        <v>0</v>
      </c>
      <c r="G18" s="4">
        <f>IF(ISNUMBER(SEARCH("营",'17.01'!O18)),(-$Y18+50*IF('17.01'!$AK18="是",'17.01'!$AY$4,'17.01'!$AY$3)),(VLOOKUP('17.01'!O18,'17.01'!$AM$4:$AO$55,2,FALSE))*IF('17.01'!$AK18="是",'17.01'!$AY$4,'17.01'!$AY$3))</f>
        <v>0</v>
      </c>
      <c r="H18" s="4">
        <f>IF(ISNUMBER(SEARCH("营",'17.01'!P18)),(-$Y18+50*IF('17.01'!$AK18="是",'17.01'!$AY$4,'17.01'!$AY$3)),(VLOOKUP('17.01'!P18,'17.01'!$AM$4:$AO$55,2,FALSE))*IF('17.01'!$AK18="是",'17.01'!$AY$4,'17.01'!$AY$3))</f>
        <v>0</v>
      </c>
      <c r="I18" s="4">
        <f>IF(ISNUMBER(SEARCH("营",'17.01'!Q18)),(-$Y18+50*IF('17.01'!$AK18="是",'17.01'!$AY$4,'17.01'!$AY$3)),(VLOOKUP('17.01'!Q18,'17.01'!$AM$4:$AO$55,2,FALSE))*IF('17.01'!$AK18="是",'17.01'!$AY$4,'17.01'!$AY$3))</f>
        <v>136</v>
      </c>
      <c r="J18" s="4">
        <f>IF(ISNUMBER(SEARCH("营",'17.01'!R18)),(-$Y18+50*IF('17.01'!$AK18="是",'17.01'!$AY$4,'17.01'!$AY$3)),(VLOOKUP('17.01'!R18,'17.01'!$AM$4:$AO$55,2,FALSE))*IF('17.01'!$AK18="是",'17.01'!$AY$4,'17.01'!$AY$3))</f>
        <v>136</v>
      </c>
      <c r="K18" s="4">
        <f>IF(ISNUMBER(SEARCH("营",'17.01'!S18)),(-$Y18+50*IF('17.01'!$AK18="是",'17.01'!$AY$4,'17.01'!$AY$3)),(VLOOKUP('17.01'!S18,'17.01'!$AM$4:$AO$55,2,FALSE))*IF('17.01'!$AK18="是",'17.01'!$AY$4,'17.01'!$AY$3))</f>
        <v>136</v>
      </c>
      <c r="L18" s="4">
        <f>IF(ISNUMBER(SEARCH("营",'17.01'!T18)),(-$Y18+50*IF('17.01'!$AK18="是",'17.01'!$AY$4,'17.01'!$AY$3)),(VLOOKUP('17.01'!T18,'17.01'!$AM$4:$AO$55,2,FALSE))*IF('17.01'!$AK18="是",'17.01'!$AY$4,'17.01'!$AY$3))</f>
        <v>136</v>
      </c>
      <c r="M18" s="4">
        <f>IF(ISNUMBER(SEARCH("营",'17.01'!U18)),(-$Y18+50*IF('17.01'!$AK18="是",'17.01'!$AY$4,'17.01'!$AY$3)),(VLOOKUP('17.01'!U18,'17.01'!$AM$4:$AO$55,2,FALSE))*IF('17.01'!$AK18="是",'17.01'!$AY$4,'17.01'!$AY$3))</f>
        <v>136</v>
      </c>
      <c r="N18" s="4">
        <f>IF(ISNUMBER(SEARCH("营",'17.01'!V18)),(-$Y18+50*IF('17.01'!$AK18="是",'17.01'!$AY$4,'17.01'!$AY$3)),(VLOOKUP('17.01'!V18,'17.01'!$AM$4:$AO$55,2,FALSE))*IF('17.01'!$AK18="是",'17.01'!$AY$4,'17.01'!$AY$3))</f>
        <v>120</v>
      </c>
      <c r="O18" s="4">
        <f>IF(ISNUMBER(SEARCH("营",'17.01'!W18)),(-$Y18+50*IF('17.01'!$AK18="是",'17.01'!$AY$4,'17.01'!$AY$3)),(VLOOKUP('17.01'!W18,'17.01'!$AM$4:$AO$55,2,FALSE))*IF('17.01'!$AK18="是",'17.01'!$AY$4,'17.01'!$AY$3))</f>
        <v>0</v>
      </c>
      <c r="P18" s="4">
        <f>IF(ISNUMBER(SEARCH("营",'17.01'!X18)),(-$Y18+50*IF('17.01'!$AK18="是",'17.01'!$AY$4,'17.01'!$AY$3)),(VLOOKUP('17.01'!X18,'17.01'!$AM$4:$AO$55,2,FALSE))*IF('17.01'!$AK18="是",'17.01'!$AY$4,'17.01'!$AY$3))</f>
        <v>0</v>
      </c>
      <c r="Q18" s="4">
        <f>IF(ISNUMBER(SEARCH("营",'17.01'!Y18)),(-$Y18+50*IF('17.01'!$AK18="是",'17.01'!$AY$4,'17.01'!$AY$3)),(VLOOKUP('17.01'!Y18,'17.01'!$AM$4:$AO$55,2,FALSE))*IF('17.01'!$AK18="是",'17.01'!$AY$4,'17.01'!$AY$3))</f>
        <v>128</v>
      </c>
      <c r="R18" s="4">
        <f>IF(ISNUMBER(SEARCH("营",'17.01'!Z18)),(-$Y18+50*IF('17.01'!$AK18="是",'17.01'!$AY$4,'17.01'!$AY$3)),(VLOOKUP('17.01'!Z18,'17.01'!$AM$4:$AO$55,2,FALSE))*IF('17.01'!$AK18="是",'17.01'!$AY$4,'17.01'!$AY$3))</f>
        <v>128</v>
      </c>
      <c r="S18" s="4">
        <f>IF(ISNUMBER(SEARCH("营",'17.01'!AA18)),(-$Y18+50*IF('17.01'!$AK18="是",'17.01'!$AY$4,'17.01'!$AY$3)),(VLOOKUP('17.01'!AA18,'17.01'!$AM$4:$AO$55,2,FALSE))*IF('17.01'!$AK18="是",'17.01'!$AY$4,'17.01'!$AY$3))</f>
        <v>128</v>
      </c>
      <c r="T18" s="4">
        <f>IF(ISNUMBER(SEARCH("营",'17.01'!AB18)),(-$Y18+50*IF('17.01'!$AK18="是",'17.01'!$AY$4,'17.01'!$AY$3)),(VLOOKUP('17.01'!AB18,'17.01'!$AM$4:$AO$55,2,FALSE))*IF('17.01'!$AK18="是",'17.01'!$AY$4,'17.01'!$AY$3))</f>
        <v>128</v>
      </c>
      <c r="U18" s="4">
        <f>IF(ISNUMBER(SEARCH("营",'17.01'!AC18)),(-$Y18+50*IF('17.01'!$AK18="是",'17.01'!$AY$4,'17.01'!$AY$3)),(VLOOKUP('17.01'!AC18,'17.01'!$AM$4:$AO$55,2,FALSE))*IF('17.01'!$AK18="是",'17.01'!$AY$4,'17.01'!$AY$3))</f>
        <v>128</v>
      </c>
      <c r="V18" s="4">
        <f>IF(ISNUMBER(SEARCH("营",'17.01'!AD18)),(-$Y18+50*IF('17.01'!$AK18="是",'17.01'!$AY$4,'17.01'!$AY$3)),(VLOOKUP('17.01'!AD18,'17.01'!$AM$4:$AO$55,2,FALSE))*IF('17.01'!$AK18="是",'17.01'!$AY$4,'17.01'!$AY$3))</f>
        <v>128</v>
      </c>
      <c r="W18" s="4">
        <f>IF(ISNUMBER(SEARCH("营",'17.01'!AE18)),(-$Y18+50*IF('17.01'!$AK18="是",'17.01'!$AY$4,'17.01'!$AY$3)),(VLOOKUP('17.01'!AE18,'17.01'!$AM$4:$AO$55,2,FALSE))*IF('17.01'!$AK18="是",'17.01'!$AY$4,'17.01'!$AY$3))</f>
        <v>-260</v>
      </c>
      <c r="X18" s="4">
        <f>IF(ISNUMBER(SEARCH("营",'17.01'!AF18)),(-$Y18+50*IF('17.01'!$AK18="是",'17.01'!$AY$4,'17.01'!$AY$3)),(VLOOKUP('17.01'!AF18,'17.01'!$AM$4:$AO$55,2,FALSE))*IF('17.01'!$AK18="是",'17.01'!$AY$4,'17.01'!$AY$3))</f>
        <v>40</v>
      </c>
      <c r="Y18" s="89">
        <v>300</v>
      </c>
    </row>
    <row r="19" spans="1:25">
      <c r="A19" s="4">
        <f>IF(ISNUMBER(SEARCH("营",'17.01'!I19)),(-$Y19+50*IF('17.01'!$AK19="是",'17.01'!$AY$4,'17.01'!$AY$3)),(VLOOKUP('17.01'!I19,'17.01'!$AM$4:$AO$55,2,FALSE))*IF('17.01'!$AK19="是",'17.01'!$AY$4,'17.01'!$AY$3))</f>
        <v>0</v>
      </c>
      <c r="B19" s="4">
        <f>IF(ISNUMBER(SEARCH("营",'17.01'!J19)),(-$Y19+50*IF('17.01'!$AK19="是",'17.01'!$AY$4,'17.01'!$AY$3)),(VLOOKUP('17.01'!J19,'17.01'!$AM$4:$AO$55,2,FALSE))*IF('17.01'!$AK19="是",'17.01'!$AY$4,'17.01'!$AY$3))</f>
        <v>0</v>
      </c>
      <c r="C19" s="4">
        <f>IF(ISNUMBER(SEARCH("营",'17.01'!K19)),(-$Y19+50*IF('17.01'!$AK19="是",'17.01'!$AY$4,'17.01'!$AY$3)),(VLOOKUP('17.01'!K19,'17.01'!$AM$4:$AO$55,2,FALSE))*IF('17.01'!$AK19="是",'17.01'!$AY$4,'17.01'!$AY$3))</f>
        <v>0</v>
      </c>
      <c r="D19" s="4">
        <f>IF(ISNUMBER(SEARCH("营",'17.01'!L19)),(-$Y19+50*IF('17.01'!$AK19="是",'17.01'!$AY$4,'17.01'!$AY$3)),(VLOOKUP('17.01'!L19,'17.01'!$AM$4:$AO$55,2,FALSE))*IF('17.01'!$AK19="是",'17.01'!$AY$4,'17.01'!$AY$3))</f>
        <v>0</v>
      </c>
      <c r="E19" s="4">
        <f>IF(ISNUMBER(SEARCH("营",'17.01'!M19)),(-$Y19+50*IF('17.01'!$AK19="是",'17.01'!$AY$4,'17.01'!$AY$3)),(VLOOKUP('17.01'!M19,'17.01'!$AM$4:$AO$55,2,FALSE))*IF('17.01'!$AK19="是",'17.01'!$AY$4,'17.01'!$AY$3))</f>
        <v>0</v>
      </c>
      <c r="F19" s="4">
        <f>IF(ISNUMBER(SEARCH("营",'17.01'!N19)),(-$Y19+50*IF('17.01'!$AK19="是",'17.01'!$AY$4,'17.01'!$AY$3)),(VLOOKUP('17.01'!N19,'17.01'!$AM$4:$AO$55,2,FALSE))*IF('17.01'!$AK19="是",'17.01'!$AY$4,'17.01'!$AY$3))</f>
        <v>0</v>
      </c>
      <c r="G19" s="4">
        <f>IF(ISNUMBER(SEARCH("营",'17.01'!O19)),(-$Y19+50*IF('17.01'!$AK19="是",'17.01'!$AY$4,'17.01'!$AY$3)),(VLOOKUP('17.01'!O19,'17.01'!$AM$4:$AO$55,2,FALSE))*IF('17.01'!$AK19="是",'17.01'!$AY$4,'17.01'!$AY$3))</f>
        <v>0</v>
      </c>
      <c r="H19" s="4">
        <f>IF(ISNUMBER(SEARCH("营",'17.01'!P19)),(-$Y19+50*IF('17.01'!$AK19="是",'17.01'!$AY$4,'17.01'!$AY$3)),(VLOOKUP('17.01'!P19,'17.01'!$AM$4:$AO$55,2,FALSE))*IF('17.01'!$AK19="是",'17.01'!$AY$4,'17.01'!$AY$3))</f>
        <v>0</v>
      </c>
      <c r="I19" s="4">
        <f>IF(ISNUMBER(SEARCH("营",'17.01'!Q19)),(-$Y19+50*IF('17.01'!$AK19="是",'17.01'!$AY$4,'17.01'!$AY$3)),(VLOOKUP('17.01'!Q19,'17.01'!$AM$4:$AO$55,2,FALSE))*IF('17.01'!$AK19="是",'17.01'!$AY$4,'17.01'!$AY$3))</f>
        <v>136</v>
      </c>
      <c r="J19" s="4">
        <f>IF(ISNUMBER(SEARCH("营",'17.01'!R19)),(-$Y19+50*IF('17.01'!$AK19="是",'17.01'!$AY$4,'17.01'!$AY$3)),(VLOOKUP('17.01'!R19,'17.01'!$AM$4:$AO$55,2,FALSE))*IF('17.01'!$AK19="是",'17.01'!$AY$4,'17.01'!$AY$3))</f>
        <v>136</v>
      </c>
      <c r="K19" s="4">
        <f>IF(ISNUMBER(SEARCH("营",'17.01'!S19)),(-$Y19+50*IF('17.01'!$AK19="是",'17.01'!$AY$4,'17.01'!$AY$3)),(VLOOKUP('17.01'!S19,'17.01'!$AM$4:$AO$55,2,FALSE))*IF('17.01'!$AK19="是",'17.01'!$AY$4,'17.01'!$AY$3))</f>
        <v>136</v>
      </c>
      <c r="L19" s="4">
        <f>IF(ISNUMBER(SEARCH("营",'17.01'!T19)),(-$Y19+50*IF('17.01'!$AK19="是",'17.01'!$AY$4,'17.01'!$AY$3)),(VLOOKUP('17.01'!T19,'17.01'!$AM$4:$AO$55,2,FALSE))*IF('17.01'!$AK19="是",'17.01'!$AY$4,'17.01'!$AY$3))</f>
        <v>136</v>
      </c>
      <c r="M19" s="4">
        <f>IF(ISNUMBER(SEARCH("营",'17.01'!U19)),(-$Y19+50*IF('17.01'!$AK19="是",'17.01'!$AY$4,'17.01'!$AY$3)),(VLOOKUP('17.01'!U19,'17.01'!$AM$4:$AO$55,2,FALSE))*IF('17.01'!$AK19="是",'17.01'!$AY$4,'17.01'!$AY$3))</f>
        <v>136</v>
      </c>
      <c r="N19" s="4">
        <f>IF(ISNUMBER(SEARCH("营",'17.01'!V19)),(-$Y19+50*IF('17.01'!$AK19="是",'17.01'!$AY$4,'17.01'!$AY$3)),(VLOOKUP('17.01'!V19,'17.01'!$AM$4:$AO$55,2,FALSE))*IF('17.01'!$AK19="是",'17.01'!$AY$4,'17.01'!$AY$3))</f>
        <v>136</v>
      </c>
      <c r="O19" s="4">
        <f>IF(ISNUMBER(SEARCH("营",'17.01'!W19)),(-$Y19+50*IF('17.01'!$AK19="是",'17.01'!$AY$4,'17.01'!$AY$3)),(VLOOKUP('17.01'!W19,'17.01'!$AM$4:$AO$55,2,FALSE))*IF('17.01'!$AK19="是",'17.01'!$AY$4,'17.01'!$AY$3))</f>
        <v>0</v>
      </c>
      <c r="P19" s="4">
        <f>IF(ISNUMBER(SEARCH("营",'17.01'!X19)),(-$Y19+50*IF('17.01'!$AK19="是",'17.01'!$AY$4,'17.01'!$AY$3)),(VLOOKUP('17.01'!X19,'17.01'!$AM$4:$AO$55,2,FALSE))*IF('17.01'!$AK19="是",'17.01'!$AY$4,'17.01'!$AY$3))</f>
        <v>0</v>
      </c>
      <c r="Q19" s="4">
        <f>IF(ISNUMBER(SEARCH("营",'17.01'!Y19)),(-$Y19+50*IF('17.01'!$AK19="是",'17.01'!$AY$4,'17.01'!$AY$3)),(VLOOKUP('17.01'!Y19,'17.01'!$AM$4:$AO$55,2,FALSE))*IF('17.01'!$AK19="是",'17.01'!$AY$4,'17.01'!$AY$3))</f>
        <v>0</v>
      </c>
      <c r="R19" s="4">
        <f>IF(ISNUMBER(SEARCH("营",'17.01'!Z19)),(-$Y19+50*IF('17.01'!$AK19="是",'17.01'!$AY$4,'17.01'!$AY$3)),(VLOOKUP('17.01'!Z19,'17.01'!$AM$4:$AO$55,2,FALSE))*IF('17.01'!$AK19="是",'17.01'!$AY$4,'17.01'!$AY$3))</f>
        <v>0</v>
      </c>
      <c r="S19" s="4">
        <f>IF(ISNUMBER(SEARCH("营",'17.01'!AA19)),(-$Y19+50*IF('17.01'!$AK19="是",'17.01'!$AY$4,'17.01'!$AY$3)),(VLOOKUP('17.01'!AA19,'17.01'!$AM$4:$AO$55,2,FALSE))*IF('17.01'!$AK19="是",'17.01'!$AY$4,'17.01'!$AY$3))</f>
        <v>0</v>
      </c>
      <c r="T19" s="4">
        <f>IF(ISNUMBER(SEARCH("营",'17.01'!AB19)),(-$Y19+50*IF('17.01'!$AK19="是",'17.01'!$AY$4,'17.01'!$AY$3)),(VLOOKUP('17.01'!AB19,'17.01'!$AM$4:$AO$55,2,FALSE))*IF('17.01'!$AK19="是",'17.01'!$AY$4,'17.01'!$AY$3))</f>
        <v>0</v>
      </c>
      <c r="U19" s="4">
        <f>IF(ISNUMBER(SEARCH("营",'17.01'!AC19)),(-$Y19+50*IF('17.01'!$AK19="是",'17.01'!$AY$4,'17.01'!$AY$3)),(VLOOKUP('17.01'!AC19,'17.01'!$AM$4:$AO$55,2,FALSE))*IF('17.01'!$AK19="是",'17.01'!$AY$4,'17.01'!$AY$3))</f>
        <v>0</v>
      </c>
      <c r="V19" s="4">
        <f>IF(ISNUMBER(SEARCH("营",'17.01'!AD19)),(-$Y19+50*IF('17.01'!$AK19="是",'17.01'!$AY$4,'17.01'!$AY$3)),(VLOOKUP('17.01'!AD19,'17.01'!$AM$4:$AO$55,2,FALSE))*IF('17.01'!$AK19="是",'17.01'!$AY$4,'17.01'!$AY$3))</f>
        <v>0</v>
      </c>
      <c r="W19" s="4">
        <f>IF(ISNUMBER(SEARCH("营",'17.01'!AE19)),(-$Y19+50*IF('17.01'!$AK19="是",'17.01'!$AY$4,'17.01'!$AY$3)),(VLOOKUP('17.01'!AE19,'17.01'!$AM$4:$AO$55,2,FALSE))*IF('17.01'!$AK19="是",'17.01'!$AY$4,'17.01'!$AY$3))</f>
        <v>0</v>
      </c>
      <c r="X19" s="4">
        <f>IF(ISNUMBER(SEARCH("营",'17.01'!AF19)),(-$Y19+50*IF('17.01'!$AK19="是",'17.01'!$AY$4,'17.01'!$AY$3)),(VLOOKUP('17.01'!AF19,'17.01'!$AM$4:$AO$55,2,FALSE))*IF('17.01'!$AK19="是",'17.01'!$AY$4,'17.01'!$AY$3))</f>
        <v>0</v>
      </c>
      <c r="Y19" s="91">
        <v>250</v>
      </c>
    </row>
    <row r="20" spans="1:25">
      <c r="A20" s="4">
        <f>IF(ISNUMBER(SEARCH("营",'17.01'!I20)),(-$Y20+50*IF('17.01'!$AK20="是",'17.01'!$AY$4,'17.01'!$AY$3)),(VLOOKUP('17.01'!I20,'17.01'!$AM$4:$AO$55,2,FALSE))*IF('17.01'!$AK20="是",'17.01'!$AY$4,'17.01'!$AY$3))</f>
        <v>0</v>
      </c>
      <c r="B20" s="4">
        <f>IF(ISNUMBER(SEARCH("营",'17.01'!J20)),(-$Y20+50*IF('17.01'!$AK20="是",'17.01'!$AY$4,'17.01'!$AY$3)),(VLOOKUP('17.01'!J20,'17.01'!$AM$4:$AO$55,2,FALSE))*IF('17.01'!$AK20="是",'17.01'!$AY$4,'17.01'!$AY$3))</f>
        <v>0</v>
      </c>
      <c r="C20" s="4">
        <f>IF(ISNUMBER(SEARCH("营",'17.01'!K20)),(-$Y20+50*IF('17.01'!$AK20="是",'17.01'!$AY$4,'17.01'!$AY$3)),(VLOOKUP('17.01'!K20,'17.01'!$AM$4:$AO$55,2,FALSE))*IF('17.01'!$AK20="是",'17.01'!$AY$4,'17.01'!$AY$3))</f>
        <v>0</v>
      </c>
      <c r="D20" s="4">
        <f>IF(ISNUMBER(SEARCH("营",'17.01'!L20)),(-$Y20+50*IF('17.01'!$AK20="是",'17.01'!$AY$4,'17.01'!$AY$3)),(VLOOKUP('17.01'!L20,'17.01'!$AM$4:$AO$55,2,FALSE))*IF('17.01'!$AK20="是",'17.01'!$AY$4,'17.01'!$AY$3))</f>
        <v>0</v>
      </c>
      <c r="E20" s="4">
        <f>IF(ISNUMBER(SEARCH("营",'17.01'!M20)),(-$Y20+50*IF('17.01'!$AK20="是",'17.01'!$AY$4,'17.01'!$AY$3)),(VLOOKUP('17.01'!M20,'17.01'!$AM$4:$AO$55,2,FALSE))*IF('17.01'!$AK20="是",'17.01'!$AY$4,'17.01'!$AY$3))</f>
        <v>0</v>
      </c>
      <c r="F20" s="4">
        <f>IF(ISNUMBER(SEARCH("营",'17.01'!N20)),(-$Y20+50*IF('17.01'!$AK20="是",'17.01'!$AY$4,'17.01'!$AY$3)),(VLOOKUP('17.01'!N20,'17.01'!$AM$4:$AO$55,2,FALSE))*IF('17.01'!$AK20="是",'17.01'!$AY$4,'17.01'!$AY$3))</f>
        <v>0</v>
      </c>
      <c r="G20" s="4">
        <f>IF(ISNUMBER(SEARCH("营",'17.01'!O20)),(-$Y20+50*IF('17.01'!$AK20="是",'17.01'!$AY$4,'17.01'!$AY$3)),(VLOOKUP('17.01'!O20,'17.01'!$AM$4:$AO$55,2,FALSE))*IF('17.01'!$AK20="是",'17.01'!$AY$4,'17.01'!$AY$3))</f>
        <v>0</v>
      </c>
      <c r="H20" s="4">
        <f>IF(ISNUMBER(SEARCH("营",'17.01'!P20)),(-$Y20+50*IF('17.01'!$AK20="是",'17.01'!$AY$4,'17.01'!$AY$3)),(VLOOKUP('17.01'!P20,'17.01'!$AM$4:$AO$55,2,FALSE))*IF('17.01'!$AK20="是",'17.01'!$AY$4,'17.01'!$AY$3))</f>
        <v>0</v>
      </c>
      <c r="I20" s="4">
        <f>IF(ISNUMBER(SEARCH("营",'17.01'!Q20)),(-$Y20+50*IF('17.01'!$AK20="是",'17.01'!$AY$4,'17.01'!$AY$3)),(VLOOKUP('17.01'!Q20,'17.01'!$AM$4:$AO$55,2,FALSE))*IF('17.01'!$AK20="是",'17.01'!$AY$4,'17.01'!$AY$3))</f>
        <v>136</v>
      </c>
      <c r="J20" s="4">
        <f>IF(ISNUMBER(SEARCH("营",'17.01'!R20)),(-$Y20+50*IF('17.01'!$AK20="是",'17.01'!$AY$4,'17.01'!$AY$3)),(VLOOKUP('17.01'!R20,'17.01'!$AM$4:$AO$55,2,FALSE))*IF('17.01'!$AK20="是",'17.01'!$AY$4,'17.01'!$AY$3))</f>
        <v>160</v>
      </c>
      <c r="K20" s="4">
        <f>IF(ISNUMBER(SEARCH("营",'17.01'!S20)),(-$Y20+50*IF('17.01'!$AK20="是",'17.01'!$AY$4,'17.01'!$AY$3)),(VLOOKUP('17.01'!S20,'17.01'!$AM$4:$AO$55,2,FALSE))*IF('17.01'!$AK20="是",'17.01'!$AY$4,'17.01'!$AY$3))</f>
        <v>160</v>
      </c>
      <c r="L20" s="4">
        <f>IF(ISNUMBER(SEARCH("营",'17.01'!T20)),(-$Y20+50*IF('17.01'!$AK20="是",'17.01'!$AY$4,'17.01'!$AY$3)),(VLOOKUP('17.01'!T20,'17.01'!$AM$4:$AO$55,2,FALSE))*IF('17.01'!$AK20="是",'17.01'!$AY$4,'17.01'!$AY$3))</f>
        <v>160</v>
      </c>
      <c r="M20" s="4">
        <f>IF(ISNUMBER(SEARCH("营",'17.01'!U20)),(-$Y20+50*IF('17.01'!$AK20="是",'17.01'!$AY$4,'17.01'!$AY$3)),(VLOOKUP('17.01'!U20,'17.01'!$AM$4:$AO$55,2,FALSE))*IF('17.01'!$AK20="是",'17.01'!$AY$4,'17.01'!$AY$3))</f>
        <v>160</v>
      </c>
      <c r="N20" s="4">
        <f>IF(ISNUMBER(SEARCH("营",'17.01'!V20)),(-$Y20+50*IF('17.01'!$AK20="是",'17.01'!$AY$4,'17.01'!$AY$3)),(VLOOKUP('17.01'!V20,'17.01'!$AM$4:$AO$55,2,FALSE))*IF('17.01'!$AK20="是",'17.01'!$AY$4,'17.01'!$AY$3))</f>
        <v>160</v>
      </c>
      <c r="O20" s="4">
        <f>IF(ISNUMBER(SEARCH("营",'17.01'!W20)),(-$Y20+50*IF('17.01'!$AK20="是",'17.01'!$AY$4,'17.01'!$AY$3)),(VLOOKUP('17.01'!W20,'17.01'!$AM$4:$AO$55,2,FALSE))*IF('17.01'!$AK20="是",'17.01'!$AY$4,'17.01'!$AY$3))</f>
        <v>0</v>
      </c>
      <c r="P20" s="4">
        <f>IF(ISNUMBER(SEARCH("营",'17.01'!X20)),(-$Y20+50*IF('17.01'!$AK20="是",'17.01'!$AY$4,'17.01'!$AY$3)),(VLOOKUP('17.01'!X20,'17.01'!$AM$4:$AO$55,2,FALSE))*IF('17.01'!$AK20="是",'17.01'!$AY$4,'17.01'!$AY$3))</f>
        <v>0</v>
      </c>
      <c r="Q20" s="4">
        <f>IF(ISNUMBER(SEARCH("营",'17.01'!Y20)),(-$Y20+50*IF('17.01'!$AK20="是",'17.01'!$AY$4,'17.01'!$AY$3)),(VLOOKUP('17.01'!Y20,'17.01'!$AM$4:$AO$55,2,FALSE))*IF('17.01'!$AK20="是",'17.01'!$AY$4,'17.01'!$AY$3))</f>
        <v>0</v>
      </c>
      <c r="R20" s="4">
        <f>IF(ISNUMBER(SEARCH("营",'17.01'!Z20)),(-$Y20+50*IF('17.01'!$AK20="是",'17.01'!$AY$4,'17.01'!$AY$3)),(VLOOKUP('17.01'!Z20,'17.01'!$AM$4:$AO$55,2,FALSE))*IF('17.01'!$AK20="是",'17.01'!$AY$4,'17.01'!$AY$3))</f>
        <v>0</v>
      </c>
      <c r="S20" s="4">
        <f>IF(ISNUMBER(SEARCH("营",'17.01'!AA20)),(-$Y20+50*IF('17.01'!$AK20="是",'17.01'!$AY$4,'17.01'!$AY$3)),(VLOOKUP('17.01'!AA20,'17.01'!$AM$4:$AO$55,2,FALSE))*IF('17.01'!$AK20="是",'17.01'!$AY$4,'17.01'!$AY$3))</f>
        <v>0</v>
      </c>
      <c r="T20" s="4">
        <f>IF(ISNUMBER(SEARCH("营",'17.01'!AB20)),(-$Y20+50*IF('17.01'!$AK20="是",'17.01'!$AY$4,'17.01'!$AY$3)),(VLOOKUP('17.01'!AB20,'17.01'!$AM$4:$AO$55,2,FALSE))*IF('17.01'!$AK20="是",'17.01'!$AY$4,'17.01'!$AY$3))</f>
        <v>0</v>
      </c>
      <c r="U20" s="4">
        <f>IF(ISNUMBER(SEARCH("营",'17.01'!AC20)),(-$Y20+50*IF('17.01'!$AK20="是",'17.01'!$AY$4,'17.01'!$AY$3)),(VLOOKUP('17.01'!AC20,'17.01'!$AM$4:$AO$55,2,FALSE))*IF('17.01'!$AK20="是",'17.01'!$AY$4,'17.01'!$AY$3))</f>
        <v>0</v>
      </c>
      <c r="V20" s="4">
        <f>IF(ISNUMBER(SEARCH("营",'17.01'!AD20)),(-$Y20+50*IF('17.01'!$AK20="是",'17.01'!$AY$4,'17.01'!$AY$3)),(VLOOKUP('17.01'!AD20,'17.01'!$AM$4:$AO$55,2,FALSE))*IF('17.01'!$AK20="是",'17.01'!$AY$4,'17.01'!$AY$3))</f>
        <v>0</v>
      </c>
      <c r="W20" s="4">
        <f>IF(ISNUMBER(SEARCH("营",'17.01'!AE20)),(-$Y20+50*IF('17.01'!$AK20="是",'17.01'!$AY$4,'17.01'!$AY$3)),(VLOOKUP('17.01'!AE20,'17.01'!$AM$4:$AO$55,2,FALSE))*IF('17.01'!$AK20="是",'17.01'!$AY$4,'17.01'!$AY$3))</f>
        <v>0</v>
      </c>
      <c r="X20" s="4">
        <f>IF(ISNUMBER(SEARCH("营",'17.01'!AF20)),(-$Y20+50*IF('17.01'!$AK20="是",'17.01'!$AY$4,'17.01'!$AY$3)),(VLOOKUP('17.01'!AF20,'17.01'!$AM$4:$AO$55,2,FALSE))*IF('17.01'!$AK20="是",'17.01'!$AY$4,'17.01'!$AY$3))</f>
        <v>0</v>
      </c>
      <c r="Y20" s="91">
        <v>250</v>
      </c>
    </row>
    <row r="21" spans="1:25">
      <c r="A21" s="4">
        <f>IF(ISNUMBER(SEARCH("营",'17.01'!I21)),(-$Y21+50*IF('17.01'!$AK21="是",'17.01'!$AY$4,'17.01'!$AY$3)),(VLOOKUP('17.01'!I21,'17.01'!$AM$4:$AO$55,2,FALSE))*IF('17.01'!$AK21="是",'17.01'!$AY$4,'17.01'!$AY$3))</f>
        <v>0</v>
      </c>
      <c r="B21" s="4">
        <f>IF(ISNUMBER(SEARCH("营",'17.01'!J21)),(-$Y21+50*IF('17.01'!$AK21="是",'17.01'!$AY$4,'17.01'!$AY$3)),(VLOOKUP('17.01'!J21,'17.01'!$AM$4:$AO$55,2,FALSE))*IF('17.01'!$AK21="是",'17.01'!$AY$4,'17.01'!$AY$3))</f>
        <v>0</v>
      </c>
      <c r="C21" s="4">
        <f>IF(ISNUMBER(SEARCH("营",'17.01'!K21)),(-$Y21+50*IF('17.01'!$AK21="是",'17.01'!$AY$4,'17.01'!$AY$3)),(VLOOKUP('17.01'!K21,'17.01'!$AM$4:$AO$55,2,FALSE))*IF('17.01'!$AK21="是",'17.01'!$AY$4,'17.01'!$AY$3))</f>
        <v>0</v>
      </c>
      <c r="D21" s="4">
        <f>IF(ISNUMBER(SEARCH("营",'17.01'!L21)),(-$Y21+50*IF('17.01'!$AK21="是",'17.01'!$AY$4,'17.01'!$AY$3)),(VLOOKUP('17.01'!L21,'17.01'!$AM$4:$AO$55,2,FALSE))*IF('17.01'!$AK21="是",'17.01'!$AY$4,'17.01'!$AY$3))</f>
        <v>0</v>
      </c>
      <c r="E21" s="4">
        <f>IF(ISNUMBER(SEARCH("营",'17.01'!M21)),(-$Y21+50*IF('17.01'!$AK21="是",'17.01'!$AY$4,'17.01'!$AY$3)),(VLOOKUP('17.01'!M21,'17.01'!$AM$4:$AO$55,2,FALSE))*IF('17.01'!$AK21="是",'17.01'!$AY$4,'17.01'!$AY$3))</f>
        <v>0</v>
      </c>
      <c r="F21" s="4">
        <f>IF(ISNUMBER(SEARCH("营",'17.01'!N21)),(-$Y21+50*IF('17.01'!$AK21="是",'17.01'!$AY$4,'17.01'!$AY$3)),(VLOOKUP('17.01'!N21,'17.01'!$AM$4:$AO$55,2,FALSE))*IF('17.01'!$AK21="是",'17.01'!$AY$4,'17.01'!$AY$3))</f>
        <v>0</v>
      </c>
      <c r="G21" s="4">
        <f>IF(ISNUMBER(SEARCH("营",'17.01'!O21)),(-$Y21+50*IF('17.01'!$AK21="是",'17.01'!$AY$4,'17.01'!$AY$3)),(VLOOKUP('17.01'!O21,'17.01'!$AM$4:$AO$55,2,FALSE))*IF('17.01'!$AK21="是",'17.01'!$AY$4,'17.01'!$AY$3))</f>
        <v>0</v>
      </c>
      <c r="H21" s="4">
        <f>IF(ISNUMBER(SEARCH("营",'17.01'!P21)),(-$Y21+50*IF('17.01'!$AK21="是",'17.01'!$AY$4,'17.01'!$AY$3)),(VLOOKUP('17.01'!P21,'17.01'!$AM$4:$AO$55,2,FALSE))*IF('17.01'!$AK21="是",'17.01'!$AY$4,'17.01'!$AY$3))</f>
        <v>0</v>
      </c>
      <c r="I21" s="4">
        <f>IF(ISNUMBER(SEARCH("营",'17.01'!Q21)),(-$Y21+50*IF('17.01'!$AK21="是",'17.01'!$AY$4,'17.01'!$AY$3)),(VLOOKUP('17.01'!Q21,'17.01'!$AM$4:$AO$55,2,FALSE))*IF('17.01'!$AK21="是",'17.01'!$AY$4,'17.01'!$AY$3))</f>
        <v>160</v>
      </c>
      <c r="J21" s="4">
        <f>IF(ISNUMBER(SEARCH("营",'17.01'!R21)),(-$Y21+50*IF('17.01'!$AK21="是",'17.01'!$AY$4,'17.01'!$AY$3)),(VLOOKUP('17.01'!R21,'17.01'!$AM$4:$AO$55,2,FALSE))*IF('17.01'!$AK21="是",'17.01'!$AY$4,'17.01'!$AY$3))</f>
        <v>160</v>
      </c>
      <c r="K21" s="4">
        <f>IF(ISNUMBER(SEARCH("营",'17.01'!S21)),(-$Y21+50*IF('17.01'!$AK21="是",'17.01'!$AY$4,'17.01'!$AY$3)),(VLOOKUP('17.01'!S21,'17.01'!$AM$4:$AO$55,2,FALSE))*IF('17.01'!$AK21="是",'17.01'!$AY$4,'17.01'!$AY$3))</f>
        <v>160</v>
      </c>
      <c r="L21" s="4">
        <f>IF(ISNUMBER(SEARCH("营",'17.01'!T21)),(-$Y21+50*IF('17.01'!$AK21="是",'17.01'!$AY$4,'17.01'!$AY$3)),(VLOOKUP('17.01'!T21,'17.01'!$AM$4:$AO$55,2,FALSE))*IF('17.01'!$AK21="是",'17.01'!$AY$4,'17.01'!$AY$3))</f>
        <v>160</v>
      </c>
      <c r="M21" s="4">
        <f>IF(ISNUMBER(SEARCH("营",'17.01'!U21)),(-$Y21+50*IF('17.01'!$AK21="是",'17.01'!$AY$4,'17.01'!$AY$3)),(VLOOKUP('17.01'!U21,'17.01'!$AM$4:$AO$55,2,FALSE))*IF('17.01'!$AK21="是",'17.01'!$AY$4,'17.01'!$AY$3))</f>
        <v>160</v>
      </c>
      <c r="N21" s="4">
        <f>IF(ISNUMBER(SEARCH("营",'17.01'!V21)),(-$Y21+50*IF('17.01'!$AK21="是",'17.01'!$AY$4,'17.01'!$AY$3)),(VLOOKUP('17.01'!V21,'17.01'!$AM$4:$AO$55,2,FALSE))*IF('17.01'!$AK21="是",'17.01'!$AY$4,'17.01'!$AY$3))</f>
        <v>160</v>
      </c>
      <c r="O21" s="4">
        <f>IF(ISNUMBER(SEARCH("营",'17.01'!W21)),(-$Y21+50*IF('17.01'!$AK21="是",'17.01'!$AY$4,'17.01'!$AY$3)),(VLOOKUP('17.01'!W21,'17.01'!$AM$4:$AO$55,2,FALSE))*IF('17.01'!$AK21="是",'17.01'!$AY$4,'17.01'!$AY$3))</f>
        <v>0</v>
      </c>
      <c r="P21" s="4">
        <f>IF(ISNUMBER(SEARCH("营",'17.01'!X21)),(-$Y21+50*IF('17.01'!$AK21="是",'17.01'!$AY$4,'17.01'!$AY$3)),(VLOOKUP('17.01'!X21,'17.01'!$AM$4:$AO$55,2,FALSE))*IF('17.01'!$AK21="是",'17.01'!$AY$4,'17.01'!$AY$3))</f>
        <v>0</v>
      </c>
      <c r="Q21" s="4">
        <f>IF(ISNUMBER(SEARCH("营",'17.01'!Y21)),(-$Y21+50*IF('17.01'!$AK21="是",'17.01'!$AY$4,'17.01'!$AY$3)),(VLOOKUP('17.01'!Y21,'17.01'!$AM$4:$AO$55,2,FALSE))*IF('17.01'!$AK21="是",'17.01'!$AY$4,'17.01'!$AY$3))</f>
        <v>0</v>
      </c>
      <c r="R21" s="4">
        <f>IF(ISNUMBER(SEARCH("营",'17.01'!Z21)),(-$Y21+50*IF('17.01'!$AK21="是",'17.01'!$AY$4,'17.01'!$AY$3)),(VLOOKUP('17.01'!Z21,'17.01'!$AM$4:$AO$55,2,FALSE))*IF('17.01'!$AK21="是",'17.01'!$AY$4,'17.01'!$AY$3))</f>
        <v>0</v>
      </c>
      <c r="S21" s="4">
        <f>IF(ISNUMBER(SEARCH("营",'17.01'!AA21)),(-$Y21+50*IF('17.01'!$AK21="是",'17.01'!$AY$4,'17.01'!$AY$3)),(VLOOKUP('17.01'!AA21,'17.01'!$AM$4:$AO$55,2,FALSE))*IF('17.01'!$AK21="是",'17.01'!$AY$4,'17.01'!$AY$3))</f>
        <v>0</v>
      </c>
      <c r="T21" s="4">
        <f>IF(ISNUMBER(SEARCH("营",'17.01'!AB21)),(-$Y21+50*IF('17.01'!$AK21="是",'17.01'!$AY$4,'17.01'!$AY$3)),(VLOOKUP('17.01'!AB21,'17.01'!$AM$4:$AO$55,2,FALSE))*IF('17.01'!$AK21="是",'17.01'!$AY$4,'17.01'!$AY$3))</f>
        <v>0</v>
      </c>
      <c r="U21" s="4">
        <f>IF(ISNUMBER(SEARCH("营",'17.01'!AC21)),(-$Y21+50*IF('17.01'!$AK21="是",'17.01'!$AY$4,'17.01'!$AY$3)),(VLOOKUP('17.01'!AC21,'17.01'!$AM$4:$AO$55,2,FALSE))*IF('17.01'!$AK21="是",'17.01'!$AY$4,'17.01'!$AY$3))</f>
        <v>0</v>
      </c>
      <c r="V21" s="4">
        <f>IF(ISNUMBER(SEARCH("营",'17.01'!AD21)),(-$Y21+50*IF('17.01'!$AK21="是",'17.01'!$AY$4,'17.01'!$AY$3)),(VLOOKUP('17.01'!AD21,'17.01'!$AM$4:$AO$55,2,FALSE))*IF('17.01'!$AK21="是",'17.01'!$AY$4,'17.01'!$AY$3))</f>
        <v>0</v>
      </c>
      <c r="W21" s="4">
        <f>IF(ISNUMBER(SEARCH("营",'17.01'!AE21)),(-$Y21+50*IF('17.01'!$AK21="是",'17.01'!$AY$4,'17.01'!$AY$3)),(VLOOKUP('17.01'!AE21,'17.01'!$AM$4:$AO$55,2,FALSE))*IF('17.01'!$AK21="是",'17.01'!$AY$4,'17.01'!$AY$3))</f>
        <v>0</v>
      </c>
      <c r="X21" s="4">
        <f>IF(ISNUMBER(SEARCH("营",'17.01'!AF21)),(-$Y21+50*IF('17.01'!$AK21="是",'17.01'!$AY$4,'17.01'!$AY$3)),(VLOOKUP('17.01'!AF21,'17.01'!$AM$4:$AO$55,2,FALSE))*IF('17.01'!$AK21="是",'17.01'!$AY$4,'17.01'!$AY$3))</f>
        <v>0</v>
      </c>
      <c r="Y21" s="91">
        <v>250</v>
      </c>
    </row>
    <row r="22" spans="1:25">
      <c r="A22" s="4">
        <f>IF(ISNUMBER(SEARCH("营",'17.01'!I22)),(-$Y22+50*IF('17.01'!$AK22="是",'17.01'!$AY$4,'17.01'!$AY$3)),(VLOOKUP('17.01'!I22,'17.01'!$AM$4:$AO$55,2,FALSE))*IF('17.01'!$AK22="是",'17.01'!$AY$4,'17.01'!$AY$3))</f>
        <v>0</v>
      </c>
      <c r="B22" s="4">
        <f>IF(ISNUMBER(SEARCH("营",'17.01'!J22)),(-$Y22+50*IF('17.01'!$AK22="是",'17.01'!$AY$4,'17.01'!$AY$3)),(VLOOKUP('17.01'!J22,'17.01'!$AM$4:$AO$55,2,FALSE))*IF('17.01'!$AK22="是",'17.01'!$AY$4,'17.01'!$AY$3))</f>
        <v>0</v>
      </c>
      <c r="C22" s="4">
        <f>IF(ISNUMBER(SEARCH("营",'17.01'!K22)),(-$Y22+50*IF('17.01'!$AK22="是",'17.01'!$AY$4,'17.01'!$AY$3)),(VLOOKUP('17.01'!K22,'17.01'!$AM$4:$AO$55,2,FALSE))*IF('17.01'!$AK22="是",'17.01'!$AY$4,'17.01'!$AY$3))</f>
        <v>0</v>
      </c>
      <c r="D22" s="4">
        <f>IF(ISNUMBER(SEARCH("营",'17.01'!L22)),(-$Y22+50*IF('17.01'!$AK22="是",'17.01'!$AY$4,'17.01'!$AY$3)),(VLOOKUP('17.01'!L22,'17.01'!$AM$4:$AO$55,2,FALSE))*IF('17.01'!$AK22="是",'17.01'!$AY$4,'17.01'!$AY$3))</f>
        <v>0</v>
      </c>
      <c r="E22" s="4">
        <f>IF(ISNUMBER(SEARCH("营",'17.01'!M22)),(-$Y22+50*IF('17.01'!$AK22="是",'17.01'!$AY$4,'17.01'!$AY$3)),(VLOOKUP('17.01'!M22,'17.01'!$AM$4:$AO$55,2,FALSE))*IF('17.01'!$AK22="是",'17.01'!$AY$4,'17.01'!$AY$3))</f>
        <v>0</v>
      </c>
      <c r="F22" s="4">
        <f>IF(ISNUMBER(SEARCH("营",'17.01'!N22)),(-$Y22+50*IF('17.01'!$AK22="是",'17.01'!$AY$4,'17.01'!$AY$3)),(VLOOKUP('17.01'!N22,'17.01'!$AM$4:$AO$55,2,FALSE))*IF('17.01'!$AK22="是",'17.01'!$AY$4,'17.01'!$AY$3))</f>
        <v>0</v>
      </c>
      <c r="G22" s="4">
        <f>IF(ISNUMBER(SEARCH("营",'17.01'!O22)),(-$Y22+50*IF('17.01'!$AK22="是",'17.01'!$AY$4,'17.01'!$AY$3)),(VLOOKUP('17.01'!O22,'17.01'!$AM$4:$AO$55,2,FALSE))*IF('17.01'!$AK22="是",'17.01'!$AY$4,'17.01'!$AY$3))</f>
        <v>0</v>
      </c>
      <c r="H22" s="4">
        <f>IF(ISNUMBER(SEARCH("营",'17.01'!P22)),(-$Y22+50*IF('17.01'!$AK22="是",'17.01'!$AY$4,'17.01'!$AY$3)),(VLOOKUP('17.01'!P22,'17.01'!$AM$4:$AO$55,2,FALSE))*IF('17.01'!$AK22="是",'17.01'!$AY$4,'17.01'!$AY$3))</f>
        <v>0</v>
      </c>
      <c r="I22" s="4">
        <f>IF(ISNUMBER(SEARCH("营",'17.01'!Q22)),(-$Y22+50*IF('17.01'!$AK22="是",'17.01'!$AY$4,'17.01'!$AY$3)),(VLOOKUP('17.01'!Q22,'17.01'!$AM$4:$AO$55,2,FALSE))*IF('17.01'!$AK22="是",'17.01'!$AY$4,'17.01'!$AY$3))</f>
        <v>160</v>
      </c>
      <c r="J22" s="4">
        <f>IF(ISNUMBER(SEARCH("营",'17.01'!R22)),(-$Y22+50*IF('17.01'!$AK22="是",'17.01'!$AY$4,'17.01'!$AY$3)),(VLOOKUP('17.01'!R22,'17.01'!$AM$4:$AO$55,2,FALSE))*IF('17.01'!$AK22="是",'17.01'!$AY$4,'17.01'!$AY$3))</f>
        <v>160</v>
      </c>
      <c r="K22" s="4">
        <f>IF(ISNUMBER(SEARCH("营",'17.01'!S22)),(-$Y22+50*IF('17.01'!$AK22="是",'17.01'!$AY$4,'17.01'!$AY$3)),(VLOOKUP('17.01'!S22,'17.01'!$AM$4:$AO$55,2,FALSE))*IF('17.01'!$AK22="是",'17.01'!$AY$4,'17.01'!$AY$3))</f>
        <v>160</v>
      </c>
      <c r="L22" s="4">
        <f>IF(ISNUMBER(SEARCH("营",'17.01'!T22)),(-$Y22+50*IF('17.01'!$AK22="是",'17.01'!$AY$4,'17.01'!$AY$3)),(VLOOKUP('17.01'!T22,'17.01'!$AM$4:$AO$55,2,FALSE))*IF('17.01'!$AK22="是",'17.01'!$AY$4,'17.01'!$AY$3))</f>
        <v>160</v>
      </c>
      <c r="M22" s="4">
        <f>IF(ISNUMBER(SEARCH("营",'17.01'!U22)),(-$Y22+50*IF('17.01'!$AK22="是",'17.01'!$AY$4,'17.01'!$AY$3)),(VLOOKUP('17.01'!U22,'17.01'!$AM$4:$AO$55,2,FALSE))*IF('17.01'!$AK22="是",'17.01'!$AY$4,'17.01'!$AY$3))</f>
        <v>160</v>
      </c>
      <c r="N22" s="4">
        <f>IF(ISNUMBER(SEARCH("营",'17.01'!V22)),(-$Y22+50*IF('17.01'!$AK22="是",'17.01'!$AY$4,'17.01'!$AY$3)),(VLOOKUP('17.01'!V22,'17.01'!$AM$4:$AO$55,2,FALSE))*IF('17.01'!$AK22="是",'17.01'!$AY$4,'17.01'!$AY$3))</f>
        <v>160</v>
      </c>
      <c r="O22" s="4">
        <f>IF(ISNUMBER(SEARCH("营",'17.01'!W22)),(-$Y22+50*IF('17.01'!$AK22="是",'17.01'!$AY$4,'17.01'!$AY$3)),(VLOOKUP('17.01'!W22,'17.01'!$AM$4:$AO$55,2,FALSE))*IF('17.01'!$AK22="是",'17.01'!$AY$4,'17.01'!$AY$3))</f>
        <v>0</v>
      </c>
      <c r="P22" s="4">
        <f>IF(ISNUMBER(SEARCH("营",'17.01'!X22)),(-$Y22+50*IF('17.01'!$AK22="是",'17.01'!$AY$4,'17.01'!$AY$3)),(VLOOKUP('17.01'!X22,'17.01'!$AM$4:$AO$55,2,FALSE))*IF('17.01'!$AK22="是",'17.01'!$AY$4,'17.01'!$AY$3))</f>
        <v>0</v>
      </c>
      <c r="Q22" s="4">
        <f>IF(ISNUMBER(SEARCH("营",'17.01'!Y22)),(-$Y22+50*IF('17.01'!$AK22="是",'17.01'!$AY$4,'17.01'!$AY$3)),(VLOOKUP('17.01'!Y22,'17.01'!$AM$4:$AO$55,2,FALSE))*IF('17.01'!$AK22="是",'17.01'!$AY$4,'17.01'!$AY$3))</f>
        <v>0</v>
      </c>
      <c r="R22" s="4">
        <f>IF(ISNUMBER(SEARCH("营",'17.01'!Z22)),(-$Y22+50*IF('17.01'!$AK22="是",'17.01'!$AY$4,'17.01'!$AY$3)),(VLOOKUP('17.01'!Z22,'17.01'!$AM$4:$AO$55,2,FALSE))*IF('17.01'!$AK22="是",'17.01'!$AY$4,'17.01'!$AY$3))</f>
        <v>0</v>
      </c>
      <c r="S22" s="4">
        <f>IF(ISNUMBER(SEARCH("营",'17.01'!AA22)),(-$Y22+50*IF('17.01'!$AK22="是",'17.01'!$AY$4,'17.01'!$AY$3)),(VLOOKUP('17.01'!AA22,'17.01'!$AM$4:$AO$55,2,FALSE))*IF('17.01'!$AK22="是",'17.01'!$AY$4,'17.01'!$AY$3))</f>
        <v>0</v>
      </c>
      <c r="T22" s="4">
        <f>IF(ISNUMBER(SEARCH("营",'17.01'!AB22)),(-$Y22+50*IF('17.01'!$AK22="是",'17.01'!$AY$4,'17.01'!$AY$3)),(VLOOKUP('17.01'!AB22,'17.01'!$AM$4:$AO$55,2,FALSE))*IF('17.01'!$AK22="是",'17.01'!$AY$4,'17.01'!$AY$3))</f>
        <v>0</v>
      </c>
      <c r="U22" s="4">
        <f>IF(ISNUMBER(SEARCH("营",'17.01'!AC22)),(-$Y22+50*IF('17.01'!$AK22="是",'17.01'!$AY$4,'17.01'!$AY$3)),(VLOOKUP('17.01'!AC22,'17.01'!$AM$4:$AO$55,2,FALSE))*IF('17.01'!$AK22="是",'17.01'!$AY$4,'17.01'!$AY$3))</f>
        <v>0</v>
      </c>
      <c r="V22" s="4">
        <f>IF(ISNUMBER(SEARCH("营",'17.01'!AD22)),(-$Y22+50*IF('17.01'!$AK22="是",'17.01'!$AY$4,'17.01'!$AY$3)),(VLOOKUP('17.01'!AD22,'17.01'!$AM$4:$AO$55,2,FALSE))*IF('17.01'!$AK22="是",'17.01'!$AY$4,'17.01'!$AY$3))</f>
        <v>0</v>
      </c>
      <c r="W22" s="4">
        <f>IF(ISNUMBER(SEARCH("营",'17.01'!AE22)),(-$Y22+50*IF('17.01'!$AK22="是",'17.01'!$AY$4,'17.01'!$AY$3)),(VLOOKUP('17.01'!AE22,'17.01'!$AM$4:$AO$55,2,FALSE))*IF('17.01'!$AK22="是",'17.01'!$AY$4,'17.01'!$AY$3))</f>
        <v>0</v>
      </c>
      <c r="X22" s="4">
        <f>IF(ISNUMBER(SEARCH("营",'17.01'!AF22)),(-$Y22+50*IF('17.01'!$AK22="是",'17.01'!$AY$4,'17.01'!$AY$3)),(VLOOKUP('17.01'!AF22,'17.01'!$AM$4:$AO$55,2,FALSE))*IF('17.01'!$AK22="是",'17.01'!$AY$4,'17.01'!$AY$3))</f>
        <v>0</v>
      </c>
      <c r="Y22" s="91">
        <v>250</v>
      </c>
    </row>
    <row r="23" spans="1:25">
      <c r="A23" s="4">
        <f>IF(ISNUMBER(SEARCH("营",'17.01'!I23)),(-$Y23+50*IF('17.01'!$AK23="是",'17.01'!$AY$4,'17.01'!$AY$3)),(VLOOKUP('17.01'!I23,'17.01'!$AM$4:$AO$55,2,FALSE))*IF('17.01'!$AK23="是",'17.01'!$AY$4,'17.01'!$AY$3))</f>
        <v>0</v>
      </c>
      <c r="B23" s="4">
        <f>IF(ISNUMBER(SEARCH("营",'17.01'!J23)),(-$Y23+50*IF('17.01'!$AK23="是",'17.01'!$AY$4,'17.01'!$AY$3)),(VLOOKUP('17.01'!J23,'17.01'!$AM$4:$AO$55,2,FALSE))*IF('17.01'!$AK23="是",'17.01'!$AY$4,'17.01'!$AY$3))</f>
        <v>0</v>
      </c>
      <c r="C23" s="4">
        <f>IF(ISNUMBER(SEARCH("营",'17.01'!K23)),(-$Y23+50*IF('17.01'!$AK23="是",'17.01'!$AY$4,'17.01'!$AY$3)),(VLOOKUP('17.01'!K23,'17.01'!$AM$4:$AO$55,2,FALSE))*IF('17.01'!$AK23="是",'17.01'!$AY$4,'17.01'!$AY$3))</f>
        <v>0</v>
      </c>
      <c r="D23" s="4">
        <f>IF(ISNUMBER(SEARCH("营",'17.01'!L23)),(-$Y23+50*IF('17.01'!$AK23="是",'17.01'!$AY$4,'17.01'!$AY$3)),(VLOOKUP('17.01'!L23,'17.01'!$AM$4:$AO$55,2,FALSE))*IF('17.01'!$AK23="是",'17.01'!$AY$4,'17.01'!$AY$3))</f>
        <v>0</v>
      </c>
      <c r="E23" s="4">
        <f>IF(ISNUMBER(SEARCH("营",'17.01'!M23)),(-$Y23+50*IF('17.01'!$AK23="是",'17.01'!$AY$4,'17.01'!$AY$3)),(VLOOKUP('17.01'!M23,'17.01'!$AM$4:$AO$55,2,FALSE))*IF('17.01'!$AK23="是",'17.01'!$AY$4,'17.01'!$AY$3))</f>
        <v>0</v>
      </c>
      <c r="F23" s="4">
        <f>IF(ISNUMBER(SEARCH("营",'17.01'!N23)),(-$Y23+50*IF('17.01'!$AK23="是",'17.01'!$AY$4,'17.01'!$AY$3)),(VLOOKUP('17.01'!N23,'17.01'!$AM$4:$AO$55,2,FALSE))*IF('17.01'!$AK23="是",'17.01'!$AY$4,'17.01'!$AY$3))</f>
        <v>0</v>
      </c>
      <c r="G23" s="4">
        <f>IF(ISNUMBER(SEARCH("营",'17.01'!O23)),(-$Y23+50*IF('17.01'!$AK23="是",'17.01'!$AY$4,'17.01'!$AY$3)),(VLOOKUP('17.01'!O23,'17.01'!$AM$4:$AO$55,2,FALSE))*IF('17.01'!$AK23="是",'17.01'!$AY$4,'17.01'!$AY$3))</f>
        <v>0</v>
      </c>
      <c r="H23" s="4">
        <f>IF(ISNUMBER(SEARCH("营",'17.01'!P23)),(-$Y23+50*IF('17.01'!$AK23="是",'17.01'!$AY$4,'17.01'!$AY$3)),(VLOOKUP('17.01'!P23,'17.01'!$AM$4:$AO$55,2,FALSE))*IF('17.01'!$AK23="是",'17.01'!$AY$4,'17.01'!$AY$3))</f>
        <v>0</v>
      </c>
      <c r="I23" s="4">
        <f>IF(ISNUMBER(SEARCH("营",'17.01'!Q23)),(-$Y23+50*IF('17.01'!$AK23="是",'17.01'!$AY$4,'17.01'!$AY$3)),(VLOOKUP('17.01'!Q23,'17.01'!$AM$4:$AO$55,2,FALSE))*IF('17.01'!$AK23="是",'17.01'!$AY$4,'17.01'!$AY$3))</f>
        <v>120</v>
      </c>
      <c r="J23" s="4">
        <f>IF(ISNUMBER(SEARCH("营",'17.01'!R23)),(-$Y23+50*IF('17.01'!$AK23="是",'17.01'!$AY$4,'17.01'!$AY$3)),(VLOOKUP('17.01'!R23,'17.01'!$AM$4:$AO$55,2,FALSE))*IF('17.01'!$AK23="是",'17.01'!$AY$4,'17.01'!$AY$3))</f>
        <v>136</v>
      </c>
      <c r="K23" s="4">
        <f>IF(ISNUMBER(SEARCH("营",'17.01'!S23)),(-$Y23+50*IF('17.01'!$AK23="是",'17.01'!$AY$4,'17.01'!$AY$3)),(VLOOKUP('17.01'!S23,'17.01'!$AM$4:$AO$55,2,FALSE))*IF('17.01'!$AK23="是",'17.01'!$AY$4,'17.01'!$AY$3))</f>
        <v>40</v>
      </c>
      <c r="L23" s="4">
        <f>IF(ISNUMBER(SEARCH("营",'17.01'!T23)),(-$Y23+50*IF('17.01'!$AK23="是",'17.01'!$AY$4,'17.01'!$AY$3)),(VLOOKUP('17.01'!T23,'17.01'!$AM$4:$AO$55,2,FALSE))*IF('17.01'!$AK23="是",'17.01'!$AY$4,'17.01'!$AY$3))</f>
        <v>136</v>
      </c>
      <c r="M23" s="4">
        <f>IF(ISNUMBER(SEARCH("营",'17.01'!U23)),(-$Y23+50*IF('17.01'!$AK23="是",'17.01'!$AY$4,'17.01'!$AY$3)),(VLOOKUP('17.01'!U23,'17.01'!$AM$4:$AO$55,2,FALSE))*IF('17.01'!$AK23="是",'17.01'!$AY$4,'17.01'!$AY$3))</f>
        <v>136</v>
      </c>
      <c r="N23" s="4">
        <f>IF(ISNUMBER(SEARCH("营",'17.01'!V23)),(-$Y23+50*IF('17.01'!$AK23="是",'17.01'!$AY$4,'17.01'!$AY$3)),(VLOOKUP('17.01'!V23,'17.01'!$AM$4:$AO$55,2,FALSE))*IF('17.01'!$AK23="是",'17.01'!$AY$4,'17.01'!$AY$3))</f>
        <v>-210</v>
      </c>
      <c r="O23" s="4">
        <f>IF(ISNUMBER(SEARCH("营",'17.01'!W23)),(-$Y23+50*IF('17.01'!$AK23="是",'17.01'!$AY$4,'17.01'!$AY$3)),(VLOOKUP('17.01'!W23,'17.01'!$AM$4:$AO$55,2,FALSE))*IF('17.01'!$AK23="是",'17.01'!$AY$4,'17.01'!$AY$3))</f>
        <v>160</v>
      </c>
      <c r="P23" s="4">
        <f>IF(ISNUMBER(SEARCH("营",'17.01'!X23)),(-$Y23+50*IF('17.01'!$AK23="是",'17.01'!$AY$4,'17.01'!$AY$3)),(VLOOKUP('17.01'!X23,'17.01'!$AM$4:$AO$55,2,FALSE))*IF('17.01'!$AK23="是",'17.01'!$AY$4,'17.01'!$AY$3))</f>
        <v>160</v>
      </c>
      <c r="Q23" s="4">
        <f>IF(ISNUMBER(SEARCH("营",'17.01'!Y23)),(-$Y23+50*IF('17.01'!$AK23="是",'17.01'!$AY$4,'17.01'!$AY$3)),(VLOOKUP('17.01'!Y23,'17.01'!$AM$4:$AO$55,2,FALSE))*IF('17.01'!$AK23="是",'17.01'!$AY$4,'17.01'!$AY$3))</f>
        <v>0</v>
      </c>
      <c r="R23" s="4">
        <f>IF(ISNUMBER(SEARCH("营",'17.01'!Z23)),(-$Y23+50*IF('17.01'!$AK23="是",'17.01'!$AY$4,'17.01'!$AY$3)),(VLOOKUP('17.01'!Z23,'17.01'!$AM$4:$AO$55,2,FALSE))*IF('17.01'!$AK23="是",'17.01'!$AY$4,'17.01'!$AY$3))</f>
        <v>0</v>
      </c>
      <c r="S23" s="4">
        <f>IF(ISNUMBER(SEARCH("营",'17.01'!AA23)),(-$Y23+50*IF('17.01'!$AK23="是",'17.01'!$AY$4,'17.01'!$AY$3)),(VLOOKUP('17.01'!AA23,'17.01'!$AM$4:$AO$55,2,FALSE))*IF('17.01'!$AK23="是",'17.01'!$AY$4,'17.01'!$AY$3))</f>
        <v>0</v>
      </c>
      <c r="T23" s="4">
        <f>IF(ISNUMBER(SEARCH("营",'17.01'!AB23)),(-$Y23+50*IF('17.01'!$AK23="是",'17.01'!$AY$4,'17.01'!$AY$3)),(VLOOKUP('17.01'!AB23,'17.01'!$AM$4:$AO$55,2,FALSE))*IF('17.01'!$AK23="是",'17.01'!$AY$4,'17.01'!$AY$3))</f>
        <v>0</v>
      </c>
      <c r="U23" s="4">
        <f>IF(ISNUMBER(SEARCH("营",'17.01'!AC23)),(-$Y23+50*IF('17.01'!$AK23="是",'17.01'!$AY$4,'17.01'!$AY$3)),(VLOOKUP('17.01'!AC23,'17.01'!$AM$4:$AO$55,2,FALSE))*IF('17.01'!$AK23="是",'17.01'!$AY$4,'17.01'!$AY$3))</f>
        <v>0</v>
      </c>
      <c r="V23" s="4">
        <f>IF(ISNUMBER(SEARCH("营",'17.01'!AD23)),(-$Y23+50*IF('17.01'!$AK23="是",'17.01'!$AY$4,'17.01'!$AY$3)),(VLOOKUP('17.01'!AD23,'17.01'!$AM$4:$AO$55,2,FALSE))*IF('17.01'!$AK23="是",'17.01'!$AY$4,'17.01'!$AY$3))</f>
        <v>0</v>
      </c>
      <c r="W23" s="4">
        <f>IF(ISNUMBER(SEARCH("营",'17.01'!AE23)),(-$Y23+50*IF('17.01'!$AK23="是",'17.01'!$AY$4,'17.01'!$AY$3)),(VLOOKUP('17.01'!AE23,'17.01'!$AM$4:$AO$55,2,FALSE))*IF('17.01'!$AK23="是",'17.01'!$AY$4,'17.01'!$AY$3))</f>
        <v>0</v>
      </c>
      <c r="X23" s="4">
        <f>IF(ISNUMBER(SEARCH("营",'17.01'!AF23)),(-$Y23+50*IF('17.01'!$AK23="是",'17.01'!$AY$4,'17.01'!$AY$3)),(VLOOKUP('17.01'!AF23,'17.01'!$AM$4:$AO$55,2,FALSE))*IF('17.01'!$AK23="是",'17.01'!$AY$4,'17.01'!$AY$3))</f>
        <v>0</v>
      </c>
      <c r="Y23" s="91">
        <v>250</v>
      </c>
    </row>
    <row r="24" spans="1:25">
      <c r="A24" s="4">
        <f>IF(ISNUMBER(SEARCH("营",'17.01'!I24)),(-$Y24+50*IF('17.01'!$AK24="是",'17.01'!$AY$4,'17.01'!$AY$3)),(VLOOKUP('17.01'!I24,'17.01'!$AM$4:$AO$55,2,FALSE))*IF('17.01'!$AK24="是",'17.01'!$AY$4,'17.01'!$AY$3))</f>
        <v>0</v>
      </c>
      <c r="B24" s="4">
        <f>IF(ISNUMBER(SEARCH("营",'17.01'!J24)),(-$Y24+50*IF('17.01'!$AK24="是",'17.01'!$AY$4,'17.01'!$AY$3)),(VLOOKUP('17.01'!J24,'17.01'!$AM$4:$AO$55,2,FALSE))*IF('17.01'!$AK24="是",'17.01'!$AY$4,'17.01'!$AY$3))</f>
        <v>0</v>
      </c>
      <c r="C24" s="4">
        <f>IF(ISNUMBER(SEARCH("营",'17.01'!K24)),(-$Y24+50*IF('17.01'!$AK24="是",'17.01'!$AY$4,'17.01'!$AY$3)),(VLOOKUP('17.01'!K24,'17.01'!$AM$4:$AO$55,2,FALSE))*IF('17.01'!$AK24="是",'17.01'!$AY$4,'17.01'!$AY$3))</f>
        <v>0</v>
      </c>
      <c r="D24" s="4">
        <f>IF(ISNUMBER(SEARCH("营",'17.01'!L24)),(-$Y24+50*IF('17.01'!$AK24="是",'17.01'!$AY$4,'17.01'!$AY$3)),(VLOOKUP('17.01'!L24,'17.01'!$AM$4:$AO$55,2,FALSE))*IF('17.01'!$AK24="是",'17.01'!$AY$4,'17.01'!$AY$3))</f>
        <v>0</v>
      </c>
      <c r="E24" s="4">
        <f>IF(ISNUMBER(SEARCH("营",'17.01'!M24)),(-$Y24+50*IF('17.01'!$AK24="是",'17.01'!$AY$4,'17.01'!$AY$3)),(VLOOKUP('17.01'!M24,'17.01'!$AM$4:$AO$55,2,FALSE))*IF('17.01'!$AK24="是",'17.01'!$AY$4,'17.01'!$AY$3))</f>
        <v>0</v>
      </c>
      <c r="F24" s="4">
        <f>IF(ISNUMBER(SEARCH("营",'17.01'!N24)),(-$Y24+50*IF('17.01'!$AK24="是",'17.01'!$AY$4,'17.01'!$AY$3)),(VLOOKUP('17.01'!N24,'17.01'!$AM$4:$AO$55,2,FALSE))*IF('17.01'!$AK24="是",'17.01'!$AY$4,'17.01'!$AY$3))</f>
        <v>0</v>
      </c>
      <c r="G24" s="4">
        <f>IF(ISNUMBER(SEARCH("营",'17.01'!O24)),(-$Y24+50*IF('17.01'!$AK24="是",'17.01'!$AY$4,'17.01'!$AY$3)),(VLOOKUP('17.01'!O24,'17.01'!$AM$4:$AO$55,2,FALSE))*IF('17.01'!$AK24="是",'17.01'!$AY$4,'17.01'!$AY$3))</f>
        <v>0</v>
      </c>
      <c r="H24" s="4">
        <f>IF(ISNUMBER(SEARCH("营",'17.01'!P24)),(-$Y24+50*IF('17.01'!$AK24="是",'17.01'!$AY$4,'17.01'!$AY$3)),(VLOOKUP('17.01'!P24,'17.01'!$AM$4:$AO$55,2,FALSE))*IF('17.01'!$AK24="是",'17.01'!$AY$4,'17.01'!$AY$3))</f>
        <v>0</v>
      </c>
      <c r="I24" s="4">
        <f>IF(ISNUMBER(SEARCH("营",'17.01'!Q24)),(-$Y24+50*IF('17.01'!$AK24="是",'17.01'!$AY$4,'17.01'!$AY$3)),(VLOOKUP('17.01'!Q24,'17.01'!$AM$4:$AO$55,2,FALSE))*IF('17.01'!$AK24="是",'17.01'!$AY$4,'17.01'!$AY$3))</f>
        <v>160</v>
      </c>
      <c r="J24" s="4">
        <f>IF(ISNUMBER(SEARCH("营",'17.01'!R24)),(-$Y24+50*IF('17.01'!$AK24="是",'17.01'!$AY$4,'17.01'!$AY$3)),(VLOOKUP('17.01'!R24,'17.01'!$AM$4:$AO$55,2,FALSE))*IF('17.01'!$AK24="是",'17.01'!$AY$4,'17.01'!$AY$3))</f>
        <v>160</v>
      </c>
      <c r="K24" s="4">
        <f>IF(ISNUMBER(SEARCH("营",'17.01'!S24)),(-$Y24+50*IF('17.01'!$AK24="是",'17.01'!$AY$4,'17.01'!$AY$3)),(VLOOKUP('17.01'!S24,'17.01'!$AM$4:$AO$55,2,FALSE))*IF('17.01'!$AK24="是",'17.01'!$AY$4,'17.01'!$AY$3))</f>
        <v>160</v>
      </c>
      <c r="L24" s="4">
        <f>IF(ISNUMBER(SEARCH("营",'17.01'!T24)),(-$Y24+50*IF('17.01'!$AK24="是",'17.01'!$AY$4,'17.01'!$AY$3)),(VLOOKUP('17.01'!T24,'17.01'!$AM$4:$AO$55,2,FALSE))*IF('17.01'!$AK24="是",'17.01'!$AY$4,'17.01'!$AY$3))</f>
        <v>160</v>
      </c>
      <c r="M24" s="4">
        <f>IF(ISNUMBER(SEARCH("营",'17.01'!U24)),(-$Y24+50*IF('17.01'!$AK24="是",'17.01'!$AY$4,'17.01'!$AY$3)),(VLOOKUP('17.01'!U24,'17.01'!$AM$4:$AO$55,2,FALSE))*IF('17.01'!$AK24="是",'17.01'!$AY$4,'17.01'!$AY$3))</f>
        <v>160</v>
      </c>
      <c r="N24" s="4">
        <f>IF(ISNUMBER(SEARCH("营",'17.01'!V24)),(-$Y24+50*IF('17.01'!$AK24="是",'17.01'!$AY$4,'17.01'!$AY$3)),(VLOOKUP('17.01'!V24,'17.01'!$AM$4:$AO$55,2,FALSE))*IF('17.01'!$AK24="是",'17.01'!$AY$4,'17.01'!$AY$3))</f>
        <v>160</v>
      </c>
      <c r="O24" s="4">
        <f>IF(ISNUMBER(SEARCH("营",'17.01'!W24)),(-$Y24+50*IF('17.01'!$AK24="是",'17.01'!$AY$4,'17.01'!$AY$3)),(VLOOKUP('17.01'!W24,'17.01'!$AM$4:$AO$55,2,FALSE))*IF('17.01'!$AK24="是",'17.01'!$AY$4,'17.01'!$AY$3))</f>
        <v>0</v>
      </c>
      <c r="P24" s="4">
        <f>IF(ISNUMBER(SEARCH("营",'17.01'!X24)),(-$Y24+50*IF('17.01'!$AK24="是",'17.01'!$AY$4,'17.01'!$AY$3)),(VLOOKUP('17.01'!X24,'17.01'!$AM$4:$AO$55,2,FALSE))*IF('17.01'!$AK24="是",'17.01'!$AY$4,'17.01'!$AY$3))</f>
        <v>0</v>
      </c>
      <c r="Q24" s="4">
        <f>IF(ISNUMBER(SEARCH("营",'17.01'!Y24)),(-$Y24+50*IF('17.01'!$AK24="是",'17.01'!$AY$4,'17.01'!$AY$3)),(VLOOKUP('17.01'!Y24,'17.01'!$AM$4:$AO$55,2,FALSE))*IF('17.01'!$AK24="是",'17.01'!$AY$4,'17.01'!$AY$3))</f>
        <v>0</v>
      </c>
      <c r="R24" s="4">
        <f>IF(ISNUMBER(SEARCH("营",'17.01'!Z24)),(-$Y24+50*IF('17.01'!$AK24="是",'17.01'!$AY$4,'17.01'!$AY$3)),(VLOOKUP('17.01'!Z24,'17.01'!$AM$4:$AO$55,2,FALSE))*IF('17.01'!$AK24="是",'17.01'!$AY$4,'17.01'!$AY$3))</f>
        <v>0</v>
      </c>
      <c r="S24" s="4">
        <f>IF(ISNUMBER(SEARCH("营",'17.01'!AA24)),(-$Y24+50*IF('17.01'!$AK24="是",'17.01'!$AY$4,'17.01'!$AY$3)),(VLOOKUP('17.01'!AA24,'17.01'!$AM$4:$AO$55,2,FALSE))*IF('17.01'!$AK24="是",'17.01'!$AY$4,'17.01'!$AY$3))</f>
        <v>0</v>
      </c>
      <c r="T24" s="4">
        <f>IF(ISNUMBER(SEARCH("营",'17.01'!AB24)),(-$Y24+50*IF('17.01'!$AK24="是",'17.01'!$AY$4,'17.01'!$AY$3)),(VLOOKUP('17.01'!AB24,'17.01'!$AM$4:$AO$55,2,FALSE))*IF('17.01'!$AK24="是",'17.01'!$AY$4,'17.01'!$AY$3))</f>
        <v>0</v>
      </c>
      <c r="U24" s="4">
        <f>IF(ISNUMBER(SEARCH("营",'17.01'!AC24)),(-$Y24+50*IF('17.01'!$AK24="是",'17.01'!$AY$4,'17.01'!$AY$3)),(VLOOKUP('17.01'!AC24,'17.01'!$AM$4:$AO$55,2,FALSE))*IF('17.01'!$AK24="是",'17.01'!$AY$4,'17.01'!$AY$3))</f>
        <v>0</v>
      </c>
      <c r="V24" s="4">
        <f>IF(ISNUMBER(SEARCH("营",'17.01'!AD24)),(-$Y24+50*IF('17.01'!$AK24="是",'17.01'!$AY$4,'17.01'!$AY$3)),(VLOOKUP('17.01'!AD24,'17.01'!$AM$4:$AO$55,2,FALSE))*IF('17.01'!$AK24="是",'17.01'!$AY$4,'17.01'!$AY$3))</f>
        <v>0</v>
      </c>
      <c r="W24" s="4">
        <f>IF(ISNUMBER(SEARCH("营",'17.01'!AE24)),(-$Y24+50*IF('17.01'!$AK24="是",'17.01'!$AY$4,'17.01'!$AY$3)),(VLOOKUP('17.01'!AE24,'17.01'!$AM$4:$AO$55,2,FALSE))*IF('17.01'!$AK24="是",'17.01'!$AY$4,'17.01'!$AY$3))</f>
        <v>0</v>
      </c>
      <c r="X24" s="4">
        <f>IF(ISNUMBER(SEARCH("营",'17.01'!AF24)),(-$Y24+50*IF('17.01'!$AK24="是",'17.01'!$AY$4,'17.01'!$AY$3)),(VLOOKUP('17.01'!AF24,'17.01'!$AM$4:$AO$55,2,FALSE))*IF('17.01'!$AK24="是",'17.01'!$AY$4,'17.01'!$AY$3))</f>
        <v>0</v>
      </c>
      <c r="Y24" s="91">
        <v>250</v>
      </c>
    </row>
    <row r="25" spans="1:25">
      <c r="A25" s="4">
        <f>IF(ISNUMBER(SEARCH("营",'17.01'!I25)),(-$Y25+50*IF('17.01'!$AK25="是",'17.01'!$AY$4,'17.01'!$AY$3)),(VLOOKUP('17.01'!I25,'17.01'!$AM$4:$AO$55,2,FALSE))*IF('17.01'!$AK25="是",'17.01'!$AY$4,'17.01'!$AY$3))</f>
        <v>0</v>
      </c>
      <c r="B25" s="4">
        <f>IF(ISNUMBER(SEARCH("营",'17.01'!J25)),(-$Y25+50*IF('17.01'!$AK25="是",'17.01'!$AY$4,'17.01'!$AY$3)),(VLOOKUP('17.01'!J25,'17.01'!$AM$4:$AO$55,2,FALSE))*IF('17.01'!$AK25="是",'17.01'!$AY$4,'17.01'!$AY$3))</f>
        <v>0</v>
      </c>
      <c r="C25" s="4">
        <f>IF(ISNUMBER(SEARCH("营",'17.01'!K25)),(-$Y25+50*IF('17.01'!$AK25="是",'17.01'!$AY$4,'17.01'!$AY$3)),(VLOOKUP('17.01'!K25,'17.01'!$AM$4:$AO$55,2,FALSE))*IF('17.01'!$AK25="是",'17.01'!$AY$4,'17.01'!$AY$3))</f>
        <v>0</v>
      </c>
      <c r="D25" s="4">
        <f>IF(ISNUMBER(SEARCH("营",'17.01'!L25)),(-$Y25+50*IF('17.01'!$AK25="是",'17.01'!$AY$4,'17.01'!$AY$3)),(VLOOKUP('17.01'!L25,'17.01'!$AM$4:$AO$55,2,FALSE))*IF('17.01'!$AK25="是",'17.01'!$AY$4,'17.01'!$AY$3))</f>
        <v>0</v>
      </c>
      <c r="E25" s="4">
        <f>IF(ISNUMBER(SEARCH("营",'17.01'!M25)),(-$Y25+50*IF('17.01'!$AK25="是",'17.01'!$AY$4,'17.01'!$AY$3)),(VLOOKUP('17.01'!M25,'17.01'!$AM$4:$AO$55,2,FALSE))*IF('17.01'!$AK25="是",'17.01'!$AY$4,'17.01'!$AY$3))</f>
        <v>0</v>
      </c>
      <c r="F25" s="4">
        <f>IF(ISNUMBER(SEARCH("营",'17.01'!N25)),(-$Y25+50*IF('17.01'!$AK25="是",'17.01'!$AY$4,'17.01'!$AY$3)),(VLOOKUP('17.01'!N25,'17.01'!$AM$4:$AO$55,2,FALSE))*IF('17.01'!$AK25="是",'17.01'!$AY$4,'17.01'!$AY$3))</f>
        <v>0</v>
      </c>
      <c r="G25" s="4">
        <f>IF(ISNUMBER(SEARCH("营",'17.01'!O25)),(-$Y25+50*IF('17.01'!$AK25="是",'17.01'!$AY$4,'17.01'!$AY$3)),(VLOOKUP('17.01'!O25,'17.01'!$AM$4:$AO$55,2,FALSE))*IF('17.01'!$AK25="是",'17.01'!$AY$4,'17.01'!$AY$3))</f>
        <v>0</v>
      </c>
      <c r="H25" s="4">
        <f>IF(ISNUMBER(SEARCH("营",'17.01'!P25)),(-$Y25+50*IF('17.01'!$AK25="是",'17.01'!$AY$4,'17.01'!$AY$3)),(VLOOKUP('17.01'!P25,'17.01'!$AM$4:$AO$55,2,FALSE))*IF('17.01'!$AK25="是",'17.01'!$AY$4,'17.01'!$AY$3))</f>
        <v>0</v>
      </c>
      <c r="I25" s="4">
        <f>IF(ISNUMBER(SEARCH("营",'17.01'!Q25)),(-$Y25+50*IF('17.01'!$AK25="是",'17.01'!$AY$4,'17.01'!$AY$3)),(VLOOKUP('17.01'!Q25,'17.01'!$AM$4:$AO$55,2,FALSE))*IF('17.01'!$AK25="是",'17.01'!$AY$4,'17.01'!$AY$3))</f>
        <v>200</v>
      </c>
      <c r="J25" s="4">
        <f>IF(ISNUMBER(SEARCH("营",'17.01'!R25)),(-$Y25+50*IF('17.01'!$AK25="是",'17.01'!$AY$4,'17.01'!$AY$3)),(VLOOKUP('17.01'!R25,'17.01'!$AM$4:$AO$55,2,FALSE))*IF('17.01'!$AK25="是",'17.01'!$AY$4,'17.01'!$AY$3))</f>
        <v>160</v>
      </c>
      <c r="K25" s="4">
        <f>IF(ISNUMBER(SEARCH("营",'17.01'!S25)),(-$Y25+50*IF('17.01'!$AK25="是",'17.01'!$AY$4,'17.01'!$AY$3)),(VLOOKUP('17.01'!S25,'17.01'!$AM$4:$AO$55,2,FALSE))*IF('17.01'!$AK25="是",'17.01'!$AY$4,'17.01'!$AY$3))</f>
        <v>160</v>
      </c>
      <c r="L25" s="4">
        <f>IF(ISNUMBER(SEARCH("营",'17.01'!T25)),(-$Y25+50*IF('17.01'!$AK25="是",'17.01'!$AY$4,'17.01'!$AY$3)),(VLOOKUP('17.01'!T25,'17.01'!$AM$4:$AO$55,2,FALSE))*IF('17.01'!$AK25="是",'17.01'!$AY$4,'17.01'!$AY$3))</f>
        <v>160</v>
      </c>
      <c r="M25" s="4">
        <f>IF(ISNUMBER(SEARCH("营",'17.01'!U25)),(-$Y25+50*IF('17.01'!$AK25="是",'17.01'!$AY$4,'17.01'!$AY$3)),(VLOOKUP('17.01'!U25,'17.01'!$AM$4:$AO$55,2,FALSE))*IF('17.01'!$AK25="是",'17.01'!$AY$4,'17.01'!$AY$3))</f>
        <v>160</v>
      </c>
      <c r="N25" s="4">
        <f>IF(ISNUMBER(SEARCH("营",'17.01'!V25)),(-$Y25+50*IF('17.01'!$AK25="是",'17.01'!$AY$4,'17.01'!$AY$3)),(VLOOKUP('17.01'!V25,'17.01'!$AM$4:$AO$55,2,FALSE))*IF('17.01'!$AK25="是",'17.01'!$AY$4,'17.01'!$AY$3))</f>
        <v>160</v>
      </c>
      <c r="O25" s="4">
        <f>IF(ISNUMBER(SEARCH("营",'17.01'!W25)),(-$Y25+50*IF('17.01'!$AK25="是",'17.01'!$AY$4,'17.01'!$AY$3)),(VLOOKUP('17.01'!W25,'17.01'!$AM$4:$AO$55,2,FALSE))*IF('17.01'!$AK25="是",'17.01'!$AY$4,'17.01'!$AY$3))</f>
        <v>0</v>
      </c>
      <c r="P25" s="4">
        <f>IF(ISNUMBER(SEARCH("营",'17.01'!X25)),(-$Y25+50*IF('17.01'!$AK25="是",'17.01'!$AY$4,'17.01'!$AY$3)),(VLOOKUP('17.01'!X25,'17.01'!$AM$4:$AO$55,2,FALSE))*IF('17.01'!$AK25="是",'17.01'!$AY$4,'17.01'!$AY$3))</f>
        <v>0</v>
      </c>
      <c r="Q25" s="4">
        <f>IF(ISNUMBER(SEARCH("营",'17.01'!Y25)),(-$Y25+50*IF('17.01'!$AK25="是",'17.01'!$AY$4,'17.01'!$AY$3)),(VLOOKUP('17.01'!Y25,'17.01'!$AM$4:$AO$55,2,FALSE))*IF('17.01'!$AK25="是",'17.01'!$AY$4,'17.01'!$AY$3))</f>
        <v>0</v>
      </c>
      <c r="R25" s="4">
        <f>IF(ISNUMBER(SEARCH("营",'17.01'!Z25)),(-$Y25+50*IF('17.01'!$AK25="是",'17.01'!$AY$4,'17.01'!$AY$3)),(VLOOKUP('17.01'!Z25,'17.01'!$AM$4:$AO$55,2,FALSE))*IF('17.01'!$AK25="是",'17.01'!$AY$4,'17.01'!$AY$3))</f>
        <v>0</v>
      </c>
      <c r="S25" s="4">
        <f>IF(ISNUMBER(SEARCH("营",'17.01'!AA25)),(-$Y25+50*IF('17.01'!$AK25="是",'17.01'!$AY$4,'17.01'!$AY$3)),(VLOOKUP('17.01'!AA25,'17.01'!$AM$4:$AO$55,2,FALSE))*IF('17.01'!$AK25="是",'17.01'!$AY$4,'17.01'!$AY$3))</f>
        <v>0</v>
      </c>
      <c r="T25" s="4">
        <f>IF(ISNUMBER(SEARCH("营",'17.01'!AB25)),(-$Y25+50*IF('17.01'!$AK25="是",'17.01'!$AY$4,'17.01'!$AY$3)),(VLOOKUP('17.01'!AB25,'17.01'!$AM$4:$AO$55,2,FALSE))*IF('17.01'!$AK25="是",'17.01'!$AY$4,'17.01'!$AY$3))</f>
        <v>0</v>
      </c>
      <c r="U25" s="4">
        <f>IF(ISNUMBER(SEARCH("营",'17.01'!AC25)),(-$Y25+50*IF('17.01'!$AK25="是",'17.01'!$AY$4,'17.01'!$AY$3)),(VLOOKUP('17.01'!AC25,'17.01'!$AM$4:$AO$55,2,FALSE))*IF('17.01'!$AK25="是",'17.01'!$AY$4,'17.01'!$AY$3))</f>
        <v>0</v>
      </c>
      <c r="V25" s="4">
        <f>IF(ISNUMBER(SEARCH("营",'17.01'!AD25)),(-$Y25+50*IF('17.01'!$AK25="是",'17.01'!$AY$4,'17.01'!$AY$3)),(VLOOKUP('17.01'!AD25,'17.01'!$AM$4:$AO$55,2,FALSE))*IF('17.01'!$AK25="是",'17.01'!$AY$4,'17.01'!$AY$3))</f>
        <v>0</v>
      </c>
      <c r="W25" s="4">
        <f>IF(ISNUMBER(SEARCH("营",'17.01'!AE25)),(-$Y25+50*IF('17.01'!$AK25="是",'17.01'!$AY$4,'17.01'!$AY$3)),(VLOOKUP('17.01'!AE25,'17.01'!$AM$4:$AO$55,2,FALSE))*IF('17.01'!$AK25="是",'17.01'!$AY$4,'17.01'!$AY$3))</f>
        <v>0</v>
      </c>
      <c r="X25" s="4">
        <f>IF(ISNUMBER(SEARCH("营",'17.01'!AF25)),(-$Y25+50*IF('17.01'!$AK25="是",'17.01'!$AY$4,'17.01'!$AY$3)),(VLOOKUP('17.01'!AF25,'17.01'!$AM$4:$AO$55,2,FALSE))*IF('17.01'!$AK25="是",'17.01'!$AY$4,'17.01'!$AY$3))</f>
        <v>0</v>
      </c>
      <c r="Y25" s="91">
        <v>250</v>
      </c>
    </row>
    <row r="26" spans="1:25">
      <c r="A26" s="4">
        <f>IF(ISNUMBER(SEARCH("营",'17.01'!I26)),(-$Y26+50*IF('17.01'!$AK26="是",'17.01'!$AY$4,'17.01'!$AY$3)),(VLOOKUP('17.01'!I26,'17.01'!$AM$4:$AO$55,2,FALSE))*IF('17.01'!$AK26="是",'17.01'!$AY$4,'17.01'!$AY$3))</f>
        <v>0</v>
      </c>
      <c r="B26" s="4">
        <f>IF(ISNUMBER(SEARCH("营",'17.01'!J26)),(-$Y26+50*IF('17.01'!$AK26="是",'17.01'!$AY$4,'17.01'!$AY$3)),(VLOOKUP('17.01'!J26,'17.01'!$AM$4:$AO$55,2,FALSE))*IF('17.01'!$AK26="是",'17.01'!$AY$4,'17.01'!$AY$3))</f>
        <v>0</v>
      </c>
      <c r="C26" s="4">
        <f>IF(ISNUMBER(SEARCH("营",'17.01'!K26)),(-$Y26+50*IF('17.01'!$AK26="是",'17.01'!$AY$4,'17.01'!$AY$3)),(VLOOKUP('17.01'!K26,'17.01'!$AM$4:$AO$55,2,FALSE))*IF('17.01'!$AK26="是",'17.01'!$AY$4,'17.01'!$AY$3))</f>
        <v>0</v>
      </c>
      <c r="D26" s="4">
        <f>IF(ISNUMBER(SEARCH("营",'17.01'!L26)),(-$Y26+50*IF('17.01'!$AK26="是",'17.01'!$AY$4,'17.01'!$AY$3)),(VLOOKUP('17.01'!L26,'17.01'!$AM$4:$AO$55,2,FALSE))*IF('17.01'!$AK26="是",'17.01'!$AY$4,'17.01'!$AY$3))</f>
        <v>0</v>
      </c>
      <c r="E26" s="4">
        <f>IF(ISNUMBER(SEARCH("营",'17.01'!M26)),(-$Y26+50*IF('17.01'!$AK26="是",'17.01'!$AY$4,'17.01'!$AY$3)),(VLOOKUP('17.01'!M26,'17.01'!$AM$4:$AO$55,2,FALSE))*IF('17.01'!$AK26="是",'17.01'!$AY$4,'17.01'!$AY$3))</f>
        <v>0</v>
      </c>
      <c r="F26" s="4">
        <f>IF(ISNUMBER(SEARCH("营",'17.01'!N26)),(-$Y26+50*IF('17.01'!$AK26="是",'17.01'!$AY$4,'17.01'!$AY$3)),(VLOOKUP('17.01'!N26,'17.01'!$AM$4:$AO$55,2,FALSE))*IF('17.01'!$AK26="是",'17.01'!$AY$4,'17.01'!$AY$3))</f>
        <v>0</v>
      </c>
      <c r="G26" s="4">
        <f>IF(ISNUMBER(SEARCH("营",'17.01'!O26)),(-$Y26+50*IF('17.01'!$AK26="是",'17.01'!$AY$4,'17.01'!$AY$3)),(VLOOKUP('17.01'!O26,'17.01'!$AM$4:$AO$55,2,FALSE))*IF('17.01'!$AK26="是",'17.01'!$AY$4,'17.01'!$AY$3))</f>
        <v>0</v>
      </c>
      <c r="H26" s="4">
        <f>IF(ISNUMBER(SEARCH("营",'17.01'!P26)),(-$Y26+50*IF('17.01'!$AK26="是",'17.01'!$AY$4,'17.01'!$AY$3)),(VLOOKUP('17.01'!P26,'17.01'!$AM$4:$AO$55,2,FALSE))*IF('17.01'!$AK26="是",'17.01'!$AY$4,'17.01'!$AY$3))</f>
        <v>0</v>
      </c>
      <c r="I26" s="4">
        <f>IF(ISNUMBER(SEARCH("营",'17.01'!Q26)),(-$Y26+50*IF('17.01'!$AK26="是",'17.01'!$AY$4,'17.01'!$AY$3)),(VLOOKUP('17.01'!Q26,'17.01'!$AM$4:$AO$55,2,FALSE))*IF('17.01'!$AK26="是",'17.01'!$AY$4,'17.01'!$AY$3))</f>
        <v>160</v>
      </c>
      <c r="J26" s="4">
        <f>IF(ISNUMBER(SEARCH("营",'17.01'!R26)),(-$Y26+50*IF('17.01'!$AK26="是",'17.01'!$AY$4,'17.01'!$AY$3)),(VLOOKUP('17.01'!R26,'17.01'!$AM$4:$AO$55,2,FALSE))*IF('17.01'!$AK26="是",'17.01'!$AY$4,'17.01'!$AY$3))</f>
        <v>160</v>
      </c>
      <c r="K26" s="4">
        <f>IF(ISNUMBER(SEARCH("营",'17.01'!S26)),(-$Y26+50*IF('17.01'!$AK26="是",'17.01'!$AY$4,'17.01'!$AY$3)),(VLOOKUP('17.01'!S26,'17.01'!$AM$4:$AO$55,2,FALSE))*IF('17.01'!$AK26="是",'17.01'!$AY$4,'17.01'!$AY$3))</f>
        <v>160</v>
      </c>
      <c r="L26" s="4">
        <f>IF(ISNUMBER(SEARCH("营",'17.01'!T26)),(-$Y26+50*IF('17.01'!$AK26="是",'17.01'!$AY$4,'17.01'!$AY$3)),(VLOOKUP('17.01'!T26,'17.01'!$AM$4:$AO$55,2,FALSE))*IF('17.01'!$AK26="是",'17.01'!$AY$4,'17.01'!$AY$3))</f>
        <v>160</v>
      </c>
      <c r="M26" s="4">
        <f>IF(ISNUMBER(SEARCH("营",'17.01'!U26)),(-$Y26+50*IF('17.01'!$AK26="是",'17.01'!$AY$4,'17.01'!$AY$3)),(VLOOKUP('17.01'!U26,'17.01'!$AM$4:$AO$55,2,FALSE))*IF('17.01'!$AK26="是",'17.01'!$AY$4,'17.01'!$AY$3))</f>
        <v>160</v>
      </c>
      <c r="N26" s="4">
        <f>IF(ISNUMBER(SEARCH("营",'17.01'!V26)),(-$Y26+50*IF('17.01'!$AK26="是",'17.01'!$AY$4,'17.01'!$AY$3)),(VLOOKUP('17.01'!V26,'17.01'!$AM$4:$AO$55,2,FALSE))*IF('17.01'!$AK26="是",'17.01'!$AY$4,'17.01'!$AY$3))</f>
        <v>160</v>
      </c>
      <c r="O26" s="4">
        <f>IF(ISNUMBER(SEARCH("营",'17.01'!W26)),(-$Y26+50*IF('17.01'!$AK26="是",'17.01'!$AY$4,'17.01'!$AY$3)),(VLOOKUP('17.01'!W26,'17.01'!$AM$4:$AO$55,2,FALSE))*IF('17.01'!$AK26="是",'17.01'!$AY$4,'17.01'!$AY$3))</f>
        <v>0</v>
      </c>
      <c r="P26" s="4">
        <f>IF(ISNUMBER(SEARCH("营",'17.01'!X26)),(-$Y26+50*IF('17.01'!$AK26="是",'17.01'!$AY$4,'17.01'!$AY$3)),(VLOOKUP('17.01'!X26,'17.01'!$AM$4:$AO$55,2,FALSE))*IF('17.01'!$AK26="是",'17.01'!$AY$4,'17.01'!$AY$3))</f>
        <v>0</v>
      </c>
      <c r="Q26" s="4">
        <f>IF(ISNUMBER(SEARCH("营",'17.01'!Y26)),(-$Y26+50*IF('17.01'!$AK26="是",'17.01'!$AY$4,'17.01'!$AY$3)),(VLOOKUP('17.01'!Y26,'17.01'!$AM$4:$AO$55,2,FALSE))*IF('17.01'!$AK26="是",'17.01'!$AY$4,'17.01'!$AY$3))</f>
        <v>0</v>
      </c>
      <c r="R26" s="4">
        <f>IF(ISNUMBER(SEARCH("营",'17.01'!Z26)),(-$Y26+50*IF('17.01'!$AK26="是",'17.01'!$AY$4,'17.01'!$AY$3)),(VLOOKUP('17.01'!Z26,'17.01'!$AM$4:$AO$55,2,FALSE))*IF('17.01'!$AK26="是",'17.01'!$AY$4,'17.01'!$AY$3))</f>
        <v>0</v>
      </c>
      <c r="S26" s="4">
        <f>IF(ISNUMBER(SEARCH("营",'17.01'!AA26)),(-$Y26+50*IF('17.01'!$AK26="是",'17.01'!$AY$4,'17.01'!$AY$3)),(VLOOKUP('17.01'!AA26,'17.01'!$AM$4:$AO$55,2,FALSE))*IF('17.01'!$AK26="是",'17.01'!$AY$4,'17.01'!$AY$3))</f>
        <v>0</v>
      </c>
      <c r="T26" s="4">
        <f>IF(ISNUMBER(SEARCH("营",'17.01'!AB26)),(-$Y26+50*IF('17.01'!$AK26="是",'17.01'!$AY$4,'17.01'!$AY$3)),(VLOOKUP('17.01'!AB26,'17.01'!$AM$4:$AO$55,2,FALSE))*IF('17.01'!$AK26="是",'17.01'!$AY$4,'17.01'!$AY$3))</f>
        <v>0</v>
      </c>
      <c r="U26" s="4">
        <f>IF(ISNUMBER(SEARCH("营",'17.01'!AC26)),(-$Y26+50*IF('17.01'!$AK26="是",'17.01'!$AY$4,'17.01'!$AY$3)),(VLOOKUP('17.01'!AC26,'17.01'!$AM$4:$AO$55,2,FALSE))*IF('17.01'!$AK26="是",'17.01'!$AY$4,'17.01'!$AY$3))</f>
        <v>0</v>
      </c>
      <c r="V26" s="4">
        <f>IF(ISNUMBER(SEARCH("营",'17.01'!AD26)),(-$Y26+50*IF('17.01'!$AK26="是",'17.01'!$AY$4,'17.01'!$AY$3)),(VLOOKUP('17.01'!AD26,'17.01'!$AM$4:$AO$55,2,FALSE))*IF('17.01'!$AK26="是",'17.01'!$AY$4,'17.01'!$AY$3))</f>
        <v>0</v>
      </c>
      <c r="W26" s="4">
        <f>IF(ISNUMBER(SEARCH("营",'17.01'!AE26)),(-$Y26+50*IF('17.01'!$AK26="是",'17.01'!$AY$4,'17.01'!$AY$3)),(VLOOKUP('17.01'!AE26,'17.01'!$AM$4:$AO$55,2,FALSE))*IF('17.01'!$AK26="是",'17.01'!$AY$4,'17.01'!$AY$3))</f>
        <v>0</v>
      </c>
      <c r="X26" s="4">
        <f>IF(ISNUMBER(SEARCH("营",'17.01'!AF26)),(-$Y26+50*IF('17.01'!$AK26="是",'17.01'!$AY$4,'17.01'!$AY$3)),(VLOOKUP('17.01'!AF26,'17.01'!$AM$4:$AO$55,2,FALSE))*IF('17.01'!$AK26="是",'17.01'!$AY$4,'17.01'!$AY$3))</f>
        <v>0</v>
      </c>
      <c r="Y26" s="91">
        <v>250</v>
      </c>
    </row>
    <row r="27" spans="1:25">
      <c r="A27" s="4">
        <f>IF(ISNUMBER(SEARCH("营",'17.01'!I27)),(-$Y27+50*IF('17.01'!$AK27="是",'17.01'!$AY$4,'17.01'!$AY$3)),(VLOOKUP('17.01'!I27,'17.01'!$AM$4:$AO$55,2,FALSE))*IF('17.01'!$AK27="是",'17.01'!$AY$4,'17.01'!$AY$3))</f>
        <v>0</v>
      </c>
      <c r="B27" s="4">
        <f>IF(ISNUMBER(SEARCH("营",'17.01'!J27)),(-$Y27+50*IF('17.01'!$AK27="是",'17.01'!$AY$4,'17.01'!$AY$3)),(VLOOKUP('17.01'!J27,'17.01'!$AM$4:$AO$55,2,FALSE))*IF('17.01'!$AK27="是",'17.01'!$AY$4,'17.01'!$AY$3))</f>
        <v>0</v>
      </c>
      <c r="C27" s="4">
        <f>IF(ISNUMBER(SEARCH("营",'17.01'!K27)),(-$Y27+50*IF('17.01'!$AK27="是",'17.01'!$AY$4,'17.01'!$AY$3)),(VLOOKUP('17.01'!K27,'17.01'!$AM$4:$AO$55,2,FALSE))*IF('17.01'!$AK27="是",'17.01'!$AY$4,'17.01'!$AY$3))</f>
        <v>0</v>
      </c>
      <c r="D27" s="4">
        <f>IF(ISNUMBER(SEARCH("营",'17.01'!L27)),(-$Y27+50*IF('17.01'!$AK27="是",'17.01'!$AY$4,'17.01'!$AY$3)),(VLOOKUP('17.01'!L27,'17.01'!$AM$4:$AO$55,2,FALSE))*IF('17.01'!$AK27="是",'17.01'!$AY$4,'17.01'!$AY$3))</f>
        <v>0</v>
      </c>
      <c r="E27" s="4">
        <f>IF(ISNUMBER(SEARCH("营",'17.01'!M27)),(-$Y27+50*IF('17.01'!$AK27="是",'17.01'!$AY$4,'17.01'!$AY$3)),(VLOOKUP('17.01'!M27,'17.01'!$AM$4:$AO$55,2,FALSE))*IF('17.01'!$AK27="是",'17.01'!$AY$4,'17.01'!$AY$3))</f>
        <v>0</v>
      </c>
      <c r="F27" s="4">
        <f>IF(ISNUMBER(SEARCH("营",'17.01'!N27)),(-$Y27+50*IF('17.01'!$AK27="是",'17.01'!$AY$4,'17.01'!$AY$3)),(VLOOKUP('17.01'!N27,'17.01'!$AM$4:$AO$55,2,FALSE))*IF('17.01'!$AK27="是",'17.01'!$AY$4,'17.01'!$AY$3))</f>
        <v>0</v>
      </c>
      <c r="G27" s="4">
        <f>IF(ISNUMBER(SEARCH("营",'17.01'!O27)),(-$Y27+50*IF('17.01'!$AK27="是",'17.01'!$AY$4,'17.01'!$AY$3)),(VLOOKUP('17.01'!O27,'17.01'!$AM$4:$AO$55,2,FALSE))*IF('17.01'!$AK27="是",'17.01'!$AY$4,'17.01'!$AY$3))</f>
        <v>0</v>
      </c>
      <c r="H27" s="4">
        <f>IF(ISNUMBER(SEARCH("营",'17.01'!P27)),(-$Y27+50*IF('17.01'!$AK27="是",'17.01'!$AY$4,'17.01'!$AY$3)),(VLOOKUP('17.01'!P27,'17.01'!$AM$4:$AO$55,2,FALSE))*IF('17.01'!$AK27="是",'17.01'!$AY$4,'17.01'!$AY$3))</f>
        <v>0</v>
      </c>
      <c r="I27" s="4">
        <f>IF(ISNUMBER(SEARCH("营",'17.01'!Q27)),(-$Y27+50*IF('17.01'!$AK27="是",'17.01'!$AY$4,'17.01'!$AY$3)),(VLOOKUP('17.01'!Q27,'17.01'!$AM$4:$AO$55,2,FALSE))*IF('17.01'!$AK27="是",'17.01'!$AY$4,'17.01'!$AY$3))</f>
        <v>160</v>
      </c>
      <c r="J27" s="4">
        <f>IF(ISNUMBER(SEARCH("营",'17.01'!R27)),(-$Y27+50*IF('17.01'!$AK27="是",'17.01'!$AY$4,'17.01'!$AY$3)),(VLOOKUP('17.01'!R27,'17.01'!$AM$4:$AO$55,2,FALSE))*IF('17.01'!$AK27="是",'17.01'!$AY$4,'17.01'!$AY$3))</f>
        <v>40</v>
      </c>
      <c r="K27" s="4">
        <f>IF(ISNUMBER(SEARCH("营",'17.01'!S27)),(-$Y27+50*IF('17.01'!$AK27="是",'17.01'!$AY$4,'17.01'!$AY$3)),(VLOOKUP('17.01'!S27,'17.01'!$AM$4:$AO$55,2,FALSE))*IF('17.01'!$AK27="是",'17.01'!$AY$4,'17.01'!$AY$3))</f>
        <v>160</v>
      </c>
      <c r="L27" s="4">
        <f>IF(ISNUMBER(SEARCH("营",'17.01'!T27)),(-$Y27+50*IF('17.01'!$AK27="是",'17.01'!$AY$4,'17.01'!$AY$3)),(VLOOKUP('17.01'!T27,'17.01'!$AM$4:$AO$55,2,FALSE))*IF('17.01'!$AK27="是",'17.01'!$AY$4,'17.01'!$AY$3))</f>
        <v>160</v>
      </c>
      <c r="M27" s="4">
        <f>IF(ISNUMBER(SEARCH("营",'17.01'!U27)),(-$Y27+50*IF('17.01'!$AK27="是",'17.01'!$AY$4,'17.01'!$AY$3)),(VLOOKUP('17.01'!U27,'17.01'!$AM$4:$AO$55,2,FALSE))*IF('17.01'!$AK27="是",'17.01'!$AY$4,'17.01'!$AY$3))</f>
        <v>160</v>
      </c>
      <c r="N27" s="4">
        <f>IF(ISNUMBER(SEARCH("营",'17.01'!V27)),(-$Y27+50*IF('17.01'!$AK27="是",'17.01'!$AY$4,'17.01'!$AY$3)),(VLOOKUP('17.01'!V27,'17.01'!$AM$4:$AO$55,2,FALSE))*IF('17.01'!$AK27="是",'17.01'!$AY$4,'17.01'!$AY$3))</f>
        <v>160</v>
      </c>
      <c r="O27" s="4">
        <f>IF(ISNUMBER(SEARCH("营",'17.01'!W27)),(-$Y27+50*IF('17.01'!$AK27="是",'17.01'!$AY$4,'17.01'!$AY$3)),(VLOOKUP('17.01'!W27,'17.01'!$AM$4:$AO$55,2,FALSE))*IF('17.01'!$AK27="是",'17.01'!$AY$4,'17.01'!$AY$3))</f>
        <v>0</v>
      </c>
      <c r="P27" s="4">
        <f>IF(ISNUMBER(SEARCH("营",'17.01'!X27)),(-$Y27+50*IF('17.01'!$AK27="是",'17.01'!$AY$4,'17.01'!$AY$3)),(VLOOKUP('17.01'!X27,'17.01'!$AM$4:$AO$55,2,FALSE))*IF('17.01'!$AK27="是",'17.01'!$AY$4,'17.01'!$AY$3))</f>
        <v>0</v>
      </c>
      <c r="Q27" s="4">
        <f>IF(ISNUMBER(SEARCH("营",'17.01'!Y27)),(-$Y27+50*IF('17.01'!$AK27="是",'17.01'!$AY$4,'17.01'!$AY$3)),(VLOOKUP('17.01'!Y27,'17.01'!$AM$4:$AO$55,2,FALSE))*IF('17.01'!$AK27="是",'17.01'!$AY$4,'17.01'!$AY$3))</f>
        <v>0</v>
      </c>
      <c r="R27" s="4">
        <f>IF(ISNUMBER(SEARCH("营",'17.01'!Z27)),(-$Y27+50*IF('17.01'!$AK27="是",'17.01'!$AY$4,'17.01'!$AY$3)),(VLOOKUP('17.01'!Z27,'17.01'!$AM$4:$AO$55,2,FALSE))*IF('17.01'!$AK27="是",'17.01'!$AY$4,'17.01'!$AY$3))</f>
        <v>0</v>
      </c>
      <c r="S27" s="4">
        <f>IF(ISNUMBER(SEARCH("营",'17.01'!AA27)),(-$Y27+50*IF('17.01'!$AK27="是",'17.01'!$AY$4,'17.01'!$AY$3)),(VLOOKUP('17.01'!AA27,'17.01'!$AM$4:$AO$55,2,FALSE))*IF('17.01'!$AK27="是",'17.01'!$AY$4,'17.01'!$AY$3))</f>
        <v>0</v>
      </c>
      <c r="T27" s="4">
        <f>IF(ISNUMBER(SEARCH("营",'17.01'!AB27)),(-$Y27+50*IF('17.01'!$AK27="是",'17.01'!$AY$4,'17.01'!$AY$3)),(VLOOKUP('17.01'!AB27,'17.01'!$AM$4:$AO$55,2,FALSE))*IF('17.01'!$AK27="是",'17.01'!$AY$4,'17.01'!$AY$3))</f>
        <v>0</v>
      </c>
      <c r="U27" s="4">
        <f>IF(ISNUMBER(SEARCH("营",'17.01'!AC27)),(-$Y27+50*IF('17.01'!$AK27="是",'17.01'!$AY$4,'17.01'!$AY$3)),(VLOOKUP('17.01'!AC27,'17.01'!$AM$4:$AO$55,2,FALSE))*IF('17.01'!$AK27="是",'17.01'!$AY$4,'17.01'!$AY$3))</f>
        <v>0</v>
      </c>
      <c r="V27" s="4">
        <f>IF(ISNUMBER(SEARCH("营",'17.01'!AD27)),(-$Y27+50*IF('17.01'!$AK27="是",'17.01'!$AY$4,'17.01'!$AY$3)),(VLOOKUP('17.01'!AD27,'17.01'!$AM$4:$AO$55,2,FALSE))*IF('17.01'!$AK27="是",'17.01'!$AY$4,'17.01'!$AY$3))</f>
        <v>0</v>
      </c>
      <c r="W27" s="4">
        <f>IF(ISNUMBER(SEARCH("营",'17.01'!AE27)),(-$Y27+50*IF('17.01'!$AK27="是",'17.01'!$AY$4,'17.01'!$AY$3)),(VLOOKUP('17.01'!AE27,'17.01'!$AM$4:$AO$55,2,FALSE))*IF('17.01'!$AK27="是",'17.01'!$AY$4,'17.01'!$AY$3))</f>
        <v>0</v>
      </c>
      <c r="X27" s="4">
        <f>IF(ISNUMBER(SEARCH("营",'17.01'!AF27)),(-$Y27+50*IF('17.01'!$AK27="是",'17.01'!$AY$4,'17.01'!$AY$3)),(VLOOKUP('17.01'!AF27,'17.01'!$AM$4:$AO$55,2,FALSE))*IF('17.01'!$AK27="是",'17.01'!$AY$4,'17.01'!$AY$3))</f>
        <v>0</v>
      </c>
      <c r="Y27" s="91">
        <v>250</v>
      </c>
    </row>
    <row r="28" spans="1:25">
      <c r="A28" s="4">
        <f>IF(ISNUMBER(SEARCH("营",'17.01'!I28)),(-$Y28+50*IF('17.01'!$AK28="是",'17.01'!$AY$4,'17.01'!$AY$3)),(VLOOKUP('17.01'!I28,'17.01'!$AM$4:$AO$55,2,FALSE))*IF('17.01'!$AK28="是",'17.01'!$AY$4,'17.01'!$AY$3))</f>
        <v>0</v>
      </c>
      <c r="B28" s="4">
        <f>IF(ISNUMBER(SEARCH("营",'17.01'!J28)),(-$Y28+50*IF('17.01'!$AK28="是",'17.01'!$AY$4,'17.01'!$AY$3)),(VLOOKUP('17.01'!J28,'17.01'!$AM$4:$AO$55,2,FALSE))*IF('17.01'!$AK28="是",'17.01'!$AY$4,'17.01'!$AY$3))</f>
        <v>0</v>
      </c>
      <c r="C28" s="4">
        <f>IF(ISNUMBER(SEARCH("营",'17.01'!K28)),(-$Y28+50*IF('17.01'!$AK28="是",'17.01'!$AY$4,'17.01'!$AY$3)),(VLOOKUP('17.01'!K28,'17.01'!$AM$4:$AO$55,2,FALSE))*IF('17.01'!$AK28="是",'17.01'!$AY$4,'17.01'!$AY$3))</f>
        <v>0</v>
      </c>
      <c r="D28" s="4">
        <f>IF(ISNUMBER(SEARCH("营",'17.01'!L28)),(-$Y28+50*IF('17.01'!$AK28="是",'17.01'!$AY$4,'17.01'!$AY$3)),(VLOOKUP('17.01'!L28,'17.01'!$AM$4:$AO$55,2,FALSE))*IF('17.01'!$AK28="是",'17.01'!$AY$4,'17.01'!$AY$3))</f>
        <v>0</v>
      </c>
      <c r="E28" s="4">
        <f>IF(ISNUMBER(SEARCH("营",'17.01'!M28)),(-$Y28+50*IF('17.01'!$AK28="是",'17.01'!$AY$4,'17.01'!$AY$3)),(VLOOKUP('17.01'!M28,'17.01'!$AM$4:$AO$55,2,FALSE))*IF('17.01'!$AK28="是",'17.01'!$AY$4,'17.01'!$AY$3))</f>
        <v>0</v>
      </c>
      <c r="F28" s="4">
        <f>IF(ISNUMBER(SEARCH("营",'17.01'!N28)),(-$Y28+50*IF('17.01'!$AK28="是",'17.01'!$AY$4,'17.01'!$AY$3)),(VLOOKUP('17.01'!N28,'17.01'!$AM$4:$AO$55,2,FALSE))*IF('17.01'!$AK28="是",'17.01'!$AY$4,'17.01'!$AY$3))</f>
        <v>0</v>
      </c>
      <c r="G28" s="4">
        <f>IF(ISNUMBER(SEARCH("营",'17.01'!O28)),(-$Y28+50*IF('17.01'!$AK28="是",'17.01'!$AY$4,'17.01'!$AY$3)),(VLOOKUP('17.01'!O28,'17.01'!$AM$4:$AO$55,2,FALSE))*IF('17.01'!$AK28="是",'17.01'!$AY$4,'17.01'!$AY$3))</f>
        <v>0</v>
      </c>
      <c r="H28" s="4">
        <f>IF(ISNUMBER(SEARCH("营",'17.01'!P28)),(-$Y28+50*IF('17.01'!$AK28="是",'17.01'!$AY$4,'17.01'!$AY$3)),(VLOOKUP('17.01'!P28,'17.01'!$AM$4:$AO$55,2,FALSE))*IF('17.01'!$AK28="是",'17.01'!$AY$4,'17.01'!$AY$3))</f>
        <v>0</v>
      </c>
      <c r="I28" s="4">
        <f>IF(ISNUMBER(SEARCH("营",'17.01'!Q28)),(-$Y28+50*IF('17.01'!$AK28="是",'17.01'!$AY$4,'17.01'!$AY$3)),(VLOOKUP('17.01'!Q28,'17.01'!$AM$4:$AO$55,2,FALSE))*IF('17.01'!$AK28="是",'17.01'!$AY$4,'17.01'!$AY$3))</f>
        <v>160</v>
      </c>
      <c r="J28" s="4">
        <f>IF(ISNUMBER(SEARCH("营",'17.01'!R28)),(-$Y28+50*IF('17.01'!$AK28="是",'17.01'!$AY$4,'17.01'!$AY$3)),(VLOOKUP('17.01'!R28,'17.01'!$AM$4:$AO$55,2,FALSE))*IF('17.01'!$AK28="是",'17.01'!$AY$4,'17.01'!$AY$3))</f>
        <v>160</v>
      </c>
      <c r="K28" s="4">
        <f>IF(ISNUMBER(SEARCH("营",'17.01'!S28)),(-$Y28+50*IF('17.01'!$AK28="是",'17.01'!$AY$4,'17.01'!$AY$3)),(VLOOKUP('17.01'!S28,'17.01'!$AM$4:$AO$55,2,FALSE))*IF('17.01'!$AK28="是",'17.01'!$AY$4,'17.01'!$AY$3))</f>
        <v>160</v>
      </c>
      <c r="L28" s="4">
        <f>IF(ISNUMBER(SEARCH("营",'17.01'!T28)),(-$Y28+50*IF('17.01'!$AK28="是",'17.01'!$AY$4,'17.01'!$AY$3)),(VLOOKUP('17.01'!T28,'17.01'!$AM$4:$AO$55,2,FALSE))*IF('17.01'!$AK28="是",'17.01'!$AY$4,'17.01'!$AY$3))</f>
        <v>-210</v>
      </c>
      <c r="M28" s="4">
        <f>IF(ISNUMBER(SEARCH("营",'17.01'!U28)),(-$Y28+50*IF('17.01'!$AK28="是",'17.01'!$AY$4,'17.01'!$AY$3)),(VLOOKUP('17.01'!U28,'17.01'!$AM$4:$AO$55,2,FALSE))*IF('17.01'!$AK28="是",'17.01'!$AY$4,'17.01'!$AY$3))</f>
        <v>160</v>
      </c>
      <c r="N28" s="4">
        <f>IF(ISNUMBER(SEARCH("营",'17.01'!V28)),(-$Y28+50*IF('17.01'!$AK28="是",'17.01'!$AY$4,'17.01'!$AY$3)),(VLOOKUP('17.01'!V28,'17.01'!$AM$4:$AO$55,2,FALSE))*IF('17.01'!$AK28="是",'17.01'!$AY$4,'17.01'!$AY$3))</f>
        <v>160</v>
      </c>
      <c r="O28" s="4">
        <f>IF(ISNUMBER(SEARCH("营",'17.01'!W28)),(-$Y28+50*IF('17.01'!$AK28="是",'17.01'!$AY$4,'17.01'!$AY$3)),(VLOOKUP('17.01'!W28,'17.01'!$AM$4:$AO$55,2,FALSE))*IF('17.01'!$AK28="是",'17.01'!$AY$4,'17.01'!$AY$3))</f>
        <v>160</v>
      </c>
      <c r="P28" s="4">
        <f>IF(ISNUMBER(SEARCH("营",'17.01'!X28)),(-$Y28+50*IF('17.01'!$AK28="是",'17.01'!$AY$4,'17.01'!$AY$3)),(VLOOKUP('17.01'!X28,'17.01'!$AM$4:$AO$55,2,FALSE))*IF('17.01'!$AK28="是",'17.01'!$AY$4,'17.01'!$AY$3))</f>
        <v>160</v>
      </c>
      <c r="Q28" s="4">
        <f>IF(ISNUMBER(SEARCH("营",'17.01'!Y28)),(-$Y28+50*IF('17.01'!$AK28="是",'17.01'!$AY$4,'17.01'!$AY$3)),(VLOOKUP('17.01'!Y28,'17.01'!$AM$4:$AO$55,2,FALSE))*IF('17.01'!$AK28="是",'17.01'!$AY$4,'17.01'!$AY$3))</f>
        <v>0</v>
      </c>
      <c r="R28" s="4">
        <f>IF(ISNUMBER(SEARCH("营",'17.01'!Z28)),(-$Y28+50*IF('17.01'!$AK28="是",'17.01'!$AY$4,'17.01'!$AY$3)),(VLOOKUP('17.01'!Z28,'17.01'!$AM$4:$AO$55,2,FALSE))*IF('17.01'!$AK28="是",'17.01'!$AY$4,'17.01'!$AY$3))</f>
        <v>0</v>
      </c>
      <c r="S28" s="4">
        <f>IF(ISNUMBER(SEARCH("营",'17.01'!AA28)),(-$Y28+50*IF('17.01'!$AK28="是",'17.01'!$AY$4,'17.01'!$AY$3)),(VLOOKUP('17.01'!AA28,'17.01'!$AM$4:$AO$55,2,FALSE))*IF('17.01'!$AK28="是",'17.01'!$AY$4,'17.01'!$AY$3))</f>
        <v>0</v>
      </c>
      <c r="T28" s="4">
        <f>IF(ISNUMBER(SEARCH("营",'17.01'!AB28)),(-$Y28+50*IF('17.01'!$AK28="是",'17.01'!$AY$4,'17.01'!$AY$3)),(VLOOKUP('17.01'!AB28,'17.01'!$AM$4:$AO$55,2,FALSE))*IF('17.01'!$AK28="是",'17.01'!$AY$4,'17.01'!$AY$3))</f>
        <v>0</v>
      </c>
      <c r="U28" s="4">
        <f>IF(ISNUMBER(SEARCH("营",'17.01'!AC28)),(-$Y28+50*IF('17.01'!$AK28="是",'17.01'!$AY$4,'17.01'!$AY$3)),(VLOOKUP('17.01'!AC28,'17.01'!$AM$4:$AO$55,2,FALSE))*IF('17.01'!$AK28="是",'17.01'!$AY$4,'17.01'!$AY$3))</f>
        <v>0</v>
      </c>
      <c r="V28" s="4">
        <f>IF(ISNUMBER(SEARCH("营",'17.01'!AD28)),(-$Y28+50*IF('17.01'!$AK28="是",'17.01'!$AY$4,'17.01'!$AY$3)),(VLOOKUP('17.01'!AD28,'17.01'!$AM$4:$AO$55,2,FALSE))*IF('17.01'!$AK28="是",'17.01'!$AY$4,'17.01'!$AY$3))</f>
        <v>0</v>
      </c>
      <c r="W28" s="4">
        <f>IF(ISNUMBER(SEARCH("营",'17.01'!AE28)),(-$Y28+50*IF('17.01'!$AK28="是",'17.01'!$AY$4,'17.01'!$AY$3)),(VLOOKUP('17.01'!AE28,'17.01'!$AM$4:$AO$55,2,FALSE))*IF('17.01'!$AK28="是",'17.01'!$AY$4,'17.01'!$AY$3))</f>
        <v>0</v>
      </c>
      <c r="X28" s="4">
        <f>IF(ISNUMBER(SEARCH("营",'17.01'!AF28)),(-$Y28+50*IF('17.01'!$AK28="是",'17.01'!$AY$4,'17.01'!$AY$3)),(VLOOKUP('17.01'!AF28,'17.01'!$AM$4:$AO$55,2,FALSE))*IF('17.01'!$AK28="是",'17.01'!$AY$4,'17.01'!$AY$3))</f>
        <v>0</v>
      </c>
      <c r="Y28" s="91">
        <v>250</v>
      </c>
    </row>
    <row r="29" spans="1:25">
      <c r="A29" s="4">
        <f>IF(ISNUMBER(SEARCH("营",'17.01'!I29)),(-$Y29+50*IF('17.01'!$AK29="是",'17.01'!$AY$4,'17.01'!$AY$3)),(VLOOKUP('17.01'!I29,'17.01'!$AM$4:$AO$55,2,FALSE))*IF('17.01'!$AK29="是",'17.01'!$AY$4,'17.01'!$AY$3))</f>
        <v>0</v>
      </c>
      <c r="B29" s="4">
        <f>IF(ISNUMBER(SEARCH("营",'17.01'!J29)),(-$Y29+50*IF('17.01'!$AK29="是",'17.01'!$AY$4,'17.01'!$AY$3)),(VLOOKUP('17.01'!J29,'17.01'!$AM$4:$AO$55,2,FALSE))*IF('17.01'!$AK29="是",'17.01'!$AY$4,'17.01'!$AY$3))</f>
        <v>0</v>
      </c>
      <c r="C29" s="4">
        <f>IF(ISNUMBER(SEARCH("营",'17.01'!K29)),(-$Y29+50*IF('17.01'!$AK29="是",'17.01'!$AY$4,'17.01'!$AY$3)),(VLOOKUP('17.01'!K29,'17.01'!$AM$4:$AO$55,2,FALSE))*IF('17.01'!$AK29="是",'17.01'!$AY$4,'17.01'!$AY$3))</f>
        <v>0</v>
      </c>
      <c r="D29" s="4">
        <f>IF(ISNUMBER(SEARCH("营",'17.01'!L29)),(-$Y29+50*IF('17.01'!$AK29="是",'17.01'!$AY$4,'17.01'!$AY$3)),(VLOOKUP('17.01'!L29,'17.01'!$AM$4:$AO$55,2,FALSE))*IF('17.01'!$AK29="是",'17.01'!$AY$4,'17.01'!$AY$3))</f>
        <v>0</v>
      </c>
      <c r="E29" s="4">
        <f>IF(ISNUMBER(SEARCH("营",'17.01'!M29)),(-$Y29+50*IF('17.01'!$AK29="是",'17.01'!$AY$4,'17.01'!$AY$3)),(VLOOKUP('17.01'!M29,'17.01'!$AM$4:$AO$55,2,FALSE))*IF('17.01'!$AK29="是",'17.01'!$AY$4,'17.01'!$AY$3))</f>
        <v>0</v>
      </c>
      <c r="F29" s="4">
        <f>IF(ISNUMBER(SEARCH("营",'17.01'!N29)),(-$Y29+50*IF('17.01'!$AK29="是",'17.01'!$AY$4,'17.01'!$AY$3)),(VLOOKUP('17.01'!N29,'17.01'!$AM$4:$AO$55,2,FALSE))*IF('17.01'!$AK29="是",'17.01'!$AY$4,'17.01'!$AY$3))</f>
        <v>0</v>
      </c>
      <c r="G29" s="4">
        <f>IF(ISNUMBER(SEARCH("营",'17.01'!O29)),(-$Y29+50*IF('17.01'!$AK29="是",'17.01'!$AY$4,'17.01'!$AY$3)),(VLOOKUP('17.01'!O29,'17.01'!$AM$4:$AO$55,2,FALSE))*IF('17.01'!$AK29="是",'17.01'!$AY$4,'17.01'!$AY$3))</f>
        <v>0</v>
      </c>
      <c r="H29" s="4">
        <f>IF(ISNUMBER(SEARCH("营",'17.01'!P29)),(-$Y29+50*IF('17.01'!$AK29="是",'17.01'!$AY$4,'17.01'!$AY$3)),(VLOOKUP('17.01'!P29,'17.01'!$AM$4:$AO$55,2,FALSE))*IF('17.01'!$AK29="是",'17.01'!$AY$4,'17.01'!$AY$3))</f>
        <v>0</v>
      </c>
      <c r="I29" s="4">
        <f>IF(ISNUMBER(SEARCH("营",'17.01'!Q29)),(-$Y29+50*IF('17.01'!$AK29="是",'17.01'!$AY$4,'17.01'!$AY$3)),(VLOOKUP('17.01'!Q29,'17.01'!$AM$4:$AO$55,2,FALSE))*IF('17.01'!$AK29="是",'17.01'!$AY$4,'17.01'!$AY$3))</f>
        <v>160</v>
      </c>
      <c r="J29" s="4">
        <f>IF(ISNUMBER(SEARCH("营",'17.01'!R29)),(-$Y29+50*IF('17.01'!$AK29="是",'17.01'!$AY$4,'17.01'!$AY$3)),(VLOOKUP('17.01'!R29,'17.01'!$AM$4:$AO$55,2,FALSE))*IF('17.01'!$AK29="是",'17.01'!$AY$4,'17.01'!$AY$3))</f>
        <v>160</v>
      </c>
      <c r="K29" s="4">
        <f>IF(ISNUMBER(SEARCH("营",'17.01'!S29)),(-$Y29+50*IF('17.01'!$AK29="是",'17.01'!$AY$4,'17.01'!$AY$3)),(VLOOKUP('17.01'!S29,'17.01'!$AM$4:$AO$55,2,FALSE))*IF('17.01'!$AK29="是",'17.01'!$AY$4,'17.01'!$AY$3))</f>
        <v>160</v>
      </c>
      <c r="L29" s="4">
        <f>IF(ISNUMBER(SEARCH("营",'17.01'!T29)),(-$Y29+50*IF('17.01'!$AK29="是",'17.01'!$AY$4,'17.01'!$AY$3)),(VLOOKUP('17.01'!T29,'17.01'!$AM$4:$AO$55,2,FALSE))*IF('17.01'!$AK29="是",'17.01'!$AY$4,'17.01'!$AY$3))</f>
        <v>160</v>
      </c>
      <c r="M29" s="4">
        <f>IF(ISNUMBER(SEARCH("营",'17.01'!U29)),(-$Y29+50*IF('17.01'!$AK29="是",'17.01'!$AY$4,'17.01'!$AY$3)),(VLOOKUP('17.01'!U29,'17.01'!$AM$4:$AO$55,2,FALSE))*IF('17.01'!$AK29="是",'17.01'!$AY$4,'17.01'!$AY$3))</f>
        <v>160</v>
      </c>
      <c r="N29" s="4">
        <f>IF(ISNUMBER(SEARCH("营",'17.01'!V29)),(-$Y29+50*IF('17.01'!$AK29="是",'17.01'!$AY$4,'17.01'!$AY$3)),(VLOOKUP('17.01'!V29,'17.01'!$AM$4:$AO$55,2,FALSE))*IF('17.01'!$AK29="是",'17.01'!$AY$4,'17.01'!$AY$3))</f>
        <v>128</v>
      </c>
      <c r="O29" s="4">
        <f>IF(ISNUMBER(SEARCH("营",'17.01'!W29)),(-$Y29+50*IF('17.01'!$AK29="是",'17.01'!$AY$4,'17.01'!$AY$3)),(VLOOKUP('17.01'!W29,'17.01'!$AM$4:$AO$55,2,FALSE))*IF('17.01'!$AK29="是",'17.01'!$AY$4,'17.01'!$AY$3))</f>
        <v>0</v>
      </c>
      <c r="P29" s="4">
        <f>IF(ISNUMBER(SEARCH("营",'17.01'!X29)),(-$Y29+50*IF('17.01'!$AK29="是",'17.01'!$AY$4,'17.01'!$AY$3)),(VLOOKUP('17.01'!X29,'17.01'!$AM$4:$AO$55,2,FALSE))*IF('17.01'!$AK29="是",'17.01'!$AY$4,'17.01'!$AY$3))</f>
        <v>0</v>
      </c>
      <c r="Q29" s="4">
        <f>IF(ISNUMBER(SEARCH("营",'17.01'!Y29)),(-$Y29+50*IF('17.01'!$AK29="是",'17.01'!$AY$4,'17.01'!$AY$3)),(VLOOKUP('17.01'!Y29,'17.01'!$AM$4:$AO$55,2,FALSE))*IF('17.01'!$AK29="是",'17.01'!$AY$4,'17.01'!$AY$3))</f>
        <v>0</v>
      </c>
      <c r="R29" s="4">
        <f>IF(ISNUMBER(SEARCH("营",'17.01'!Z29)),(-$Y29+50*IF('17.01'!$AK29="是",'17.01'!$AY$4,'17.01'!$AY$3)),(VLOOKUP('17.01'!Z29,'17.01'!$AM$4:$AO$55,2,FALSE))*IF('17.01'!$AK29="是",'17.01'!$AY$4,'17.01'!$AY$3))</f>
        <v>0</v>
      </c>
      <c r="S29" s="4">
        <f>IF(ISNUMBER(SEARCH("营",'17.01'!AA29)),(-$Y29+50*IF('17.01'!$AK29="是",'17.01'!$AY$4,'17.01'!$AY$3)),(VLOOKUP('17.01'!AA29,'17.01'!$AM$4:$AO$55,2,FALSE))*IF('17.01'!$AK29="是",'17.01'!$AY$4,'17.01'!$AY$3))</f>
        <v>0</v>
      </c>
      <c r="T29" s="4">
        <f>IF(ISNUMBER(SEARCH("营",'17.01'!AB29)),(-$Y29+50*IF('17.01'!$AK29="是",'17.01'!$AY$4,'17.01'!$AY$3)),(VLOOKUP('17.01'!AB29,'17.01'!$AM$4:$AO$55,2,FALSE))*IF('17.01'!$AK29="是",'17.01'!$AY$4,'17.01'!$AY$3))</f>
        <v>0</v>
      </c>
      <c r="U29" s="4">
        <f>IF(ISNUMBER(SEARCH("营",'17.01'!AC29)),(-$Y29+50*IF('17.01'!$AK29="是",'17.01'!$AY$4,'17.01'!$AY$3)),(VLOOKUP('17.01'!AC29,'17.01'!$AM$4:$AO$55,2,FALSE))*IF('17.01'!$AK29="是",'17.01'!$AY$4,'17.01'!$AY$3))</f>
        <v>0</v>
      </c>
      <c r="V29" s="4">
        <f>IF(ISNUMBER(SEARCH("营",'17.01'!AD29)),(-$Y29+50*IF('17.01'!$AK29="是",'17.01'!$AY$4,'17.01'!$AY$3)),(VLOOKUP('17.01'!AD29,'17.01'!$AM$4:$AO$55,2,FALSE))*IF('17.01'!$AK29="是",'17.01'!$AY$4,'17.01'!$AY$3))</f>
        <v>0</v>
      </c>
      <c r="W29" s="4">
        <f>IF(ISNUMBER(SEARCH("营",'17.01'!AE29)),(-$Y29+50*IF('17.01'!$AK29="是",'17.01'!$AY$4,'17.01'!$AY$3)),(VLOOKUP('17.01'!AE29,'17.01'!$AM$4:$AO$55,2,FALSE))*IF('17.01'!$AK29="是",'17.01'!$AY$4,'17.01'!$AY$3))</f>
        <v>0</v>
      </c>
      <c r="X29" s="4">
        <f>IF(ISNUMBER(SEARCH("营",'17.01'!AF29)),(-$Y29+50*IF('17.01'!$AK29="是",'17.01'!$AY$4,'17.01'!$AY$3)),(VLOOKUP('17.01'!AF29,'17.01'!$AM$4:$AO$55,2,FALSE))*IF('17.01'!$AK29="是",'17.01'!$AY$4,'17.01'!$AY$3))</f>
        <v>0</v>
      </c>
      <c r="Y29" s="91">
        <v>250</v>
      </c>
    </row>
    <row r="30" spans="1:25">
      <c r="A30" s="4">
        <f>IF(ISNUMBER(SEARCH("营",'17.01'!I30)),(-$Y30+50*IF('17.01'!$AK30="是",'17.01'!$AY$4,'17.01'!$AY$3)),(VLOOKUP('17.01'!I30,'17.01'!$AM$4:$AO$55,2,FALSE))*IF('17.01'!$AK30="是",'17.01'!$AY$4,'17.01'!$AY$3))</f>
        <v>0</v>
      </c>
      <c r="B30" s="4">
        <f>IF(ISNUMBER(SEARCH("营",'17.01'!J30)),(-$Y30+50*IF('17.01'!$AK30="是",'17.01'!$AY$4,'17.01'!$AY$3)),(VLOOKUP('17.01'!J30,'17.01'!$AM$4:$AO$55,2,FALSE))*IF('17.01'!$AK30="是",'17.01'!$AY$4,'17.01'!$AY$3))</f>
        <v>0</v>
      </c>
      <c r="C30" s="4">
        <f>IF(ISNUMBER(SEARCH("营",'17.01'!K30)),(-$Y30+50*IF('17.01'!$AK30="是",'17.01'!$AY$4,'17.01'!$AY$3)),(VLOOKUP('17.01'!K30,'17.01'!$AM$4:$AO$55,2,FALSE))*IF('17.01'!$AK30="是",'17.01'!$AY$4,'17.01'!$AY$3))</f>
        <v>0</v>
      </c>
      <c r="D30" s="4">
        <f>IF(ISNUMBER(SEARCH("营",'17.01'!L30)),(-$Y30+50*IF('17.01'!$AK30="是",'17.01'!$AY$4,'17.01'!$AY$3)),(VLOOKUP('17.01'!L30,'17.01'!$AM$4:$AO$55,2,FALSE))*IF('17.01'!$AK30="是",'17.01'!$AY$4,'17.01'!$AY$3))</f>
        <v>0</v>
      </c>
      <c r="E30" s="4">
        <f>IF(ISNUMBER(SEARCH("营",'17.01'!M30)),(-$Y30+50*IF('17.01'!$AK30="是",'17.01'!$AY$4,'17.01'!$AY$3)),(VLOOKUP('17.01'!M30,'17.01'!$AM$4:$AO$55,2,FALSE))*IF('17.01'!$AK30="是",'17.01'!$AY$4,'17.01'!$AY$3))</f>
        <v>0</v>
      </c>
      <c r="F30" s="4">
        <f>IF(ISNUMBER(SEARCH("营",'17.01'!N30)),(-$Y30+50*IF('17.01'!$AK30="是",'17.01'!$AY$4,'17.01'!$AY$3)),(VLOOKUP('17.01'!N30,'17.01'!$AM$4:$AO$55,2,FALSE))*IF('17.01'!$AK30="是",'17.01'!$AY$4,'17.01'!$AY$3))</f>
        <v>0</v>
      </c>
      <c r="G30" s="4">
        <f>IF(ISNUMBER(SEARCH("营",'17.01'!O30)),(-$Y30+50*IF('17.01'!$AK30="是",'17.01'!$AY$4,'17.01'!$AY$3)),(VLOOKUP('17.01'!O30,'17.01'!$AM$4:$AO$55,2,FALSE))*IF('17.01'!$AK30="是",'17.01'!$AY$4,'17.01'!$AY$3))</f>
        <v>0</v>
      </c>
      <c r="H30" s="4">
        <f>IF(ISNUMBER(SEARCH("营",'17.01'!P30)),(-$Y30+50*IF('17.01'!$AK30="是",'17.01'!$AY$4,'17.01'!$AY$3)),(VLOOKUP('17.01'!P30,'17.01'!$AM$4:$AO$55,2,FALSE))*IF('17.01'!$AK30="是",'17.01'!$AY$4,'17.01'!$AY$3))</f>
        <v>0</v>
      </c>
      <c r="I30" s="4">
        <f>IF(ISNUMBER(SEARCH("营",'17.01'!Q30)),(-$Y30+50*IF('17.01'!$AK30="是",'17.01'!$AY$4,'17.01'!$AY$3)),(VLOOKUP('17.01'!Q30,'17.01'!$AM$4:$AO$55,2,FALSE))*IF('17.01'!$AK30="是",'17.01'!$AY$4,'17.01'!$AY$3))</f>
        <v>120</v>
      </c>
      <c r="J30" s="4">
        <f>IF(ISNUMBER(SEARCH("营",'17.01'!R30)),(-$Y30+50*IF('17.01'!$AK30="是",'17.01'!$AY$4,'17.01'!$AY$3)),(VLOOKUP('17.01'!R30,'17.01'!$AM$4:$AO$55,2,FALSE))*IF('17.01'!$AK30="是",'17.01'!$AY$4,'17.01'!$AY$3))</f>
        <v>128</v>
      </c>
      <c r="K30" s="4">
        <f>IF(ISNUMBER(SEARCH("营",'17.01'!S30)),(-$Y30+50*IF('17.01'!$AK30="是",'17.01'!$AY$4,'17.01'!$AY$3)),(VLOOKUP('17.01'!S30,'17.01'!$AM$4:$AO$55,2,FALSE))*IF('17.01'!$AK30="是",'17.01'!$AY$4,'17.01'!$AY$3))</f>
        <v>40</v>
      </c>
      <c r="L30" s="4">
        <f>IF(ISNUMBER(SEARCH("营",'17.01'!T30)),(-$Y30+50*IF('17.01'!$AK30="是",'17.01'!$AY$4,'17.01'!$AY$3)),(VLOOKUP('17.01'!T30,'17.01'!$AM$4:$AO$55,2,FALSE))*IF('17.01'!$AK30="是",'17.01'!$AY$4,'17.01'!$AY$3))</f>
        <v>128</v>
      </c>
      <c r="M30" s="4">
        <f>IF(ISNUMBER(SEARCH("营",'17.01'!U30)),(-$Y30+50*IF('17.01'!$AK30="是",'17.01'!$AY$4,'17.01'!$AY$3)),(VLOOKUP('17.01'!U30,'17.01'!$AM$4:$AO$55,2,FALSE))*IF('17.01'!$AK30="是",'17.01'!$AY$4,'17.01'!$AY$3))</f>
        <v>40</v>
      </c>
      <c r="N30" s="4">
        <f>IF(ISNUMBER(SEARCH("营",'17.01'!V30)),(-$Y30+50*IF('17.01'!$AK30="是",'17.01'!$AY$4,'17.01'!$AY$3)),(VLOOKUP('17.01'!V30,'17.01'!$AM$4:$AO$55,2,FALSE))*IF('17.01'!$AK30="是",'17.01'!$AY$4,'17.01'!$AY$3))</f>
        <v>128</v>
      </c>
      <c r="O30" s="4">
        <f>IF(ISNUMBER(SEARCH("营",'17.01'!W30)),(-$Y30+50*IF('17.01'!$AK30="是",'17.01'!$AY$4,'17.01'!$AY$3)),(VLOOKUP('17.01'!W30,'17.01'!$AM$4:$AO$55,2,FALSE))*IF('17.01'!$AK30="是",'17.01'!$AY$4,'17.01'!$AY$3))</f>
        <v>152</v>
      </c>
      <c r="P30" s="4">
        <f>IF(ISNUMBER(SEARCH("营",'17.01'!X30)),(-$Y30+50*IF('17.01'!$AK30="是",'17.01'!$AY$4,'17.01'!$AY$3)),(VLOOKUP('17.01'!X30,'17.01'!$AM$4:$AO$55,2,FALSE))*IF('17.01'!$AK30="是",'17.01'!$AY$4,'17.01'!$AY$3))</f>
        <v>0</v>
      </c>
      <c r="Q30" s="4">
        <f>IF(ISNUMBER(SEARCH("营",'17.01'!Y30)),(-$Y30+50*IF('17.01'!$AK30="是",'17.01'!$AY$4,'17.01'!$AY$3)),(VLOOKUP('17.01'!Y30,'17.01'!$AM$4:$AO$55,2,FALSE))*IF('17.01'!$AK30="是",'17.01'!$AY$4,'17.01'!$AY$3))</f>
        <v>0</v>
      </c>
      <c r="R30" s="4">
        <f>IF(ISNUMBER(SEARCH("营",'17.01'!Z30)),(-$Y30+50*IF('17.01'!$AK30="是",'17.01'!$AY$4,'17.01'!$AY$3)),(VLOOKUP('17.01'!Z30,'17.01'!$AM$4:$AO$55,2,FALSE))*IF('17.01'!$AK30="是",'17.01'!$AY$4,'17.01'!$AY$3))</f>
        <v>0</v>
      </c>
      <c r="S30" s="4">
        <f>IF(ISNUMBER(SEARCH("营",'17.01'!AA30)),(-$Y30+50*IF('17.01'!$AK30="是",'17.01'!$AY$4,'17.01'!$AY$3)),(VLOOKUP('17.01'!AA30,'17.01'!$AM$4:$AO$55,2,FALSE))*IF('17.01'!$AK30="是",'17.01'!$AY$4,'17.01'!$AY$3))</f>
        <v>0</v>
      </c>
      <c r="T30" s="4">
        <f>IF(ISNUMBER(SEARCH("营",'17.01'!AB30)),(-$Y30+50*IF('17.01'!$AK30="是",'17.01'!$AY$4,'17.01'!$AY$3)),(VLOOKUP('17.01'!AB30,'17.01'!$AM$4:$AO$55,2,FALSE))*IF('17.01'!$AK30="是",'17.01'!$AY$4,'17.01'!$AY$3))</f>
        <v>0</v>
      </c>
      <c r="U30" s="4">
        <f>IF(ISNUMBER(SEARCH("营",'17.01'!AC30)),(-$Y30+50*IF('17.01'!$AK30="是",'17.01'!$AY$4,'17.01'!$AY$3)),(VLOOKUP('17.01'!AC30,'17.01'!$AM$4:$AO$55,2,FALSE))*IF('17.01'!$AK30="是",'17.01'!$AY$4,'17.01'!$AY$3))</f>
        <v>0</v>
      </c>
      <c r="V30" s="4">
        <f>IF(ISNUMBER(SEARCH("营",'17.01'!AD30)),(-$Y30+50*IF('17.01'!$AK30="是",'17.01'!$AY$4,'17.01'!$AY$3)),(VLOOKUP('17.01'!AD30,'17.01'!$AM$4:$AO$55,2,FALSE))*IF('17.01'!$AK30="是",'17.01'!$AY$4,'17.01'!$AY$3))</f>
        <v>0</v>
      </c>
      <c r="W30" s="4">
        <f>IF(ISNUMBER(SEARCH("营",'17.01'!AE30)),(-$Y30+50*IF('17.01'!$AK30="是",'17.01'!$AY$4,'17.01'!$AY$3)),(VLOOKUP('17.01'!AE30,'17.01'!$AM$4:$AO$55,2,FALSE))*IF('17.01'!$AK30="是",'17.01'!$AY$4,'17.01'!$AY$3))</f>
        <v>0</v>
      </c>
      <c r="X30" s="4">
        <f>IF(ISNUMBER(SEARCH("营",'17.01'!AF30)),(-$Y30+50*IF('17.01'!$AK30="是",'17.01'!$AY$4,'17.01'!$AY$3)),(VLOOKUP('17.01'!AF30,'17.01'!$AM$4:$AO$55,2,FALSE))*IF('17.01'!$AK30="是",'17.01'!$AY$4,'17.01'!$AY$3))</f>
        <v>0</v>
      </c>
      <c r="Y30" s="91">
        <v>250</v>
      </c>
    </row>
    <row r="31" spans="1:25">
      <c r="A31" s="4">
        <f>IF(ISNUMBER(SEARCH("营",'17.01'!I31)),(-$Y31+50*IF('17.01'!$AK31="是",'17.01'!$AY$4,'17.01'!$AY$3)),(VLOOKUP('17.01'!I31,'17.01'!$AM$4:$AO$55,2,FALSE))*IF('17.01'!$AK31="是",'17.01'!$AY$4,'17.01'!$AY$3))</f>
        <v>120</v>
      </c>
      <c r="B31" s="4">
        <f>IF(ISNUMBER(SEARCH("营",'17.01'!J31)),(-$Y31+50*IF('17.01'!$AK31="是",'17.01'!$AY$4,'17.01'!$AY$3)),(VLOOKUP('17.01'!J31,'17.01'!$AM$4:$AO$55,2,FALSE))*IF('17.01'!$AK31="是",'17.01'!$AY$4,'17.01'!$AY$3))</f>
        <v>120</v>
      </c>
      <c r="C31" s="4">
        <f>IF(ISNUMBER(SEARCH("营",'17.01'!K31)),(-$Y31+50*IF('17.01'!$AK31="是",'17.01'!$AY$4,'17.01'!$AY$3)),(VLOOKUP('17.01'!K31,'17.01'!$AM$4:$AO$55,2,FALSE))*IF('17.01'!$AK31="是",'17.01'!$AY$4,'17.01'!$AY$3))</f>
        <v>40</v>
      </c>
      <c r="D31" s="4">
        <f>IF(ISNUMBER(SEARCH("营",'17.01'!L31)),(-$Y31+50*IF('17.01'!$AK31="是",'17.01'!$AY$4,'17.01'!$AY$3)),(VLOOKUP('17.01'!L31,'17.01'!$AM$4:$AO$55,2,FALSE))*IF('17.01'!$AK31="是",'17.01'!$AY$4,'17.01'!$AY$3))</f>
        <v>120</v>
      </c>
      <c r="E31" s="4">
        <f>IF(ISNUMBER(SEARCH("营",'17.01'!M31)),(-$Y31+50*IF('17.01'!$AK31="是",'17.01'!$AY$4,'17.01'!$AY$3)),(VLOOKUP('17.01'!M31,'17.01'!$AM$4:$AO$55,2,FALSE))*IF('17.01'!$AK31="是",'17.01'!$AY$4,'17.01'!$AY$3))</f>
        <v>120</v>
      </c>
      <c r="F31" s="4">
        <f>IF(ISNUMBER(SEARCH("营",'17.01'!N31)),(-$Y31+50*IF('17.01'!$AK31="是",'17.01'!$AY$4,'17.01'!$AY$3)),(VLOOKUP('17.01'!N31,'17.01'!$AM$4:$AO$55,2,FALSE))*IF('17.01'!$AK31="是",'17.01'!$AY$4,'17.01'!$AY$3))</f>
        <v>120</v>
      </c>
      <c r="G31" s="4">
        <f>IF(ISNUMBER(SEARCH("营",'17.01'!O31)),(-$Y31+50*IF('17.01'!$AK31="是",'17.01'!$AY$4,'17.01'!$AY$3)),(VLOOKUP('17.01'!O31,'17.01'!$AM$4:$AO$55,2,FALSE))*IF('17.01'!$AK31="是",'17.01'!$AY$4,'17.01'!$AY$3))</f>
        <v>40</v>
      </c>
      <c r="H31" s="4">
        <f>IF(ISNUMBER(SEARCH("营",'17.01'!P31)),(-$Y31+50*IF('17.01'!$AK31="是",'17.01'!$AY$4,'17.01'!$AY$3)),(VLOOKUP('17.01'!P31,'17.01'!$AM$4:$AO$55,2,FALSE))*IF('17.01'!$AK31="是",'17.01'!$AY$4,'17.01'!$AY$3))</f>
        <v>0</v>
      </c>
      <c r="I31" s="4">
        <f>IF(ISNUMBER(SEARCH("营",'17.01'!Q31)),(-$Y31+50*IF('17.01'!$AK31="是",'17.01'!$AY$4,'17.01'!$AY$3)),(VLOOKUP('17.01'!Q31,'17.01'!$AM$4:$AO$55,2,FALSE))*IF('17.01'!$AK31="是",'17.01'!$AY$4,'17.01'!$AY$3))</f>
        <v>152</v>
      </c>
      <c r="J31" s="4">
        <f>IF(ISNUMBER(SEARCH("营",'17.01'!R31)),(-$Y31+50*IF('17.01'!$AK31="是",'17.01'!$AY$4,'17.01'!$AY$3)),(VLOOKUP('17.01'!R31,'17.01'!$AM$4:$AO$55,2,FALSE))*IF('17.01'!$AK31="是",'17.01'!$AY$4,'17.01'!$AY$3))</f>
        <v>152</v>
      </c>
      <c r="K31" s="4">
        <f>IF(ISNUMBER(SEARCH("营",'17.01'!S31)),(-$Y31+50*IF('17.01'!$AK31="是",'17.01'!$AY$4,'17.01'!$AY$3)),(VLOOKUP('17.01'!S31,'17.01'!$AM$4:$AO$55,2,FALSE))*IF('17.01'!$AK31="是",'17.01'!$AY$4,'17.01'!$AY$3))</f>
        <v>152</v>
      </c>
      <c r="L31" s="4">
        <f>IF(ISNUMBER(SEARCH("营",'17.01'!T31)),(-$Y31+50*IF('17.01'!$AK31="是",'17.01'!$AY$4,'17.01'!$AY$3)),(VLOOKUP('17.01'!T31,'17.01'!$AM$4:$AO$55,2,FALSE))*IF('17.01'!$AK31="是",'17.01'!$AY$4,'17.01'!$AY$3))</f>
        <v>144</v>
      </c>
      <c r="M31" s="4">
        <f>IF(ISNUMBER(SEARCH("营",'17.01'!U31)),(-$Y31+50*IF('17.01'!$AK31="是",'17.01'!$AY$4,'17.01'!$AY$3)),(VLOOKUP('17.01'!U31,'17.01'!$AM$4:$AO$55,2,FALSE))*IF('17.01'!$AK31="是",'17.01'!$AY$4,'17.01'!$AY$3))</f>
        <v>144</v>
      </c>
      <c r="N31" s="4">
        <f>IF(ISNUMBER(SEARCH("营",'17.01'!V31)),(-$Y31+50*IF('17.01'!$AK31="是",'17.01'!$AY$4,'17.01'!$AY$3)),(VLOOKUP('17.01'!V31,'17.01'!$AM$4:$AO$55,2,FALSE))*IF('17.01'!$AK31="是",'17.01'!$AY$4,'17.01'!$AY$3))</f>
        <v>144</v>
      </c>
      <c r="O31" s="4">
        <f>IF(ISNUMBER(SEARCH("营",'17.01'!W31)),(-$Y31+50*IF('17.01'!$AK31="是",'17.01'!$AY$4,'17.01'!$AY$3)),(VLOOKUP('17.01'!W31,'17.01'!$AM$4:$AO$55,2,FALSE))*IF('17.01'!$AK31="是",'17.01'!$AY$4,'17.01'!$AY$3))</f>
        <v>0</v>
      </c>
      <c r="P31" s="4">
        <f>IF(ISNUMBER(SEARCH("营",'17.01'!X31)),(-$Y31+50*IF('17.01'!$AK31="是",'17.01'!$AY$4,'17.01'!$AY$3)),(VLOOKUP('17.01'!X31,'17.01'!$AM$4:$AO$55,2,FALSE))*IF('17.01'!$AK31="是",'17.01'!$AY$4,'17.01'!$AY$3))</f>
        <v>0</v>
      </c>
      <c r="Q31" s="4">
        <f>IF(ISNUMBER(SEARCH("营",'17.01'!Y31)),(-$Y31+50*IF('17.01'!$AK31="是",'17.01'!$AY$4,'17.01'!$AY$3)),(VLOOKUP('17.01'!Y31,'17.01'!$AM$4:$AO$55,2,FALSE))*IF('17.01'!$AK31="是",'17.01'!$AY$4,'17.01'!$AY$3))</f>
        <v>0</v>
      </c>
      <c r="R31" s="4">
        <f>IF(ISNUMBER(SEARCH("营",'17.01'!Z31)),(-$Y31+50*IF('17.01'!$AK31="是",'17.01'!$AY$4,'17.01'!$AY$3)),(VLOOKUP('17.01'!Z31,'17.01'!$AM$4:$AO$55,2,FALSE))*IF('17.01'!$AK31="是",'17.01'!$AY$4,'17.01'!$AY$3))</f>
        <v>0</v>
      </c>
      <c r="S31" s="4">
        <f>IF(ISNUMBER(SEARCH("营",'17.01'!AA31)),(-$Y31+50*IF('17.01'!$AK31="是",'17.01'!$AY$4,'17.01'!$AY$3)),(VLOOKUP('17.01'!AA31,'17.01'!$AM$4:$AO$55,2,FALSE))*IF('17.01'!$AK31="是",'17.01'!$AY$4,'17.01'!$AY$3))</f>
        <v>0</v>
      </c>
      <c r="T31" s="4">
        <f>IF(ISNUMBER(SEARCH("营",'17.01'!AB31)),(-$Y31+50*IF('17.01'!$AK31="是",'17.01'!$AY$4,'17.01'!$AY$3)),(VLOOKUP('17.01'!AB31,'17.01'!$AM$4:$AO$55,2,FALSE))*IF('17.01'!$AK31="是",'17.01'!$AY$4,'17.01'!$AY$3))</f>
        <v>0</v>
      </c>
      <c r="U31" s="4">
        <f>IF(ISNUMBER(SEARCH("营",'17.01'!AC31)),(-$Y31+50*IF('17.01'!$AK31="是",'17.01'!$AY$4,'17.01'!$AY$3)),(VLOOKUP('17.01'!AC31,'17.01'!$AM$4:$AO$55,2,FALSE))*IF('17.01'!$AK31="是",'17.01'!$AY$4,'17.01'!$AY$3))</f>
        <v>0</v>
      </c>
      <c r="V31" s="4">
        <f>IF(ISNUMBER(SEARCH("营",'17.01'!AD31)),(-$Y31+50*IF('17.01'!$AK31="是",'17.01'!$AY$4,'17.01'!$AY$3)),(VLOOKUP('17.01'!AD31,'17.01'!$AM$4:$AO$55,2,FALSE))*IF('17.01'!$AK31="是",'17.01'!$AY$4,'17.01'!$AY$3))</f>
        <v>0</v>
      </c>
      <c r="W31" s="4">
        <f>IF(ISNUMBER(SEARCH("营",'17.01'!AE31)),(-$Y31+50*IF('17.01'!$AK31="是",'17.01'!$AY$4,'17.01'!$AY$3)),(VLOOKUP('17.01'!AE31,'17.01'!$AM$4:$AO$55,2,FALSE))*IF('17.01'!$AK31="是",'17.01'!$AY$4,'17.01'!$AY$3))</f>
        <v>0</v>
      </c>
      <c r="X31" s="4">
        <f>IF(ISNUMBER(SEARCH("营",'17.01'!AF31)),(-$Y31+50*IF('17.01'!$AK31="是",'17.01'!$AY$4,'17.01'!$AY$3)),(VLOOKUP('17.01'!AF31,'17.01'!$AM$4:$AO$55,2,FALSE))*IF('17.01'!$AK31="是",'17.01'!$AY$4,'17.01'!$AY$3))</f>
        <v>0</v>
      </c>
      <c r="Y31" s="91">
        <v>250</v>
      </c>
    </row>
    <row r="32" spans="1:25">
      <c r="A32" s="4">
        <f>IF(ISNUMBER(SEARCH("营",'17.01'!I32)),(-$Y32+50*IF('17.01'!$AK32="是",'17.01'!$AY$4,'17.01'!$AY$3)),(VLOOKUP('17.01'!I32,'17.01'!$AM$4:$AO$55,2,FALSE))*IF('17.01'!$AK32="是",'17.01'!$AY$4,'17.01'!$AY$3))</f>
        <v>128</v>
      </c>
      <c r="B32" s="4">
        <f>IF(ISNUMBER(SEARCH("营",'17.01'!J32)),(-$Y32+50*IF('17.01'!$AK32="是",'17.01'!$AY$4,'17.01'!$AY$3)),(VLOOKUP('17.01'!J32,'17.01'!$AM$4:$AO$55,2,FALSE))*IF('17.01'!$AK32="是",'17.01'!$AY$4,'17.01'!$AY$3))</f>
        <v>128</v>
      </c>
      <c r="C32" s="4">
        <f>IF(ISNUMBER(SEARCH("营",'17.01'!K32)),(-$Y32+50*IF('17.01'!$AK32="是",'17.01'!$AY$4,'17.01'!$AY$3)),(VLOOKUP('17.01'!K32,'17.01'!$AM$4:$AO$55,2,FALSE))*IF('17.01'!$AK32="是",'17.01'!$AY$4,'17.01'!$AY$3))</f>
        <v>128</v>
      </c>
      <c r="D32" s="4">
        <f>IF(ISNUMBER(SEARCH("营",'17.01'!L32)),(-$Y32+50*IF('17.01'!$AK32="是",'17.01'!$AY$4,'17.01'!$AY$3)),(VLOOKUP('17.01'!L32,'17.01'!$AM$4:$AO$55,2,FALSE))*IF('17.01'!$AK32="是",'17.01'!$AY$4,'17.01'!$AY$3))</f>
        <v>40</v>
      </c>
      <c r="E32" s="4">
        <f>IF(ISNUMBER(SEARCH("营",'17.01'!M32)),(-$Y32+50*IF('17.01'!$AK32="是",'17.01'!$AY$4,'17.01'!$AY$3)),(VLOOKUP('17.01'!M32,'17.01'!$AM$4:$AO$55,2,FALSE))*IF('17.01'!$AK32="是",'17.01'!$AY$4,'17.01'!$AY$3))</f>
        <v>128</v>
      </c>
      <c r="F32" s="4">
        <f>IF(ISNUMBER(SEARCH("营",'17.01'!N32)),(-$Y32+50*IF('17.01'!$AK32="是",'17.01'!$AY$4,'17.01'!$AY$3)),(VLOOKUP('17.01'!N32,'17.01'!$AM$4:$AO$55,2,FALSE))*IF('17.01'!$AK32="是",'17.01'!$AY$4,'17.01'!$AY$3))</f>
        <v>128</v>
      </c>
      <c r="G32" s="4">
        <f>IF(ISNUMBER(SEARCH("营",'17.01'!O32)),(-$Y32+50*IF('17.01'!$AK32="是",'17.01'!$AY$4,'17.01'!$AY$3)),(VLOOKUP('17.01'!O32,'17.01'!$AM$4:$AO$55,2,FALSE))*IF('17.01'!$AK32="是",'17.01'!$AY$4,'17.01'!$AY$3))</f>
        <v>-210</v>
      </c>
      <c r="H32" s="4">
        <f>IF(ISNUMBER(SEARCH("营",'17.01'!P32)),(-$Y32+50*IF('17.01'!$AK32="是",'17.01'!$AY$4,'17.01'!$AY$3)),(VLOOKUP('17.01'!P32,'17.01'!$AM$4:$AO$55,2,FALSE))*IF('17.01'!$AK32="是",'17.01'!$AY$4,'17.01'!$AY$3))</f>
        <v>0</v>
      </c>
      <c r="I32" s="4">
        <f>IF(ISNUMBER(SEARCH("营",'17.01'!Q32)),(-$Y32+50*IF('17.01'!$AK32="是",'17.01'!$AY$4,'17.01'!$AY$3)),(VLOOKUP('17.01'!Q32,'17.01'!$AM$4:$AO$55,2,FALSE))*IF('17.01'!$AK32="是",'17.01'!$AY$4,'17.01'!$AY$3))</f>
        <v>144</v>
      </c>
      <c r="J32" s="4">
        <f>IF(ISNUMBER(SEARCH("营",'17.01'!R32)),(-$Y32+50*IF('17.01'!$AK32="是",'17.01'!$AY$4,'17.01'!$AY$3)),(VLOOKUP('17.01'!R32,'17.01'!$AM$4:$AO$55,2,FALSE))*IF('17.01'!$AK32="是",'17.01'!$AY$4,'17.01'!$AY$3))</f>
        <v>-210</v>
      </c>
      <c r="K32" s="4">
        <f>IF(ISNUMBER(SEARCH("营",'17.01'!S32)),(-$Y32+50*IF('17.01'!$AK32="是",'17.01'!$AY$4,'17.01'!$AY$3)),(VLOOKUP('17.01'!S32,'17.01'!$AM$4:$AO$55,2,FALSE))*IF('17.01'!$AK32="是",'17.01'!$AY$4,'17.01'!$AY$3))</f>
        <v>144</v>
      </c>
      <c r="L32" s="4">
        <f>IF(ISNUMBER(SEARCH("营",'17.01'!T32)),(-$Y32+50*IF('17.01'!$AK32="是",'17.01'!$AY$4,'17.01'!$AY$3)),(VLOOKUP('17.01'!T32,'17.01'!$AM$4:$AO$55,2,FALSE))*IF('17.01'!$AK32="是",'17.01'!$AY$4,'17.01'!$AY$3))</f>
        <v>144</v>
      </c>
      <c r="M32" s="4">
        <f>IF(ISNUMBER(SEARCH("营",'17.01'!U32)),(-$Y32+50*IF('17.01'!$AK32="是",'17.01'!$AY$4,'17.01'!$AY$3)),(VLOOKUP('17.01'!U32,'17.01'!$AM$4:$AO$55,2,FALSE))*IF('17.01'!$AK32="是",'17.01'!$AY$4,'17.01'!$AY$3))</f>
        <v>144</v>
      </c>
      <c r="N32" s="4">
        <f>IF(ISNUMBER(SEARCH("营",'17.01'!V32)),(-$Y32+50*IF('17.01'!$AK32="是",'17.01'!$AY$4,'17.01'!$AY$3)),(VLOOKUP('17.01'!V32,'17.01'!$AM$4:$AO$55,2,FALSE))*IF('17.01'!$AK32="是",'17.01'!$AY$4,'17.01'!$AY$3))</f>
        <v>144</v>
      </c>
      <c r="O32" s="4">
        <f>IF(ISNUMBER(SEARCH("营",'17.01'!W32)),(-$Y32+50*IF('17.01'!$AK32="是",'17.01'!$AY$4,'17.01'!$AY$3)),(VLOOKUP('17.01'!W32,'17.01'!$AM$4:$AO$55,2,FALSE))*IF('17.01'!$AK32="是",'17.01'!$AY$4,'17.01'!$AY$3))</f>
        <v>144</v>
      </c>
      <c r="P32" s="4">
        <f>IF(ISNUMBER(SEARCH("营",'17.01'!X32)),(-$Y32+50*IF('17.01'!$AK32="是",'17.01'!$AY$4,'17.01'!$AY$3)),(VLOOKUP('17.01'!X32,'17.01'!$AM$4:$AO$55,2,FALSE))*IF('17.01'!$AK32="是",'17.01'!$AY$4,'17.01'!$AY$3))</f>
        <v>152</v>
      </c>
      <c r="Q32" s="4">
        <f>IF(ISNUMBER(SEARCH("营",'17.01'!Y32)),(-$Y32+50*IF('17.01'!$AK32="是",'17.01'!$AY$4,'17.01'!$AY$3)),(VLOOKUP('17.01'!Y32,'17.01'!$AM$4:$AO$55,2,FALSE))*IF('17.01'!$AK32="是",'17.01'!$AY$4,'17.01'!$AY$3))</f>
        <v>0</v>
      </c>
      <c r="R32" s="4">
        <f>IF(ISNUMBER(SEARCH("营",'17.01'!Z32)),(-$Y32+50*IF('17.01'!$AK32="是",'17.01'!$AY$4,'17.01'!$AY$3)),(VLOOKUP('17.01'!Z32,'17.01'!$AM$4:$AO$55,2,FALSE))*IF('17.01'!$AK32="是",'17.01'!$AY$4,'17.01'!$AY$3))</f>
        <v>0</v>
      </c>
      <c r="S32" s="4">
        <f>IF(ISNUMBER(SEARCH("营",'17.01'!AA32)),(-$Y32+50*IF('17.01'!$AK32="是",'17.01'!$AY$4,'17.01'!$AY$3)),(VLOOKUP('17.01'!AA32,'17.01'!$AM$4:$AO$55,2,FALSE))*IF('17.01'!$AK32="是",'17.01'!$AY$4,'17.01'!$AY$3))</f>
        <v>0</v>
      </c>
      <c r="T32" s="4">
        <f>IF(ISNUMBER(SEARCH("营",'17.01'!AB32)),(-$Y32+50*IF('17.01'!$AK32="是",'17.01'!$AY$4,'17.01'!$AY$3)),(VLOOKUP('17.01'!AB32,'17.01'!$AM$4:$AO$55,2,FALSE))*IF('17.01'!$AK32="是",'17.01'!$AY$4,'17.01'!$AY$3))</f>
        <v>0</v>
      </c>
      <c r="U32" s="4">
        <f>IF(ISNUMBER(SEARCH("营",'17.01'!AC32)),(-$Y32+50*IF('17.01'!$AK32="是",'17.01'!$AY$4,'17.01'!$AY$3)),(VLOOKUP('17.01'!AC32,'17.01'!$AM$4:$AO$55,2,FALSE))*IF('17.01'!$AK32="是",'17.01'!$AY$4,'17.01'!$AY$3))</f>
        <v>0</v>
      </c>
      <c r="V32" s="4">
        <f>IF(ISNUMBER(SEARCH("营",'17.01'!AD32)),(-$Y32+50*IF('17.01'!$AK32="是",'17.01'!$AY$4,'17.01'!$AY$3)),(VLOOKUP('17.01'!AD32,'17.01'!$AM$4:$AO$55,2,FALSE))*IF('17.01'!$AK32="是",'17.01'!$AY$4,'17.01'!$AY$3))</f>
        <v>0</v>
      </c>
      <c r="W32" s="4">
        <f>IF(ISNUMBER(SEARCH("营",'17.01'!AE32)),(-$Y32+50*IF('17.01'!$AK32="是",'17.01'!$AY$4,'17.01'!$AY$3)),(VLOOKUP('17.01'!AE32,'17.01'!$AM$4:$AO$55,2,FALSE))*IF('17.01'!$AK32="是",'17.01'!$AY$4,'17.01'!$AY$3))</f>
        <v>0</v>
      </c>
      <c r="X32" s="4">
        <f>IF(ISNUMBER(SEARCH("营",'17.01'!AF32)),(-$Y32+50*IF('17.01'!$AK32="是",'17.01'!$AY$4,'17.01'!$AY$3)),(VLOOKUP('17.01'!AF32,'17.01'!$AM$4:$AO$55,2,FALSE))*IF('17.01'!$AK32="是",'17.01'!$AY$4,'17.01'!$AY$3))</f>
        <v>0</v>
      </c>
      <c r="Y32" s="91">
        <v>250</v>
      </c>
    </row>
    <row r="33" spans="1:25">
      <c r="A33" s="4">
        <f>IF(ISNUMBER(SEARCH("营",'17.01'!I33)),(-$Y33+50*IF('17.01'!$AK33="是",'17.01'!$AY$4,'17.01'!$AY$3)),(VLOOKUP('17.01'!I33,'17.01'!$AM$4:$AO$55,2,FALSE))*IF('17.01'!$AK33="是",'17.01'!$AY$4,'17.01'!$AY$3))</f>
        <v>0</v>
      </c>
      <c r="B33" s="4">
        <f>IF(ISNUMBER(SEARCH("营",'17.01'!J33)),(-$Y33+50*IF('17.01'!$AK33="是",'17.01'!$AY$4,'17.01'!$AY$3)),(VLOOKUP('17.01'!J33,'17.01'!$AM$4:$AO$55,2,FALSE))*IF('17.01'!$AK33="是",'17.01'!$AY$4,'17.01'!$AY$3))</f>
        <v>0</v>
      </c>
      <c r="C33" s="4">
        <f>IF(ISNUMBER(SEARCH("营",'17.01'!K33)),(-$Y33+50*IF('17.01'!$AK33="是",'17.01'!$AY$4,'17.01'!$AY$3)),(VLOOKUP('17.01'!K33,'17.01'!$AM$4:$AO$55,2,FALSE))*IF('17.01'!$AK33="是",'17.01'!$AY$4,'17.01'!$AY$3))</f>
        <v>0</v>
      </c>
      <c r="D33" s="4">
        <f>IF(ISNUMBER(SEARCH("营",'17.01'!L33)),(-$Y33+50*IF('17.01'!$AK33="是",'17.01'!$AY$4,'17.01'!$AY$3)),(VLOOKUP('17.01'!L33,'17.01'!$AM$4:$AO$55,2,FALSE))*IF('17.01'!$AK33="是",'17.01'!$AY$4,'17.01'!$AY$3))</f>
        <v>0</v>
      </c>
      <c r="E33" s="4">
        <f>IF(ISNUMBER(SEARCH("营",'17.01'!M33)),(-$Y33+50*IF('17.01'!$AK33="是",'17.01'!$AY$4,'17.01'!$AY$3)),(VLOOKUP('17.01'!M33,'17.01'!$AM$4:$AO$55,2,FALSE))*IF('17.01'!$AK33="是",'17.01'!$AY$4,'17.01'!$AY$3))</f>
        <v>0</v>
      </c>
      <c r="F33" s="4">
        <f>IF(ISNUMBER(SEARCH("营",'17.01'!N33)),(-$Y33+50*IF('17.01'!$AK33="是",'17.01'!$AY$4,'17.01'!$AY$3)),(VLOOKUP('17.01'!N33,'17.01'!$AM$4:$AO$55,2,FALSE))*IF('17.01'!$AK33="是",'17.01'!$AY$4,'17.01'!$AY$3))</f>
        <v>0</v>
      </c>
      <c r="G33" s="4">
        <f>IF(ISNUMBER(SEARCH("营",'17.01'!O33)),(-$Y33+50*IF('17.01'!$AK33="是",'17.01'!$AY$4,'17.01'!$AY$3)),(VLOOKUP('17.01'!O33,'17.01'!$AM$4:$AO$55,2,FALSE))*IF('17.01'!$AK33="是",'17.01'!$AY$4,'17.01'!$AY$3))</f>
        <v>0</v>
      </c>
      <c r="H33" s="4">
        <f>IF(ISNUMBER(SEARCH("营",'17.01'!P33)),(-$Y33+50*IF('17.01'!$AK33="是",'17.01'!$AY$4,'17.01'!$AY$3)),(VLOOKUP('17.01'!P33,'17.01'!$AM$4:$AO$55,2,FALSE))*IF('17.01'!$AK33="是",'17.01'!$AY$4,'17.01'!$AY$3))</f>
        <v>0</v>
      </c>
      <c r="I33" s="4">
        <f>IF(ISNUMBER(SEARCH("营",'17.01'!Q33)),(-$Y33+50*IF('17.01'!$AK33="是",'17.01'!$AY$4,'17.01'!$AY$3)),(VLOOKUP('17.01'!Q33,'17.01'!$AM$4:$AO$55,2,FALSE))*IF('17.01'!$AK33="是",'17.01'!$AY$4,'17.01'!$AY$3))</f>
        <v>152</v>
      </c>
      <c r="J33" s="4">
        <f>IF(ISNUMBER(SEARCH("营",'17.01'!R33)),(-$Y33+50*IF('17.01'!$AK33="是",'17.01'!$AY$4,'17.01'!$AY$3)),(VLOOKUP('17.01'!R33,'17.01'!$AM$4:$AO$55,2,FALSE))*IF('17.01'!$AK33="是",'17.01'!$AY$4,'17.01'!$AY$3))</f>
        <v>-210</v>
      </c>
      <c r="K33" s="4">
        <f>IF(ISNUMBER(SEARCH("营",'17.01'!S33)),(-$Y33+50*IF('17.01'!$AK33="是",'17.01'!$AY$4,'17.01'!$AY$3)),(VLOOKUP('17.01'!S33,'17.01'!$AM$4:$AO$55,2,FALSE))*IF('17.01'!$AK33="是",'17.01'!$AY$4,'17.01'!$AY$3))</f>
        <v>152</v>
      </c>
      <c r="L33" s="4">
        <f>IF(ISNUMBER(SEARCH("营",'17.01'!T33)),(-$Y33+50*IF('17.01'!$AK33="是",'17.01'!$AY$4,'17.01'!$AY$3)),(VLOOKUP('17.01'!T33,'17.01'!$AM$4:$AO$55,2,FALSE))*IF('17.01'!$AK33="是",'17.01'!$AY$4,'17.01'!$AY$3))</f>
        <v>152</v>
      </c>
      <c r="M33" s="4">
        <f>IF(ISNUMBER(SEARCH("营",'17.01'!U33)),(-$Y33+50*IF('17.01'!$AK33="是",'17.01'!$AY$4,'17.01'!$AY$3)),(VLOOKUP('17.01'!U33,'17.01'!$AM$4:$AO$55,2,FALSE))*IF('17.01'!$AK33="是",'17.01'!$AY$4,'17.01'!$AY$3))</f>
        <v>152</v>
      </c>
      <c r="N33" s="4">
        <f>IF(ISNUMBER(SEARCH("营",'17.01'!V33)),(-$Y33+50*IF('17.01'!$AK33="是",'17.01'!$AY$4,'17.01'!$AY$3)),(VLOOKUP('17.01'!V33,'17.01'!$AM$4:$AO$55,2,FALSE))*IF('17.01'!$AK33="是",'17.01'!$AY$4,'17.01'!$AY$3))</f>
        <v>152</v>
      </c>
      <c r="O33" s="4">
        <f>IF(ISNUMBER(SEARCH("营",'17.01'!W33)),(-$Y33+50*IF('17.01'!$AK33="是",'17.01'!$AY$4,'17.01'!$AY$3)),(VLOOKUP('17.01'!W33,'17.01'!$AM$4:$AO$55,2,FALSE))*IF('17.01'!$AK33="是",'17.01'!$AY$4,'17.01'!$AY$3))</f>
        <v>160</v>
      </c>
      <c r="P33" s="4">
        <f>IF(ISNUMBER(SEARCH("营",'17.01'!X33)),(-$Y33+50*IF('17.01'!$AK33="是",'17.01'!$AY$4,'17.01'!$AY$3)),(VLOOKUP('17.01'!X33,'17.01'!$AM$4:$AO$55,2,FALSE))*IF('17.01'!$AK33="是",'17.01'!$AY$4,'17.01'!$AY$3))</f>
        <v>-210</v>
      </c>
      <c r="Q33" s="4">
        <f>IF(ISNUMBER(SEARCH("营",'17.01'!Y33)),(-$Y33+50*IF('17.01'!$AK33="是",'17.01'!$AY$4,'17.01'!$AY$3)),(VLOOKUP('17.01'!Y33,'17.01'!$AM$4:$AO$55,2,FALSE))*IF('17.01'!$AK33="是",'17.01'!$AY$4,'17.01'!$AY$3))</f>
        <v>0</v>
      </c>
      <c r="R33" s="4">
        <f>IF(ISNUMBER(SEARCH("营",'17.01'!Z33)),(-$Y33+50*IF('17.01'!$AK33="是",'17.01'!$AY$4,'17.01'!$AY$3)),(VLOOKUP('17.01'!Z33,'17.01'!$AM$4:$AO$55,2,FALSE))*IF('17.01'!$AK33="是",'17.01'!$AY$4,'17.01'!$AY$3))</f>
        <v>0</v>
      </c>
      <c r="S33" s="4">
        <f>IF(ISNUMBER(SEARCH("营",'17.01'!AA33)),(-$Y33+50*IF('17.01'!$AK33="是",'17.01'!$AY$4,'17.01'!$AY$3)),(VLOOKUP('17.01'!AA33,'17.01'!$AM$4:$AO$55,2,FALSE))*IF('17.01'!$AK33="是",'17.01'!$AY$4,'17.01'!$AY$3))</f>
        <v>0</v>
      </c>
      <c r="T33" s="4">
        <f>IF(ISNUMBER(SEARCH("营",'17.01'!AB33)),(-$Y33+50*IF('17.01'!$AK33="是",'17.01'!$AY$4,'17.01'!$AY$3)),(VLOOKUP('17.01'!AB33,'17.01'!$AM$4:$AO$55,2,FALSE))*IF('17.01'!$AK33="是",'17.01'!$AY$4,'17.01'!$AY$3))</f>
        <v>0</v>
      </c>
      <c r="U33" s="4">
        <f>IF(ISNUMBER(SEARCH("营",'17.01'!AC33)),(-$Y33+50*IF('17.01'!$AK33="是",'17.01'!$AY$4,'17.01'!$AY$3)),(VLOOKUP('17.01'!AC33,'17.01'!$AM$4:$AO$55,2,FALSE))*IF('17.01'!$AK33="是",'17.01'!$AY$4,'17.01'!$AY$3))</f>
        <v>0</v>
      </c>
      <c r="V33" s="4">
        <f>IF(ISNUMBER(SEARCH("营",'17.01'!AD33)),(-$Y33+50*IF('17.01'!$AK33="是",'17.01'!$AY$4,'17.01'!$AY$3)),(VLOOKUP('17.01'!AD33,'17.01'!$AM$4:$AO$55,2,FALSE))*IF('17.01'!$AK33="是",'17.01'!$AY$4,'17.01'!$AY$3))</f>
        <v>0</v>
      </c>
      <c r="W33" s="4">
        <f>IF(ISNUMBER(SEARCH("营",'17.01'!AE33)),(-$Y33+50*IF('17.01'!$AK33="是",'17.01'!$AY$4,'17.01'!$AY$3)),(VLOOKUP('17.01'!AE33,'17.01'!$AM$4:$AO$55,2,FALSE))*IF('17.01'!$AK33="是",'17.01'!$AY$4,'17.01'!$AY$3))</f>
        <v>0</v>
      </c>
      <c r="X33" s="4">
        <f>IF(ISNUMBER(SEARCH("营",'17.01'!AF33)),(-$Y33+50*IF('17.01'!$AK33="是",'17.01'!$AY$4,'17.01'!$AY$3)),(VLOOKUP('17.01'!AF33,'17.01'!$AM$4:$AO$55,2,FALSE))*IF('17.01'!$AK33="是",'17.01'!$AY$4,'17.01'!$AY$3))</f>
        <v>0</v>
      </c>
      <c r="Y33" s="91">
        <v>250</v>
      </c>
    </row>
    <row r="34" spans="1:25">
      <c r="A34" s="4">
        <f>IF(ISNUMBER(SEARCH("营",'17.01'!I34)),(-$Y34+50*IF('17.01'!$AK34="是",'17.01'!$AY$4,'17.01'!$AY$3)),(VLOOKUP('17.01'!I34,'17.01'!$AM$4:$AO$55,2,FALSE))*IF('17.01'!$AK34="是",'17.01'!$AY$4,'17.01'!$AY$3))</f>
        <v>0</v>
      </c>
      <c r="B34" s="4">
        <f>IF(ISNUMBER(SEARCH("营",'17.01'!J34)),(-$Y34+50*IF('17.01'!$AK34="是",'17.01'!$AY$4,'17.01'!$AY$3)),(VLOOKUP('17.01'!J34,'17.01'!$AM$4:$AO$55,2,FALSE))*IF('17.01'!$AK34="是",'17.01'!$AY$4,'17.01'!$AY$3))</f>
        <v>0</v>
      </c>
      <c r="C34" s="4">
        <f>IF(ISNUMBER(SEARCH("营",'17.01'!K34)),(-$Y34+50*IF('17.01'!$AK34="是",'17.01'!$AY$4,'17.01'!$AY$3)),(VLOOKUP('17.01'!K34,'17.01'!$AM$4:$AO$55,2,FALSE))*IF('17.01'!$AK34="是",'17.01'!$AY$4,'17.01'!$AY$3))</f>
        <v>0</v>
      </c>
      <c r="D34" s="4">
        <f>IF(ISNUMBER(SEARCH("营",'17.01'!L34)),(-$Y34+50*IF('17.01'!$AK34="是",'17.01'!$AY$4,'17.01'!$AY$3)),(VLOOKUP('17.01'!L34,'17.01'!$AM$4:$AO$55,2,FALSE))*IF('17.01'!$AK34="是",'17.01'!$AY$4,'17.01'!$AY$3))</f>
        <v>0</v>
      </c>
      <c r="E34" s="4">
        <f>IF(ISNUMBER(SEARCH("营",'17.01'!M34)),(-$Y34+50*IF('17.01'!$AK34="是",'17.01'!$AY$4,'17.01'!$AY$3)),(VLOOKUP('17.01'!M34,'17.01'!$AM$4:$AO$55,2,FALSE))*IF('17.01'!$AK34="是",'17.01'!$AY$4,'17.01'!$AY$3))</f>
        <v>0</v>
      </c>
      <c r="F34" s="4">
        <f>IF(ISNUMBER(SEARCH("营",'17.01'!N34)),(-$Y34+50*IF('17.01'!$AK34="是",'17.01'!$AY$4,'17.01'!$AY$3)),(VLOOKUP('17.01'!N34,'17.01'!$AM$4:$AO$55,2,FALSE))*IF('17.01'!$AK34="是",'17.01'!$AY$4,'17.01'!$AY$3))</f>
        <v>0</v>
      </c>
      <c r="G34" s="4">
        <f>IF(ISNUMBER(SEARCH("营",'17.01'!O34)),(-$Y34+50*IF('17.01'!$AK34="是",'17.01'!$AY$4,'17.01'!$AY$3)),(VLOOKUP('17.01'!O34,'17.01'!$AM$4:$AO$55,2,FALSE))*IF('17.01'!$AK34="是",'17.01'!$AY$4,'17.01'!$AY$3))</f>
        <v>0</v>
      </c>
      <c r="H34" s="4">
        <f>IF(ISNUMBER(SEARCH("营",'17.01'!P34)),(-$Y34+50*IF('17.01'!$AK34="是",'17.01'!$AY$4,'17.01'!$AY$3)),(VLOOKUP('17.01'!P34,'17.01'!$AM$4:$AO$55,2,FALSE))*IF('17.01'!$AK34="是",'17.01'!$AY$4,'17.01'!$AY$3))</f>
        <v>0</v>
      </c>
      <c r="I34" s="4">
        <f>IF(ISNUMBER(SEARCH("营",'17.01'!Q34)),(-$Y34+50*IF('17.01'!$AK34="是",'17.01'!$AY$4,'17.01'!$AY$3)),(VLOOKUP('17.01'!Q34,'17.01'!$AM$4:$AO$55,2,FALSE))*IF('17.01'!$AK34="是",'17.01'!$AY$4,'17.01'!$AY$3))</f>
        <v>0</v>
      </c>
      <c r="J34" s="4">
        <f>IF(ISNUMBER(SEARCH("营",'17.01'!R34)),(-$Y34+50*IF('17.01'!$AK34="是",'17.01'!$AY$4,'17.01'!$AY$3)),(VLOOKUP('17.01'!R34,'17.01'!$AM$4:$AO$55,2,FALSE))*IF('17.01'!$AK34="是",'17.01'!$AY$4,'17.01'!$AY$3))</f>
        <v>0</v>
      </c>
      <c r="K34" s="4">
        <f>IF(ISNUMBER(SEARCH("营",'17.01'!S34)),(-$Y34+50*IF('17.01'!$AK34="是",'17.01'!$AY$4,'17.01'!$AY$3)),(VLOOKUP('17.01'!S34,'17.01'!$AM$4:$AO$55,2,FALSE))*IF('17.01'!$AK34="是",'17.01'!$AY$4,'17.01'!$AY$3))</f>
        <v>0</v>
      </c>
      <c r="L34" s="4">
        <f>IF(ISNUMBER(SEARCH("营",'17.01'!T34)),(-$Y34+50*IF('17.01'!$AK34="是",'17.01'!$AY$4,'17.01'!$AY$3)),(VLOOKUP('17.01'!T34,'17.01'!$AM$4:$AO$55,2,FALSE))*IF('17.01'!$AK34="是",'17.01'!$AY$4,'17.01'!$AY$3))</f>
        <v>0</v>
      </c>
      <c r="M34" s="4">
        <f>IF(ISNUMBER(SEARCH("营",'17.01'!U34)),(-$Y34+50*IF('17.01'!$AK34="是",'17.01'!$AY$4,'17.01'!$AY$3)),(VLOOKUP('17.01'!U34,'17.01'!$AM$4:$AO$55,2,FALSE))*IF('17.01'!$AK34="是",'17.01'!$AY$4,'17.01'!$AY$3))</f>
        <v>0</v>
      </c>
      <c r="N34" s="4">
        <f>IF(ISNUMBER(SEARCH("营",'17.01'!V34)),(-$Y34+50*IF('17.01'!$AK34="是",'17.01'!$AY$4,'17.01'!$AY$3)),(VLOOKUP('17.01'!V34,'17.01'!$AM$4:$AO$55,2,FALSE))*IF('17.01'!$AK34="是",'17.01'!$AY$4,'17.01'!$AY$3))</f>
        <v>0</v>
      </c>
      <c r="O34" s="4">
        <f>IF(ISNUMBER(SEARCH("营",'17.01'!W34)),(-$Y34+50*IF('17.01'!$AK34="是",'17.01'!$AY$4,'17.01'!$AY$3)),(VLOOKUP('17.01'!W34,'17.01'!$AM$4:$AO$55,2,FALSE))*IF('17.01'!$AK34="是",'17.01'!$AY$4,'17.01'!$AY$3))</f>
        <v>0</v>
      </c>
      <c r="P34" s="4">
        <f>IF(ISNUMBER(SEARCH("营",'17.01'!X34)),(-$Y34+50*IF('17.01'!$AK34="是",'17.01'!$AY$4,'17.01'!$AY$3)),(VLOOKUP('17.01'!X34,'17.01'!$AM$4:$AO$55,2,FALSE))*IF('17.01'!$AK34="是",'17.01'!$AY$4,'17.01'!$AY$3))</f>
        <v>0</v>
      </c>
      <c r="Q34" s="4">
        <f>IF(ISNUMBER(SEARCH("营",'17.01'!Y34)),(-$Y34+50*IF('17.01'!$AK34="是",'17.01'!$AY$4,'17.01'!$AY$3)),(VLOOKUP('17.01'!Y34,'17.01'!$AM$4:$AO$55,2,FALSE))*IF('17.01'!$AK34="是",'17.01'!$AY$4,'17.01'!$AY$3))</f>
        <v>0</v>
      </c>
      <c r="R34" s="4">
        <f>IF(ISNUMBER(SEARCH("营",'17.01'!Z34)),(-$Y34+50*IF('17.01'!$AK34="是",'17.01'!$AY$4,'17.01'!$AY$3)),(VLOOKUP('17.01'!Z34,'17.01'!$AM$4:$AO$55,2,FALSE))*IF('17.01'!$AK34="是",'17.01'!$AY$4,'17.01'!$AY$3))</f>
        <v>0</v>
      </c>
      <c r="S34" s="4">
        <f>IF(ISNUMBER(SEARCH("营",'17.01'!AA34)),(-$Y34+50*IF('17.01'!$AK34="是",'17.01'!$AY$4,'17.01'!$AY$3)),(VLOOKUP('17.01'!AA34,'17.01'!$AM$4:$AO$55,2,FALSE))*IF('17.01'!$AK34="是",'17.01'!$AY$4,'17.01'!$AY$3))</f>
        <v>0</v>
      </c>
      <c r="T34" s="4">
        <f>IF(ISNUMBER(SEARCH("营",'17.01'!AB34)),(-$Y34+50*IF('17.01'!$AK34="是",'17.01'!$AY$4,'17.01'!$AY$3)),(VLOOKUP('17.01'!AB34,'17.01'!$AM$4:$AO$55,2,FALSE))*IF('17.01'!$AK34="是",'17.01'!$AY$4,'17.01'!$AY$3))</f>
        <v>0</v>
      </c>
      <c r="U34" s="4">
        <f>IF(ISNUMBER(SEARCH("营",'17.01'!AC34)),(-$Y34+50*IF('17.01'!$AK34="是",'17.01'!$AY$4,'17.01'!$AY$3)),(VLOOKUP('17.01'!AC34,'17.01'!$AM$4:$AO$55,2,FALSE))*IF('17.01'!$AK34="是",'17.01'!$AY$4,'17.01'!$AY$3))</f>
        <v>0</v>
      </c>
      <c r="V34" s="4">
        <f>IF(ISNUMBER(SEARCH("营",'17.01'!AD34)),(-$Y34+50*IF('17.01'!$AK34="是",'17.01'!$AY$4,'17.01'!$AY$3)),(VLOOKUP('17.01'!AD34,'17.01'!$AM$4:$AO$55,2,FALSE))*IF('17.01'!$AK34="是",'17.01'!$AY$4,'17.01'!$AY$3))</f>
        <v>0</v>
      </c>
      <c r="W34" s="4">
        <f>IF(ISNUMBER(SEARCH("营",'17.01'!AE34)),(-$Y34+50*IF('17.01'!$AK34="是",'17.01'!$AY$4,'17.01'!$AY$3)),(VLOOKUP('17.01'!AE34,'17.01'!$AM$4:$AO$55,2,FALSE))*IF('17.01'!$AK34="是",'17.01'!$AY$4,'17.01'!$AY$3))</f>
        <v>0</v>
      </c>
      <c r="X34" s="4">
        <f>IF(ISNUMBER(SEARCH("营",'17.01'!AF34)),(-$Y34+50*IF('17.01'!$AK34="是",'17.01'!$AY$4,'17.01'!$AY$3)),(VLOOKUP('17.01'!AF34,'17.01'!$AM$4:$AO$55,2,FALSE))*IF('17.01'!$AK34="是",'17.01'!$AY$4,'17.01'!$AY$3))</f>
        <v>0</v>
      </c>
      <c r="Y34" s="90">
        <v>200</v>
      </c>
    </row>
    <row r="35" spans="1:25">
      <c r="A35" s="4">
        <f>IF(ISNUMBER(SEARCH("营",'17.01'!I35)),(-$Y35+50*IF('17.01'!$AK35="是",'17.01'!$AY$4,'17.01'!$AY$3)),(VLOOKUP('17.01'!I35,'17.01'!$AM$4:$AO$55,2,FALSE))*IF('17.01'!$AK35="是",'17.01'!$AY$4,'17.01'!$AY$3))</f>
        <v>0</v>
      </c>
      <c r="B35" s="4">
        <f>IF(ISNUMBER(SEARCH("营",'17.01'!J35)),(-$Y35+50*IF('17.01'!$AK35="是",'17.01'!$AY$4,'17.01'!$AY$3)),(VLOOKUP('17.01'!J35,'17.01'!$AM$4:$AO$55,2,FALSE))*IF('17.01'!$AK35="是",'17.01'!$AY$4,'17.01'!$AY$3))</f>
        <v>0</v>
      </c>
      <c r="C35" s="4">
        <f>IF(ISNUMBER(SEARCH("营",'17.01'!K35)),(-$Y35+50*IF('17.01'!$AK35="是",'17.01'!$AY$4,'17.01'!$AY$3)),(VLOOKUP('17.01'!K35,'17.01'!$AM$4:$AO$55,2,FALSE))*IF('17.01'!$AK35="是",'17.01'!$AY$4,'17.01'!$AY$3))</f>
        <v>0</v>
      </c>
      <c r="D35" s="4">
        <f>IF(ISNUMBER(SEARCH("营",'17.01'!L35)),(-$Y35+50*IF('17.01'!$AK35="是",'17.01'!$AY$4,'17.01'!$AY$3)),(VLOOKUP('17.01'!L35,'17.01'!$AM$4:$AO$55,2,FALSE))*IF('17.01'!$AK35="是",'17.01'!$AY$4,'17.01'!$AY$3))</f>
        <v>0</v>
      </c>
      <c r="E35" s="4">
        <f>IF(ISNUMBER(SEARCH("营",'17.01'!M35)),(-$Y35+50*IF('17.01'!$AK35="是",'17.01'!$AY$4,'17.01'!$AY$3)),(VLOOKUP('17.01'!M35,'17.01'!$AM$4:$AO$55,2,FALSE))*IF('17.01'!$AK35="是",'17.01'!$AY$4,'17.01'!$AY$3))</f>
        <v>0</v>
      </c>
      <c r="F35" s="4">
        <f>IF(ISNUMBER(SEARCH("营",'17.01'!N35)),(-$Y35+50*IF('17.01'!$AK35="是",'17.01'!$AY$4,'17.01'!$AY$3)),(VLOOKUP('17.01'!N35,'17.01'!$AM$4:$AO$55,2,FALSE))*IF('17.01'!$AK35="是",'17.01'!$AY$4,'17.01'!$AY$3))</f>
        <v>0</v>
      </c>
      <c r="G35" s="4">
        <f>IF(ISNUMBER(SEARCH("营",'17.01'!O35)),(-$Y35+50*IF('17.01'!$AK35="是",'17.01'!$AY$4,'17.01'!$AY$3)),(VLOOKUP('17.01'!O35,'17.01'!$AM$4:$AO$55,2,FALSE))*IF('17.01'!$AK35="是",'17.01'!$AY$4,'17.01'!$AY$3))</f>
        <v>0</v>
      </c>
      <c r="H35" s="4">
        <f>IF(ISNUMBER(SEARCH("营",'17.01'!P35)),(-$Y35+50*IF('17.01'!$AK35="是",'17.01'!$AY$4,'17.01'!$AY$3)),(VLOOKUP('17.01'!P35,'17.01'!$AM$4:$AO$55,2,FALSE))*IF('17.01'!$AK35="是",'17.01'!$AY$4,'17.01'!$AY$3))</f>
        <v>0</v>
      </c>
      <c r="I35" s="4">
        <f>IF(ISNUMBER(SEARCH("营",'17.01'!Q35)),(-$Y35+50*IF('17.01'!$AK35="是",'17.01'!$AY$4,'17.01'!$AY$3)),(VLOOKUP('17.01'!Q35,'17.01'!$AM$4:$AO$55,2,FALSE))*IF('17.01'!$AK35="是",'17.01'!$AY$4,'17.01'!$AY$3))</f>
        <v>0</v>
      </c>
      <c r="J35" s="4">
        <f>IF(ISNUMBER(SEARCH("营",'17.01'!R35)),(-$Y35+50*IF('17.01'!$AK35="是",'17.01'!$AY$4,'17.01'!$AY$3)),(VLOOKUP('17.01'!R35,'17.01'!$AM$4:$AO$55,2,FALSE))*IF('17.01'!$AK35="是",'17.01'!$AY$4,'17.01'!$AY$3))</f>
        <v>0</v>
      </c>
      <c r="K35" s="4">
        <f>IF(ISNUMBER(SEARCH("营",'17.01'!S35)),(-$Y35+50*IF('17.01'!$AK35="是",'17.01'!$AY$4,'17.01'!$AY$3)),(VLOOKUP('17.01'!S35,'17.01'!$AM$4:$AO$55,2,FALSE))*IF('17.01'!$AK35="是",'17.01'!$AY$4,'17.01'!$AY$3))</f>
        <v>0</v>
      </c>
      <c r="L35" s="4">
        <f>IF(ISNUMBER(SEARCH("营",'17.01'!T35)),(-$Y35+50*IF('17.01'!$AK35="是",'17.01'!$AY$4,'17.01'!$AY$3)),(VLOOKUP('17.01'!T35,'17.01'!$AM$4:$AO$55,2,FALSE))*IF('17.01'!$AK35="是",'17.01'!$AY$4,'17.01'!$AY$3))</f>
        <v>0</v>
      </c>
      <c r="M35" s="4">
        <f>IF(ISNUMBER(SEARCH("营",'17.01'!U35)),(-$Y35+50*IF('17.01'!$AK35="是",'17.01'!$AY$4,'17.01'!$AY$3)),(VLOOKUP('17.01'!U35,'17.01'!$AM$4:$AO$55,2,FALSE))*IF('17.01'!$AK35="是",'17.01'!$AY$4,'17.01'!$AY$3))</f>
        <v>0</v>
      </c>
      <c r="N35" s="4">
        <f>IF(ISNUMBER(SEARCH("营",'17.01'!V35)),(-$Y35+50*IF('17.01'!$AK35="是",'17.01'!$AY$4,'17.01'!$AY$3)),(VLOOKUP('17.01'!V35,'17.01'!$AM$4:$AO$55,2,FALSE))*IF('17.01'!$AK35="是",'17.01'!$AY$4,'17.01'!$AY$3))</f>
        <v>0</v>
      </c>
      <c r="O35" s="4">
        <f>IF(ISNUMBER(SEARCH("营",'17.01'!W35)),(-$Y35+50*IF('17.01'!$AK35="是",'17.01'!$AY$4,'17.01'!$AY$3)),(VLOOKUP('17.01'!W35,'17.01'!$AM$4:$AO$55,2,FALSE))*IF('17.01'!$AK35="是",'17.01'!$AY$4,'17.01'!$AY$3))</f>
        <v>0</v>
      </c>
      <c r="P35" s="4">
        <f>IF(ISNUMBER(SEARCH("营",'17.01'!X35)),(-$Y35+50*IF('17.01'!$AK35="是",'17.01'!$AY$4,'17.01'!$AY$3)),(VLOOKUP('17.01'!X35,'17.01'!$AM$4:$AO$55,2,FALSE))*IF('17.01'!$AK35="是",'17.01'!$AY$4,'17.01'!$AY$3))</f>
        <v>0</v>
      </c>
      <c r="Q35" s="4">
        <f>IF(ISNUMBER(SEARCH("营",'17.01'!Y35)),(-$Y35+50*IF('17.01'!$AK35="是",'17.01'!$AY$4,'17.01'!$AY$3)),(VLOOKUP('17.01'!Y35,'17.01'!$AM$4:$AO$55,2,FALSE))*IF('17.01'!$AK35="是",'17.01'!$AY$4,'17.01'!$AY$3))</f>
        <v>0</v>
      </c>
      <c r="R35" s="4">
        <f>IF(ISNUMBER(SEARCH("营",'17.01'!Z35)),(-$Y35+50*IF('17.01'!$AK35="是",'17.01'!$AY$4,'17.01'!$AY$3)),(VLOOKUP('17.01'!Z35,'17.01'!$AM$4:$AO$55,2,FALSE))*IF('17.01'!$AK35="是",'17.01'!$AY$4,'17.01'!$AY$3))</f>
        <v>0</v>
      </c>
      <c r="S35" s="4">
        <f>IF(ISNUMBER(SEARCH("营",'17.01'!AA35)),(-$Y35+50*IF('17.01'!$AK35="是",'17.01'!$AY$4,'17.01'!$AY$3)),(VLOOKUP('17.01'!AA35,'17.01'!$AM$4:$AO$55,2,FALSE))*IF('17.01'!$AK35="是",'17.01'!$AY$4,'17.01'!$AY$3))</f>
        <v>0</v>
      </c>
      <c r="T35" s="4">
        <f>IF(ISNUMBER(SEARCH("营",'17.01'!AB35)),(-$Y35+50*IF('17.01'!$AK35="是",'17.01'!$AY$4,'17.01'!$AY$3)),(VLOOKUP('17.01'!AB35,'17.01'!$AM$4:$AO$55,2,FALSE))*IF('17.01'!$AK35="是",'17.01'!$AY$4,'17.01'!$AY$3))</f>
        <v>0</v>
      </c>
      <c r="U35" s="4">
        <f>IF(ISNUMBER(SEARCH("营",'17.01'!AC35)),(-$Y35+50*IF('17.01'!$AK35="是",'17.01'!$AY$4,'17.01'!$AY$3)),(VLOOKUP('17.01'!AC35,'17.01'!$AM$4:$AO$55,2,FALSE))*IF('17.01'!$AK35="是",'17.01'!$AY$4,'17.01'!$AY$3))</f>
        <v>0</v>
      </c>
      <c r="V35" s="4">
        <f>IF(ISNUMBER(SEARCH("营",'17.01'!AD35)),(-$Y35+50*IF('17.01'!$AK35="是",'17.01'!$AY$4,'17.01'!$AY$3)),(VLOOKUP('17.01'!AD35,'17.01'!$AM$4:$AO$55,2,FALSE))*IF('17.01'!$AK35="是",'17.01'!$AY$4,'17.01'!$AY$3))</f>
        <v>0</v>
      </c>
      <c r="W35" s="4">
        <f>IF(ISNUMBER(SEARCH("营",'17.01'!AE35)),(-$Y35+50*IF('17.01'!$AK35="是",'17.01'!$AY$4,'17.01'!$AY$3)),(VLOOKUP('17.01'!AE35,'17.01'!$AM$4:$AO$55,2,FALSE))*IF('17.01'!$AK35="是",'17.01'!$AY$4,'17.01'!$AY$3))</f>
        <v>0</v>
      </c>
      <c r="X35" s="4">
        <f>IF(ISNUMBER(SEARCH("营",'17.01'!AF35)),(-$Y35+50*IF('17.01'!$AK35="是",'17.01'!$AY$4,'17.01'!$AY$3)),(VLOOKUP('17.01'!AF35,'17.01'!$AM$4:$AO$55,2,FALSE))*IF('17.01'!$AK35="是",'17.01'!$AY$4,'17.01'!$AY$3))</f>
        <v>0</v>
      </c>
      <c r="Y35" s="90">
        <v>200</v>
      </c>
    </row>
    <row r="36" spans="1:25">
      <c r="A36" s="4">
        <f>IF(ISNUMBER(SEARCH("营",'17.01'!I36)),(-$Y36+50*IF('17.01'!$AK36="是",'17.01'!$AY$4,'17.01'!$AY$3)),(VLOOKUP('17.01'!I36,'17.01'!$AM$4:$AO$55,2,FALSE))*IF('17.01'!$AK36="是",'17.01'!$AY$4,'17.01'!$AY$3))</f>
        <v>0</v>
      </c>
      <c r="B36" s="4">
        <f>IF(ISNUMBER(SEARCH("营",'17.01'!J36)),(-$Y36+50*IF('17.01'!$AK36="是",'17.01'!$AY$4,'17.01'!$AY$3)),(VLOOKUP('17.01'!J36,'17.01'!$AM$4:$AO$55,2,FALSE))*IF('17.01'!$AK36="是",'17.01'!$AY$4,'17.01'!$AY$3))</f>
        <v>0</v>
      </c>
      <c r="C36" s="4">
        <f>IF(ISNUMBER(SEARCH("营",'17.01'!K36)),(-$Y36+50*IF('17.01'!$AK36="是",'17.01'!$AY$4,'17.01'!$AY$3)),(VLOOKUP('17.01'!K36,'17.01'!$AM$4:$AO$55,2,FALSE))*IF('17.01'!$AK36="是",'17.01'!$AY$4,'17.01'!$AY$3))</f>
        <v>0</v>
      </c>
      <c r="D36" s="4">
        <f>IF(ISNUMBER(SEARCH("营",'17.01'!L36)),(-$Y36+50*IF('17.01'!$AK36="是",'17.01'!$AY$4,'17.01'!$AY$3)),(VLOOKUP('17.01'!L36,'17.01'!$AM$4:$AO$55,2,FALSE))*IF('17.01'!$AK36="是",'17.01'!$AY$4,'17.01'!$AY$3))</f>
        <v>0</v>
      </c>
      <c r="E36" s="4">
        <f>IF(ISNUMBER(SEARCH("营",'17.01'!M36)),(-$Y36+50*IF('17.01'!$AK36="是",'17.01'!$AY$4,'17.01'!$AY$3)),(VLOOKUP('17.01'!M36,'17.01'!$AM$4:$AO$55,2,FALSE))*IF('17.01'!$AK36="是",'17.01'!$AY$4,'17.01'!$AY$3))</f>
        <v>0</v>
      </c>
      <c r="F36" s="4">
        <f>IF(ISNUMBER(SEARCH("营",'17.01'!N36)),(-$Y36+50*IF('17.01'!$AK36="是",'17.01'!$AY$4,'17.01'!$AY$3)),(VLOOKUP('17.01'!N36,'17.01'!$AM$4:$AO$55,2,FALSE))*IF('17.01'!$AK36="是",'17.01'!$AY$4,'17.01'!$AY$3))</f>
        <v>0</v>
      </c>
      <c r="G36" s="4">
        <f>IF(ISNUMBER(SEARCH("营",'17.01'!O36)),(-$Y36+50*IF('17.01'!$AK36="是",'17.01'!$AY$4,'17.01'!$AY$3)),(VLOOKUP('17.01'!O36,'17.01'!$AM$4:$AO$55,2,FALSE))*IF('17.01'!$AK36="是",'17.01'!$AY$4,'17.01'!$AY$3))</f>
        <v>0</v>
      </c>
      <c r="H36" s="4">
        <f>IF(ISNUMBER(SEARCH("营",'17.01'!P36)),(-$Y36+50*IF('17.01'!$AK36="是",'17.01'!$AY$4,'17.01'!$AY$3)),(VLOOKUP('17.01'!P36,'17.01'!$AM$4:$AO$55,2,FALSE))*IF('17.01'!$AK36="是",'17.01'!$AY$4,'17.01'!$AY$3))</f>
        <v>0</v>
      </c>
      <c r="I36" s="4">
        <f>IF(ISNUMBER(SEARCH("营",'17.01'!Q36)),(-$Y36+50*IF('17.01'!$AK36="是",'17.01'!$AY$4,'17.01'!$AY$3)),(VLOOKUP('17.01'!Q36,'17.01'!$AM$4:$AO$55,2,FALSE))*IF('17.01'!$AK36="是",'17.01'!$AY$4,'17.01'!$AY$3))</f>
        <v>0</v>
      </c>
      <c r="J36" s="4">
        <f>IF(ISNUMBER(SEARCH("营",'17.01'!R36)),(-$Y36+50*IF('17.01'!$AK36="是",'17.01'!$AY$4,'17.01'!$AY$3)),(VLOOKUP('17.01'!R36,'17.01'!$AM$4:$AO$55,2,FALSE))*IF('17.01'!$AK36="是",'17.01'!$AY$4,'17.01'!$AY$3))</f>
        <v>0</v>
      </c>
      <c r="K36" s="4">
        <f>IF(ISNUMBER(SEARCH("营",'17.01'!S36)),(-$Y36+50*IF('17.01'!$AK36="是",'17.01'!$AY$4,'17.01'!$AY$3)),(VLOOKUP('17.01'!S36,'17.01'!$AM$4:$AO$55,2,FALSE))*IF('17.01'!$AK36="是",'17.01'!$AY$4,'17.01'!$AY$3))</f>
        <v>0</v>
      </c>
      <c r="L36" s="4">
        <f>IF(ISNUMBER(SEARCH("营",'17.01'!T36)),(-$Y36+50*IF('17.01'!$AK36="是",'17.01'!$AY$4,'17.01'!$AY$3)),(VLOOKUP('17.01'!T36,'17.01'!$AM$4:$AO$55,2,FALSE))*IF('17.01'!$AK36="是",'17.01'!$AY$4,'17.01'!$AY$3))</f>
        <v>0</v>
      </c>
      <c r="M36" s="4">
        <f>IF(ISNUMBER(SEARCH("营",'17.01'!U36)),(-$Y36+50*IF('17.01'!$AK36="是",'17.01'!$AY$4,'17.01'!$AY$3)),(VLOOKUP('17.01'!U36,'17.01'!$AM$4:$AO$55,2,FALSE))*IF('17.01'!$AK36="是",'17.01'!$AY$4,'17.01'!$AY$3))</f>
        <v>0</v>
      </c>
      <c r="N36" s="4">
        <f>IF(ISNUMBER(SEARCH("营",'17.01'!V36)),(-$Y36+50*IF('17.01'!$AK36="是",'17.01'!$AY$4,'17.01'!$AY$3)),(VLOOKUP('17.01'!V36,'17.01'!$AM$4:$AO$55,2,FALSE))*IF('17.01'!$AK36="是",'17.01'!$AY$4,'17.01'!$AY$3))</f>
        <v>0</v>
      </c>
      <c r="O36" s="4">
        <f>IF(ISNUMBER(SEARCH("营",'17.01'!W36)),(-$Y36+50*IF('17.01'!$AK36="是",'17.01'!$AY$4,'17.01'!$AY$3)),(VLOOKUP('17.01'!W36,'17.01'!$AM$4:$AO$55,2,FALSE))*IF('17.01'!$AK36="是",'17.01'!$AY$4,'17.01'!$AY$3))</f>
        <v>0</v>
      </c>
      <c r="P36" s="4">
        <f>IF(ISNUMBER(SEARCH("营",'17.01'!X36)),(-$Y36+50*IF('17.01'!$AK36="是",'17.01'!$AY$4,'17.01'!$AY$3)),(VLOOKUP('17.01'!X36,'17.01'!$AM$4:$AO$55,2,FALSE))*IF('17.01'!$AK36="是",'17.01'!$AY$4,'17.01'!$AY$3))</f>
        <v>0</v>
      </c>
      <c r="Q36" s="4">
        <f>IF(ISNUMBER(SEARCH("营",'17.01'!Y36)),(-$Y36+50*IF('17.01'!$AK36="是",'17.01'!$AY$4,'17.01'!$AY$3)),(VLOOKUP('17.01'!Y36,'17.01'!$AM$4:$AO$55,2,FALSE))*IF('17.01'!$AK36="是",'17.01'!$AY$4,'17.01'!$AY$3))</f>
        <v>0</v>
      </c>
      <c r="R36" s="4">
        <f>IF(ISNUMBER(SEARCH("营",'17.01'!Z36)),(-$Y36+50*IF('17.01'!$AK36="是",'17.01'!$AY$4,'17.01'!$AY$3)),(VLOOKUP('17.01'!Z36,'17.01'!$AM$4:$AO$55,2,FALSE))*IF('17.01'!$AK36="是",'17.01'!$AY$4,'17.01'!$AY$3))</f>
        <v>0</v>
      </c>
      <c r="S36" s="4">
        <f>IF(ISNUMBER(SEARCH("营",'17.01'!AA36)),(-$Y36+50*IF('17.01'!$AK36="是",'17.01'!$AY$4,'17.01'!$AY$3)),(VLOOKUP('17.01'!AA36,'17.01'!$AM$4:$AO$55,2,FALSE))*IF('17.01'!$AK36="是",'17.01'!$AY$4,'17.01'!$AY$3))</f>
        <v>0</v>
      </c>
      <c r="T36" s="4">
        <f>IF(ISNUMBER(SEARCH("营",'17.01'!AB36)),(-$Y36+50*IF('17.01'!$AK36="是",'17.01'!$AY$4,'17.01'!$AY$3)),(VLOOKUP('17.01'!AB36,'17.01'!$AM$4:$AO$55,2,FALSE))*IF('17.01'!$AK36="是",'17.01'!$AY$4,'17.01'!$AY$3))</f>
        <v>0</v>
      </c>
      <c r="U36" s="4">
        <f>IF(ISNUMBER(SEARCH("营",'17.01'!AC36)),(-$Y36+50*IF('17.01'!$AK36="是",'17.01'!$AY$4,'17.01'!$AY$3)),(VLOOKUP('17.01'!AC36,'17.01'!$AM$4:$AO$55,2,FALSE))*IF('17.01'!$AK36="是",'17.01'!$AY$4,'17.01'!$AY$3))</f>
        <v>0</v>
      </c>
      <c r="V36" s="4">
        <f>IF(ISNUMBER(SEARCH("营",'17.01'!AD36)),(-$Y36+50*IF('17.01'!$AK36="是",'17.01'!$AY$4,'17.01'!$AY$3)),(VLOOKUP('17.01'!AD36,'17.01'!$AM$4:$AO$55,2,FALSE))*IF('17.01'!$AK36="是",'17.01'!$AY$4,'17.01'!$AY$3))</f>
        <v>0</v>
      </c>
      <c r="W36" s="4">
        <f>IF(ISNUMBER(SEARCH("营",'17.01'!AE36)),(-$Y36+50*IF('17.01'!$AK36="是",'17.01'!$AY$4,'17.01'!$AY$3)),(VLOOKUP('17.01'!AE36,'17.01'!$AM$4:$AO$55,2,FALSE))*IF('17.01'!$AK36="是",'17.01'!$AY$4,'17.01'!$AY$3))</f>
        <v>0</v>
      </c>
      <c r="X36" s="4">
        <f>IF(ISNUMBER(SEARCH("营",'17.01'!AF36)),(-$Y36+50*IF('17.01'!$AK36="是",'17.01'!$AY$4,'17.01'!$AY$3)),(VLOOKUP('17.01'!AF36,'17.01'!$AM$4:$AO$55,2,FALSE))*IF('17.01'!$AK36="是",'17.01'!$AY$4,'17.01'!$AY$3))</f>
        <v>0</v>
      </c>
      <c r="Y36" s="90">
        <v>200</v>
      </c>
    </row>
    <row r="37" spans="1:25">
      <c r="A37" s="4">
        <f>IF(ISNUMBER(SEARCH("营",'17.01'!I37)),(-$Y37+50*IF('17.01'!$AK37="是",'17.01'!$AY$4,'17.01'!$AY$3)),(VLOOKUP('17.01'!I37,'17.01'!$AM$4:$AO$55,2,FALSE))*IF('17.01'!$AK37="是",'17.01'!$AY$4,'17.01'!$AY$3))</f>
        <v>0</v>
      </c>
      <c r="B37" s="4">
        <f>IF(ISNUMBER(SEARCH("营",'17.01'!J37)),(-$Y37+50*IF('17.01'!$AK37="是",'17.01'!$AY$4,'17.01'!$AY$3)),(VLOOKUP('17.01'!J37,'17.01'!$AM$4:$AO$55,2,FALSE))*IF('17.01'!$AK37="是",'17.01'!$AY$4,'17.01'!$AY$3))</f>
        <v>0</v>
      </c>
      <c r="C37" s="4">
        <f>IF(ISNUMBER(SEARCH("营",'17.01'!K37)),(-$Y37+50*IF('17.01'!$AK37="是",'17.01'!$AY$4,'17.01'!$AY$3)),(VLOOKUP('17.01'!K37,'17.01'!$AM$4:$AO$55,2,FALSE))*IF('17.01'!$AK37="是",'17.01'!$AY$4,'17.01'!$AY$3))</f>
        <v>0</v>
      </c>
      <c r="D37" s="4">
        <f>IF(ISNUMBER(SEARCH("营",'17.01'!L37)),(-$Y37+50*IF('17.01'!$AK37="是",'17.01'!$AY$4,'17.01'!$AY$3)),(VLOOKUP('17.01'!L37,'17.01'!$AM$4:$AO$55,2,FALSE))*IF('17.01'!$AK37="是",'17.01'!$AY$4,'17.01'!$AY$3))</f>
        <v>0</v>
      </c>
      <c r="E37" s="4">
        <f>IF(ISNUMBER(SEARCH("营",'17.01'!M37)),(-$Y37+50*IF('17.01'!$AK37="是",'17.01'!$AY$4,'17.01'!$AY$3)),(VLOOKUP('17.01'!M37,'17.01'!$AM$4:$AO$55,2,FALSE))*IF('17.01'!$AK37="是",'17.01'!$AY$4,'17.01'!$AY$3))</f>
        <v>0</v>
      </c>
      <c r="F37" s="4">
        <f>IF(ISNUMBER(SEARCH("营",'17.01'!N37)),(-$Y37+50*IF('17.01'!$AK37="是",'17.01'!$AY$4,'17.01'!$AY$3)),(VLOOKUP('17.01'!N37,'17.01'!$AM$4:$AO$55,2,FALSE))*IF('17.01'!$AK37="是",'17.01'!$AY$4,'17.01'!$AY$3))</f>
        <v>0</v>
      </c>
      <c r="G37" s="4">
        <f>IF(ISNUMBER(SEARCH("营",'17.01'!O37)),(-$Y37+50*IF('17.01'!$AK37="是",'17.01'!$AY$4,'17.01'!$AY$3)),(VLOOKUP('17.01'!O37,'17.01'!$AM$4:$AO$55,2,FALSE))*IF('17.01'!$AK37="是",'17.01'!$AY$4,'17.01'!$AY$3))</f>
        <v>0</v>
      </c>
      <c r="H37" s="4">
        <f>IF(ISNUMBER(SEARCH("营",'17.01'!P37)),(-$Y37+50*IF('17.01'!$AK37="是",'17.01'!$AY$4,'17.01'!$AY$3)),(VLOOKUP('17.01'!P37,'17.01'!$AM$4:$AO$55,2,FALSE))*IF('17.01'!$AK37="是",'17.01'!$AY$4,'17.01'!$AY$3))</f>
        <v>0</v>
      </c>
      <c r="I37" s="4">
        <f>IF(ISNUMBER(SEARCH("营",'17.01'!Q37)),(-$Y37+50*IF('17.01'!$AK37="是",'17.01'!$AY$4,'17.01'!$AY$3)),(VLOOKUP('17.01'!Q37,'17.01'!$AM$4:$AO$55,2,FALSE))*IF('17.01'!$AK37="是",'17.01'!$AY$4,'17.01'!$AY$3))</f>
        <v>0</v>
      </c>
      <c r="J37" s="4">
        <f>IF(ISNUMBER(SEARCH("营",'17.01'!R37)),(-$Y37+50*IF('17.01'!$AK37="是",'17.01'!$AY$4,'17.01'!$AY$3)),(VLOOKUP('17.01'!R37,'17.01'!$AM$4:$AO$55,2,FALSE))*IF('17.01'!$AK37="是",'17.01'!$AY$4,'17.01'!$AY$3))</f>
        <v>0</v>
      </c>
      <c r="K37" s="4">
        <f>IF(ISNUMBER(SEARCH("营",'17.01'!S37)),(-$Y37+50*IF('17.01'!$AK37="是",'17.01'!$AY$4,'17.01'!$AY$3)),(VLOOKUP('17.01'!S37,'17.01'!$AM$4:$AO$55,2,FALSE))*IF('17.01'!$AK37="是",'17.01'!$AY$4,'17.01'!$AY$3))</f>
        <v>0</v>
      </c>
      <c r="L37" s="4">
        <f>IF(ISNUMBER(SEARCH("营",'17.01'!T37)),(-$Y37+50*IF('17.01'!$AK37="是",'17.01'!$AY$4,'17.01'!$AY$3)),(VLOOKUP('17.01'!T37,'17.01'!$AM$4:$AO$55,2,FALSE))*IF('17.01'!$AK37="是",'17.01'!$AY$4,'17.01'!$AY$3))</f>
        <v>0</v>
      </c>
      <c r="M37" s="4">
        <f>IF(ISNUMBER(SEARCH("营",'17.01'!U37)),(-$Y37+50*IF('17.01'!$AK37="是",'17.01'!$AY$4,'17.01'!$AY$3)),(VLOOKUP('17.01'!U37,'17.01'!$AM$4:$AO$55,2,FALSE))*IF('17.01'!$AK37="是",'17.01'!$AY$4,'17.01'!$AY$3))</f>
        <v>0</v>
      </c>
      <c r="N37" s="4">
        <f>IF(ISNUMBER(SEARCH("营",'17.01'!V37)),(-$Y37+50*IF('17.01'!$AK37="是",'17.01'!$AY$4,'17.01'!$AY$3)),(VLOOKUP('17.01'!V37,'17.01'!$AM$4:$AO$55,2,FALSE))*IF('17.01'!$AK37="是",'17.01'!$AY$4,'17.01'!$AY$3))</f>
        <v>0</v>
      </c>
      <c r="O37" s="4">
        <f>IF(ISNUMBER(SEARCH("营",'17.01'!W37)),(-$Y37+50*IF('17.01'!$AK37="是",'17.01'!$AY$4,'17.01'!$AY$3)),(VLOOKUP('17.01'!W37,'17.01'!$AM$4:$AO$55,2,FALSE))*IF('17.01'!$AK37="是",'17.01'!$AY$4,'17.01'!$AY$3))</f>
        <v>0</v>
      </c>
      <c r="P37" s="4">
        <f>IF(ISNUMBER(SEARCH("营",'17.01'!X37)),(-$Y37+50*IF('17.01'!$AK37="是",'17.01'!$AY$4,'17.01'!$AY$3)),(VLOOKUP('17.01'!X37,'17.01'!$AM$4:$AO$55,2,FALSE))*IF('17.01'!$AK37="是",'17.01'!$AY$4,'17.01'!$AY$3))</f>
        <v>0</v>
      </c>
      <c r="Q37" s="4">
        <f>IF(ISNUMBER(SEARCH("营",'17.01'!Y37)),(-$Y37+50*IF('17.01'!$AK37="是",'17.01'!$AY$4,'17.01'!$AY$3)),(VLOOKUP('17.01'!Y37,'17.01'!$AM$4:$AO$55,2,FALSE))*IF('17.01'!$AK37="是",'17.01'!$AY$4,'17.01'!$AY$3))</f>
        <v>0</v>
      </c>
      <c r="R37" s="4">
        <f>IF(ISNUMBER(SEARCH("营",'17.01'!Z37)),(-$Y37+50*IF('17.01'!$AK37="是",'17.01'!$AY$4,'17.01'!$AY$3)),(VLOOKUP('17.01'!Z37,'17.01'!$AM$4:$AO$55,2,FALSE))*IF('17.01'!$AK37="是",'17.01'!$AY$4,'17.01'!$AY$3))</f>
        <v>0</v>
      </c>
      <c r="S37" s="4">
        <f>IF(ISNUMBER(SEARCH("营",'17.01'!AA37)),(-$Y37+50*IF('17.01'!$AK37="是",'17.01'!$AY$4,'17.01'!$AY$3)),(VLOOKUP('17.01'!AA37,'17.01'!$AM$4:$AO$55,2,FALSE))*IF('17.01'!$AK37="是",'17.01'!$AY$4,'17.01'!$AY$3))</f>
        <v>0</v>
      </c>
      <c r="T37" s="4">
        <f>IF(ISNUMBER(SEARCH("营",'17.01'!AB37)),(-$Y37+50*IF('17.01'!$AK37="是",'17.01'!$AY$4,'17.01'!$AY$3)),(VLOOKUP('17.01'!AB37,'17.01'!$AM$4:$AO$55,2,FALSE))*IF('17.01'!$AK37="是",'17.01'!$AY$4,'17.01'!$AY$3))</f>
        <v>0</v>
      </c>
      <c r="U37" s="4">
        <f>IF(ISNUMBER(SEARCH("营",'17.01'!AC37)),(-$Y37+50*IF('17.01'!$AK37="是",'17.01'!$AY$4,'17.01'!$AY$3)),(VLOOKUP('17.01'!AC37,'17.01'!$AM$4:$AO$55,2,FALSE))*IF('17.01'!$AK37="是",'17.01'!$AY$4,'17.01'!$AY$3))</f>
        <v>0</v>
      </c>
      <c r="V37" s="4">
        <f>IF(ISNUMBER(SEARCH("营",'17.01'!AD37)),(-$Y37+50*IF('17.01'!$AK37="是",'17.01'!$AY$4,'17.01'!$AY$3)),(VLOOKUP('17.01'!AD37,'17.01'!$AM$4:$AO$55,2,FALSE))*IF('17.01'!$AK37="是",'17.01'!$AY$4,'17.01'!$AY$3))</f>
        <v>0</v>
      </c>
      <c r="W37" s="4">
        <f>IF(ISNUMBER(SEARCH("营",'17.01'!AE37)),(-$Y37+50*IF('17.01'!$AK37="是",'17.01'!$AY$4,'17.01'!$AY$3)),(VLOOKUP('17.01'!AE37,'17.01'!$AM$4:$AO$55,2,FALSE))*IF('17.01'!$AK37="是",'17.01'!$AY$4,'17.01'!$AY$3))</f>
        <v>0</v>
      </c>
      <c r="X37" s="4">
        <f>IF(ISNUMBER(SEARCH("营",'17.01'!AF37)),(-$Y37+50*IF('17.01'!$AK37="是",'17.01'!$AY$4,'17.01'!$AY$3)),(VLOOKUP('17.01'!AF37,'17.01'!$AM$4:$AO$55,2,FALSE))*IF('17.01'!$AK37="是",'17.01'!$AY$4,'17.01'!$AY$3))</f>
        <v>0</v>
      </c>
      <c r="Y37" s="90">
        <v>200</v>
      </c>
    </row>
    <row r="38" spans="1:25">
      <c r="A38" s="4">
        <f>IF(ISNUMBER(SEARCH("营",'17.01'!I38)),(-$Y38+50*IF('17.01'!$AK38="是",'17.01'!$AY$4,'17.01'!$AY$3)),(VLOOKUP('17.01'!I38,'17.01'!$AM$4:$AO$55,2,FALSE))*IF('17.01'!$AK38="是",'17.01'!$AY$4,'17.01'!$AY$3))</f>
        <v>0</v>
      </c>
      <c r="B38" s="4">
        <f>IF(ISNUMBER(SEARCH("营",'17.01'!J38)),(-$Y38+50*IF('17.01'!$AK38="是",'17.01'!$AY$4,'17.01'!$AY$3)),(VLOOKUP('17.01'!J38,'17.01'!$AM$4:$AO$55,2,FALSE))*IF('17.01'!$AK38="是",'17.01'!$AY$4,'17.01'!$AY$3))</f>
        <v>0</v>
      </c>
      <c r="C38" s="4">
        <f>IF(ISNUMBER(SEARCH("营",'17.01'!K38)),(-$Y38+50*IF('17.01'!$AK38="是",'17.01'!$AY$4,'17.01'!$AY$3)),(VLOOKUP('17.01'!K38,'17.01'!$AM$4:$AO$55,2,FALSE))*IF('17.01'!$AK38="是",'17.01'!$AY$4,'17.01'!$AY$3))</f>
        <v>0</v>
      </c>
      <c r="D38" s="4">
        <f>IF(ISNUMBER(SEARCH("营",'17.01'!L38)),(-$Y38+50*IF('17.01'!$AK38="是",'17.01'!$AY$4,'17.01'!$AY$3)),(VLOOKUP('17.01'!L38,'17.01'!$AM$4:$AO$55,2,FALSE))*IF('17.01'!$AK38="是",'17.01'!$AY$4,'17.01'!$AY$3))</f>
        <v>0</v>
      </c>
      <c r="E38" s="4">
        <f>IF(ISNUMBER(SEARCH("营",'17.01'!M38)),(-$Y38+50*IF('17.01'!$AK38="是",'17.01'!$AY$4,'17.01'!$AY$3)),(VLOOKUP('17.01'!M38,'17.01'!$AM$4:$AO$55,2,FALSE))*IF('17.01'!$AK38="是",'17.01'!$AY$4,'17.01'!$AY$3))</f>
        <v>0</v>
      </c>
      <c r="F38" s="4">
        <f>IF(ISNUMBER(SEARCH("营",'17.01'!N38)),(-$Y38+50*IF('17.01'!$AK38="是",'17.01'!$AY$4,'17.01'!$AY$3)),(VLOOKUP('17.01'!N38,'17.01'!$AM$4:$AO$55,2,FALSE))*IF('17.01'!$AK38="是",'17.01'!$AY$4,'17.01'!$AY$3))</f>
        <v>0</v>
      </c>
      <c r="G38" s="4">
        <f>IF(ISNUMBER(SEARCH("营",'17.01'!O38)),(-$Y38+50*IF('17.01'!$AK38="是",'17.01'!$AY$4,'17.01'!$AY$3)),(VLOOKUP('17.01'!O38,'17.01'!$AM$4:$AO$55,2,FALSE))*IF('17.01'!$AK38="是",'17.01'!$AY$4,'17.01'!$AY$3))</f>
        <v>0</v>
      </c>
      <c r="H38" s="4">
        <f>IF(ISNUMBER(SEARCH("营",'17.01'!P38)),(-$Y38+50*IF('17.01'!$AK38="是",'17.01'!$AY$4,'17.01'!$AY$3)),(VLOOKUP('17.01'!P38,'17.01'!$AM$4:$AO$55,2,FALSE))*IF('17.01'!$AK38="是",'17.01'!$AY$4,'17.01'!$AY$3))</f>
        <v>0</v>
      </c>
      <c r="I38" s="4">
        <f>IF(ISNUMBER(SEARCH("营",'17.01'!Q38)),(-$Y38+50*IF('17.01'!$AK38="是",'17.01'!$AY$4,'17.01'!$AY$3)),(VLOOKUP('17.01'!Q38,'17.01'!$AM$4:$AO$55,2,FALSE))*IF('17.01'!$AK38="是",'17.01'!$AY$4,'17.01'!$AY$3))</f>
        <v>0</v>
      </c>
      <c r="J38" s="4">
        <f>IF(ISNUMBER(SEARCH("营",'17.01'!R38)),(-$Y38+50*IF('17.01'!$AK38="是",'17.01'!$AY$4,'17.01'!$AY$3)),(VLOOKUP('17.01'!R38,'17.01'!$AM$4:$AO$55,2,FALSE))*IF('17.01'!$AK38="是",'17.01'!$AY$4,'17.01'!$AY$3))</f>
        <v>0</v>
      </c>
      <c r="K38" s="4">
        <f>IF(ISNUMBER(SEARCH("营",'17.01'!S38)),(-$Y38+50*IF('17.01'!$AK38="是",'17.01'!$AY$4,'17.01'!$AY$3)),(VLOOKUP('17.01'!S38,'17.01'!$AM$4:$AO$55,2,FALSE))*IF('17.01'!$AK38="是",'17.01'!$AY$4,'17.01'!$AY$3))</f>
        <v>0</v>
      </c>
      <c r="L38" s="4">
        <f>IF(ISNUMBER(SEARCH("营",'17.01'!T38)),(-$Y38+50*IF('17.01'!$AK38="是",'17.01'!$AY$4,'17.01'!$AY$3)),(VLOOKUP('17.01'!T38,'17.01'!$AM$4:$AO$55,2,FALSE))*IF('17.01'!$AK38="是",'17.01'!$AY$4,'17.01'!$AY$3))</f>
        <v>0</v>
      </c>
      <c r="M38" s="4">
        <f>IF(ISNUMBER(SEARCH("营",'17.01'!U38)),(-$Y38+50*IF('17.01'!$AK38="是",'17.01'!$AY$4,'17.01'!$AY$3)),(VLOOKUP('17.01'!U38,'17.01'!$AM$4:$AO$55,2,FALSE))*IF('17.01'!$AK38="是",'17.01'!$AY$4,'17.01'!$AY$3))</f>
        <v>0</v>
      </c>
      <c r="N38" s="4">
        <f>IF(ISNUMBER(SEARCH("营",'17.01'!V38)),(-$Y38+50*IF('17.01'!$AK38="是",'17.01'!$AY$4,'17.01'!$AY$3)),(VLOOKUP('17.01'!V38,'17.01'!$AM$4:$AO$55,2,FALSE))*IF('17.01'!$AK38="是",'17.01'!$AY$4,'17.01'!$AY$3))</f>
        <v>0</v>
      </c>
      <c r="O38" s="4">
        <f>IF(ISNUMBER(SEARCH("营",'17.01'!W38)),(-$Y38+50*IF('17.01'!$AK38="是",'17.01'!$AY$4,'17.01'!$AY$3)),(VLOOKUP('17.01'!W38,'17.01'!$AM$4:$AO$55,2,FALSE))*IF('17.01'!$AK38="是",'17.01'!$AY$4,'17.01'!$AY$3))</f>
        <v>0</v>
      </c>
      <c r="P38" s="4">
        <f>IF(ISNUMBER(SEARCH("营",'17.01'!X38)),(-$Y38+50*IF('17.01'!$AK38="是",'17.01'!$AY$4,'17.01'!$AY$3)),(VLOOKUP('17.01'!X38,'17.01'!$AM$4:$AO$55,2,FALSE))*IF('17.01'!$AK38="是",'17.01'!$AY$4,'17.01'!$AY$3))</f>
        <v>0</v>
      </c>
      <c r="Q38" s="4">
        <f>IF(ISNUMBER(SEARCH("营",'17.01'!Y38)),(-$Y38+50*IF('17.01'!$AK38="是",'17.01'!$AY$4,'17.01'!$AY$3)),(VLOOKUP('17.01'!Y38,'17.01'!$AM$4:$AO$55,2,FALSE))*IF('17.01'!$AK38="是",'17.01'!$AY$4,'17.01'!$AY$3))</f>
        <v>0</v>
      </c>
      <c r="R38" s="4">
        <f>IF(ISNUMBER(SEARCH("营",'17.01'!Z38)),(-$Y38+50*IF('17.01'!$AK38="是",'17.01'!$AY$4,'17.01'!$AY$3)),(VLOOKUP('17.01'!Z38,'17.01'!$AM$4:$AO$55,2,FALSE))*IF('17.01'!$AK38="是",'17.01'!$AY$4,'17.01'!$AY$3))</f>
        <v>0</v>
      </c>
      <c r="S38" s="4">
        <f>IF(ISNUMBER(SEARCH("营",'17.01'!AA38)),(-$Y38+50*IF('17.01'!$AK38="是",'17.01'!$AY$4,'17.01'!$AY$3)),(VLOOKUP('17.01'!AA38,'17.01'!$AM$4:$AO$55,2,FALSE))*IF('17.01'!$AK38="是",'17.01'!$AY$4,'17.01'!$AY$3))</f>
        <v>0</v>
      </c>
      <c r="T38" s="4">
        <f>IF(ISNUMBER(SEARCH("营",'17.01'!AB38)),(-$Y38+50*IF('17.01'!$AK38="是",'17.01'!$AY$4,'17.01'!$AY$3)),(VLOOKUP('17.01'!AB38,'17.01'!$AM$4:$AO$55,2,FALSE))*IF('17.01'!$AK38="是",'17.01'!$AY$4,'17.01'!$AY$3))</f>
        <v>0</v>
      </c>
      <c r="U38" s="4">
        <f>IF(ISNUMBER(SEARCH("营",'17.01'!AC38)),(-$Y38+50*IF('17.01'!$AK38="是",'17.01'!$AY$4,'17.01'!$AY$3)),(VLOOKUP('17.01'!AC38,'17.01'!$AM$4:$AO$55,2,FALSE))*IF('17.01'!$AK38="是",'17.01'!$AY$4,'17.01'!$AY$3))</f>
        <v>0</v>
      </c>
      <c r="V38" s="4">
        <f>IF(ISNUMBER(SEARCH("营",'17.01'!AD38)),(-$Y38+50*IF('17.01'!$AK38="是",'17.01'!$AY$4,'17.01'!$AY$3)),(VLOOKUP('17.01'!AD38,'17.01'!$AM$4:$AO$55,2,FALSE))*IF('17.01'!$AK38="是",'17.01'!$AY$4,'17.01'!$AY$3))</f>
        <v>0</v>
      </c>
      <c r="W38" s="4">
        <f>IF(ISNUMBER(SEARCH("营",'17.01'!AE38)),(-$Y38+50*IF('17.01'!$AK38="是",'17.01'!$AY$4,'17.01'!$AY$3)),(VLOOKUP('17.01'!AE38,'17.01'!$AM$4:$AO$55,2,FALSE))*IF('17.01'!$AK38="是",'17.01'!$AY$4,'17.01'!$AY$3))</f>
        <v>0</v>
      </c>
      <c r="X38" s="4">
        <f>IF(ISNUMBER(SEARCH("营",'17.01'!AF38)),(-$Y38+50*IF('17.01'!$AK38="是",'17.01'!$AY$4,'17.01'!$AY$3)),(VLOOKUP('17.01'!AF38,'17.01'!$AM$4:$AO$55,2,FALSE))*IF('17.01'!$AK38="是",'17.01'!$AY$4,'17.01'!$AY$3))</f>
        <v>0</v>
      </c>
      <c r="Y38" s="90">
        <v>200</v>
      </c>
    </row>
    <row r="39" spans="1:25">
      <c r="A39" s="4">
        <f>IF(ISNUMBER(SEARCH("营",'17.01'!I39)),(-$Y39+50*IF('17.01'!$AK39="是",'17.01'!$AY$4,'17.01'!$AY$3)),(VLOOKUP('17.01'!I39,'17.01'!$AM$4:$AO$55,2,FALSE))*IF('17.01'!$AK39="是",'17.01'!$AY$4,'17.01'!$AY$3))</f>
        <v>0</v>
      </c>
      <c r="B39" s="4">
        <f>IF(ISNUMBER(SEARCH("营",'17.01'!J39)),(-$Y39+50*IF('17.01'!$AK39="是",'17.01'!$AY$4,'17.01'!$AY$3)),(VLOOKUP('17.01'!J39,'17.01'!$AM$4:$AO$55,2,FALSE))*IF('17.01'!$AK39="是",'17.01'!$AY$4,'17.01'!$AY$3))</f>
        <v>0</v>
      </c>
      <c r="C39" s="4">
        <f>IF(ISNUMBER(SEARCH("营",'17.01'!K39)),(-$Y39+50*IF('17.01'!$AK39="是",'17.01'!$AY$4,'17.01'!$AY$3)),(VLOOKUP('17.01'!K39,'17.01'!$AM$4:$AO$55,2,FALSE))*IF('17.01'!$AK39="是",'17.01'!$AY$4,'17.01'!$AY$3))</f>
        <v>0</v>
      </c>
      <c r="D39" s="4">
        <f>IF(ISNUMBER(SEARCH("营",'17.01'!L39)),(-$Y39+50*IF('17.01'!$AK39="是",'17.01'!$AY$4,'17.01'!$AY$3)),(VLOOKUP('17.01'!L39,'17.01'!$AM$4:$AO$55,2,FALSE))*IF('17.01'!$AK39="是",'17.01'!$AY$4,'17.01'!$AY$3))</f>
        <v>0</v>
      </c>
      <c r="E39" s="4">
        <f>IF(ISNUMBER(SEARCH("营",'17.01'!M39)),(-$Y39+50*IF('17.01'!$AK39="是",'17.01'!$AY$4,'17.01'!$AY$3)),(VLOOKUP('17.01'!M39,'17.01'!$AM$4:$AO$55,2,FALSE))*IF('17.01'!$AK39="是",'17.01'!$AY$4,'17.01'!$AY$3))</f>
        <v>0</v>
      </c>
      <c r="F39" s="4">
        <f>IF(ISNUMBER(SEARCH("营",'17.01'!N39)),(-$Y39+50*IF('17.01'!$AK39="是",'17.01'!$AY$4,'17.01'!$AY$3)),(VLOOKUP('17.01'!N39,'17.01'!$AM$4:$AO$55,2,FALSE))*IF('17.01'!$AK39="是",'17.01'!$AY$4,'17.01'!$AY$3))</f>
        <v>0</v>
      </c>
      <c r="G39" s="4">
        <f>IF(ISNUMBER(SEARCH("营",'17.01'!O39)),(-$Y39+50*IF('17.01'!$AK39="是",'17.01'!$AY$4,'17.01'!$AY$3)),(VLOOKUP('17.01'!O39,'17.01'!$AM$4:$AO$55,2,FALSE))*IF('17.01'!$AK39="是",'17.01'!$AY$4,'17.01'!$AY$3))</f>
        <v>0</v>
      </c>
      <c r="H39" s="4">
        <f>IF(ISNUMBER(SEARCH("营",'17.01'!P39)),(-$Y39+50*IF('17.01'!$AK39="是",'17.01'!$AY$4,'17.01'!$AY$3)),(VLOOKUP('17.01'!P39,'17.01'!$AM$4:$AO$55,2,FALSE))*IF('17.01'!$AK39="是",'17.01'!$AY$4,'17.01'!$AY$3))</f>
        <v>0</v>
      </c>
      <c r="I39" s="4">
        <f>IF(ISNUMBER(SEARCH("营",'17.01'!Q39)),(-$Y39+50*IF('17.01'!$AK39="是",'17.01'!$AY$4,'17.01'!$AY$3)),(VLOOKUP('17.01'!Q39,'17.01'!$AM$4:$AO$55,2,FALSE))*IF('17.01'!$AK39="是",'17.01'!$AY$4,'17.01'!$AY$3))</f>
        <v>0</v>
      </c>
      <c r="J39" s="4">
        <f>IF(ISNUMBER(SEARCH("营",'17.01'!R39)),(-$Y39+50*IF('17.01'!$AK39="是",'17.01'!$AY$4,'17.01'!$AY$3)),(VLOOKUP('17.01'!R39,'17.01'!$AM$4:$AO$55,2,FALSE))*IF('17.01'!$AK39="是",'17.01'!$AY$4,'17.01'!$AY$3))</f>
        <v>0</v>
      </c>
      <c r="K39" s="4">
        <f>IF(ISNUMBER(SEARCH("营",'17.01'!S39)),(-$Y39+50*IF('17.01'!$AK39="是",'17.01'!$AY$4,'17.01'!$AY$3)),(VLOOKUP('17.01'!S39,'17.01'!$AM$4:$AO$55,2,FALSE))*IF('17.01'!$AK39="是",'17.01'!$AY$4,'17.01'!$AY$3))</f>
        <v>0</v>
      </c>
      <c r="L39" s="4">
        <f>IF(ISNUMBER(SEARCH("营",'17.01'!T39)),(-$Y39+50*IF('17.01'!$AK39="是",'17.01'!$AY$4,'17.01'!$AY$3)),(VLOOKUP('17.01'!T39,'17.01'!$AM$4:$AO$55,2,FALSE))*IF('17.01'!$AK39="是",'17.01'!$AY$4,'17.01'!$AY$3))</f>
        <v>0</v>
      </c>
      <c r="M39" s="4">
        <f>IF(ISNUMBER(SEARCH("营",'17.01'!U39)),(-$Y39+50*IF('17.01'!$AK39="是",'17.01'!$AY$4,'17.01'!$AY$3)),(VLOOKUP('17.01'!U39,'17.01'!$AM$4:$AO$55,2,FALSE))*IF('17.01'!$AK39="是",'17.01'!$AY$4,'17.01'!$AY$3))</f>
        <v>0</v>
      </c>
      <c r="N39" s="4">
        <f>IF(ISNUMBER(SEARCH("营",'17.01'!V39)),(-$Y39+50*IF('17.01'!$AK39="是",'17.01'!$AY$4,'17.01'!$AY$3)),(VLOOKUP('17.01'!V39,'17.01'!$AM$4:$AO$55,2,FALSE))*IF('17.01'!$AK39="是",'17.01'!$AY$4,'17.01'!$AY$3))</f>
        <v>0</v>
      </c>
      <c r="O39" s="4">
        <f>IF(ISNUMBER(SEARCH("营",'17.01'!W39)),(-$Y39+50*IF('17.01'!$AK39="是",'17.01'!$AY$4,'17.01'!$AY$3)),(VLOOKUP('17.01'!W39,'17.01'!$AM$4:$AO$55,2,FALSE))*IF('17.01'!$AK39="是",'17.01'!$AY$4,'17.01'!$AY$3))</f>
        <v>0</v>
      </c>
      <c r="P39" s="4">
        <f>IF(ISNUMBER(SEARCH("营",'17.01'!X39)),(-$Y39+50*IF('17.01'!$AK39="是",'17.01'!$AY$4,'17.01'!$AY$3)),(VLOOKUP('17.01'!X39,'17.01'!$AM$4:$AO$55,2,FALSE))*IF('17.01'!$AK39="是",'17.01'!$AY$4,'17.01'!$AY$3))</f>
        <v>0</v>
      </c>
      <c r="Q39" s="4">
        <f>IF(ISNUMBER(SEARCH("营",'17.01'!Y39)),(-$Y39+50*IF('17.01'!$AK39="是",'17.01'!$AY$4,'17.01'!$AY$3)),(VLOOKUP('17.01'!Y39,'17.01'!$AM$4:$AO$55,2,FALSE))*IF('17.01'!$AK39="是",'17.01'!$AY$4,'17.01'!$AY$3))</f>
        <v>0</v>
      </c>
      <c r="R39" s="4">
        <f>IF(ISNUMBER(SEARCH("营",'17.01'!Z39)),(-$Y39+50*IF('17.01'!$AK39="是",'17.01'!$AY$4,'17.01'!$AY$3)),(VLOOKUP('17.01'!Z39,'17.01'!$AM$4:$AO$55,2,FALSE))*IF('17.01'!$AK39="是",'17.01'!$AY$4,'17.01'!$AY$3))</f>
        <v>0</v>
      </c>
      <c r="S39" s="4">
        <f>IF(ISNUMBER(SEARCH("营",'17.01'!AA39)),(-$Y39+50*IF('17.01'!$AK39="是",'17.01'!$AY$4,'17.01'!$AY$3)),(VLOOKUP('17.01'!AA39,'17.01'!$AM$4:$AO$55,2,FALSE))*IF('17.01'!$AK39="是",'17.01'!$AY$4,'17.01'!$AY$3))</f>
        <v>0</v>
      </c>
      <c r="T39" s="4">
        <f>IF(ISNUMBER(SEARCH("营",'17.01'!AB39)),(-$Y39+50*IF('17.01'!$AK39="是",'17.01'!$AY$4,'17.01'!$AY$3)),(VLOOKUP('17.01'!AB39,'17.01'!$AM$4:$AO$55,2,FALSE))*IF('17.01'!$AK39="是",'17.01'!$AY$4,'17.01'!$AY$3))</f>
        <v>0</v>
      </c>
      <c r="U39" s="4">
        <f>IF(ISNUMBER(SEARCH("营",'17.01'!AC39)),(-$Y39+50*IF('17.01'!$AK39="是",'17.01'!$AY$4,'17.01'!$AY$3)),(VLOOKUP('17.01'!AC39,'17.01'!$AM$4:$AO$55,2,FALSE))*IF('17.01'!$AK39="是",'17.01'!$AY$4,'17.01'!$AY$3))</f>
        <v>0</v>
      </c>
      <c r="V39" s="4">
        <f>IF(ISNUMBER(SEARCH("营",'17.01'!AD39)),(-$Y39+50*IF('17.01'!$AK39="是",'17.01'!$AY$4,'17.01'!$AY$3)),(VLOOKUP('17.01'!AD39,'17.01'!$AM$4:$AO$55,2,FALSE))*IF('17.01'!$AK39="是",'17.01'!$AY$4,'17.01'!$AY$3))</f>
        <v>0</v>
      </c>
      <c r="W39" s="4">
        <f>IF(ISNUMBER(SEARCH("营",'17.01'!AE39)),(-$Y39+50*IF('17.01'!$AK39="是",'17.01'!$AY$4,'17.01'!$AY$3)),(VLOOKUP('17.01'!AE39,'17.01'!$AM$4:$AO$55,2,FALSE))*IF('17.01'!$AK39="是",'17.01'!$AY$4,'17.01'!$AY$3))</f>
        <v>0</v>
      </c>
      <c r="X39" s="4">
        <f>IF(ISNUMBER(SEARCH("营",'17.01'!AF39)),(-$Y39+50*IF('17.01'!$AK39="是",'17.01'!$AY$4,'17.01'!$AY$3)),(VLOOKUP('17.01'!AF39,'17.01'!$AM$4:$AO$55,2,FALSE))*IF('17.01'!$AK39="是",'17.01'!$AY$4,'17.01'!$AY$3))</f>
        <v>0</v>
      </c>
      <c r="Y39" s="90">
        <v>200</v>
      </c>
    </row>
    <row r="40" spans="1:25">
      <c r="A40" s="4">
        <f>IF(ISNUMBER(SEARCH("营",'17.01'!I40)),(-$Y40+50*IF('17.01'!$AK40="是",'17.01'!$AY$4,'17.01'!$AY$3)),(VLOOKUP('17.01'!I40,'17.01'!$AM$4:$AO$55,2,FALSE))*IF('17.01'!$AK40="是",'17.01'!$AY$4,'17.01'!$AY$3))</f>
        <v>0</v>
      </c>
      <c r="B40" s="4">
        <f>IF(ISNUMBER(SEARCH("营",'17.01'!J40)),(-$Y40+50*IF('17.01'!$AK40="是",'17.01'!$AY$4,'17.01'!$AY$3)),(VLOOKUP('17.01'!J40,'17.01'!$AM$4:$AO$55,2,FALSE))*IF('17.01'!$AK40="是",'17.01'!$AY$4,'17.01'!$AY$3))</f>
        <v>0</v>
      </c>
      <c r="C40" s="4">
        <f>IF(ISNUMBER(SEARCH("营",'17.01'!K40)),(-$Y40+50*IF('17.01'!$AK40="是",'17.01'!$AY$4,'17.01'!$AY$3)),(VLOOKUP('17.01'!K40,'17.01'!$AM$4:$AO$55,2,FALSE))*IF('17.01'!$AK40="是",'17.01'!$AY$4,'17.01'!$AY$3))</f>
        <v>0</v>
      </c>
      <c r="D40" s="4">
        <f>IF(ISNUMBER(SEARCH("营",'17.01'!L40)),(-$Y40+50*IF('17.01'!$AK40="是",'17.01'!$AY$4,'17.01'!$AY$3)),(VLOOKUP('17.01'!L40,'17.01'!$AM$4:$AO$55,2,FALSE))*IF('17.01'!$AK40="是",'17.01'!$AY$4,'17.01'!$AY$3))</f>
        <v>0</v>
      </c>
      <c r="E40" s="4">
        <f>IF(ISNUMBER(SEARCH("营",'17.01'!M40)),(-$Y40+50*IF('17.01'!$AK40="是",'17.01'!$AY$4,'17.01'!$AY$3)),(VLOOKUP('17.01'!M40,'17.01'!$AM$4:$AO$55,2,FALSE))*IF('17.01'!$AK40="是",'17.01'!$AY$4,'17.01'!$AY$3))</f>
        <v>0</v>
      </c>
      <c r="F40" s="4">
        <f>IF(ISNUMBER(SEARCH("营",'17.01'!N40)),(-$Y40+50*IF('17.01'!$AK40="是",'17.01'!$AY$4,'17.01'!$AY$3)),(VLOOKUP('17.01'!N40,'17.01'!$AM$4:$AO$55,2,FALSE))*IF('17.01'!$AK40="是",'17.01'!$AY$4,'17.01'!$AY$3))</f>
        <v>0</v>
      </c>
      <c r="G40" s="4">
        <f>IF(ISNUMBER(SEARCH("营",'17.01'!O40)),(-$Y40+50*IF('17.01'!$AK40="是",'17.01'!$AY$4,'17.01'!$AY$3)),(VLOOKUP('17.01'!O40,'17.01'!$AM$4:$AO$55,2,FALSE))*IF('17.01'!$AK40="是",'17.01'!$AY$4,'17.01'!$AY$3))</f>
        <v>0</v>
      </c>
      <c r="H40" s="4">
        <f>IF(ISNUMBER(SEARCH("营",'17.01'!P40)),(-$Y40+50*IF('17.01'!$AK40="是",'17.01'!$AY$4,'17.01'!$AY$3)),(VLOOKUP('17.01'!P40,'17.01'!$AM$4:$AO$55,2,FALSE))*IF('17.01'!$AK40="是",'17.01'!$AY$4,'17.01'!$AY$3))</f>
        <v>0</v>
      </c>
      <c r="I40" s="4">
        <f>IF(ISNUMBER(SEARCH("营",'17.01'!Q40)),(-$Y40+50*IF('17.01'!$AK40="是",'17.01'!$AY$4,'17.01'!$AY$3)),(VLOOKUP('17.01'!Q40,'17.01'!$AM$4:$AO$55,2,FALSE))*IF('17.01'!$AK40="是",'17.01'!$AY$4,'17.01'!$AY$3))</f>
        <v>0</v>
      </c>
      <c r="J40" s="4">
        <f>IF(ISNUMBER(SEARCH("营",'17.01'!R40)),(-$Y40+50*IF('17.01'!$AK40="是",'17.01'!$AY$4,'17.01'!$AY$3)),(VLOOKUP('17.01'!R40,'17.01'!$AM$4:$AO$55,2,FALSE))*IF('17.01'!$AK40="是",'17.01'!$AY$4,'17.01'!$AY$3))</f>
        <v>0</v>
      </c>
      <c r="K40" s="4">
        <f>IF(ISNUMBER(SEARCH("营",'17.01'!S40)),(-$Y40+50*IF('17.01'!$AK40="是",'17.01'!$AY$4,'17.01'!$AY$3)),(VLOOKUP('17.01'!S40,'17.01'!$AM$4:$AO$55,2,FALSE))*IF('17.01'!$AK40="是",'17.01'!$AY$4,'17.01'!$AY$3))</f>
        <v>0</v>
      </c>
      <c r="L40" s="4">
        <f>IF(ISNUMBER(SEARCH("营",'17.01'!T40)),(-$Y40+50*IF('17.01'!$AK40="是",'17.01'!$AY$4,'17.01'!$AY$3)),(VLOOKUP('17.01'!T40,'17.01'!$AM$4:$AO$55,2,FALSE))*IF('17.01'!$AK40="是",'17.01'!$AY$4,'17.01'!$AY$3))</f>
        <v>0</v>
      </c>
      <c r="M40" s="4">
        <f>IF(ISNUMBER(SEARCH("营",'17.01'!U40)),(-$Y40+50*IF('17.01'!$AK40="是",'17.01'!$AY$4,'17.01'!$AY$3)),(VLOOKUP('17.01'!U40,'17.01'!$AM$4:$AO$55,2,FALSE))*IF('17.01'!$AK40="是",'17.01'!$AY$4,'17.01'!$AY$3))</f>
        <v>0</v>
      </c>
      <c r="N40" s="4">
        <f>IF(ISNUMBER(SEARCH("营",'17.01'!V40)),(-$Y40+50*IF('17.01'!$AK40="是",'17.01'!$AY$4,'17.01'!$AY$3)),(VLOOKUP('17.01'!V40,'17.01'!$AM$4:$AO$55,2,FALSE))*IF('17.01'!$AK40="是",'17.01'!$AY$4,'17.01'!$AY$3))</f>
        <v>0</v>
      </c>
      <c r="O40" s="4">
        <f>IF(ISNUMBER(SEARCH("营",'17.01'!W40)),(-$Y40+50*IF('17.01'!$AK40="是",'17.01'!$AY$4,'17.01'!$AY$3)),(VLOOKUP('17.01'!W40,'17.01'!$AM$4:$AO$55,2,FALSE))*IF('17.01'!$AK40="是",'17.01'!$AY$4,'17.01'!$AY$3))</f>
        <v>0</v>
      </c>
      <c r="P40" s="4">
        <f>IF(ISNUMBER(SEARCH("营",'17.01'!X40)),(-$Y40+50*IF('17.01'!$AK40="是",'17.01'!$AY$4,'17.01'!$AY$3)),(VLOOKUP('17.01'!X40,'17.01'!$AM$4:$AO$55,2,FALSE))*IF('17.01'!$AK40="是",'17.01'!$AY$4,'17.01'!$AY$3))</f>
        <v>0</v>
      </c>
      <c r="Q40" s="4">
        <f>IF(ISNUMBER(SEARCH("营",'17.01'!Y40)),(-$Y40+50*IF('17.01'!$AK40="是",'17.01'!$AY$4,'17.01'!$AY$3)),(VLOOKUP('17.01'!Y40,'17.01'!$AM$4:$AO$55,2,FALSE))*IF('17.01'!$AK40="是",'17.01'!$AY$4,'17.01'!$AY$3))</f>
        <v>0</v>
      </c>
      <c r="R40" s="4">
        <f>IF(ISNUMBER(SEARCH("营",'17.01'!Z40)),(-$Y40+50*IF('17.01'!$AK40="是",'17.01'!$AY$4,'17.01'!$AY$3)),(VLOOKUP('17.01'!Z40,'17.01'!$AM$4:$AO$55,2,FALSE))*IF('17.01'!$AK40="是",'17.01'!$AY$4,'17.01'!$AY$3))</f>
        <v>0</v>
      </c>
      <c r="S40" s="4">
        <f>IF(ISNUMBER(SEARCH("营",'17.01'!AA40)),(-$Y40+50*IF('17.01'!$AK40="是",'17.01'!$AY$4,'17.01'!$AY$3)),(VLOOKUP('17.01'!AA40,'17.01'!$AM$4:$AO$55,2,FALSE))*IF('17.01'!$AK40="是",'17.01'!$AY$4,'17.01'!$AY$3))</f>
        <v>0</v>
      </c>
      <c r="T40" s="4">
        <f>IF(ISNUMBER(SEARCH("营",'17.01'!AB40)),(-$Y40+50*IF('17.01'!$AK40="是",'17.01'!$AY$4,'17.01'!$AY$3)),(VLOOKUP('17.01'!AB40,'17.01'!$AM$4:$AO$55,2,FALSE))*IF('17.01'!$AK40="是",'17.01'!$AY$4,'17.01'!$AY$3))</f>
        <v>0</v>
      </c>
      <c r="U40" s="4">
        <f>IF(ISNUMBER(SEARCH("营",'17.01'!AC40)),(-$Y40+50*IF('17.01'!$AK40="是",'17.01'!$AY$4,'17.01'!$AY$3)),(VLOOKUP('17.01'!AC40,'17.01'!$AM$4:$AO$55,2,FALSE))*IF('17.01'!$AK40="是",'17.01'!$AY$4,'17.01'!$AY$3))</f>
        <v>0</v>
      </c>
      <c r="V40" s="4">
        <f>IF(ISNUMBER(SEARCH("营",'17.01'!AD40)),(-$Y40+50*IF('17.01'!$AK40="是",'17.01'!$AY$4,'17.01'!$AY$3)),(VLOOKUP('17.01'!AD40,'17.01'!$AM$4:$AO$55,2,FALSE))*IF('17.01'!$AK40="是",'17.01'!$AY$4,'17.01'!$AY$3))</f>
        <v>0</v>
      </c>
      <c r="W40" s="4">
        <f>IF(ISNUMBER(SEARCH("营",'17.01'!AE40)),(-$Y40+50*IF('17.01'!$AK40="是",'17.01'!$AY$4,'17.01'!$AY$3)),(VLOOKUP('17.01'!AE40,'17.01'!$AM$4:$AO$55,2,FALSE))*IF('17.01'!$AK40="是",'17.01'!$AY$4,'17.01'!$AY$3))</f>
        <v>0</v>
      </c>
      <c r="X40" s="4">
        <f>IF(ISNUMBER(SEARCH("营",'17.01'!AF40)),(-$Y40+50*IF('17.01'!$AK40="是",'17.01'!$AY$4,'17.01'!$AY$3)),(VLOOKUP('17.01'!AF40,'17.01'!$AM$4:$AO$55,2,FALSE))*IF('17.01'!$AK40="是",'17.01'!$AY$4,'17.01'!$AY$3))</f>
        <v>0</v>
      </c>
      <c r="Y40" s="90">
        <v>200</v>
      </c>
    </row>
    <row r="41" spans="1:25">
      <c r="A41" s="4">
        <f>IF(ISNUMBER(SEARCH("营",'17.01'!I41)),(-$Y41+50*IF('17.01'!$AK41="是",'17.01'!$AY$4,'17.01'!$AY$3)),(VLOOKUP('17.01'!I41,'17.01'!$AM$4:$AO$55,2,FALSE))*IF('17.01'!$AK41="是",'17.01'!$AY$4,'17.01'!$AY$3))</f>
        <v>0</v>
      </c>
      <c r="B41" s="4">
        <f>IF(ISNUMBER(SEARCH("营",'17.01'!J41)),(-$Y41+50*IF('17.01'!$AK41="是",'17.01'!$AY$4,'17.01'!$AY$3)),(VLOOKUP('17.01'!J41,'17.01'!$AM$4:$AO$55,2,FALSE))*IF('17.01'!$AK41="是",'17.01'!$AY$4,'17.01'!$AY$3))</f>
        <v>0</v>
      </c>
      <c r="C41" s="4">
        <f>IF(ISNUMBER(SEARCH("营",'17.01'!K41)),(-$Y41+50*IF('17.01'!$AK41="是",'17.01'!$AY$4,'17.01'!$AY$3)),(VLOOKUP('17.01'!K41,'17.01'!$AM$4:$AO$55,2,FALSE))*IF('17.01'!$AK41="是",'17.01'!$AY$4,'17.01'!$AY$3))</f>
        <v>0</v>
      </c>
      <c r="D41" s="4">
        <f>IF(ISNUMBER(SEARCH("营",'17.01'!L41)),(-$Y41+50*IF('17.01'!$AK41="是",'17.01'!$AY$4,'17.01'!$AY$3)),(VLOOKUP('17.01'!L41,'17.01'!$AM$4:$AO$55,2,FALSE))*IF('17.01'!$AK41="是",'17.01'!$AY$4,'17.01'!$AY$3))</f>
        <v>0</v>
      </c>
      <c r="E41" s="4">
        <f>IF(ISNUMBER(SEARCH("营",'17.01'!M41)),(-$Y41+50*IF('17.01'!$AK41="是",'17.01'!$AY$4,'17.01'!$AY$3)),(VLOOKUP('17.01'!M41,'17.01'!$AM$4:$AO$55,2,FALSE))*IF('17.01'!$AK41="是",'17.01'!$AY$4,'17.01'!$AY$3))</f>
        <v>0</v>
      </c>
      <c r="F41" s="4">
        <f>IF(ISNUMBER(SEARCH("营",'17.01'!N41)),(-$Y41+50*IF('17.01'!$AK41="是",'17.01'!$AY$4,'17.01'!$AY$3)),(VLOOKUP('17.01'!N41,'17.01'!$AM$4:$AO$55,2,FALSE))*IF('17.01'!$AK41="是",'17.01'!$AY$4,'17.01'!$AY$3))</f>
        <v>0</v>
      </c>
      <c r="G41" s="4">
        <f>IF(ISNUMBER(SEARCH("营",'17.01'!O41)),(-$Y41+50*IF('17.01'!$AK41="是",'17.01'!$AY$4,'17.01'!$AY$3)),(VLOOKUP('17.01'!O41,'17.01'!$AM$4:$AO$55,2,FALSE))*IF('17.01'!$AK41="是",'17.01'!$AY$4,'17.01'!$AY$3))</f>
        <v>0</v>
      </c>
      <c r="H41" s="4">
        <f>IF(ISNUMBER(SEARCH("营",'17.01'!P41)),(-$Y41+50*IF('17.01'!$AK41="是",'17.01'!$AY$4,'17.01'!$AY$3)),(VLOOKUP('17.01'!P41,'17.01'!$AM$4:$AO$55,2,FALSE))*IF('17.01'!$AK41="是",'17.01'!$AY$4,'17.01'!$AY$3))</f>
        <v>0</v>
      </c>
      <c r="I41" s="4">
        <f>IF(ISNUMBER(SEARCH("营",'17.01'!Q41)),(-$Y41+50*IF('17.01'!$AK41="是",'17.01'!$AY$4,'17.01'!$AY$3)),(VLOOKUP('17.01'!Q41,'17.01'!$AM$4:$AO$55,2,FALSE))*IF('17.01'!$AK41="是",'17.01'!$AY$4,'17.01'!$AY$3))</f>
        <v>0</v>
      </c>
      <c r="J41" s="4">
        <f>IF(ISNUMBER(SEARCH("营",'17.01'!R41)),(-$Y41+50*IF('17.01'!$AK41="是",'17.01'!$AY$4,'17.01'!$AY$3)),(VLOOKUP('17.01'!R41,'17.01'!$AM$4:$AO$55,2,FALSE))*IF('17.01'!$AK41="是",'17.01'!$AY$4,'17.01'!$AY$3))</f>
        <v>0</v>
      </c>
      <c r="K41" s="4">
        <f>IF(ISNUMBER(SEARCH("营",'17.01'!S41)),(-$Y41+50*IF('17.01'!$AK41="是",'17.01'!$AY$4,'17.01'!$AY$3)),(VLOOKUP('17.01'!S41,'17.01'!$AM$4:$AO$55,2,FALSE))*IF('17.01'!$AK41="是",'17.01'!$AY$4,'17.01'!$AY$3))</f>
        <v>0</v>
      </c>
      <c r="L41" s="4">
        <f>IF(ISNUMBER(SEARCH("营",'17.01'!T41)),(-$Y41+50*IF('17.01'!$AK41="是",'17.01'!$AY$4,'17.01'!$AY$3)),(VLOOKUP('17.01'!T41,'17.01'!$AM$4:$AO$55,2,FALSE))*IF('17.01'!$AK41="是",'17.01'!$AY$4,'17.01'!$AY$3))</f>
        <v>0</v>
      </c>
      <c r="M41" s="4">
        <f>IF(ISNUMBER(SEARCH("营",'17.01'!U41)),(-$Y41+50*IF('17.01'!$AK41="是",'17.01'!$AY$4,'17.01'!$AY$3)),(VLOOKUP('17.01'!U41,'17.01'!$AM$4:$AO$55,2,FALSE))*IF('17.01'!$AK41="是",'17.01'!$AY$4,'17.01'!$AY$3))</f>
        <v>0</v>
      </c>
      <c r="N41" s="4">
        <f>IF(ISNUMBER(SEARCH("营",'17.01'!V41)),(-$Y41+50*IF('17.01'!$AK41="是",'17.01'!$AY$4,'17.01'!$AY$3)),(VLOOKUP('17.01'!V41,'17.01'!$AM$4:$AO$55,2,FALSE))*IF('17.01'!$AK41="是",'17.01'!$AY$4,'17.01'!$AY$3))</f>
        <v>0</v>
      </c>
      <c r="O41" s="4">
        <f>IF(ISNUMBER(SEARCH("营",'17.01'!W41)),(-$Y41+50*IF('17.01'!$AK41="是",'17.01'!$AY$4,'17.01'!$AY$3)),(VLOOKUP('17.01'!W41,'17.01'!$AM$4:$AO$55,2,FALSE))*IF('17.01'!$AK41="是",'17.01'!$AY$4,'17.01'!$AY$3))</f>
        <v>0</v>
      </c>
      <c r="P41" s="4">
        <f>IF(ISNUMBER(SEARCH("营",'17.01'!X41)),(-$Y41+50*IF('17.01'!$AK41="是",'17.01'!$AY$4,'17.01'!$AY$3)),(VLOOKUP('17.01'!X41,'17.01'!$AM$4:$AO$55,2,FALSE))*IF('17.01'!$AK41="是",'17.01'!$AY$4,'17.01'!$AY$3))</f>
        <v>0</v>
      </c>
      <c r="Q41" s="4">
        <f>IF(ISNUMBER(SEARCH("营",'17.01'!Y41)),(-$Y41+50*IF('17.01'!$AK41="是",'17.01'!$AY$4,'17.01'!$AY$3)),(VLOOKUP('17.01'!Y41,'17.01'!$AM$4:$AO$55,2,FALSE))*IF('17.01'!$AK41="是",'17.01'!$AY$4,'17.01'!$AY$3))</f>
        <v>0</v>
      </c>
      <c r="R41" s="4">
        <f>IF(ISNUMBER(SEARCH("营",'17.01'!Z41)),(-$Y41+50*IF('17.01'!$AK41="是",'17.01'!$AY$4,'17.01'!$AY$3)),(VLOOKUP('17.01'!Z41,'17.01'!$AM$4:$AO$55,2,FALSE))*IF('17.01'!$AK41="是",'17.01'!$AY$4,'17.01'!$AY$3))</f>
        <v>0</v>
      </c>
      <c r="S41" s="4">
        <f>IF(ISNUMBER(SEARCH("营",'17.01'!AA41)),(-$Y41+50*IF('17.01'!$AK41="是",'17.01'!$AY$4,'17.01'!$AY$3)),(VLOOKUP('17.01'!AA41,'17.01'!$AM$4:$AO$55,2,FALSE))*IF('17.01'!$AK41="是",'17.01'!$AY$4,'17.01'!$AY$3))</f>
        <v>0</v>
      </c>
      <c r="T41" s="4">
        <f>IF(ISNUMBER(SEARCH("营",'17.01'!AB41)),(-$Y41+50*IF('17.01'!$AK41="是",'17.01'!$AY$4,'17.01'!$AY$3)),(VLOOKUP('17.01'!AB41,'17.01'!$AM$4:$AO$55,2,FALSE))*IF('17.01'!$AK41="是",'17.01'!$AY$4,'17.01'!$AY$3))</f>
        <v>0</v>
      </c>
      <c r="U41" s="4">
        <f>IF(ISNUMBER(SEARCH("营",'17.01'!AC41)),(-$Y41+50*IF('17.01'!$AK41="是",'17.01'!$AY$4,'17.01'!$AY$3)),(VLOOKUP('17.01'!AC41,'17.01'!$AM$4:$AO$55,2,FALSE))*IF('17.01'!$AK41="是",'17.01'!$AY$4,'17.01'!$AY$3))</f>
        <v>0</v>
      </c>
      <c r="V41" s="4">
        <f>IF(ISNUMBER(SEARCH("营",'17.01'!AD41)),(-$Y41+50*IF('17.01'!$AK41="是",'17.01'!$AY$4,'17.01'!$AY$3)),(VLOOKUP('17.01'!AD41,'17.01'!$AM$4:$AO$55,2,FALSE))*IF('17.01'!$AK41="是",'17.01'!$AY$4,'17.01'!$AY$3))</f>
        <v>0</v>
      </c>
      <c r="W41" s="4">
        <f>IF(ISNUMBER(SEARCH("营",'17.01'!AE41)),(-$Y41+50*IF('17.01'!$AK41="是",'17.01'!$AY$4,'17.01'!$AY$3)),(VLOOKUP('17.01'!AE41,'17.01'!$AM$4:$AO$55,2,FALSE))*IF('17.01'!$AK41="是",'17.01'!$AY$4,'17.01'!$AY$3))</f>
        <v>0</v>
      </c>
      <c r="X41" s="4">
        <f>IF(ISNUMBER(SEARCH("营",'17.01'!AF41)),(-$Y41+50*IF('17.01'!$AK41="是",'17.01'!$AY$4,'17.01'!$AY$3)),(VLOOKUP('17.01'!AF41,'17.01'!$AM$4:$AO$55,2,FALSE))*IF('17.01'!$AK41="是",'17.01'!$AY$4,'17.01'!$AY$3))</f>
        <v>0</v>
      </c>
      <c r="Y41" s="90">
        <v>200</v>
      </c>
    </row>
    <row r="42" spans="1:25">
      <c r="A42" s="4">
        <f>IF(ISNUMBER(SEARCH("营",'17.01'!I42)),(-$Y42+50*IF('17.01'!$AK42="是",'17.01'!$AY$4,'17.01'!$AY$3)),(VLOOKUP('17.01'!I42,'17.01'!$AM$4:$AO$55,2,FALSE))*IF('17.01'!$AK42="是",'17.01'!$AY$4,'17.01'!$AY$3))</f>
        <v>0</v>
      </c>
      <c r="B42" s="4">
        <f>IF(ISNUMBER(SEARCH("营",'17.01'!J42)),(-$Y42+50*IF('17.01'!$AK42="是",'17.01'!$AY$4,'17.01'!$AY$3)),(VLOOKUP('17.01'!J42,'17.01'!$AM$4:$AO$55,2,FALSE))*IF('17.01'!$AK42="是",'17.01'!$AY$4,'17.01'!$AY$3))</f>
        <v>0</v>
      </c>
      <c r="C42" s="4">
        <f>IF(ISNUMBER(SEARCH("营",'17.01'!K42)),(-$Y42+50*IF('17.01'!$AK42="是",'17.01'!$AY$4,'17.01'!$AY$3)),(VLOOKUP('17.01'!K42,'17.01'!$AM$4:$AO$55,2,FALSE))*IF('17.01'!$AK42="是",'17.01'!$AY$4,'17.01'!$AY$3))</f>
        <v>0</v>
      </c>
      <c r="D42" s="4">
        <f>IF(ISNUMBER(SEARCH("营",'17.01'!L42)),(-$Y42+50*IF('17.01'!$AK42="是",'17.01'!$AY$4,'17.01'!$AY$3)),(VLOOKUP('17.01'!L42,'17.01'!$AM$4:$AO$55,2,FALSE))*IF('17.01'!$AK42="是",'17.01'!$AY$4,'17.01'!$AY$3))</f>
        <v>0</v>
      </c>
      <c r="E42" s="4">
        <f>IF(ISNUMBER(SEARCH("营",'17.01'!M42)),(-$Y42+50*IF('17.01'!$AK42="是",'17.01'!$AY$4,'17.01'!$AY$3)),(VLOOKUP('17.01'!M42,'17.01'!$AM$4:$AO$55,2,FALSE))*IF('17.01'!$AK42="是",'17.01'!$AY$4,'17.01'!$AY$3))</f>
        <v>0</v>
      </c>
      <c r="F42" s="4">
        <f>IF(ISNUMBER(SEARCH("营",'17.01'!N42)),(-$Y42+50*IF('17.01'!$AK42="是",'17.01'!$AY$4,'17.01'!$AY$3)),(VLOOKUP('17.01'!N42,'17.01'!$AM$4:$AO$55,2,FALSE))*IF('17.01'!$AK42="是",'17.01'!$AY$4,'17.01'!$AY$3))</f>
        <v>0</v>
      </c>
      <c r="G42" s="4">
        <f>IF(ISNUMBER(SEARCH("营",'17.01'!O42)),(-$Y42+50*IF('17.01'!$AK42="是",'17.01'!$AY$4,'17.01'!$AY$3)),(VLOOKUP('17.01'!O42,'17.01'!$AM$4:$AO$55,2,FALSE))*IF('17.01'!$AK42="是",'17.01'!$AY$4,'17.01'!$AY$3))</f>
        <v>0</v>
      </c>
      <c r="H42" s="4">
        <f>IF(ISNUMBER(SEARCH("营",'17.01'!P42)),(-$Y42+50*IF('17.01'!$AK42="是",'17.01'!$AY$4,'17.01'!$AY$3)),(VLOOKUP('17.01'!P42,'17.01'!$AM$4:$AO$55,2,FALSE))*IF('17.01'!$AK42="是",'17.01'!$AY$4,'17.01'!$AY$3))</f>
        <v>0</v>
      </c>
      <c r="I42" s="4">
        <f>IF(ISNUMBER(SEARCH("营",'17.01'!Q42)),(-$Y42+50*IF('17.01'!$AK42="是",'17.01'!$AY$4,'17.01'!$AY$3)),(VLOOKUP('17.01'!Q42,'17.01'!$AM$4:$AO$55,2,FALSE))*IF('17.01'!$AK42="是",'17.01'!$AY$4,'17.01'!$AY$3))</f>
        <v>0</v>
      </c>
      <c r="J42" s="4">
        <f>IF(ISNUMBER(SEARCH("营",'17.01'!R42)),(-$Y42+50*IF('17.01'!$AK42="是",'17.01'!$AY$4,'17.01'!$AY$3)),(VLOOKUP('17.01'!R42,'17.01'!$AM$4:$AO$55,2,FALSE))*IF('17.01'!$AK42="是",'17.01'!$AY$4,'17.01'!$AY$3))</f>
        <v>0</v>
      </c>
      <c r="K42" s="4">
        <f>IF(ISNUMBER(SEARCH("营",'17.01'!S42)),(-$Y42+50*IF('17.01'!$AK42="是",'17.01'!$AY$4,'17.01'!$AY$3)),(VLOOKUP('17.01'!S42,'17.01'!$AM$4:$AO$55,2,FALSE))*IF('17.01'!$AK42="是",'17.01'!$AY$4,'17.01'!$AY$3))</f>
        <v>0</v>
      </c>
      <c r="L42" s="4">
        <f>IF(ISNUMBER(SEARCH("营",'17.01'!T42)),(-$Y42+50*IF('17.01'!$AK42="是",'17.01'!$AY$4,'17.01'!$AY$3)),(VLOOKUP('17.01'!T42,'17.01'!$AM$4:$AO$55,2,FALSE))*IF('17.01'!$AK42="是",'17.01'!$AY$4,'17.01'!$AY$3))</f>
        <v>0</v>
      </c>
      <c r="M42" s="4">
        <f>IF(ISNUMBER(SEARCH("营",'17.01'!U42)),(-$Y42+50*IF('17.01'!$AK42="是",'17.01'!$AY$4,'17.01'!$AY$3)),(VLOOKUP('17.01'!U42,'17.01'!$AM$4:$AO$55,2,FALSE))*IF('17.01'!$AK42="是",'17.01'!$AY$4,'17.01'!$AY$3))</f>
        <v>0</v>
      </c>
      <c r="N42" s="4">
        <f>IF(ISNUMBER(SEARCH("营",'17.01'!V42)),(-$Y42+50*IF('17.01'!$AK42="是",'17.01'!$AY$4,'17.01'!$AY$3)),(VLOOKUP('17.01'!V42,'17.01'!$AM$4:$AO$55,2,FALSE))*IF('17.01'!$AK42="是",'17.01'!$AY$4,'17.01'!$AY$3))</f>
        <v>0</v>
      </c>
      <c r="O42" s="4">
        <f>IF(ISNUMBER(SEARCH("营",'17.01'!W42)),(-$Y42+50*IF('17.01'!$AK42="是",'17.01'!$AY$4,'17.01'!$AY$3)),(VLOOKUP('17.01'!W42,'17.01'!$AM$4:$AO$55,2,FALSE))*IF('17.01'!$AK42="是",'17.01'!$AY$4,'17.01'!$AY$3))</f>
        <v>0</v>
      </c>
      <c r="P42" s="4">
        <f>IF(ISNUMBER(SEARCH("营",'17.01'!X42)),(-$Y42+50*IF('17.01'!$AK42="是",'17.01'!$AY$4,'17.01'!$AY$3)),(VLOOKUP('17.01'!X42,'17.01'!$AM$4:$AO$55,2,FALSE))*IF('17.01'!$AK42="是",'17.01'!$AY$4,'17.01'!$AY$3))</f>
        <v>0</v>
      </c>
      <c r="Q42" s="4">
        <f>IF(ISNUMBER(SEARCH("营",'17.01'!Y42)),(-$Y42+50*IF('17.01'!$AK42="是",'17.01'!$AY$4,'17.01'!$AY$3)),(VLOOKUP('17.01'!Y42,'17.01'!$AM$4:$AO$55,2,FALSE))*IF('17.01'!$AK42="是",'17.01'!$AY$4,'17.01'!$AY$3))</f>
        <v>0</v>
      </c>
      <c r="R42" s="4">
        <f>IF(ISNUMBER(SEARCH("营",'17.01'!Z42)),(-$Y42+50*IF('17.01'!$AK42="是",'17.01'!$AY$4,'17.01'!$AY$3)),(VLOOKUP('17.01'!Z42,'17.01'!$AM$4:$AO$55,2,FALSE))*IF('17.01'!$AK42="是",'17.01'!$AY$4,'17.01'!$AY$3))</f>
        <v>0</v>
      </c>
      <c r="S42" s="4">
        <f>IF(ISNUMBER(SEARCH("营",'17.01'!AA42)),(-$Y42+50*IF('17.01'!$AK42="是",'17.01'!$AY$4,'17.01'!$AY$3)),(VLOOKUP('17.01'!AA42,'17.01'!$AM$4:$AO$55,2,FALSE))*IF('17.01'!$AK42="是",'17.01'!$AY$4,'17.01'!$AY$3))</f>
        <v>0</v>
      </c>
      <c r="T42" s="4">
        <f>IF(ISNUMBER(SEARCH("营",'17.01'!AB42)),(-$Y42+50*IF('17.01'!$AK42="是",'17.01'!$AY$4,'17.01'!$AY$3)),(VLOOKUP('17.01'!AB42,'17.01'!$AM$4:$AO$55,2,FALSE))*IF('17.01'!$AK42="是",'17.01'!$AY$4,'17.01'!$AY$3))</f>
        <v>0</v>
      </c>
      <c r="U42" s="4">
        <f>IF(ISNUMBER(SEARCH("营",'17.01'!AC42)),(-$Y42+50*IF('17.01'!$AK42="是",'17.01'!$AY$4,'17.01'!$AY$3)),(VLOOKUP('17.01'!AC42,'17.01'!$AM$4:$AO$55,2,FALSE))*IF('17.01'!$AK42="是",'17.01'!$AY$4,'17.01'!$AY$3))</f>
        <v>0</v>
      </c>
      <c r="V42" s="4">
        <f>IF(ISNUMBER(SEARCH("营",'17.01'!AD42)),(-$Y42+50*IF('17.01'!$AK42="是",'17.01'!$AY$4,'17.01'!$AY$3)),(VLOOKUP('17.01'!AD42,'17.01'!$AM$4:$AO$55,2,FALSE))*IF('17.01'!$AK42="是",'17.01'!$AY$4,'17.01'!$AY$3))</f>
        <v>0</v>
      </c>
      <c r="W42" s="4">
        <f>IF(ISNUMBER(SEARCH("营",'17.01'!AE42)),(-$Y42+50*IF('17.01'!$AK42="是",'17.01'!$AY$4,'17.01'!$AY$3)),(VLOOKUP('17.01'!AE42,'17.01'!$AM$4:$AO$55,2,FALSE))*IF('17.01'!$AK42="是",'17.01'!$AY$4,'17.01'!$AY$3))</f>
        <v>0</v>
      </c>
      <c r="X42" s="4">
        <f>IF(ISNUMBER(SEARCH("营",'17.01'!AF42)),(-$Y42+50*IF('17.01'!$AK42="是",'17.01'!$AY$4,'17.01'!$AY$3)),(VLOOKUP('17.01'!AF42,'17.01'!$AM$4:$AO$55,2,FALSE))*IF('17.01'!$AK42="是",'17.01'!$AY$4,'17.01'!$AY$3))</f>
        <v>0</v>
      </c>
      <c r="Y42" s="90">
        <v>200</v>
      </c>
    </row>
    <row r="43" spans="1:25">
      <c r="A43" s="4">
        <f>IF(ISNUMBER(SEARCH("营",'17.01'!I43)),(-$Y43+50*IF('17.01'!$AK43="是",'17.01'!$AY$4,'17.01'!$AY$3)),(VLOOKUP('17.01'!I43,'17.01'!$AM$4:$AO$55,2,FALSE))*IF('17.01'!$AK43="是",'17.01'!$AY$4,'17.01'!$AY$3))</f>
        <v>0</v>
      </c>
      <c r="B43" s="4">
        <f>IF(ISNUMBER(SEARCH("营",'17.01'!J43)),(-$Y43+50*IF('17.01'!$AK43="是",'17.01'!$AY$4,'17.01'!$AY$3)),(VLOOKUP('17.01'!J43,'17.01'!$AM$4:$AO$55,2,FALSE))*IF('17.01'!$AK43="是",'17.01'!$AY$4,'17.01'!$AY$3))</f>
        <v>0</v>
      </c>
      <c r="C43" s="4">
        <f>IF(ISNUMBER(SEARCH("营",'17.01'!K43)),(-$Y43+50*IF('17.01'!$AK43="是",'17.01'!$AY$4,'17.01'!$AY$3)),(VLOOKUP('17.01'!K43,'17.01'!$AM$4:$AO$55,2,FALSE))*IF('17.01'!$AK43="是",'17.01'!$AY$4,'17.01'!$AY$3))</f>
        <v>0</v>
      </c>
      <c r="D43" s="4">
        <f>IF(ISNUMBER(SEARCH("营",'17.01'!L43)),(-$Y43+50*IF('17.01'!$AK43="是",'17.01'!$AY$4,'17.01'!$AY$3)),(VLOOKUP('17.01'!L43,'17.01'!$AM$4:$AO$55,2,FALSE))*IF('17.01'!$AK43="是",'17.01'!$AY$4,'17.01'!$AY$3))</f>
        <v>0</v>
      </c>
      <c r="E43" s="4">
        <f>IF(ISNUMBER(SEARCH("营",'17.01'!M43)),(-$Y43+50*IF('17.01'!$AK43="是",'17.01'!$AY$4,'17.01'!$AY$3)),(VLOOKUP('17.01'!M43,'17.01'!$AM$4:$AO$55,2,FALSE))*IF('17.01'!$AK43="是",'17.01'!$AY$4,'17.01'!$AY$3))</f>
        <v>0</v>
      </c>
      <c r="F43" s="4">
        <f>IF(ISNUMBER(SEARCH("营",'17.01'!N43)),(-$Y43+50*IF('17.01'!$AK43="是",'17.01'!$AY$4,'17.01'!$AY$3)),(VLOOKUP('17.01'!N43,'17.01'!$AM$4:$AO$55,2,FALSE))*IF('17.01'!$AK43="是",'17.01'!$AY$4,'17.01'!$AY$3))</f>
        <v>0</v>
      </c>
      <c r="G43" s="4">
        <f>IF(ISNUMBER(SEARCH("营",'17.01'!O43)),(-$Y43+50*IF('17.01'!$AK43="是",'17.01'!$AY$4,'17.01'!$AY$3)),(VLOOKUP('17.01'!O43,'17.01'!$AM$4:$AO$55,2,FALSE))*IF('17.01'!$AK43="是",'17.01'!$AY$4,'17.01'!$AY$3))</f>
        <v>0</v>
      </c>
      <c r="H43" s="4">
        <f>IF(ISNUMBER(SEARCH("营",'17.01'!P43)),(-$Y43+50*IF('17.01'!$AK43="是",'17.01'!$AY$4,'17.01'!$AY$3)),(VLOOKUP('17.01'!P43,'17.01'!$AM$4:$AO$55,2,FALSE))*IF('17.01'!$AK43="是",'17.01'!$AY$4,'17.01'!$AY$3))</f>
        <v>0</v>
      </c>
      <c r="I43" s="4">
        <f>IF(ISNUMBER(SEARCH("营",'17.01'!Q43)),(-$Y43+50*IF('17.01'!$AK43="是",'17.01'!$AY$4,'17.01'!$AY$3)),(VLOOKUP('17.01'!Q43,'17.01'!$AM$4:$AO$55,2,FALSE))*IF('17.01'!$AK43="是",'17.01'!$AY$4,'17.01'!$AY$3))</f>
        <v>0</v>
      </c>
      <c r="J43" s="4">
        <f>IF(ISNUMBER(SEARCH("营",'17.01'!R43)),(-$Y43+50*IF('17.01'!$AK43="是",'17.01'!$AY$4,'17.01'!$AY$3)),(VLOOKUP('17.01'!R43,'17.01'!$AM$4:$AO$55,2,FALSE))*IF('17.01'!$AK43="是",'17.01'!$AY$4,'17.01'!$AY$3))</f>
        <v>0</v>
      </c>
      <c r="K43" s="4">
        <f>IF(ISNUMBER(SEARCH("营",'17.01'!S43)),(-$Y43+50*IF('17.01'!$AK43="是",'17.01'!$AY$4,'17.01'!$AY$3)),(VLOOKUP('17.01'!S43,'17.01'!$AM$4:$AO$55,2,FALSE))*IF('17.01'!$AK43="是",'17.01'!$AY$4,'17.01'!$AY$3))</f>
        <v>0</v>
      </c>
      <c r="L43" s="4">
        <f>IF(ISNUMBER(SEARCH("营",'17.01'!T43)),(-$Y43+50*IF('17.01'!$AK43="是",'17.01'!$AY$4,'17.01'!$AY$3)),(VLOOKUP('17.01'!T43,'17.01'!$AM$4:$AO$55,2,FALSE))*IF('17.01'!$AK43="是",'17.01'!$AY$4,'17.01'!$AY$3))</f>
        <v>0</v>
      </c>
      <c r="M43" s="4">
        <f>IF(ISNUMBER(SEARCH("营",'17.01'!U43)),(-$Y43+50*IF('17.01'!$AK43="是",'17.01'!$AY$4,'17.01'!$AY$3)),(VLOOKUP('17.01'!U43,'17.01'!$AM$4:$AO$55,2,FALSE))*IF('17.01'!$AK43="是",'17.01'!$AY$4,'17.01'!$AY$3))</f>
        <v>0</v>
      </c>
      <c r="N43" s="4">
        <f>IF(ISNUMBER(SEARCH("营",'17.01'!V43)),(-$Y43+50*IF('17.01'!$AK43="是",'17.01'!$AY$4,'17.01'!$AY$3)),(VLOOKUP('17.01'!V43,'17.01'!$AM$4:$AO$55,2,FALSE))*IF('17.01'!$AK43="是",'17.01'!$AY$4,'17.01'!$AY$3))</f>
        <v>0</v>
      </c>
      <c r="O43" s="4">
        <f>IF(ISNUMBER(SEARCH("营",'17.01'!W43)),(-$Y43+50*IF('17.01'!$AK43="是",'17.01'!$AY$4,'17.01'!$AY$3)),(VLOOKUP('17.01'!W43,'17.01'!$AM$4:$AO$55,2,FALSE))*IF('17.01'!$AK43="是",'17.01'!$AY$4,'17.01'!$AY$3))</f>
        <v>0</v>
      </c>
      <c r="P43" s="4">
        <f>IF(ISNUMBER(SEARCH("营",'17.01'!X43)),(-$Y43+50*IF('17.01'!$AK43="是",'17.01'!$AY$4,'17.01'!$AY$3)),(VLOOKUP('17.01'!X43,'17.01'!$AM$4:$AO$55,2,FALSE))*IF('17.01'!$AK43="是",'17.01'!$AY$4,'17.01'!$AY$3))</f>
        <v>0</v>
      </c>
      <c r="Q43" s="4">
        <f>IF(ISNUMBER(SEARCH("营",'17.01'!Y43)),(-$Y43+50*IF('17.01'!$AK43="是",'17.01'!$AY$4,'17.01'!$AY$3)),(VLOOKUP('17.01'!Y43,'17.01'!$AM$4:$AO$55,2,FALSE))*IF('17.01'!$AK43="是",'17.01'!$AY$4,'17.01'!$AY$3))</f>
        <v>0</v>
      </c>
      <c r="R43" s="4">
        <f>IF(ISNUMBER(SEARCH("营",'17.01'!Z43)),(-$Y43+50*IF('17.01'!$AK43="是",'17.01'!$AY$4,'17.01'!$AY$3)),(VLOOKUP('17.01'!Z43,'17.01'!$AM$4:$AO$55,2,FALSE))*IF('17.01'!$AK43="是",'17.01'!$AY$4,'17.01'!$AY$3))</f>
        <v>0</v>
      </c>
      <c r="S43" s="4">
        <f>IF(ISNUMBER(SEARCH("营",'17.01'!AA43)),(-$Y43+50*IF('17.01'!$AK43="是",'17.01'!$AY$4,'17.01'!$AY$3)),(VLOOKUP('17.01'!AA43,'17.01'!$AM$4:$AO$55,2,FALSE))*IF('17.01'!$AK43="是",'17.01'!$AY$4,'17.01'!$AY$3))</f>
        <v>0</v>
      </c>
      <c r="T43" s="4">
        <f>IF(ISNUMBER(SEARCH("营",'17.01'!AB43)),(-$Y43+50*IF('17.01'!$AK43="是",'17.01'!$AY$4,'17.01'!$AY$3)),(VLOOKUP('17.01'!AB43,'17.01'!$AM$4:$AO$55,2,FALSE))*IF('17.01'!$AK43="是",'17.01'!$AY$4,'17.01'!$AY$3))</f>
        <v>0</v>
      </c>
      <c r="U43" s="4">
        <f>IF(ISNUMBER(SEARCH("营",'17.01'!AC43)),(-$Y43+50*IF('17.01'!$AK43="是",'17.01'!$AY$4,'17.01'!$AY$3)),(VLOOKUP('17.01'!AC43,'17.01'!$AM$4:$AO$55,2,FALSE))*IF('17.01'!$AK43="是",'17.01'!$AY$4,'17.01'!$AY$3))</f>
        <v>0</v>
      </c>
      <c r="V43" s="4">
        <f>IF(ISNUMBER(SEARCH("营",'17.01'!AD43)),(-$Y43+50*IF('17.01'!$AK43="是",'17.01'!$AY$4,'17.01'!$AY$3)),(VLOOKUP('17.01'!AD43,'17.01'!$AM$4:$AO$55,2,FALSE))*IF('17.01'!$AK43="是",'17.01'!$AY$4,'17.01'!$AY$3))</f>
        <v>0</v>
      </c>
      <c r="W43" s="4">
        <f>IF(ISNUMBER(SEARCH("营",'17.01'!AE43)),(-$Y43+50*IF('17.01'!$AK43="是",'17.01'!$AY$4,'17.01'!$AY$3)),(VLOOKUP('17.01'!AE43,'17.01'!$AM$4:$AO$55,2,FALSE))*IF('17.01'!$AK43="是",'17.01'!$AY$4,'17.01'!$AY$3))</f>
        <v>0</v>
      </c>
      <c r="X43" s="4">
        <f>IF(ISNUMBER(SEARCH("营",'17.01'!AF43)),(-$Y43+50*IF('17.01'!$AK43="是",'17.01'!$AY$4,'17.01'!$AY$3)),(VLOOKUP('17.01'!AF43,'17.01'!$AM$4:$AO$55,2,FALSE))*IF('17.01'!$AK43="是",'17.01'!$AY$4,'17.01'!$AY$3))</f>
        <v>0</v>
      </c>
      <c r="Y43" s="90">
        <v>200</v>
      </c>
    </row>
    <row r="44" spans="1:25">
      <c r="A44" s="4">
        <f>IF(ISNUMBER(SEARCH("营",'17.01'!I44)),(-$Y44+50*IF('17.01'!$AK44="是",'17.01'!$AY$4,'17.01'!$AY$3)),(VLOOKUP('17.01'!I44,'17.01'!$AM$4:$AO$55,2,FALSE))*IF('17.01'!$AK44="是",'17.01'!$AY$4,'17.01'!$AY$3))</f>
        <v>0</v>
      </c>
      <c r="B44" s="4">
        <f>IF(ISNUMBER(SEARCH("营",'17.01'!J44)),(-$Y44+50*IF('17.01'!$AK44="是",'17.01'!$AY$4,'17.01'!$AY$3)),(VLOOKUP('17.01'!J44,'17.01'!$AM$4:$AO$55,2,FALSE))*IF('17.01'!$AK44="是",'17.01'!$AY$4,'17.01'!$AY$3))</f>
        <v>0</v>
      </c>
      <c r="C44" s="4">
        <f>IF(ISNUMBER(SEARCH("营",'17.01'!K44)),(-$Y44+50*IF('17.01'!$AK44="是",'17.01'!$AY$4,'17.01'!$AY$3)),(VLOOKUP('17.01'!K44,'17.01'!$AM$4:$AO$55,2,FALSE))*IF('17.01'!$AK44="是",'17.01'!$AY$4,'17.01'!$AY$3))</f>
        <v>0</v>
      </c>
      <c r="D44" s="4">
        <f>IF(ISNUMBER(SEARCH("营",'17.01'!L44)),(-$Y44+50*IF('17.01'!$AK44="是",'17.01'!$AY$4,'17.01'!$AY$3)),(VLOOKUP('17.01'!L44,'17.01'!$AM$4:$AO$55,2,FALSE))*IF('17.01'!$AK44="是",'17.01'!$AY$4,'17.01'!$AY$3))</f>
        <v>0</v>
      </c>
      <c r="E44" s="4">
        <f>IF(ISNUMBER(SEARCH("营",'17.01'!M44)),(-$Y44+50*IF('17.01'!$AK44="是",'17.01'!$AY$4,'17.01'!$AY$3)),(VLOOKUP('17.01'!M44,'17.01'!$AM$4:$AO$55,2,FALSE))*IF('17.01'!$AK44="是",'17.01'!$AY$4,'17.01'!$AY$3))</f>
        <v>0</v>
      </c>
      <c r="F44" s="4">
        <f>IF(ISNUMBER(SEARCH("营",'17.01'!N44)),(-$Y44+50*IF('17.01'!$AK44="是",'17.01'!$AY$4,'17.01'!$AY$3)),(VLOOKUP('17.01'!N44,'17.01'!$AM$4:$AO$55,2,FALSE))*IF('17.01'!$AK44="是",'17.01'!$AY$4,'17.01'!$AY$3))</f>
        <v>0</v>
      </c>
      <c r="G44" s="4">
        <f>IF(ISNUMBER(SEARCH("营",'17.01'!O44)),(-$Y44+50*IF('17.01'!$AK44="是",'17.01'!$AY$4,'17.01'!$AY$3)),(VLOOKUP('17.01'!O44,'17.01'!$AM$4:$AO$55,2,FALSE))*IF('17.01'!$AK44="是",'17.01'!$AY$4,'17.01'!$AY$3))</f>
        <v>0</v>
      </c>
      <c r="H44" s="4">
        <f>IF(ISNUMBER(SEARCH("营",'17.01'!P44)),(-$Y44+50*IF('17.01'!$AK44="是",'17.01'!$AY$4,'17.01'!$AY$3)),(VLOOKUP('17.01'!P44,'17.01'!$AM$4:$AO$55,2,FALSE))*IF('17.01'!$AK44="是",'17.01'!$AY$4,'17.01'!$AY$3))</f>
        <v>0</v>
      </c>
      <c r="I44" s="4">
        <f>IF(ISNUMBER(SEARCH("营",'17.01'!Q44)),(-$Y44+50*IF('17.01'!$AK44="是",'17.01'!$AY$4,'17.01'!$AY$3)),(VLOOKUP('17.01'!Q44,'17.01'!$AM$4:$AO$55,2,FALSE))*IF('17.01'!$AK44="是",'17.01'!$AY$4,'17.01'!$AY$3))</f>
        <v>0</v>
      </c>
      <c r="J44" s="4">
        <f>IF(ISNUMBER(SEARCH("营",'17.01'!R44)),(-$Y44+50*IF('17.01'!$AK44="是",'17.01'!$AY$4,'17.01'!$AY$3)),(VLOOKUP('17.01'!R44,'17.01'!$AM$4:$AO$55,2,FALSE))*IF('17.01'!$AK44="是",'17.01'!$AY$4,'17.01'!$AY$3))</f>
        <v>0</v>
      </c>
      <c r="K44" s="4">
        <f>IF(ISNUMBER(SEARCH("营",'17.01'!S44)),(-$Y44+50*IF('17.01'!$AK44="是",'17.01'!$AY$4,'17.01'!$AY$3)),(VLOOKUP('17.01'!S44,'17.01'!$AM$4:$AO$55,2,FALSE))*IF('17.01'!$AK44="是",'17.01'!$AY$4,'17.01'!$AY$3))</f>
        <v>0</v>
      </c>
      <c r="L44" s="4">
        <f>IF(ISNUMBER(SEARCH("营",'17.01'!T44)),(-$Y44+50*IF('17.01'!$AK44="是",'17.01'!$AY$4,'17.01'!$AY$3)),(VLOOKUP('17.01'!T44,'17.01'!$AM$4:$AO$55,2,FALSE))*IF('17.01'!$AK44="是",'17.01'!$AY$4,'17.01'!$AY$3))</f>
        <v>0</v>
      </c>
      <c r="M44" s="4">
        <f>IF(ISNUMBER(SEARCH("营",'17.01'!U44)),(-$Y44+50*IF('17.01'!$AK44="是",'17.01'!$AY$4,'17.01'!$AY$3)),(VLOOKUP('17.01'!U44,'17.01'!$AM$4:$AO$55,2,FALSE))*IF('17.01'!$AK44="是",'17.01'!$AY$4,'17.01'!$AY$3))</f>
        <v>0</v>
      </c>
      <c r="N44" s="4">
        <f>IF(ISNUMBER(SEARCH("营",'17.01'!V44)),(-$Y44+50*IF('17.01'!$AK44="是",'17.01'!$AY$4,'17.01'!$AY$3)),(VLOOKUP('17.01'!V44,'17.01'!$AM$4:$AO$55,2,FALSE))*IF('17.01'!$AK44="是",'17.01'!$AY$4,'17.01'!$AY$3))</f>
        <v>0</v>
      </c>
      <c r="O44" s="4">
        <f>IF(ISNUMBER(SEARCH("营",'17.01'!W44)),(-$Y44+50*IF('17.01'!$AK44="是",'17.01'!$AY$4,'17.01'!$AY$3)),(VLOOKUP('17.01'!W44,'17.01'!$AM$4:$AO$55,2,FALSE))*IF('17.01'!$AK44="是",'17.01'!$AY$4,'17.01'!$AY$3))</f>
        <v>0</v>
      </c>
      <c r="P44" s="4">
        <f>IF(ISNUMBER(SEARCH("营",'17.01'!X44)),(-$Y44+50*IF('17.01'!$AK44="是",'17.01'!$AY$4,'17.01'!$AY$3)),(VLOOKUP('17.01'!X44,'17.01'!$AM$4:$AO$55,2,FALSE))*IF('17.01'!$AK44="是",'17.01'!$AY$4,'17.01'!$AY$3))</f>
        <v>0</v>
      </c>
      <c r="Q44" s="4">
        <f>IF(ISNUMBER(SEARCH("营",'17.01'!Y44)),(-$Y44+50*IF('17.01'!$AK44="是",'17.01'!$AY$4,'17.01'!$AY$3)),(VLOOKUP('17.01'!Y44,'17.01'!$AM$4:$AO$55,2,FALSE))*IF('17.01'!$AK44="是",'17.01'!$AY$4,'17.01'!$AY$3))</f>
        <v>0</v>
      </c>
      <c r="R44" s="4">
        <f>IF(ISNUMBER(SEARCH("营",'17.01'!Z44)),(-$Y44+50*IF('17.01'!$AK44="是",'17.01'!$AY$4,'17.01'!$AY$3)),(VLOOKUP('17.01'!Z44,'17.01'!$AM$4:$AO$55,2,FALSE))*IF('17.01'!$AK44="是",'17.01'!$AY$4,'17.01'!$AY$3))</f>
        <v>0</v>
      </c>
      <c r="S44" s="4">
        <f>IF(ISNUMBER(SEARCH("营",'17.01'!AA44)),(-$Y44+50*IF('17.01'!$AK44="是",'17.01'!$AY$4,'17.01'!$AY$3)),(VLOOKUP('17.01'!AA44,'17.01'!$AM$4:$AO$55,2,FALSE))*IF('17.01'!$AK44="是",'17.01'!$AY$4,'17.01'!$AY$3))</f>
        <v>0</v>
      </c>
      <c r="T44" s="4">
        <f>IF(ISNUMBER(SEARCH("营",'17.01'!AB44)),(-$Y44+50*IF('17.01'!$AK44="是",'17.01'!$AY$4,'17.01'!$AY$3)),(VLOOKUP('17.01'!AB44,'17.01'!$AM$4:$AO$55,2,FALSE))*IF('17.01'!$AK44="是",'17.01'!$AY$4,'17.01'!$AY$3))</f>
        <v>0</v>
      </c>
      <c r="U44" s="4">
        <f>IF(ISNUMBER(SEARCH("营",'17.01'!AC44)),(-$Y44+50*IF('17.01'!$AK44="是",'17.01'!$AY$4,'17.01'!$AY$3)),(VLOOKUP('17.01'!AC44,'17.01'!$AM$4:$AO$55,2,FALSE))*IF('17.01'!$AK44="是",'17.01'!$AY$4,'17.01'!$AY$3))</f>
        <v>0</v>
      </c>
      <c r="V44" s="4">
        <f>IF(ISNUMBER(SEARCH("营",'17.01'!AD44)),(-$Y44+50*IF('17.01'!$AK44="是",'17.01'!$AY$4,'17.01'!$AY$3)),(VLOOKUP('17.01'!AD44,'17.01'!$AM$4:$AO$55,2,FALSE))*IF('17.01'!$AK44="是",'17.01'!$AY$4,'17.01'!$AY$3))</f>
        <v>0</v>
      </c>
      <c r="W44" s="4">
        <f>IF(ISNUMBER(SEARCH("营",'17.01'!AE44)),(-$Y44+50*IF('17.01'!$AK44="是",'17.01'!$AY$4,'17.01'!$AY$3)),(VLOOKUP('17.01'!AE44,'17.01'!$AM$4:$AO$55,2,FALSE))*IF('17.01'!$AK44="是",'17.01'!$AY$4,'17.01'!$AY$3))</f>
        <v>0</v>
      </c>
      <c r="X44" s="4">
        <f>IF(ISNUMBER(SEARCH("营",'17.01'!AF44)),(-$Y44+50*IF('17.01'!$AK44="是",'17.01'!$AY$4,'17.01'!$AY$3)),(VLOOKUP('17.01'!AF44,'17.01'!$AM$4:$AO$55,2,FALSE))*IF('17.01'!$AK44="是",'17.01'!$AY$4,'17.01'!$AY$3))</f>
        <v>0</v>
      </c>
      <c r="Y44" s="90">
        <v>200</v>
      </c>
    </row>
    <row r="45" spans="1:25">
      <c r="A45" s="4">
        <f>IF(ISNUMBER(SEARCH("营",'17.01'!I45)),(-$Y45+50*IF('17.01'!$AK45="是",'17.01'!$AY$4,'17.01'!$AY$3)),(VLOOKUP('17.01'!I45,'17.01'!$AM$4:$AO$55,2,FALSE))*IF('17.01'!$AK45="是",'17.01'!$AY$4,'17.01'!$AY$3))</f>
        <v>0</v>
      </c>
      <c r="B45" s="4">
        <f>IF(ISNUMBER(SEARCH("营",'17.01'!J45)),(-$Y45+50*IF('17.01'!$AK45="是",'17.01'!$AY$4,'17.01'!$AY$3)),(VLOOKUP('17.01'!J45,'17.01'!$AM$4:$AO$55,2,FALSE))*IF('17.01'!$AK45="是",'17.01'!$AY$4,'17.01'!$AY$3))</f>
        <v>0</v>
      </c>
      <c r="C45" s="4">
        <f>IF(ISNUMBER(SEARCH("营",'17.01'!K45)),(-$Y45+50*IF('17.01'!$AK45="是",'17.01'!$AY$4,'17.01'!$AY$3)),(VLOOKUP('17.01'!K45,'17.01'!$AM$4:$AO$55,2,FALSE))*IF('17.01'!$AK45="是",'17.01'!$AY$4,'17.01'!$AY$3))</f>
        <v>0</v>
      </c>
      <c r="D45" s="4">
        <f>IF(ISNUMBER(SEARCH("营",'17.01'!L45)),(-$Y45+50*IF('17.01'!$AK45="是",'17.01'!$AY$4,'17.01'!$AY$3)),(VLOOKUP('17.01'!L45,'17.01'!$AM$4:$AO$55,2,FALSE))*IF('17.01'!$AK45="是",'17.01'!$AY$4,'17.01'!$AY$3))</f>
        <v>0</v>
      </c>
      <c r="E45" s="4">
        <f>IF(ISNUMBER(SEARCH("营",'17.01'!M45)),(-$Y45+50*IF('17.01'!$AK45="是",'17.01'!$AY$4,'17.01'!$AY$3)),(VLOOKUP('17.01'!M45,'17.01'!$AM$4:$AO$55,2,FALSE))*IF('17.01'!$AK45="是",'17.01'!$AY$4,'17.01'!$AY$3))</f>
        <v>0</v>
      </c>
      <c r="F45" s="4">
        <f>IF(ISNUMBER(SEARCH("营",'17.01'!N45)),(-$Y45+50*IF('17.01'!$AK45="是",'17.01'!$AY$4,'17.01'!$AY$3)),(VLOOKUP('17.01'!N45,'17.01'!$AM$4:$AO$55,2,FALSE))*IF('17.01'!$AK45="是",'17.01'!$AY$4,'17.01'!$AY$3))</f>
        <v>0</v>
      </c>
      <c r="G45" s="4">
        <f>IF(ISNUMBER(SEARCH("营",'17.01'!O45)),(-$Y45+50*IF('17.01'!$AK45="是",'17.01'!$AY$4,'17.01'!$AY$3)),(VLOOKUP('17.01'!O45,'17.01'!$AM$4:$AO$55,2,FALSE))*IF('17.01'!$AK45="是",'17.01'!$AY$4,'17.01'!$AY$3))</f>
        <v>0</v>
      </c>
      <c r="H45" s="4">
        <f>IF(ISNUMBER(SEARCH("营",'17.01'!P45)),(-$Y45+50*IF('17.01'!$AK45="是",'17.01'!$AY$4,'17.01'!$AY$3)),(VLOOKUP('17.01'!P45,'17.01'!$AM$4:$AO$55,2,FALSE))*IF('17.01'!$AK45="是",'17.01'!$AY$4,'17.01'!$AY$3))</f>
        <v>0</v>
      </c>
      <c r="I45" s="4">
        <f>IF(ISNUMBER(SEARCH("营",'17.01'!Q45)),(-$Y45+50*IF('17.01'!$AK45="是",'17.01'!$AY$4,'17.01'!$AY$3)),(VLOOKUP('17.01'!Q45,'17.01'!$AM$4:$AO$55,2,FALSE))*IF('17.01'!$AK45="是",'17.01'!$AY$4,'17.01'!$AY$3))</f>
        <v>0</v>
      </c>
      <c r="J45" s="4">
        <f>IF(ISNUMBER(SEARCH("营",'17.01'!R45)),(-$Y45+50*IF('17.01'!$AK45="是",'17.01'!$AY$4,'17.01'!$AY$3)),(VLOOKUP('17.01'!R45,'17.01'!$AM$4:$AO$55,2,FALSE))*IF('17.01'!$AK45="是",'17.01'!$AY$4,'17.01'!$AY$3))</f>
        <v>0</v>
      </c>
      <c r="K45" s="4">
        <f>IF(ISNUMBER(SEARCH("营",'17.01'!S45)),(-$Y45+50*IF('17.01'!$AK45="是",'17.01'!$AY$4,'17.01'!$AY$3)),(VLOOKUP('17.01'!S45,'17.01'!$AM$4:$AO$55,2,FALSE))*IF('17.01'!$AK45="是",'17.01'!$AY$4,'17.01'!$AY$3))</f>
        <v>0</v>
      </c>
      <c r="L45" s="4">
        <f>IF(ISNUMBER(SEARCH("营",'17.01'!T45)),(-$Y45+50*IF('17.01'!$AK45="是",'17.01'!$AY$4,'17.01'!$AY$3)),(VLOOKUP('17.01'!T45,'17.01'!$AM$4:$AO$55,2,FALSE))*IF('17.01'!$AK45="是",'17.01'!$AY$4,'17.01'!$AY$3))</f>
        <v>0</v>
      </c>
      <c r="M45" s="4">
        <f>IF(ISNUMBER(SEARCH("营",'17.01'!U45)),(-$Y45+50*IF('17.01'!$AK45="是",'17.01'!$AY$4,'17.01'!$AY$3)),(VLOOKUP('17.01'!U45,'17.01'!$AM$4:$AO$55,2,FALSE))*IF('17.01'!$AK45="是",'17.01'!$AY$4,'17.01'!$AY$3))</f>
        <v>0</v>
      </c>
      <c r="N45" s="4">
        <f>IF(ISNUMBER(SEARCH("营",'17.01'!V45)),(-$Y45+50*IF('17.01'!$AK45="是",'17.01'!$AY$4,'17.01'!$AY$3)),(VLOOKUP('17.01'!V45,'17.01'!$AM$4:$AO$55,2,FALSE))*IF('17.01'!$AK45="是",'17.01'!$AY$4,'17.01'!$AY$3))</f>
        <v>0</v>
      </c>
      <c r="O45" s="4">
        <f>IF(ISNUMBER(SEARCH("营",'17.01'!W45)),(-$Y45+50*IF('17.01'!$AK45="是",'17.01'!$AY$4,'17.01'!$AY$3)),(VLOOKUP('17.01'!W45,'17.01'!$AM$4:$AO$55,2,FALSE))*IF('17.01'!$AK45="是",'17.01'!$AY$4,'17.01'!$AY$3))</f>
        <v>0</v>
      </c>
      <c r="P45" s="4">
        <f>IF(ISNUMBER(SEARCH("营",'17.01'!X45)),(-$Y45+50*IF('17.01'!$AK45="是",'17.01'!$AY$4,'17.01'!$AY$3)),(VLOOKUP('17.01'!X45,'17.01'!$AM$4:$AO$55,2,FALSE))*IF('17.01'!$AK45="是",'17.01'!$AY$4,'17.01'!$AY$3))</f>
        <v>0</v>
      </c>
      <c r="Q45" s="4">
        <f>IF(ISNUMBER(SEARCH("营",'17.01'!Y45)),(-$Y45+50*IF('17.01'!$AK45="是",'17.01'!$AY$4,'17.01'!$AY$3)),(VLOOKUP('17.01'!Y45,'17.01'!$AM$4:$AO$55,2,FALSE))*IF('17.01'!$AK45="是",'17.01'!$AY$4,'17.01'!$AY$3))</f>
        <v>0</v>
      </c>
      <c r="R45" s="4">
        <f>IF(ISNUMBER(SEARCH("营",'17.01'!Z45)),(-$Y45+50*IF('17.01'!$AK45="是",'17.01'!$AY$4,'17.01'!$AY$3)),(VLOOKUP('17.01'!Z45,'17.01'!$AM$4:$AO$55,2,FALSE))*IF('17.01'!$AK45="是",'17.01'!$AY$4,'17.01'!$AY$3))</f>
        <v>0</v>
      </c>
      <c r="S45" s="4">
        <f>IF(ISNUMBER(SEARCH("营",'17.01'!AA45)),(-$Y45+50*IF('17.01'!$AK45="是",'17.01'!$AY$4,'17.01'!$AY$3)),(VLOOKUP('17.01'!AA45,'17.01'!$AM$4:$AO$55,2,FALSE))*IF('17.01'!$AK45="是",'17.01'!$AY$4,'17.01'!$AY$3))</f>
        <v>0</v>
      </c>
      <c r="T45" s="4">
        <f>IF(ISNUMBER(SEARCH("营",'17.01'!AB45)),(-$Y45+50*IF('17.01'!$AK45="是",'17.01'!$AY$4,'17.01'!$AY$3)),(VLOOKUP('17.01'!AB45,'17.01'!$AM$4:$AO$55,2,FALSE))*IF('17.01'!$AK45="是",'17.01'!$AY$4,'17.01'!$AY$3))</f>
        <v>0</v>
      </c>
      <c r="U45" s="4">
        <f>IF(ISNUMBER(SEARCH("营",'17.01'!AC45)),(-$Y45+50*IF('17.01'!$AK45="是",'17.01'!$AY$4,'17.01'!$AY$3)),(VLOOKUP('17.01'!AC45,'17.01'!$AM$4:$AO$55,2,FALSE))*IF('17.01'!$AK45="是",'17.01'!$AY$4,'17.01'!$AY$3))</f>
        <v>0</v>
      </c>
      <c r="V45" s="4">
        <f>IF(ISNUMBER(SEARCH("营",'17.01'!AD45)),(-$Y45+50*IF('17.01'!$AK45="是",'17.01'!$AY$4,'17.01'!$AY$3)),(VLOOKUP('17.01'!AD45,'17.01'!$AM$4:$AO$55,2,FALSE))*IF('17.01'!$AK45="是",'17.01'!$AY$4,'17.01'!$AY$3))</f>
        <v>0</v>
      </c>
      <c r="W45" s="4">
        <f>IF(ISNUMBER(SEARCH("营",'17.01'!AE45)),(-$Y45+50*IF('17.01'!$AK45="是",'17.01'!$AY$4,'17.01'!$AY$3)),(VLOOKUP('17.01'!AE45,'17.01'!$AM$4:$AO$55,2,FALSE))*IF('17.01'!$AK45="是",'17.01'!$AY$4,'17.01'!$AY$3))</f>
        <v>0</v>
      </c>
      <c r="X45" s="4">
        <f>IF(ISNUMBER(SEARCH("营",'17.01'!AF45)),(-$Y45+50*IF('17.01'!$AK45="是",'17.01'!$AY$4,'17.01'!$AY$3)),(VLOOKUP('17.01'!AF45,'17.01'!$AM$4:$AO$55,2,FALSE))*IF('17.01'!$AK45="是",'17.01'!$AY$4,'17.01'!$AY$3))</f>
        <v>0</v>
      </c>
      <c r="Y45" s="90">
        <v>200</v>
      </c>
    </row>
    <row r="46" spans="1:25">
      <c r="A46" s="4">
        <f>IF(ISNUMBER(SEARCH("营",'17.01'!I46)),(-$Y46+50*IF('17.01'!$AK46="是",'17.01'!$AY$4,'17.01'!$AY$3)),(VLOOKUP('17.01'!I46,'17.01'!$AM$4:$AO$55,2,FALSE))*IF('17.01'!$AK46="是",'17.01'!$AY$4,'17.01'!$AY$3))</f>
        <v>0</v>
      </c>
      <c r="B46" s="4">
        <f>IF(ISNUMBER(SEARCH("营",'17.01'!J46)),(-$Y46+50*IF('17.01'!$AK46="是",'17.01'!$AY$4,'17.01'!$AY$3)),(VLOOKUP('17.01'!J46,'17.01'!$AM$4:$AO$55,2,FALSE))*IF('17.01'!$AK46="是",'17.01'!$AY$4,'17.01'!$AY$3))</f>
        <v>0</v>
      </c>
      <c r="C46" s="4">
        <f>IF(ISNUMBER(SEARCH("营",'17.01'!K46)),(-$Y46+50*IF('17.01'!$AK46="是",'17.01'!$AY$4,'17.01'!$AY$3)),(VLOOKUP('17.01'!K46,'17.01'!$AM$4:$AO$55,2,FALSE))*IF('17.01'!$AK46="是",'17.01'!$AY$4,'17.01'!$AY$3))</f>
        <v>0</v>
      </c>
      <c r="D46" s="4">
        <f>IF(ISNUMBER(SEARCH("营",'17.01'!L46)),(-$Y46+50*IF('17.01'!$AK46="是",'17.01'!$AY$4,'17.01'!$AY$3)),(VLOOKUP('17.01'!L46,'17.01'!$AM$4:$AO$55,2,FALSE))*IF('17.01'!$AK46="是",'17.01'!$AY$4,'17.01'!$AY$3))</f>
        <v>0</v>
      </c>
      <c r="E46" s="4">
        <f>IF(ISNUMBER(SEARCH("营",'17.01'!M46)),(-$Y46+50*IF('17.01'!$AK46="是",'17.01'!$AY$4,'17.01'!$AY$3)),(VLOOKUP('17.01'!M46,'17.01'!$AM$4:$AO$55,2,FALSE))*IF('17.01'!$AK46="是",'17.01'!$AY$4,'17.01'!$AY$3))</f>
        <v>0</v>
      </c>
      <c r="F46" s="4">
        <f>IF(ISNUMBER(SEARCH("营",'17.01'!N46)),(-$Y46+50*IF('17.01'!$AK46="是",'17.01'!$AY$4,'17.01'!$AY$3)),(VLOOKUP('17.01'!N46,'17.01'!$AM$4:$AO$55,2,FALSE))*IF('17.01'!$AK46="是",'17.01'!$AY$4,'17.01'!$AY$3))</f>
        <v>0</v>
      </c>
      <c r="G46" s="4">
        <f>IF(ISNUMBER(SEARCH("营",'17.01'!O46)),(-$Y46+50*IF('17.01'!$AK46="是",'17.01'!$AY$4,'17.01'!$AY$3)),(VLOOKUP('17.01'!O46,'17.01'!$AM$4:$AO$55,2,FALSE))*IF('17.01'!$AK46="是",'17.01'!$AY$4,'17.01'!$AY$3))</f>
        <v>0</v>
      </c>
      <c r="H46" s="4">
        <f>IF(ISNUMBER(SEARCH("营",'17.01'!P46)),(-$Y46+50*IF('17.01'!$AK46="是",'17.01'!$AY$4,'17.01'!$AY$3)),(VLOOKUP('17.01'!P46,'17.01'!$AM$4:$AO$55,2,FALSE))*IF('17.01'!$AK46="是",'17.01'!$AY$4,'17.01'!$AY$3))</f>
        <v>0</v>
      </c>
      <c r="I46" s="4">
        <f>IF(ISNUMBER(SEARCH("营",'17.01'!Q46)),(-$Y46+50*IF('17.01'!$AK46="是",'17.01'!$AY$4,'17.01'!$AY$3)),(VLOOKUP('17.01'!Q46,'17.01'!$AM$4:$AO$55,2,FALSE))*IF('17.01'!$AK46="是",'17.01'!$AY$4,'17.01'!$AY$3))</f>
        <v>0</v>
      </c>
      <c r="J46" s="4">
        <f>IF(ISNUMBER(SEARCH("营",'17.01'!R46)),(-$Y46+50*IF('17.01'!$AK46="是",'17.01'!$AY$4,'17.01'!$AY$3)),(VLOOKUP('17.01'!R46,'17.01'!$AM$4:$AO$55,2,FALSE))*IF('17.01'!$AK46="是",'17.01'!$AY$4,'17.01'!$AY$3))</f>
        <v>0</v>
      </c>
      <c r="K46" s="4">
        <f>IF(ISNUMBER(SEARCH("营",'17.01'!S46)),(-$Y46+50*IF('17.01'!$AK46="是",'17.01'!$AY$4,'17.01'!$AY$3)),(VLOOKUP('17.01'!S46,'17.01'!$AM$4:$AO$55,2,FALSE))*IF('17.01'!$AK46="是",'17.01'!$AY$4,'17.01'!$AY$3))</f>
        <v>0</v>
      </c>
      <c r="L46" s="4">
        <f>IF(ISNUMBER(SEARCH("营",'17.01'!T46)),(-$Y46+50*IF('17.01'!$AK46="是",'17.01'!$AY$4,'17.01'!$AY$3)),(VLOOKUP('17.01'!T46,'17.01'!$AM$4:$AO$55,2,FALSE))*IF('17.01'!$AK46="是",'17.01'!$AY$4,'17.01'!$AY$3))</f>
        <v>0</v>
      </c>
      <c r="M46" s="4">
        <f>IF(ISNUMBER(SEARCH("营",'17.01'!U46)),(-$Y46+50*IF('17.01'!$AK46="是",'17.01'!$AY$4,'17.01'!$AY$3)),(VLOOKUP('17.01'!U46,'17.01'!$AM$4:$AO$55,2,FALSE))*IF('17.01'!$AK46="是",'17.01'!$AY$4,'17.01'!$AY$3))</f>
        <v>0</v>
      </c>
      <c r="N46" s="4">
        <f>IF(ISNUMBER(SEARCH("营",'17.01'!V46)),(-$Y46+50*IF('17.01'!$AK46="是",'17.01'!$AY$4,'17.01'!$AY$3)),(VLOOKUP('17.01'!V46,'17.01'!$AM$4:$AO$55,2,FALSE))*IF('17.01'!$AK46="是",'17.01'!$AY$4,'17.01'!$AY$3))</f>
        <v>0</v>
      </c>
      <c r="O46" s="4">
        <f>IF(ISNUMBER(SEARCH("营",'17.01'!W46)),(-$Y46+50*IF('17.01'!$AK46="是",'17.01'!$AY$4,'17.01'!$AY$3)),(VLOOKUP('17.01'!W46,'17.01'!$AM$4:$AO$55,2,FALSE))*IF('17.01'!$AK46="是",'17.01'!$AY$4,'17.01'!$AY$3))</f>
        <v>0</v>
      </c>
      <c r="P46" s="4">
        <f>IF(ISNUMBER(SEARCH("营",'17.01'!X46)),(-$Y46+50*IF('17.01'!$AK46="是",'17.01'!$AY$4,'17.01'!$AY$3)),(VLOOKUP('17.01'!X46,'17.01'!$AM$4:$AO$55,2,FALSE))*IF('17.01'!$AK46="是",'17.01'!$AY$4,'17.01'!$AY$3))</f>
        <v>0</v>
      </c>
      <c r="Q46" s="4">
        <f>IF(ISNUMBER(SEARCH("营",'17.01'!Y46)),(-$Y46+50*IF('17.01'!$AK46="是",'17.01'!$AY$4,'17.01'!$AY$3)),(VLOOKUP('17.01'!Y46,'17.01'!$AM$4:$AO$55,2,FALSE))*IF('17.01'!$AK46="是",'17.01'!$AY$4,'17.01'!$AY$3))</f>
        <v>0</v>
      </c>
      <c r="R46" s="4">
        <f>IF(ISNUMBER(SEARCH("营",'17.01'!Z46)),(-$Y46+50*IF('17.01'!$AK46="是",'17.01'!$AY$4,'17.01'!$AY$3)),(VLOOKUP('17.01'!Z46,'17.01'!$AM$4:$AO$55,2,FALSE))*IF('17.01'!$AK46="是",'17.01'!$AY$4,'17.01'!$AY$3))</f>
        <v>0</v>
      </c>
      <c r="S46" s="4">
        <f>IF(ISNUMBER(SEARCH("营",'17.01'!AA46)),(-$Y46+50*IF('17.01'!$AK46="是",'17.01'!$AY$4,'17.01'!$AY$3)),(VLOOKUP('17.01'!AA46,'17.01'!$AM$4:$AO$55,2,FALSE))*IF('17.01'!$AK46="是",'17.01'!$AY$4,'17.01'!$AY$3))</f>
        <v>0</v>
      </c>
      <c r="T46" s="4">
        <f>IF(ISNUMBER(SEARCH("营",'17.01'!AB46)),(-$Y46+50*IF('17.01'!$AK46="是",'17.01'!$AY$4,'17.01'!$AY$3)),(VLOOKUP('17.01'!AB46,'17.01'!$AM$4:$AO$55,2,FALSE))*IF('17.01'!$AK46="是",'17.01'!$AY$4,'17.01'!$AY$3))</f>
        <v>0</v>
      </c>
      <c r="U46" s="4">
        <f>IF(ISNUMBER(SEARCH("营",'17.01'!AC46)),(-$Y46+50*IF('17.01'!$AK46="是",'17.01'!$AY$4,'17.01'!$AY$3)),(VLOOKUP('17.01'!AC46,'17.01'!$AM$4:$AO$55,2,FALSE))*IF('17.01'!$AK46="是",'17.01'!$AY$4,'17.01'!$AY$3))</f>
        <v>0</v>
      </c>
      <c r="V46" s="4">
        <f>IF(ISNUMBER(SEARCH("营",'17.01'!AD46)),(-$Y46+50*IF('17.01'!$AK46="是",'17.01'!$AY$4,'17.01'!$AY$3)),(VLOOKUP('17.01'!AD46,'17.01'!$AM$4:$AO$55,2,FALSE))*IF('17.01'!$AK46="是",'17.01'!$AY$4,'17.01'!$AY$3))</f>
        <v>0</v>
      </c>
      <c r="W46" s="4">
        <f>IF(ISNUMBER(SEARCH("营",'17.01'!AE46)),(-$Y46+50*IF('17.01'!$AK46="是",'17.01'!$AY$4,'17.01'!$AY$3)),(VLOOKUP('17.01'!AE46,'17.01'!$AM$4:$AO$55,2,FALSE))*IF('17.01'!$AK46="是",'17.01'!$AY$4,'17.01'!$AY$3))</f>
        <v>0</v>
      </c>
      <c r="X46" s="4">
        <f>IF(ISNUMBER(SEARCH("营",'17.01'!AF46)),(-$Y46+50*IF('17.01'!$AK46="是",'17.01'!$AY$4,'17.01'!$AY$3)),(VLOOKUP('17.01'!AF46,'17.01'!$AM$4:$AO$55,2,FALSE))*IF('17.01'!$AK46="是",'17.01'!$AY$4,'17.01'!$AY$3))</f>
        <v>0</v>
      </c>
      <c r="Y46" s="90">
        <v>200</v>
      </c>
    </row>
    <row r="47" spans="1:25">
      <c r="A47" s="4">
        <f>IF(ISNUMBER(SEARCH("营",'17.01'!I47)),(-$Y47+50*IF('17.01'!$AK47="是",'17.01'!$AY$4,'17.01'!$AY$3)),(VLOOKUP('17.01'!I47,'17.01'!$AM$4:$AO$55,2,FALSE))*IF('17.01'!$AK47="是",'17.01'!$AY$4,'17.01'!$AY$3))</f>
        <v>0</v>
      </c>
      <c r="B47" s="4">
        <f>IF(ISNUMBER(SEARCH("营",'17.01'!J47)),(-$Y47+50*IF('17.01'!$AK47="是",'17.01'!$AY$4,'17.01'!$AY$3)),(VLOOKUP('17.01'!J47,'17.01'!$AM$4:$AO$55,2,FALSE))*IF('17.01'!$AK47="是",'17.01'!$AY$4,'17.01'!$AY$3))</f>
        <v>0</v>
      </c>
      <c r="C47" s="4">
        <f>IF(ISNUMBER(SEARCH("营",'17.01'!K47)),(-$Y47+50*IF('17.01'!$AK47="是",'17.01'!$AY$4,'17.01'!$AY$3)),(VLOOKUP('17.01'!K47,'17.01'!$AM$4:$AO$55,2,FALSE))*IF('17.01'!$AK47="是",'17.01'!$AY$4,'17.01'!$AY$3))</f>
        <v>0</v>
      </c>
      <c r="D47" s="4">
        <f>IF(ISNUMBER(SEARCH("营",'17.01'!L47)),(-$Y47+50*IF('17.01'!$AK47="是",'17.01'!$AY$4,'17.01'!$AY$3)),(VLOOKUP('17.01'!L47,'17.01'!$AM$4:$AO$55,2,FALSE))*IF('17.01'!$AK47="是",'17.01'!$AY$4,'17.01'!$AY$3))</f>
        <v>0</v>
      </c>
      <c r="E47" s="4">
        <f>IF(ISNUMBER(SEARCH("营",'17.01'!M47)),(-$Y47+50*IF('17.01'!$AK47="是",'17.01'!$AY$4,'17.01'!$AY$3)),(VLOOKUP('17.01'!M47,'17.01'!$AM$4:$AO$55,2,FALSE))*IF('17.01'!$AK47="是",'17.01'!$AY$4,'17.01'!$AY$3))</f>
        <v>0</v>
      </c>
      <c r="F47" s="4">
        <f>IF(ISNUMBER(SEARCH("营",'17.01'!N47)),(-$Y47+50*IF('17.01'!$AK47="是",'17.01'!$AY$4,'17.01'!$AY$3)),(VLOOKUP('17.01'!N47,'17.01'!$AM$4:$AO$55,2,FALSE))*IF('17.01'!$AK47="是",'17.01'!$AY$4,'17.01'!$AY$3))</f>
        <v>0</v>
      </c>
      <c r="G47" s="4">
        <f>IF(ISNUMBER(SEARCH("营",'17.01'!O47)),(-$Y47+50*IF('17.01'!$AK47="是",'17.01'!$AY$4,'17.01'!$AY$3)),(VLOOKUP('17.01'!O47,'17.01'!$AM$4:$AO$55,2,FALSE))*IF('17.01'!$AK47="是",'17.01'!$AY$4,'17.01'!$AY$3))</f>
        <v>0</v>
      </c>
      <c r="H47" s="4">
        <f>IF(ISNUMBER(SEARCH("营",'17.01'!P47)),(-$Y47+50*IF('17.01'!$AK47="是",'17.01'!$AY$4,'17.01'!$AY$3)),(VLOOKUP('17.01'!P47,'17.01'!$AM$4:$AO$55,2,FALSE))*IF('17.01'!$AK47="是",'17.01'!$AY$4,'17.01'!$AY$3))</f>
        <v>0</v>
      </c>
      <c r="I47" s="4">
        <f>IF(ISNUMBER(SEARCH("营",'17.01'!Q47)),(-$Y47+50*IF('17.01'!$AK47="是",'17.01'!$AY$4,'17.01'!$AY$3)),(VLOOKUP('17.01'!Q47,'17.01'!$AM$4:$AO$55,2,FALSE))*IF('17.01'!$AK47="是",'17.01'!$AY$4,'17.01'!$AY$3))</f>
        <v>0</v>
      </c>
      <c r="J47" s="4">
        <f>IF(ISNUMBER(SEARCH("营",'17.01'!R47)),(-$Y47+50*IF('17.01'!$AK47="是",'17.01'!$AY$4,'17.01'!$AY$3)),(VLOOKUP('17.01'!R47,'17.01'!$AM$4:$AO$55,2,FALSE))*IF('17.01'!$AK47="是",'17.01'!$AY$4,'17.01'!$AY$3))</f>
        <v>0</v>
      </c>
      <c r="K47" s="4">
        <f>IF(ISNUMBER(SEARCH("营",'17.01'!S47)),(-$Y47+50*IF('17.01'!$AK47="是",'17.01'!$AY$4,'17.01'!$AY$3)),(VLOOKUP('17.01'!S47,'17.01'!$AM$4:$AO$55,2,FALSE))*IF('17.01'!$AK47="是",'17.01'!$AY$4,'17.01'!$AY$3))</f>
        <v>0</v>
      </c>
      <c r="L47" s="4">
        <f>IF(ISNUMBER(SEARCH("营",'17.01'!T47)),(-$Y47+50*IF('17.01'!$AK47="是",'17.01'!$AY$4,'17.01'!$AY$3)),(VLOOKUP('17.01'!T47,'17.01'!$AM$4:$AO$55,2,FALSE))*IF('17.01'!$AK47="是",'17.01'!$AY$4,'17.01'!$AY$3))</f>
        <v>0</v>
      </c>
      <c r="M47" s="4">
        <f>IF(ISNUMBER(SEARCH("营",'17.01'!U47)),(-$Y47+50*IF('17.01'!$AK47="是",'17.01'!$AY$4,'17.01'!$AY$3)),(VLOOKUP('17.01'!U47,'17.01'!$AM$4:$AO$55,2,FALSE))*IF('17.01'!$AK47="是",'17.01'!$AY$4,'17.01'!$AY$3))</f>
        <v>0</v>
      </c>
      <c r="N47" s="4">
        <f>IF(ISNUMBER(SEARCH("营",'17.01'!V47)),(-$Y47+50*IF('17.01'!$AK47="是",'17.01'!$AY$4,'17.01'!$AY$3)),(VLOOKUP('17.01'!V47,'17.01'!$AM$4:$AO$55,2,FALSE))*IF('17.01'!$AK47="是",'17.01'!$AY$4,'17.01'!$AY$3))</f>
        <v>0</v>
      </c>
      <c r="O47" s="4">
        <f>IF(ISNUMBER(SEARCH("营",'17.01'!W47)),(-$Y47+50*IF('17.01'!$AK47="是",'17.01'!$AY$4,'17.01'!$AY$3)),(VLOOKUP('17.01'!W47,'17.01'!$AM$4:$AO$55,2,FALSE))*IF('17.01'!$AK47="是",'17.01'!$AY$4,'17.01'!$AY$3))</f>
        <v>0</v>
      </c>
      <c r="P47" s="4">
        <f>IF(ISNUMBER(SEARCH("营",'17.01'!X47)),(-$Y47+50*IF('17.01'!$AK47="是",'17.01'!$AY$4,'17.01'!$AY$3)),(VLOOKUP('17.01'!X47,'17.01'!$AM$4:$AO$55,2,FALSE))*IF('17.01'!$AK47="是",'17.01'!$AY$4,'17.01'!$AY$3))</f>
        <v>0</v>
      </c>
      <c r="Q47" s="4">
        <f>IF(ISNUMBER(SEARCH("营",'17.01'!Y47)),(-$Y47+50*IF('17.01'!$AK47="是",'17.01'!$AY$4,'17.01'!$AY$3)),(VLOOKUP('17.01'!Y47,'17.01'!$AM$4:$AO$55,2,FALSE))*IF('17.01'!$AK47="是",'17.01'!$AY$4,'17.01'!$AY$3))</f>
        <v>0</v>
      </c>
      <c r="R47" s="4">
        <f>IF(ISNUMBER(SEARCH("营",'17.01'!Z47)),(-$Y47+50*IF('17.01'!$AK47="是",'17.01'!$AY$4,'17.01'!$AY$3)),(VLOOKUP('17.01'!Z47,'17.01'!$AM$4:$AO$55,2,FALSE))*IF('17.01'!$AK47="是",'17.01'!$AY$4,'17.01'!$AY$3))</f>
        <v>0</v>
      </c>
      <c r="S47" s="4">
        <f>IF(ISNUMBER(SEARCH("营",'17.01'!AA47)),(-$Y47+50*IF('17.01'!$AK47="是",'17.01'!$AY$4,'17.01'!$AY$3)),(VLOOKUP('17.01'!AA47,'17.01'!$AM$4:$AO$55,2,FALSE))*IF('17.01'!$AK47="是",'17.01'!$AY$4,'17.01'!$AY$3))</f>
        <v>0</v>
      </c>
      <c r="T47" s="4">
        <f>IF(ISNUMBER(SEARCH("营",'17.01'!AB47)),(-$Y47+50*IF('17.01'!$AK47="是",'17.01'!$AY$4,'17.01'!$AY$3)),(VLOOKUP('17.01'!AB47,'17.01'!$AM$4:$AO$55,2,FALSE))*IF('17.01'!$AK47="是",'17.01'!$AY$4,'17.01'!$AY$3))</f>
        <v>0</v>
      </c>
      <c r="U47" s="4">
        <f>IF(ISNUMBER(SEARCH("营",'17.01'!AC47)),(-$Y47+50*IF('17.01'!$AK47="是",'17.01'!$AY$4,'17.01'!$AY$3)),(VLOOKUP('17.01'!AC47,'17.01'!$AM$4:$AO$55,2,FALSE))*IF('17.01'!$AK47="是",'17.01'!$AY$4,'17.01'!$AY$3))</f>
        <v>0</v>
      </c>
      <c r="V47" s="4">
        <f>IF(ISNUMBER(SEARCH("营",'17.01'!AD47)),(-$Y47+50*IF('17.01'!$AK47="是",'17.01'!$AY$4,'17.01'!$AY$3)),(VLOOKUP('17.01'!AD47,'17.01'!$AM$4:$AO$55,2,FALSE))*IF('17.01'!$AK47="是",'17.01'!$AY$4,'17.01'!$AY$3))</f>
        <v>0</v>
      </c>
      <c r="W47" s="4">
        <f>IF(ISNUMBER(SEARCH("营",'17.01'!AE47)),(-$Y47+50*IF('17.01'!$AK47="是",'17.01'!$AY$4,'17.01'!$AY$3)),(VLOOKUP('17.01'!AE47,'17.01'!$AM$4:$AO$55,2,FALSE))*IF('17.01'!$AK47="是",'17.01'!$AY$4,'17.01'!$AY$3))</f>
        <v>0</v>
      </c>
      <c r="X47" s="4">
        <f>IF(ISNUMBER(SEARCH("营",'17.01'!AF47)),(-$Y47+50*IF('17.01'!$AK47="是",'17.01'!$AY$4,'17.01'!$AY$3)),(VLOOKUP('17.01'!AF47,'17.01'!$AM$4:$AO$55,2,FALSE))*IF('17.01'!$AK47="是",'17.01'!$AY$4,'17.01'!$AY$3))</f>
        <v>0</v>
      </c>
      <c r="Y47" s="90">
        <v>200</v>
      </c>
    </row>
    <row r="48" spans="1:25">
      <c r="A48" s="4">
        <f>IF(ISNUMBER(SEARCH("营",'17.01'!I48)),(-$Y48+50*IF('17.01'!$AK48="是",'17.01'!$AY$4,'17.01'!$AY$3)),(VLOOKUP('17.01'!I48,'17.01'!$AM$4:$AO$55,2,FALSE))*IF('17.01'!$AK48="是",'17.01'!$AY$4,'17.01'!$AY$3))</f>
        <v>0</v>
      </c>
      <c r="B48" s="4">
        <f>IF(ISNUMBER(SEARCH("营",'17.01'!J48)),(-$Y48+50*IF('17.01'!$AK48="是",'17.01'!$AY$4,'17.01'!$AY$3)),(VLOOKUP('17.01'!J48,'17.01'!$AM$4:$AO$55,2,FALSE))*IF('17.01'!$AK48="是",'17.01'!$AY$4,'17.01'!$AY$3))</f>
        <v>0</v>
      </c>
      <c r="C48" s="4">
        <f>IF(ISNUMBER(SEARCH("营",'17.01'!K48)),(-$Y48+50*IF('17.01'!$AK48="是",'17.01'!$AY$4,'17.01'!$AY$3)),(VLOOKUP('17.01'!K48,'17.01'!$AM$4:$AO$55,2,FALSE))*IF('17.01'!$AK48="是",'17.01'!$AY$4,'17.01'!$AY$3))</f>
        <v>0</v>
      </c>
      <c r="D48" s="4">
        <f>IF(ISNUMBER(SEARCH("营",'17.01'!L48)),(-$Y48+50*IF('17.01'!$AK48="是",'17.01'!$AY$4,'17.01'!$AY$3)),(VLOOKUP('17.01'!L48,'17.01'!$AM$4:$AO$55,2,FALSE))*IF('17.01'!$AK48="是",'17.01'!$AY$4,'17.01'!$AY$3))</f>
        <v>0</v>
      </c>
      <c r="E48" s="4">
        <f>IF(ISNUMBER(SEARCH("营",'17.01'!M48)),(-$Y48+50*IF('17.01'!$AK48="是",'17.01'!$AY$4,'17.01'!$AY$3)),(VLOOKUP('17.01'!M48,'17.01'!$AM$4:$AO$55,2,FALSE))*IF('17.01'!$AK48="是",'17.01'!$AY$4,'17.01'!$AY$3))</f>
        <v>0</v>
      </c>
      <c r="F48" s="4">
        <f>IF(ISNUMBER(SEARCH("营",'17.01'!N48)),(-$Y48+50*IF('17.01'!$AK48="是",'17.01'!$AY$4,'17.01'!$AY$3)),(VLOOKUP('17.01'!N48,'17.01'!$AM$4:$AO$55,2,FALSE))*IF('17.01'!$AK48="是",'17.01'!$AY$4,'17.01'!$AY$3))</f>
        <v>0</v>
      </c>
      <c r="G48" s="4">
        <f>IF(ISNUMBER(SEARCH("营",'17.01'!O48)),(-$Y48+50*IF('17.01'!$AK48="是",'17.01'!$AY$4,'17.01'!$AY$3)),(VLOOKUP('17.01'!O48,'17.01'!$AM$4:$AO$55,2,FALSE))*IF('17.01'!$AK48="是",'17.01'!$AY$4,'17.01'!$AY$3))</f>
        <v>0</v>
      </c>
      <c r="H48" s="4">
        <f>IF(ISNUMBER(SEARCH("营",'17.01'!P48)),(-$Y48+50*IF('17.01'!$AK48="是",'17.01'!$AY$4,'17.01'!$AY$3)),(VLOOKUP('17.01'!P48,'17.01'!$AM$4:$AO$55,2,FALSE))*IF('17.01'!$AK48="是",'17.01'!$AY$4,'17.01'!$AY$3))</f>
        <v>0</v>
      </c>
      <c r="I48" s="4">
        <f>IF(ISNUMBER(SEARCH("营",'17.01'!Q48)),(-$Y48+50*IF('17.01'!$AK48="是",'17.01'!$AY$4,'17.01'!$AY$3)),(VLOOKUP('17.01'!Q48,'17.01'!$AM$4:$AO$55,2,FALSE))*IF('17.01'!$AK48="是",'17.01'!$AY$4,'17.01'!$AY$3))</f>
        <v>0</v>
      </c>
      <c r="J48" s="4">
        <f>IF(ISNUMBER(SEARCH("营",'17.01'!R48)),(-$Y48+50*IF('17.01'!$AK48="是",'17.01'!$AY$4,'17.01'!$AY$3)),(VLOOKUP('17.01'!R48,'17.01'!$AM$4:$AO$55,2,FALSE))*IF('17.01'!$AK48="是",'17.01'!$AY$4,'17.01'!$AY$3))</f>
        <v>0</v>
      </c>
      <c r="K48" s="4">
        <f>IF(ISNUMBER(SEARCH("营",'17.01'!S48)),(-$Y48+50*IF('17.01'!$AK48="是",'17.01'!$AY$4,'17.01'!$AY$3)),(VLOOKUP('17.01'!S48,'17.01'!$AM$4:$AO$55,2,FALSE))*IF('17.01'!$AK48="是",'17.01'!$AY$4,'17.01'!$AY$3))</f>
        <v>0</v>
      </c>
      <c r="L48" s="4">
        <f>IF(ISNUMBER(SEARCH("营",'17.01'!T48)),(-$Y48+50*IF('17.01'!$AK48="是",'17.01'!$AY$4,'17.01'!$AY$3)),(VLOOKUP('17.01'!T48,'17.01'!$AM$4:$AO$55,2,FALSE))*IF('17.01'!$AK48="是",'17.01'!$AY$4,'17.01'!$AY$3))</f>
        <v>0</v>
      </c>
      <c r="M48" s="4">
        <f>IF(ISNUMBER(SEARCH("营",'17.01'!U48)),(-$Y48+50*IF('17.01'!$AK48="是",'17.01'!$AY$4,'17.01'!$AY$3)),(VLOOKUP('17.01'!U48,'17.01'!$AM$4:$AO$55,2,FALSE))*IF('17.01'!$AK48="是",'17.01'!$AY$4,'17.01'!$AY$3))</f>
        <v>0</v>
      </c>
      <c r="N48" s="4">
        <f>IF(ISNUMBER(SEARCH("营",'17.01'!V48)),(-$Y48+50*IF('17.01'!$AK48="是",'17.01'!$AY$4,'17.01'!$AY$3)),(VLOOKUP('17.01'!V48,'17.01'!$AM$4:$AO$55,2,FALSE))*IF('17.01'!$AK48="是",'17.01'!$AY$4,'17.01'!$AY$3))</f>
        <v>0</v>
      </c>
      <c r="O48" s="4">
        <f>IF(ISNUMBER(SEARCH("营",'17.01'!W48)),(-$Y48+50*IF('17.01'!$AK48="是",'17.01'!$AY$4,'17.01'!$AY$3)),(VLOOKUP('17.01'!W48,'17.01'!$AM$4:$AO$55,2,FALSE))*IF('17.01'!$AK48="是",'17.01'!$AY$4,'17.01'!$AY$3))</f>
        <v>0</v>
      </c>
      <c r="P48" s="4">
        <f>IF(ISNUMBER(SEARCH("营",'17.01'!X48)),(-$Y48+50*IF('17.01'!$AK48="是",'17.01'!$AY$4,'17.01'!$AY$3)),(VLOOKUP('17.01'!X48,'17.01'!$AM$4:$AO$55,2,FALSE))*IF('17.01'!$AK48="是",'17.01'!$AY$4,'17.01'!$AY$3))</f>
        <v>0</v>
      </c>
      <c r="Q48" s="4">
        <f>IF(ISNUMBER(SEARCH("营",'17.01'!Y48)),(-$Y48+50*IF('17.01'!$AK48="是",'17.01'!$AY$4,'17.01'!$AY$3)),(VLOOKUP('17.01'!Y48,'17.01'!$AM$4:$AO$55,2,FALSE))*IF('17.01'!$AK48="是",'17.01'!$AY$4,'17.01'!$AY$3))</f>
        <v>0</v>
      </c>
      <c r="R48" s="4">
        <f>IF(ISNUMBER(SEARCH("营",'17.01'!Z48)),(-$Y48+50*IF('17.01'!$AK48="是",'17.01'!$AY$4,'17.01'!$AY$3)),(VLOOKUP('17.01'!Z48,'17.01'!$AM$4:$AO$55,2,FALSE))*IF('17.01'!$AK48="是",'17.01'!$AY$4,'17.01'!$AY$3))</f>
        <v>0</v>
      </c>
      <c r="S48" s="4">
        <f>IF(ISNUMBER(SEARCH("营",'17.01'!AA48)),(-$Y48+50*IF('17.01'!$AK48="是",'17.01'!$AY$4,'17.01'!$AY$3)),(VLOOKUP('17.01'!AA48,'17.01'!$AM$4:$AO$55,2,FALSE))*IF('17.01'!$AK48="是",'17.01'!$AY$4,'17.01'!$AY$3))</f>
        <v>0</v>
      </c>
      <c r="T48" s="4">
        <f>IF(ISNUMBER(SEARCH("营",'17.01'!AB48)),(-$Y48+50*IF('17.01'!$AK48="是",'17.01'!$AY$4,'17.01'!$AY$3)),(VLOOKUP('17.01'!AB48,'17.01'!$AM$4:$AO$55,2,FALSE))*IF('17.01'!$AK48="是",'17.01'!$AY$4,'17.01'!$AY$3))</f>
        <v>0</v>
      </c>
      <c r="U48" s="4">
        <f>IF(ISNUMBER(SEARCH("营",'17.01'!AC48)),(-$Y48+50*IF('17.01'!$AK48="是",'17.01'!$AY$4,'17.01'!$AY$3)),(VLOOKUP('17.01'!AC48,'17.01'!$AM$4:$AO$55,2,FALSE))*IF('17.01'!$AK48="是",'17.01'!$AY$4,'17.01'!$AY$3))</f>
        <v>0</v>
      </c>
      <c r="V48" s="4">
        <f>IF(ISNUMBER(SEARCH("营",'17.01'!AD48)),(-$Y48+50*IF('17.01'!$AK48="是",'17.01'!$AY$4,'17.01'!$AY$3)),(VLOOKUP('17.01'!AD48,'17.01'!$AM$4:$AO$55,2,FALSE))*IF('17.01'!$AK48="是",'17.01'!$AY$4,'17.01'!$AY$3))</f>
        <v>0</v>
      </c>
      <c r="W48" s="4">
        <f>IF(ISNUMBER(SEARCH("营",'17.01'!AE48)),(-$Y48+50*IF('17.01'!$AK48="是",'17.01'!$AY$4,'17.01'!$AY$3)),(VLOOKUP('17.01'!AE48,'17.01'!$AM$4:$AO$55,2,FALSE))*IF('17.01'!$AK48="是",'17.01'!$AY$4,'17.01'!$AY$3))</f>
        <v>0</v>
      </c>
      <c r="X48" s="4">
        <f>IF(ISNUMBER(SEARCH("营",'17.01'!AF48)),(-$Y48+50*IF('17.01'!$AK48="是",'17.01'!$AY$4,'17.01'!$AY$3)),(VLOOKUP('17.01'!AF48,'17.01'!$AM$4:$AO$55,2,FALSE))*IF('17.01'!$AK48="是",'17.01'!$AY$4,'17.01'!$AY$3))</f>
        <v>0</v>
      </c>
      <c r="Y48" s="90">
        <v>200</v>
      </c>
    </row>
    <row r="49" spans="1:25">
      <c r="A49" s="4">
        <f>IF(ISNUMBER(SEARCH("营",'17.01'!I49)),(-$Y49+50*IF('17.01'!$AK49="是",'17.01'!$AY$4,'17.01'!$AY$3)),(VLOOKUP('17.01'!I49,'17.01'!$AM$4:$AO$55,2,FALSE))*IF('17.01'!$AK49="是",'17.01'!$AY$4,'17.01'!$AY$3))</f>
        <v>0</v>
      </c>
      <c r="B49" s="4">
        <f>IF(ISNUMBER(SEARCH("营",'17.01'!J49)),(-$Y49+50*IF('17.01'!$AK49="是",'17.01'!$AY$4,'17.01'!$AY$3)),(VLOOKUP('17.01'!J49,'17.01'!$AM$4:$AO$55,2,FALSE))*IF('17.01'!$AK49="是",'17.01'!$AY$4,'17.01'!$AY$3))</f>
        <v>0</v>
      </c>
      <c r="C49" s="4">
        <f>IF(ISNUMBER(SEARCH("营",'17.01'!K49)),(-$Y49+50*IF('17.01'!$AK49="是",'17.01'!$AY$4,'17.01'!$AY$3)),(VLOOKUP('17.01'!K49,'17.01'!$AM$4:$AO$55,2,FALSE))*IF('17.01'!$AK49="是",'17.01'!$AY$4,'17.01'!$AY$3))</f>
        <v>0</v>
      </c>
      <c r="D49" s="4">
        <f>IF(ISNUMBER(SEARCH("营",'17.01'!L49)),(-$Y49+50*IF('17.01'!$AK49="是",'17.01'!$AY$4,'17.01'!$AY$3)),(VLOOKUP('17.01'!L49,'17.01'!$AM$4:$AO$55,2,FALSE))*IF('17.01'!$AK49="是",'17.01'!$AY$4,'17.01'!$AY$3))</f>
        <v>0</v>
      </c>
      <c r="E49" s="4">
        <f>IF(ISNUMBER(SEARCH("营",'17.01'!M49)),(-$Y49+50*IF('17.01'!$AK49="是",'17.01'!$AY$4,'17.01'!$AY$3)),(VLOOKUP('17.01'!M49,'17.01'!$AM$4:$AO$55,2,FALSE))*IF('17.01'!$AK49="是",'17.01'!$AY$4,'17.01'!$AY$3))</f>
        <v>0</v>
      </c>
      <c r="F49" s="4">
        <f>IF(ISNUMBER(SEARCH("营",'17.01'!N49)),(-$Y49+50*IF('17.01'!$AK49="是",'17.01'!$AY$4,'17.01'!$AY$3)),(VLOOKUP('17.01'!N49,'17.01'!$AM$4:$AO$55,2,FALSE))*IF('17.01'!$AK49="是",'17.01'!$AY$4,'17.01'!$AY$3))</f>
        <v>0</v>
      </c>
      <c r="G49" s="4">
        <f>IF(ISNUMBER(SEARCH("营",'17.01'!O49)),(-$Y49+50*IF('17.01'!$AK49="是",'17.01'!$AY$4,'17.01'!$AY$3)),(VLOOKUP('17.01'!O49,'17.01'!$AM$4:$AO$55,2,FALSE))*IF('17.01'!$AK49="是",'17.01'!$AY$4,'17.01'!$AY$3))</f>
        <v>0</v>
      </c>
      <c r="H49" s="4">
        <f>IF(ISNUMBER(SEARCH("营",'17.01'!P49)),(-$Y49+50*IF('17.01'!$AK49="是",'17.01'!$AY$4,'17.01'!$AY$3)),(VLOOKUP('17.01'!P49,'17.01'!$AM$4:$AO$55,2,FALSE))*IF('17.01'!$AK49="是",'17.01'!$AY$4,'17.01'!$AY$3))</f>
        <v>0</v>
      </c>
      <c r="I49" s="4">
        <f>IF(ISNUMBER(SEARCH("营",'17.01'!Q49)),(-$Y49+50*IF('17.01'!$AK49="是",'17.01'!$AY$4,'17.01'!$AY$3)),(VLOOKUP('17.01'!Q49,'17.01'!$AM$4:$AO$55,2,FALSE))*IF('17.01'!$AK49="是",'17.01'!$AY$4,'17.01'!$AY$3))</f>
        <v>0</v>
      </c>
      <c r="J49" s="4">
        <f>IF(ISNUMBER(SEARCH("营",'17.01'!R49)),(-$Y49+50*IF('17.01'!$AK49="是",'17.01'!$AY$4,'17.01'!$AY$3)),(VLOOKUP('17.01'!R49,'17.01'!$AM$4:$AO$55,2,FALSE))*IF('17.01'!$AK49="是",'17.01'!$AY$4,'17.01'!$AY$3))</f>
        <v>0</v>
      </c>
      <c r="K49" s="4">
        <f>IF(ISNUMBER(SEARCH("营",'17.01'!S49)),(-$Y49+50*IF('17.01'!$AK49="是",'17.01'!$AY$4,'17.01'!$AY$3)),(VLOOKUP('17.01'!S49,'17.01'!$AM$4:$AO$55,2,FALSE))*IF('17.01'!$AK49="是",'17.01'!$AY$4,'17.01'!$AY$3))</f>
        <v>0</v>
      </c>
      <c r="L49" s="4">
        <f>IF(ISNUMBER(SEARCH("营",'17.01'!T49)),(-$Y49+50*IF('17.01'!$AK49="是",'17.01'!$AY$4,'17.01'!$AY$3)),(VLOOKUP('17.01'!T49,'17.01'!$AM$4:$AO$55,2,FALSE))*IF('17.01'!$AK49="是",'17.01'!$AY$4,'17.01'!$AY$3))</f>
        <v>0</v>
      </c>
      <c r="M49" s="4">
        <f>IF(ISNUMBER(SEARCH("营",'17.01'!U49)),(-$Y49+50*IF('17.01'!$AK49="是",'17.01'!$AY$4,'17.01'!$AY$3)),(VLOOKUP('17.01'!U49,'17.01'!$AM$4:$AO$55,2,FALSE))*IF('17.01'!$AK49="是",'17.01'!$AY$4,'17.01'!$AY$3))</f>
        <v>0</v>
      </c>
      <c r="N49" s="4">
        <f>IF(ISNUMBER(SEARCH("营",'17.01'!V49)),(-$Y49+50*IF('17.01'!$AK49="是",'17.01'!$AY$4,'17.01'!$AY$3)),(VLOOKUP('17.01'!V49,'17.01'!$AM$4:$AO$55,2,FALSE))*IF('17.01'!$AK49="是",'17.01'!$AY$4,'17.01'!$AY$3))</f>
        <v>0</v>
      </c>
      <c r="O49" s="4">
        <f>IF(ISNUMBER(SEARCH("营",'17.01'!W49)),(-$Y49+50*IF('17.01'!$AK49="是",'17.01'!$AY$4,'17.01'!$AY$3)),(VLOOKUP('17.01'!W49,'17.01'!$AM$4:$AO$55,2,FALSE))*IF('17.01'!$AK49="是",'17.01'!$AY$4,'17.01'!$AY$3))</f>
        <v>0</v>
      </c>
      <c r="P49" s="4">
        <f>IF(ISNUMBER(SEARCH("营",'17.01'!X49)),(-$Y49+50*IF('17.01'!$AK49="是",'17.01'!$AY$4,'17.01'!$AY$3)),(VLOOKUP('17.01'!X49,'17.01'!$AM$4:$AO$55,2,FALSE))*IF('17.01'!$AK49="是",'17.01'!$AY$4,'17.01'!$AY$3))</f>
        <v>0</v>
      </c>
      <c r="Q49" s="4">
        <f>IF(ISNUMBER(SEARCH("营",'17.01'!Y49)),(-$Y49+50*IF('17.01'!$AK49="是",'17.01'!$AY$4,'17.01'!$AY$3)),(VLOOKUP('17.01'!Y49,'17.01'!$AM$4:$AO$55,2,FALSE))*IF('17.01'!$AK49="是",'17.01'!$AY$4,'17.01'!$AY$3))</f>
        <v>0</v>
      </c>
      <c r="R49" s="4">
        <f>IF(ISNUMBER(SEARCH("营",'17.01'!Z49)),(-$Y49+50*IF('17.01'!$AK49="是",'17.01'!$AY$4,'17.01'!$AY$3)),(VLOOKUP('17.01'!Z49,'17.01'!$AM$4:$AO$55,2,FALSE))*IF('17.01'!$AK49="是",'17.01'!$AY$4,'17.01'!$AY$3))</f>
        <v>0</v>
      </c>
      <c r="S49" s="4">
        <f>IF(ISNUMBER(SEARCH("营",'17.01'!AA49)),(-$Y49+50*IF('17.01'!$AK49="是",'17.01'!$AY$4,'17.01'!$AY$3)),(VLOOKUP('17.01'!AA49,'17.01'!$AM$4:$AO$55,2,FALSE))*IF('17.01'!$AK49="是",'17.01'!$AY$4,'17.01'!$AY$3))</f>
        <v>0</v>
      </c>
      <c r="T49" s="4">
        <f>IF(ISNUMBER(SEARCH("营",'17.01'!AB49)),(-$Y49+50*IF('17.01'!$AK49="是",'17.01'!$AY$4,'17.01'!$AY$3)),(VLOOKUP('17.01'!AB49,'17.01'!$AM$4:$AO$55,2,FALSE))*IF('17.01'!$AK49="是",'17.01'!$AY$4,'17.01'!$AY$3))</f>
        <v>0</v>
      </c>
      <c r="U49" s="4">
        <f>IF(ISNUMBER(SEARCH("营",'17.01'!AC49)),(-$Y49+50*IF('17.01'!$AK49="是",'17.01'!$AY$4,'17.01'!$AY$3)),(VLOOKUP('17.01'!AC49,'17.01'!$AM$4:$AO$55,2,FALSE))*IF('17.01'!$AK49="是",'17.01'!$AY$4,'17.01'!$AY$3))</f>
        <v>0</v>
      </c>
      <c r="V49" s="4">
        <f>IF(ISNUMBER(SEARCH("营",'17.01'!AD49)),(-$Y49+50*IF('17.01'!$AK49="是",'17.01'!$AY$4,'17.01'!$AY$3)),(VLOOKUP('17.01'!AD49,'17.01'!$AM$4:$AO$55,2,FALSE))*IF('17.01'!$AK49="是",'17.01'!$AY$4,'17.01'!$AY$3))</f>
        <v>0</v>
      </c>
      <c r="W49" s="4">
        <f>IF(ISNUMBER(SEARCH("营",'17.01'!AE49)),(-$Y49+50*IF('17.01'!$AK49="是",'17.01'!$AY$4,'17.01'!$AY$3)),(VLOOKUP('17.01'!AE49,'17.01'!$AM$4:$AO$55,2,FALSE))*IF('17.01'!$AK49="是",'17.01'!$AY$4,'17.01'!$AY$3))</f>
        <v>0</v>
      </c>
      <c r="X49" s="4">
        <f>IF(ISNUMBER(SEARCH("营",'17.01'!AF49)),(-$Y49+50*IF('17.01'!$AK49="是",'17.01'!$AY$4,'17.01'!$AY$3)),(VLOOKUP('17.01'!AF49,'17.01'!$AM$4:$AO$55,2,FALSE))*IF('17.01'!$AK49="是",'17.01'!$AY$4,'17.01'!$AY$3))</f>
        <v>0</v>
      </c>
      <c r="Y49" s="91">
        <v>150</v>
      </c>
    </row>
    <row r="50" spans="1:25">
      <c r="A50" s="4">
        <f>IF(ISNUMBER(SEARCH("营",'17.01'!I50)),(-$Y50+50*IF('17.01'!$AK50="是",'17.01'!$AY$4,'17.01'!$AY$3)),(VLOOKUP('17.01'!I50,'17.01'!$AM$4:$AO$55,2,FALSE))*IF('17.01'!$AK50="是",'17.01'!$AY$4,'17.01'!$AY$3))</f>
        <v>0</v>
      </c>
      <c r="B50" s="4">
        <f>IF(ISNUMBER(SEARCH("营",'17.01'!J50)),(-$Y50+50*IF('17.01'!$AK50="是",'17.01'!$AY$4,'17.01'!$AY$3)),(VLOOKUP('17.01'!J50,'17.01'!$AM$4:$AO$55,2,FALSE))*IF('17.01'!$AK50="是",'17.01'!$AY$4,'17.01'!$AY$3))</f>
        <v>0</v>
      </c>
      <c r="C50" s="4">
        <f>IF(ISNUMBER(SEARCH("营",'17.01'!K50)),(-$Y50+50*IF('17.01'!$AK50="是",'17.01'!$AY$4,'17.01'!$AY$3)),(VLOOKUP('17.01'!K50,'17.01'!$AM$4:$AO$55,2,FALSE))*IF('17.01'!$AK50="是",'17.01'!$AY$4,'17.01'!$AY$3))</f>
        <v>0</v>
      </c>
      <c r="D50" s="4">
        <f>IF(ISNUMBER(SEARCH("营",'17.01'!L50)),(-$Y50+50*IF('17.01'!$AK50="是",'17.01'!$AY$4,'17.01'!$AY$3)),(VLOOKUP('17.01'!L50,'17.01'!$AM$4:$AO$55,2,FALSE))*IF('17.01'!$AK50="是",'17.01'!$AY$4,'17.01'!$AY$3))</f>
        <v>0</v>
      </c>
      <c r="E50" s="4">
        <f>IF(ISNUMBER(SEARCH("营",'17.01'!M50)),(-$Y50+50*IF('17.01'!$AK50="是",'17.01'!$AY$4,'17.01'!$AY$3)),(VLOOKUP('17.01'!M50,'17.01'!$AM$4:$AO$55,2,FALSE))*IF('17.01'!$AK50="是",'17.01'!$AY$4,'17.01'!$AY$3))</f>
        <v>0</v>
      </c>
      <c r="F50" s="4">
        <f>IF(ISNUMBER(SEARCH("营",'17.01'!N50)),(-$Y50+50*IF('17.01'!$AK50="是",'17.01'!$AY$4,'17.01'!$AY$3)),(VLOOKUP('17.01'!N50,'17.01'!$AM$4:$AO$55,2,FALSE))*IF('17.01'!$AK50="是",'17.01'!$AY$4,'17.01'!$AY$3))</f>
        <v>0</v>
      </c>
      <c r="G50" s="4">
        <f>IF(ISNUMBER(SEARCH("营",'17.01'!O50)),(-$Y50+50*IF('17.01'!$AK50="是",'17.01'!$AY$4,'17.01'!$AY$3)),(VLOOKUP('17.01'!O50,'17.01'!$AM$4:$AO$55,2,FALSE))*IF('17.01'!$AK50="是",'17.01'!$AY$4,'17.01'!$AY$3))</f>
        <v>0</v>
      </c>
      <c r="H50" s="4">
        <f>IF(ISNUMBER(SEARCH("营",'17.01'!P50)),(-$Y50+50*IF('17.01'!$AK50="是",'17.01'!$AY$4,'17.01'!$AY$3)),(VLOOKUP('17.01'!P50,'17.01'!$AM$4:$AO$55,2,FALSE))*IF('17.01'!$AK50="是",'17.01'!$AY$4,'17.01'!$AY$3))</f>
        <v>0</v>
      </c>
      <c r="I50" s="4">
        <f>IF(ISNUMBER(SEARCH("营",'17.01'!Q50)),(-$Y50+50*IF('17.01'!$AK50="是",'17.01'!$AY$4,'17.01'!$AY$3)),(VLOOKUP('17.01'!Q50,'17.01'!$AM$4:$AO$55,2,FALSE))*IF('17.01'!$AK50="是",'17.01'!$AY$4,'17.01'!$AY$3))</f>
        <v>0</v>
      </c>
      <c r="J50" s="4">
        <f>IF(ISNUMBER(SEARCH("营",'17.01'!R50)),(-$Y50+50*IF('17.01'!$AK50="是",'17.01'!$AY$4,'17.01'!$AY$3)),(VLOOKUP('17.01'!R50,'17.01'!$AM$4:$AO$55,2,FALSE))*IF('17.01'!$AK50="是",'17.01'!$AY$4,'17.01'!$AY$3))</f>
        <v>0</v>
      </c>
      <c r="K50" s="4">
        <f>IF(ISNUMBER(SEARCH("营",'17.01'!S50)),(-$Y50+50*IF('17.01'!$AK50="是",'17.01'!$AY$4,'17.01'!$AY$3)),(VLOOKUP('17.01'!S50,'17.01'!$AM$4:$AO$55,2,FALSE))*IF('17.01'!$AK50="是",'17.01'!$AY$4,'17.01'!$AY$3))</f>
        <v>0</v>
      </c>
      <c r="L50" s="4">
        <f>IF(ISNUMBER(SEARCH("营",'17.01'!T50)),(-$Y50+50*IF('17.01'!$AK50="是",'17.01'!$AY$4,'17.01'!$AY$3)),(VLOOKUP('17.01'!T50,'17.01'!$AM$4:$AO$55,2,FALSE))*IF('17.01'!$AK50="是",'17.01'!$AY$4,'17.01'!$AY$3))</f>
        <v>0</v>
      </c>
      <c r="M50" s="4">
        <f>IF(ISNUMBER(SEARCH("营",'17.01'!U50)),(-$Y50+50*IF('17.01'!$AK50="是",'17.01'!$AY$4,'17.01'!$AY$3)),(VLOOKUP('17.01'!U50,'17.01'!$AM$4:$AO$55,2,FALSE))*IF('17.01'!$AK50="是",'17.01'!$AY$4,'17.01'!$AY$3))</f>
        <v>0</v>
      </c>
      <c r="N50" s="4">
        <f>IF(ISNUMBER(SEARCH("营",'17.01'!V50)),(-$Y50+50*IF('17.01'!$AK50="是",'17.01'!$AY$4,'17.01'!$AY$3)),(VLOOKUP('17.01'!V50,'17.01'!$AM$4:$AO$55,2,FALSE))*IF('17.01'!$AK50="是",'17.01'!$AY$4,'17.01'!$AY$3))</f>
        <v>0</v>
      </c>
      <c r="O50" s="4">
        <f>IF(ISNUMBER(SEARCH("营",'17.01'!W50)),(-$Y50+50*IF('17.01'!$AK50="是",'17.01'!$AY$4,'17.01'!$AY$3)),(VLOOKUP('17.01'!W50,'17.01'!$AM$4:$AO$55,2,FALSE))*IF('17.01'!$AK50="是",'17.01'!$AY$4,'17.01'!$AY$3))</f>
        <v>0</v>
      </c>
      <c r="P50" s="4">
        <f>IF(ISNUMBER(SEARCH("营",'17.01'!X50)),(-$Y50+50*IF('17.01'!$AK50="是",'17.01'!$AY$4,'17.01'!$AY$3)),(VLOOKUP('17.01'!X50,'17.01'!$AM$4:$AO$55,2,FALSE))*IF('17.01'!$AK50="是",'17.01'!$AY$4,'17.01'!$AY$3))</f>
        <v>0</v>
      </c>
      <c r="Q50" s="4">
        <f>IF(ISNUMBER(SEARCH("营",'17.01'!Y50)),(-$Y50+50*IF('17.01'!$AK50="是",'17.01'!$AY$4,'17.01'!$AY$3)),(VLOOKUP('17.01'!Y50,'17.01'!$AM$4:$AO$55,2,FALSE))*IF('17.01'!$AK50="是",'17.01'!$AY$4,'17.01'!$AY$3))</f>
        <v>0</v>
      </c>
      <c r="R50" s="4">
        <f>IF(ISNUMBER(SEARCH("营",'17.01'!Z50)),(-$Y50+50*IF('17.01'!$AK50="是",'17.01'!$AY$4,'17.01'!$AY$3)),(VLOOKUP('17.01'!Z50,'17.01'!$AM$4:$AO$55,2,FALSE))*IF('17.01'!$AK50="是",'17.01'!$AY$4,'17.01'!$AY$3))</f>
        <v>0</v>
      </c>
      <c r="S50" s="4">
        <f>IF(ISNUMBER(SEARCH("营",'17.01'!AA50)),(-$Y50+50*IF('17.01'!$AK50="是",'17.01'!$AY$4,'17.01'!$AY$3)),(VLOOKUP('17.01'!AA50,'17.01'!$AM$4:$AO$55,2,FALSE))*IF('17.01'!$AK50="是",'17.01'!$AY$4,'17.01'!$AY$3))</f>
        <v>0</v>
      </c>
      <c r="T50" s="4">
        <f>IF(ISNUMBER(SEARCH("营",'17.01'!AB50)),(-$Y50+50*IF('17.01'!$AK50="是",'17.01'!$AY$4,'17.01'!$AY$3)),(VLOOKUP('17.01'!AB50,'17.01'!$AM$4:$AO$55,2,FALSE))*IF('17.01'!$AK50="是",'17.01'!$AY$4,'17.01'!$AY$3))</f>
        <v>0</v>
      </c>
      <c r="U50" s="4">
        <f>IF(ISNUMBER(SEARCH("营",'17.01'!AC50)),(-$Y50+50*IF('17.01'!$AK50="是",'17.01'!$AY$4,'17.01'!$AY$3)),(VLOOKUP('17.01'!AC50,'17.01'!$AM$4:$AO$55,2,FALSE))*IF('17.01'!$AK50="是",'17.01'!$AY$4,'17.01'!$AY$3))</f>
        <v>0</v>
      </c>
      <c r="V50" s="4">
        <f>IF(ISNUMBER(SEARCH("营",'17.01'!AD50)),(-$Y50+50*IF('17.01'!$AK50="是",'17.01'!$AY$4,'17.01'!$AY$3)),(VLOOKUP('17.01'!AD50,'17.01'!$AM$4:$AO$55,2,FALSE))*IF('17.01'!$AK50="是",'17.01'!$AY$4,'17.01'!$AY$3))</f>
        <v>0</v>
      </c>
      <c r="W50" s="4">
        <f>IF(ISNUMBER(SEARCH("营",'17.01'!AE50)),(-$Y50+50*IF('17.01'!$AK50="是",'17.01'!$AY$4,'17.01'!$AY$3)),(VLOOKUP('17.01'!AE50,'17.01'!$AM$4:$AO$55,2,FALSE))*IF('17.01'!$AK50="是",'17.01'!$AY$4,'17.01'!$AY$3))</f>
        <v>0</v>
      </c>
      <c r="X50" s="4">
        <f>IF(ISNUMBER(SEARCH("营",'17.01'!AF50)),(-$Y50+50*IF('17.01'!$AK50="是",'17.01'!$AY$4,'17.01'!$AY$3)),(VLOOKUP('17.01'!AF50,'17.01'!$AM$4:$AO$55,2,FALSE))*IF('17.01'!$AK50="是",'17.01'!$AY$4,'17.01'!$AY$3))</f>
        <v>0</v>
      </c>
      <c r="Y50" s="91">
        <v>150</v>
      </c>
    </row>
    <row r="51" spans="1:25">
      <c r="A51" s="4">
        <f>IF(ISNUMBER(SEARCH("营",'17.01'!I51)),(-$Y51+50*IF('17.01'!$AK51="是",'17.01'!$AY$4,'17.01'!$AY$3)),(VLOOKUP('17.01'!I51,'17.01'!$AM$4:$AO$55,2,FALSE))*IF('17.01'!$AK51="是",'17.01'!$AY$4,'17.01'!$AY$3))</f>
        <v>0</v>
      </c>
      <c r="B51" s="4">
        <f>IF(ISNUMBER(SEARCH("营",'17.01'!J51)),(-$Y51+50*IF('17.01'!$AK51="是",'17.01'!$AY$4,'17.01'!$AY$3)),(VLOOKUP('17.01'!J51,'17.01'!$AM$4:$AO$55,2,FALSE))*IF('17.01'!$AK51="是",'17.01'!$AY$4,'17.01'!$AY$3))</f>
        <v>0</v>
      </c>
      <c r="C51" s="4">
        <f>IF(ISNUMBER(SEARCH("营",'17.01'!K51)),(-$Y51+50*IF('17.01'!$AK51="是",'17.01'!$AY$4,'17.01'!$AY$3)),(VLOOKUP('17.01'!K51,'17.01'!$AM$4:$AO$55,2,FALSE))*IF('17.01'!$AK51="是",'17.01'!$AY$4,'17.01'!$AY$3))</f>
        <v>0</v>
      </c>
      <c r="D51" s="4">
        <f>IF(ISNUMBER(SEARCH("营",'17.01'!L51)),(-$Y51+50*IF('17.01'!$AK51="是",'17.01'!$AY$4,'17.01'!$AY$3)),(VLOOKUP('17.01'!L51,'17.01'!$AM$4:$AO$55,2,FALSE))*IF('17.01'!$AK51="是",'17.01'!$AY$4,'17.01'!$AY$3))</f>
        <v>0</v>
      </c>
      <c r="E51" s="4">
        <f>IF(ISNUMBER(SEARCH("营",'17.01'!M51)),(-$Y51+50*IF('17.01'!$AK51="是",'17.01'!$AY$4,'17.01'!$AY$3)),(VLOOKUP('17.01'!M51,'17.01'!$AM$4:$AO$55,2,FALSE))*IF('17.01'!$AK51="是",'17.01'!$AY$4,'17.01'!$AY$3))</f>
        <v>0</v>
      </c>
      <c r="F51" s="4">
        <f>IF(ISNUMBER(SEARCH("营",'17.01'!N51)),(-$Y51+50*IF('17.01'!$AK51="是",'17.01'!$AY$4,'17.01'!$AY$3)),(VLOOKUP('17.01'!N51,'17.01'!$AM$4:$AO$55,2,FALSE))*IF('17.01'!$AK51="是",'17.01'!$AY$4,'17.01'!$AY$3))</f>
        <v>0</v>
      </c>
      <c r="G51" s="4">
        <f>IF(ISNUMBER(SEARCH("营",'17.01'!O51)),(-$Y51+50*IF('17.01'!$AK51="是",'17.01'!$AY$4,'17.01'!$AY$3)),(VLOOKUP('17.01'!O51,'17.01'!$AM$4:$AO$55,2,FALSE))*IF('17.01'!$AK51="是",'17.01'!$AY$4,'17.01'!$AY$3))</f>
        <v>0</v>
      </c>
      <c r="H51" s="4">
        <f>IF(ISNUMBER(SEARCH("营",'17.01'!P51)),(-$Y51+50*IF('17.01'!$AK51="是",'17.01'!$AY$4,'17.01'!$AY$3)),(VLOOKUP('17.01'!P51,'17.01'!$AM$4:$AO$55,2,FALSE))*IF('17.01'!$AK51="是",'17.01'!$AY$4,'17.01'!$AY$3))</f>
        <v>0</v>
      </c>
      <c r="I51" s="4">
        <f>IF(ISNUMBER(SEARCH("营",'17.01'!Q51)),(-$Y51+50*IF('17.01'!$AK51="是",'17.01'!$AY$4,'17.01'!$AY$3)),(VLOOKUP('17.01'!Q51,'17.01'!$AM$4:$AO$55,2,FALSE))*IF('17.01'!$AK51="是",'17.01'!$AY$4,'17.01'!$AY$3))</f>
        <v>0</v>
      </c>
      <c r="J51" s="4">
        <f>IF(ISNUMBER(SEARCH("营",'17.01'!R51)),(-$Y51+50*IF('17.01'!$AK51="是",'17.01'!$AY$4,'17.01'!$AY$3)),(VLOOKUP('17.01'!R51,'17.01'!$AM$4:$AO$55,2,FALSE))*IF('17.01'!$AK51="是",'17.01'!$AY$4,'17.01'!$AY$3))</f>
        <v>0</v>
      </c>
      <c r="K51" s="4">
        <f>IF(ISNUMBER(SEARCH("营",'17.01'!S51)),(-$Y51+50*IF('17.01'!$AK51="是",'17.01'!$AY$4,'17.01'!$AY$3)),(VLOOKUP('17.01'!S51,'17.01'!$AM$4:$AO$55,2,FALSE))*IF('17.01'!$AK51="是",'17.01'!$AY$4,'17.01'!$AY$3))</f>
        <v>0</v>
      </c>
      <c r="L51" s="4">
        <f>IF(ISNUMBER(SEARCH("营",'17.01'!T51)),(-$Y51+50*IF('17.01'!$AK51="是",'17.01'!$AY$4,'17.01'!$AY$3)),(VLOOKUP('17.01'!T51,'17.01'!$AM$4:$AO$55,2,FALSE))*IF('17.01'!$AK51="是",'17.01'!$AY$4,'17.01'!$AY$3))</f>
        <v>0</v>
      </c>
      <c r="M51" s="4">
        <f>IF(ISNUMBER(SEARCH("营",'17.01'!U51)),(-$Y51+50*IF('17.01'!$AK51="是",'17.01'!$AY$4,'17.01'!$AY$3)),(VLOOKUP('17.01'!U51,'17.01'!$AM$4:$AO$55,2,FALSE))*IF('17.01'!$AK51="是",'17.01'!$AY$4,'17.01'!$AY$3))</f>
        <v>0</v>
      </c>
      <c r="N51" s="4">
        <f>IF(ISNUMBER(SEARCH("营",'17.01'!V51)),(-$Y51+50*IF('17.01'!$AK51="是",'17.01'!$AY$4,'17.01'!$AY$3)),(VLOOKUP('17.01'!V51,'17.01'!$AM$4:$AO$55,2,FALSE))*IF('17.01'!$AK51="是",'17.01'!$AY$4,'17.01'!$AY$3))</f>
        <v>0</v>
      </c>
      <c r="O51" s="4">
        <f>IF(ISNUMBER(SEARCH("营",'17.01'!W51)),(-$Y51+50*IF('17.01'!$AK51="是",'17.01'!$AY$4,'17.01'!$AY$3)),(VLOOKUP('17.01'!W51,'17.01'!$AM$4:$AO$55,2,FALSE))*IF('17.01'!$AK51="是",'17.01'!$AY$4,'17.01'!$AY$3))</f>
        <v>0</v>
      </c>
      <c r="P51" s="4">
        <f>IF(ISNUMBER(SEARCH("营",'17.01'!X51)),(-$Y51+50*IF('17.01'!$AK51="是",'17.01'!$AY$4,'17.01'!$AY$3)),(VLOOKUP('17.01'!X51,'17.01'!$AM$4:$AO$55,2,FALSE))*IF('17.01'!$AK51="是",'17.01'!$AY$4,'17.01'!$AY$3))</f>
        <v>0</v>
      </c>
      <c r="Q51" s="4">
        <f>IF(ISNUMBER(SEARCH("营",'17.01'!Y51)),(-$Y51+50*IF('17.01'!$AK51="是",'17.01'!$AY$4,'17.01'!$AY$3)),(VLOOKUP('17.01'!Y51,'17.01'!$AM$4:$AO$55,2,FALSE))*IF('17.01'!$AK51="是",'17.01'!$AY$4,'17.01'!$AY$3))</f>
        <v>0</v>
      </c>
      <c r="R51" s="4">
        <f>IF(ISNUMBER(SEARCH("营",'17.01'!Z51)),(-$Y51+50*IF('17.01'!$AK51="是",'17.01'!$AY$4,'17.01'!$AY$3)),(VLOOKUP('17.01'!Z51,'17.01'!$AM$4:$AO$55,2,FALSE))*IF('17.01'!$AK51="是",'17.01'!$AY$4,'17.01'!$AY$3))</f>
        <v>0</v>
      </c>
      <c r="S51" s="4">
        <f>IF(ISNUMBER(SEARCH("营",'17.01'!AA51)),(-$Y51+50*IF('17.01'!$AK51="是",'17.01'!$AY$4,'17.01'!$AY$3)),(VLOOKUP('17.01'!AA51,'17.01'!$AM$4:$AO$55,2,FALSE))*IF('17.01'!$AK51="是",'17.01'!$AY$4,'17.01'!$AY$3))</f>
        <v>0</v>
      </c>
      <c r="T51" s="4">
        <f>IF(ISNUMBER(SEARCH("营",'17.01'!AB51)),(-$Y51+50*IF('17.01'!$AK51="是",'17.01'!$AY$4,'17.01'!$AY$3)),(VLOOKUP('17.01'!AB51,'17.01'!$AM$4:$AO$55,2,FALSE))*IF('17.01'!$AK51="是",'17.01'!$AY$4,'17.01'!$AY$3))</f>
        <v>0</v>
      </c>
      <c r="U51" s="4">
        <f>IF(ISNUMBER(SEARCH("营",'17.01'!AC51)),(-$Y51+50*IF('17.01'!$AK51="是",'17.01'!$AY$4,'17.01'!$AY$3)),(VLOOKUP('17.01'!AC51,'17.01'!$AM$4:$AO$55,2,FALSE))*IF('17.01'!$AK51="是",'17.01'!$AY$4,'17.01'!$AY$3))</f>
        <v>0</v>
      </c>
      <c r="V51" s="4">
        <f>IF(ISNUMBER(SEARCH("营",'17.01'!AD51)),(-$Y51+50*IF('17.01'!$AK51="是",'17.01'!$AY$4,'17.01'!$AY$3)),(VLOOKUP('17.01'!AD51,'17.01'!$AM$4:$AO$55,2,FALSE))*IF('17.01'!$AK51="是",'17.01'!$AY$4,'17.01'!$AY$3))</f>
        <v>0</v>
      </c>
      <c r="W51" s="4">
        <f>IF(ISNUMBER(SEARCH("营",'17.01'!AE51)),(-$Y51+50*IF('17.01'!$AK51="是",'17.01'!$AY$4,'17.01'!$AY$3)),(VLOOKUP('17.01'!AE51,'17.01'!$AM$4:$AO$55,2,FALSE))*IF('17.01'!$AK51="是",'17.01'!$AY$4,'17.01'!$AY$3))</f>
        <v>0</v>
      </c>
      <c r="X51" s="4">
        <f>IF(ISNUMBER(SEARCH("营",'17.01'!AF51)),(-$Y51+50*IF('17.01'!$AK51="是",'17.01'!$AY$4,'17.01'!$AY$3)),(VLOOKUP('17.01'!AF51,'17.01'!$AM$4:$AO$55,2,FALSE))*IF('17.01'!$AK51="是",'17.01'!$AY$4,'17.01'!$AY$3))</f>
        <v>0</v>
      </c>
      <c r="Y51" s="91">
        <v>150</v>
      </c>
    </row>
    <row r="52" spans="1:25">
      <c r="A52" s="4">
        <f>IF(ISNUMBER(SEARCH("营",'17.01'!I52)),(-$Y52+50*IF('17.01'!$AK52="是",'17.01'!$AY$4,'17.01'!$AY$3)),(VLOOKUP('17.01'!I52,'17.01'!$AM$4:$AO$55,2,FALSE))*IF('17.01'!$AK52="是",'17.01'!$AY$4,'17.01'!$AY$3))</f>
        <v>0</v>
      </c>
      <c r="B52" s="4">
        <f>IF(ISNUMBER(SEARCH("营",'17.01'!J52)),(-$Y52+50*IF('17.01'!$AK52="是",'17.01'!$AY$4,'17.01'!$AY$3)),(VLOOKUP('17.01'!J52,'17.01'!$AM$4:$AO$55,2,FALSE))*IF('17.01'!$AK52="是",'17.01'!$AY$4,'17.01'!$AY$3))</f>
        <v>0</v>
      </c>
      <c r="C52" s="4">
        <f>IF(ISNUMBER(SEARCH("营",'17.01'!K52)),(-$Y52+50*IF('17.01'!$AK52="是",'17.01'!$AY$4,'17.01'!$AY$3)),(VLOOKUP('17.01'!K52,'17.01'!$AM$4:$AO$55,2,FALSE))*IF('17.01'!$AK52="是",'17.01'!$AY$4,'17.01'!$AY$3))</f>
        <v>0</v>
      </c>
      <c r="D52" s="4">
        <f>IF(ISNUMBER(SEARCH("营",'17.01'!L52)),(-$Y52+50*IF('17.01'!$AK52="是",'17.01'!$AY$4,'17.01'!$AY$3)),(VLOOKUP('17.01'!L52,'17.01'!$AM$4:$AO$55,2,FALSE))*IF('17.01'!$AK52="是",'17.01'!$AY$4,'17.01'!$AY$3))</f>
        <v>0</v>
      </c>
      <c r="E52" s="4">
        <f>IF(ISNUMBER(SEARCH("营",'17.01'!M52)),(-$Y52+50*IF('17.01'!$AK52="是",'17.01'!$AY$4,'17.01'!$AY$3)),(VLOOKUP('17.01'!M52,'17.01'!$AM$4:$AO$55,2,FALSE))*IF('17.01'!$AK52="是",'17.01'!$AY$4,'17.01'!$AY$3))</f>
        <v>0</v>
      </c>
      <c r="F52" s="4">
        <f>IF(ISNUMBER(SEARCH("营",'17.01'!N52)),(-$Y52+50*IF('17.01'!$AK52="是",'17.01'!$AY$4,'17.01'!$AY$3)),(VLOOKUP('17.01'!N52,'17.01'!$AM$4:$AO$55,2,FALSE))*IF('17.01'!$AK52="是",'17.01'!$AY$4,'17.01'!$AY$3))</f>
        <v>0</v>
      </c>
      <c r="G52" s="4">
        <f>IF(ISNUMBER(SEARCH("营",'17.01'!O52)),(-$Y52+50*IF('17.01'!$AK52="是",'17.01'!$AY$4,'17.01'!$AY$3)),(VLOOKUP('17.01'!O52,'17.01'!$AM$4:$AO$55,2,FALSE))*IF('17.01'!$AK52="是",'17.01'!$AY$4,'17.01'!$AY$3))</f>
        <v>0</v>
      </c>
      <c r="H52" s="4">
        <f>IF(ISNUMBER(SEARCH("营",'17.01'!P52)),(-$Y52+50*IF('17.01'!$AK52="是",'17.01'!$AY$4,'17.01'!$AY$3)),(VLOOKUP('17.01'!P52,'17.01'!$AM$4:$AO$55,2,FALSE))*IF('17.01'!$AK52="是",'17.01'!$AY$4,'17.01'!$AY$3))</f>
        <v>0</v>
      </c>
      <c r="I52" s="4">
        <f>IF(ISNUMBER(SEARCH("营",'17.01'!Q52)),(-$Y52+50*IF('17.01'!$AK52="是",'17.01'!$AY$4,'17.01'!$AY$3)),(VLOOKUP('17.01'!Q52,'17.01'!$AM$4:$AO$55,2,FALSE))*IF('17.01'!$AK52="是",'17.01'!$AY$4,'17.01'!$AY$3))</f>
        <v>0</v>
      </c>
      <c r="J52" s="4">
        <f>IF(ISNUMBER(SEARCH("营",'17.01'!R52)),(-$Y52+50*IF('17.01'!$AK52="是",'17.01'!$AY$4,'17.01'!$AY$3)),(VLOOKUP('17.01'!R52,'17.01'!$AM$4:$AO$55,2,FALSE))*IF('17.01'!$AK52="是",'17.01'!$AY$4,'17.01'!$AY$3))</f>
        <v>0</v>
      </c>
      <c r="K52" s="4">
        <f>IF(ISNUMBER(SEARCH("营",'17.01'!S52)),(-$Y52+50*IF('17.01'!$AK52="是",'17.01'!$AY$4,'17.01'!$AY$3)),(VLOOKUP('17.01'!S52,'17.01'!$AM$4:$AO$55,2,FALSE))*IF('17.01'!$AK52="是",'17.01'!$AY$4,'17.01'!$AY$3))</f>
        <v>0</v>
      </c>
      <c r="L52" s="4">
        <f>IF(ISNUMBER(SEARCH("营",'17.01'!T52)),(-$Y52+50*IF('17.01'!$AK52="是",'17.01'!$AY$4,'17.01'!$AY$3)),(VLOOKUP('17.01'!T52,'17.01'!$AM$4:$AO$55,2,FALSE))*IF('17.01'!$AK52="是",'17.01'!$AY$4,'17.01'!$AY$3))</f>
        <v>0</v>
      </c>
      <c r="M52" s="4">
        <f>IF(ISNUMBER(SEARCH("营",'17.01'!U52)),(-$Y52+50*IF('17.01'!$AK52="是",'17.01'!$AY$4,'17.01'!$AY$3)),(VLOOKUP('17.01'!U52,'17.01'!$AM$4:$AO$55,2,FALSE))*IF('17.01'!$AK52="是",'17.01'!$AY$4,'17.01'!$AY$3))</f>
        <v>0</v>
      </c>
      <c r="N52" s="4">
        <f>IF(ISNUMBER(SEARCH("营",'17.01'!V52)),(-$Y52+50*IF('17.01'!$AK52="是",'17.01'!$AY$4,'17.01'!$AY$3)),(VLOOKUP('17.01'!V52,'17.01'!$AM$4:$AO$55,2,FALSE))*IF('17.01'!$AK52="是",'17.01'!$AY$4,'17.01'!$AY$3))</f>
        <v>0</v>
      </c>
      <c r="O52" s="4">
        <f>IF(ISNUMBER(SEARCH("营",'17.01'!W52)),(-$Y52+50*IF('17.01'!$AK52="是",'17.01'!$AY$4,'17.01'!$AY$3)),(VLOOKUP('17.01'!W52,'17.01'!$AM$4:$AO$55,2,FALSE))*IF('17.01'!$AK52="是",'17.01'!$AY$4,'17.01'!$AY$3))</f>
        <v>0</v>
      </c>
      <c r="P52" s="4">
        <f>IF(ISNUMBER(SEARCH("营",'17.01'!X52)),(-$Y52+50*IF('17.01'!$AK52="是",'17.01'!$AY$4,'17.01'!$AY$3)),(VLOOKUP('17.01'!X52,'17.01'!$AM$4:$AO$55,2,FALSE))*IF('17.01'!$AK52="是",'17.01'!$AY$4,'17.01'!$AY$3))</f>
        <v>0</v>
      </c>
      <c r="Q52" s="4">
        <f>IF(ISNUMBER(SEARCH("营",'17.01'!Y52)),(-$Y52+50*IF('17.01'!$AK52="是",'17.01'!$AY$4,'17.01'!$AY$3)),(VLOOKUP('17.01'!Y52,'17.01'!$AM$4:$AO$55,2,FALSE))*IF('17.01'!$AK52="是",'17.01'!$AY$4,'17.01'!$AY$3))</f>
        <v>0</v>
      </c>
      <c r="R52" s="4">
        <f>IF(ISNUMBER(SEARCH("营",'17.01'!Z52)),(-$Y52+50*IF('17.01'!$AK52="是",'17.01'!$AY$4,'17.01'!$AY$3)),(VLOOKUP('17.01'!Z52,'17.01'!$AM$4:$AO$55,2,FALSE))*IF('17.01'!$AK52="是",'17.01'!$AY$4,'17.01'!$AY$3))</f>
        <v>0</v>
      </c>
      <c r="S52" s="4">
        <f>IF(ISNUMBER(SEARCH("营",'17.01'!AA52)),(-$Y52+50*IF('17.01'!$AK52="是",'17.01'!$AY$4,'17.01'!$AY$3)),(VLOOKUP('17.01'!AA52,'17.01'!$AM$4:$AO$55,2,FALSE))*IF('17.01'!$AK52="是",'17.01'!$AY$4,'17.01'!$AY$3))</f>
        <v>0</v>
      </c>
      <c r="T52" s="4">
        <f>IF(ISNUMBER(SEARCH("营",'17.01'!AB52)),(-$Y52+50*IF('17.01'!$AK52="是",'17.01'!$AY$4,'17.01'!$AY$3)),(VLOOKUP('17.01'!AB52,'17.01'!$AM$4:$AO$55,2,FALSE))*IF('17.01'!$AK52="是",'17.01'!$AY$4,'17.01'!$AY$3))</f>
        <v>0</v>
      </c>
      <c r="U52" s="4">
        <f>IF(ISNUMBER(SEARCH("营",'17.01'!AC52)),(-$Y52+50*IF('17.01'!$AK52="是",'17.01'!$AY$4,'17.01'!$AY$3)),(VLOOKUP('17.01'!AC52,'17.01'!$AM$4:$AO$55,2,FALSE))*IF('17.01'!$AK52="是",'17.01'!$AY$4,'17.01'!$AY$3))</f>
        <v>0</v>
      </c>
      <c r="V52" s="4">
        <f>IF(ISNUMBER(SEARCH("营",'17.01'!AD52)),(-$Y52+50*IF('17.01'!$AK52="是",'17.01'!$AY$4,'17.01'!$AY$3)),(VLOOKUP('17.01'!AD52,'17.01'!$AM$4:$AO$55,2,FALSE))*IF('17.01'!$AK52="是",'17.01'!$AY$4,'17.01'!$AY$3))</f>
        <v>0</v>
      </c>
      <c r="W52" s="4">
        <f>IF(ISNUMBER(SEARCH("营",'17.01'!AE52)),(-$Y52+50*IF('17.01'!$AK52="是",'17.01'!$AY$4,'17.01'!$AY$3)),(VLOOKUP('17.01'!AE52,'17.01'!$AM$4:$AO$55,2,FALSE))*IF('17.01'!$AK52="是",'17.01'!$AY$4,'17.01'!$AY$3))</f>
        <v>0</v>
      </c>
      <c r="X52" s="4">
        <f>IF(ISNUMBER(SEARCH("营",'17.01'!AF52)),(-$Y52+50*IF('17.01'!$AK52="是",'17.01'!$AY$4,'17.01'!$AY$3)),(VLOOKUP('17.01'!AF52,'17.01'!$AM$4:$AO$55,2,FALSE))*IF('17.01'!$AK52="是",'17.01'!$AY$4,'17.01'!$AY$3))</f>
        <v>0</v>
      </c>
      <c r="Y52" s="91">
        <v>150</v>
      </c>
    </row>
    <row r="53" spans="1:25">
      <c r="A53" s="4">
        <f>IF(ISNUMBER(SEARCH("营",'17.01'!I53)),(-$Y53+50*IF('17.01'!$AK53="是",'17.01'!$AY$4,'17.01'!$AY$3)),(VLOOKUP('17.01'!I53,'17.01'!$AM$4:$AO$55,2,FALSE))*IF('17.01'!$AK53="是",'17.01'!$AY$4,'17.01'!$AY$3))</f>
        <v>0</v>
      </c>
      <c r="B53" s="4">
        <f>IF(ISNUMBER(SEARCH("营",'17.01'!J53)),(-$Y53+50*IF('17.01'!$AK53="是",'17.01'!$AY$4,'17.01'!$AY$3)),(VLOOKUP('17.01'!J53,'17.01'!$AM$4:$AO$55,2,FALSE))*IF('17.01'!$AK53="是",'17.01'!$AY$4,'17.01'!$AY$3))</f>
        <v>0</v>
      </c>
      <c r="C53" s="4">
        <f>IF(ISNUMBER(SEARCH("营",'17.01'!K53)),(-$Y53+50*IF('17.01'!$AK53="是",'17.01'!$AY$4,'17.01'!$AY$3)),(VLOOKUP('17.01'!K53,'17.01'!$AM$4:$AO$55,2,FALSE))*IF('17.01'!$AK53="是",'17.01'!$AY$4,'17.01'!$AY$3))</f>
        <v>0</v>
      </c>
      <c r="D53" s="4">
        <f>IF(ISNUMBER(SEARCH("营",'17.01'!L53)),(-$Y53+50*IF('17.01'!$AK53="是",'17.01'!$AY$4,'17.01'!$AY$3)),(VLOOKUP('17.01'!L53,'17.01'!$AM$4:$AO$55,2,FALSE))*IF('17.01'!$AK53="是",'17.01'!$AY$4,'17.01'!$AY$3))</f>
        <v>0</v>
      </c>
      <c r="E53" s="4">
        <f>IF(ISNUMBER(SEARCH("营",'17.01'!M53)),(-$Y53+50*IF('17.01'!$AK53="是",'17.01'!$AY$4,'17.01'!$AY$3)),(VLOOKUP('17.01'!M53,'17.01'!$AM$4:$AO$55,2,FALSE))*IF('17.01'!$AK53="是",'17.01'!$AY$4,'17.01'!$AY$3))</f>
        <v>0</v>
      </c>
      <c r="F53" s="4">
        <f>IF(ISNUMBER(SEARCH("营",'17.01'!N53)),(-$Y53+50*IF('17.01'!$AK53="是",'17.01'!$AY$4,'17.01'!$AY$3)),(VLOOKUP('17.01'!N53,'17.01'!$AM$4:$AO$55,2,FALSE))*IF('17.01'!$AK53="是",'17.01'!$AY$4,'17.01'!$AY$3))</f>
        <v>0</v>
      </c>
      <c r="G53" s="4">
        <f>IF(ISNUMBER(SEARCH("营",'17.01'!O53)),(-$Y53+50*IF('17.01'!$AK53="是",'17.01'!$AY$4,'17.01'!$AY$3)),(VLOOKUP('17.01'!O53,'17.01'!$AM$4:$AO$55,2,FALSE))*IF('17.01'!$AK53="是",'17.01'!$AY$4,'17.01'!$AY$3))</f>
        <v>0</v>
      </c>
      <c r="H53" s="4">
        <f>IF(ISNUMBER(SEARCH("营",'17.01'!P53)),(-$Y53+50*IF('17.01'!$AK53="是",'17.01'!$AY$4,'17.01'!$AY$3)),(VLOOKUP('17.01'!P53,'17.01'!$AM$4:$AO$55,2,FALSE))*IF('17.01'!$AK53="是",'17.01'!$AY$4,'17.01'!$AY$3))</f>
        <v>0</v>
      </c>
      <c r="I53" s="4">
        <f>IF(ISNUMBER(SEARCH("营",'17.01'!Q53)),(-$Y53+50*IF('17.01'!$AK53="是",'17.01'!$AY$4,'17.01'!$AY$3)),(VLOOKUP('17.01'!Q53,'17.01'!$AM$4:$AO$55,2,FALSE))*IF('17.01'!$AK53="是",'17.01'!$AY$4,'17.01'!$AY$3))</f>
        <v>0</v>
      </c>
      <c r="J53" s="4">
        <f>IF(ISNUMBER(SEARCH("营",'17.01'!R53)),(-$Y53+50*IF('17.01'!$AK53="是",'17.01'!$AY$4,'17.01'!$AY$3)),(VLOOKUP('17.01'!R53,'17.01'!$AM$4:$AO$55,2,FALSE))*IF('17.01'!$AK53="是",'17.01'!$AY$4,'17.01'!$AY$3))</f>
        <v>0</v>
      </c>
      <c r="K53" s="4">
        <f>IF(ISNUMBER(SEARCH("营",'17.01'!S53)),(-$Y53+50*IF('17.01'!$AK53="是",'17.01'!$AY$4,'17.01'!$AY$3)),(VLOOKUP('17.01'!S53,'17.01'!$AM$4:$AO$55,2,FALSE))*IF('17.01'!$AK53="是",'17.01'!$AY$4,'17.01'!$AY$3))</f>
        <v>0</v>
      </c>
      <c r="L53" s="4">
        <f>IF(ISNUMBER(SEARCH("营",'17.01'!T53)),(-$Y53+50*IF('17.01'!$AK53="是",'17.01'!$AY$4,'17.01'!$AY$3)),(VLOOKUP('17.01'!T53,'17.01'!$AM$4:$AO$55,2,FALSE))*IF('17.01'!$AK53="是",'17.01'!$AY$4,'17.01'!$AY$3))</f>
        <v>0</v>
      </c>
      <c r="M53" s="4">
        <f>IF(ISNUMBER(SEARCH("营",'17.01'!U53)),(-$Y53+50*IF('17.01'!$AK53="是",'17.01'!$AY$4,'17.01'!$AY$3)),(VLOOKUP('17.01'!U53,'17.01'!$AM$4:$AO$55,2,FALSE))*IF('17.01'!$AK53="是",'17.01'!$AY$4,'17.01'!$AY$3))</f>
        <v>0</v>
      </c>
      <c r="N53" s="4">
        <f>IF(ISNUMBER(SEARCH("营",'17.01'!V53)),(-$Y53+50*IF('17.01'!$AK53="是",'17.01'!$AY$4,'17.01'!$AY$3)),(VLOOKUP('17.01'!V53,'17.01'!$AM$4:$AO$55,2,FALSE))*IF('17.01'!$AK53="是",'17.01'!$AY$4,'17.01'!$AY$3))</f>
        <v>0</v>
      </c>
      <c r="O53" s="4">
        <f>IF(ISNUMBER(SEARCH("营",'17.01'!W53)),(-$Y53+50*IF('17.01'!$AK53="是",'17.01'!$AY$4,'17.01'!$AY$3)),(VLOOKUP('17.01'!W53,'17.01'!$AM$4:$AO$55,2,FALSE))*IF('17.01'!$AK53="是",'17.01'!$AY$4,'17.01'!$AY$3))</f>
        <v>0</v>
      </c>
      <c r="P53" s="4">
        <f>IF(ISNUMBER(SEARCH("营",'17.01'!X53)),(-$Y53+50*IF('17.01'!$AK53="是",'17.01'!$AY$4,'17.01'!$AY$3)),(VLOOKUP('17.01'!X53,'17.01'!$AM$4:$AO$55,2,FALSE))*IF('17.01'!$AK53="是",'17.01'!$AY$4,'17.01'!$AY$3))</f>
        <v>0</v>
      </c>
      <c r="Q53" s="4">
        <f>IF(ISNUMBER(SEARCH("营",'17.01'!Y53)),(-$Y53+50*IF('17.01'!$AK53="是",'17.01'!$AY$4,'17.01'!$AY$3)),(VLOOKUP('17.01'!Y53,'17.01'!$AM$4:$AO$55,2,FALSE))*IF('17.01'!$AK53="是",'17.01'!$AY$4,'17.01'!$AY$3))</f>
        <v>0</v>
      </c>
      <c r="R53" s="4">
        <f>IF(ISNUMBER(SEARCH("营",'17.01'!Z53)),(-$Y53+50*IF('17.01'!$AK53="是",'17.01'!$AY$4,'17.01'!$AY$3)),(VLOOKUP('17.01'!Z53,'17.01'!$AM$4:$AO$55,2,FALSE))*IF('17.01'!$AK53="是",'17.01'!$AY$4,'17.01'!$AY$3))</f>
        <v>0</v>
      </c>
      <c r="S53" s="4">
        <f>IF(ISNUMBER(SEARCH("营",'17.01'!AA53)),(-$Y53+50*IF('17.01'!$AK53="是",'17.01'!$AY$4,'17.01'!$AY$3)),(VLOOKUP('17.01'!AA53,'17.01'!$AM$4:$AO$55,2,FALSE))*IF('17.01'!$AK53="是",'17.01'!$AY$4,'17.01'!$AY$3))</f>
        <v>0</v>
      </c>
      <c r="T53" s="4">
        <f>IF(ISNUMBER(SEARCH("营",'17.01'!AB53)),(-$Y53+50*IF('17.01'!$AK53="是",'17.01'!$AY$4,'17.01'!$AY$3)),(VLOOKUP('17.01'!AB53,'17.01'!$AM$4:$AO$55,2,FALSE))*IF('17.01'!$AK53="是",'17.01'!$AY$4,'17.01'!$AY$3))</f>
        <v>0</v>
      </c>
      <c r="U53" s="4">
        <f>IF(ISNUMBER(SEARCH("营",'17.01'!AC53)),(-$Y53+50*IF('17.01'!$AK53="是",'17.01'!$AY$4,'17.01'!$AY$3)),(VLOOKUP('17.01'!AC53,'17.01'!$AM$4:$AO$55,2,FALSE))*IF('17.01'!$AK53="是",'17.01'!$AY$4,'17.01'!$AY$3))</f>
        <v>0</v>
      </c>
      <c r="V53" s="4">
        <f>IF(ISNUMBER(SEARCH("营",'17.01'!AD53)),(-$Y53+50*IF('17.01'!$AK53="是",'17.01'!$AY$4,'17.01'!$AY$3)),(VLOOKUP('17.01'!AD53,'17.01'!$AM$4:$AO$55,2,FALSE))*IF('17.01'!$AK53="是",'17.01'!$AY$4,'17.01'!$AY$3))</f>
        <v>0</v>
      </c>
      <c r="W53" s="4">
        <f>IF(ISNUMBER(SEARCH("营",'17.01'!AE53)),(-$Y53+50*IF('17.01'!$AK53="是",'17.01'!$AY$4,'17.01'!$AY$3)),(VLOOKUP('17.01'!AE53,'17.01'!$AM$4:$AO$55,2,FALSE))*IF('17.01'!$AK53="是",'17.01'!$AY$4,'17.01'!$AY$3))</f>
        <v>0</v>
      </c>
      <c r="X53" s="4">
        <f>IF(ISNUMBER(SEARCH("营",'17.01'!AF53)),(-$Y53+50*IF('17.01'!$AK53="是",'17.01'!$AY$4,'17.01'!$AY$3)),(VLOOKUP('17.01'!AF53,'17.01'!$AM$4:$AO$55,2,FALSE))*IF('17.01'!$AK53="是",'17.01'!$AY$4,'17.01'!$AY$3))</f>
        <v>0</v>
      </c>
      <c r="Y53" s="91">
        <v>150</v>
      </c>
    </row>
    <row r="54" spans="1:25">
      <c r="A54" s="4">
        <f>IF(ISNUMBER(SEARCH("营",'17.01'!I54)),(-$Y54+50*IF('17.01'!$AK54="是",'17.01'!$AY$4,'17.01'!$AY$3)),(VLOOKUP('17.01'!I54,'17.01'!$AM$4:$AO$55,2,FALSE))*IF('17.01'!$AK54="是",'17.01'!$AY$4,'17.01'!$AY$3))</f>
        <v>0</v>
      </c>
      <c r="B54" s="4">
        <f>IF(ISNUMBER(SEARCH("营",'17.01'!J54)),(-$Y54+50*IF('17.01'!$AK54="是",'17.01'!$AY$4,'17.01'!$AY$3)),(VLOOKUP('17.01'!J54,'17.01'!$AM$4:$AO$55,2,FALSE))*IF('17.01'!$AK54="是",'17.01'!$AY$4,'17.01'!$AY$3))</f>
        <v>0</v>
      </c>
      <c r="C54" s="4">
        <f>IF(ISNUMBER(SEARCH("营",'17.01'!K54)),(-$Y54+50*IF('17.01'!$AK54="是",'17.01'!$AY$4,'17.01'!$AY$3)),(VLOOKUP('17.01'!K54,'17.01'!$AM$4:$AO$55,2,FALSE))*IF('17.01'!$AK54="是",'17.01'!$AY$4,'17.01'!$AY$3))</f>
        <v>0</v>
      </c>
      <c r="D54" s="4">
        <f>IF(ISNUMBER(SEARCH("营",'17.01'!L54)),(-$Y54+50*IF('17.01'!$AK54="是",'17.01'!$AY$4,'17.01'!$AY$3)),(VLOOKUP('17.01'!L54,'17.01'!$AM$4:$AO$55,2,FALSE))*IF('17.01'!$AK54="是",'17.01'!$AY$4,'17.01'!$AY$3))</f>
        <v>0</v>
      </c>
      <c r="E54" s="4">
        <f>IF(ISNUMBER(SEARCH("营",'17.01'!M54)),(-$Y54+50*IF('17.01'!$AK54="是",'17.01'!$AY$4,'17.01'!$AY$3)),(VLOOKUP('17.01'!M54,'17.01'!$AM$4:$AO$55,2,FALSE))*IF('17.01'!$AK54="是",'17.01'!$AY$4,'17.01'!$AY$3))</f>
        <v>0</v>
      </c>
      <c r="F54" s="4">
        <f>IF(ISNUMBER(SEARCH("营",'17.01'!N54)),(-$Y54+50*IF('17.01'!$AK54="是",'17.01'!$AY$4,'17.01'!$AY$3)),(VLOOKUP('17.01'!N54,'17.01'!$AM$4:$AO$55,2,FALSE))*IF('17.01'!$AK54="是",'17.01'!$AY$4,'17.01'!$AY$3))</f>
        <v>0</v>
      </c>
      <c r="G54" s="4">
        <f>IF(ISNUMBER(SEARCH("营",'17.01'!O54)),(-$Y54+50*IF('17.01'!$AK54="是",'17.01'!$AY$4,'17.01'!$AY$3)),(VLOOKUP('17.01'!O54,'17.01'!$AM$4:$AO$55,2,FALSE))*IF('17.01'!$AK54="是",'17.01'!$AY$4,'17.01'!$AY$3))</f>
        <v>0</v>
      </c>
      <c r="H54" s="4">
        <f>IF(ISNUMBER(SEARCH("营",'17.01'!P54)),(-$Y54+50*IF('17.01'!$AK54="是",'17.01'!$AY$4,'17.01'!$AY$3)),(VLOOKUP('17.01'!P54,'17.01'!$AM$4:$AO$55,2,FALSE))*IF('17.01'!$AK54="是",'17.01'!$AY$4,'17.01'!$AY$3))</f>
        <v>0</v>
      </c>
      <c r="I54" s="4">
        <f>IF(ISNUMBER(SEARCH("营",'17.01'!Q54)),(-$Y54+50*IF('17.01'!$AK54="是",'17.01'!$AY$4,'17.01'!$AY$3)),(VLOOKUP('17.01'!Q54,'17.01'!$AM$4:$AO$55,2,FALSE))*IF('17.01'!$AK54="是",'17.01'!$AY$4,'17.01'!$AY$3))</f>
        <v>0</v>
      </c>
      <c r="J54" s="4">
        <f>IF(ISNUMBER(SEARCH("营",'17.01'!R54)),(-$Y54+50*IF('17.01'!$AK54="是",'17.01'!$AY$4,'17.01'!$AY$3)),(VLOOKUP('17.01'!R54,'17.01'!$AM$4:$AO$55,2,FALSE))*IF('17.01'!$AK54="是",'17.01'!$AY$4,'17.01'!$AY$3))</f>
        <v>0</v>
      </c>
      <c r="K54" s="4">
        <f>IF(ISNUMBER(SEARCH("营",'17.01'!S54)),(-$Y54+50*IF('17.01'!$AK54="是",'17.01'!$AY$4,'17.01'!$AY$3)),(VLOOKUP('17.01'!S54,'17.01'!$AM$4:$AO$55,2,FALSE))*IF('17.01'!$AK54="是",'17.01'!$AY$4,'17.01'!$AY$3))</f>
        <v>0</v>
      </c>
      <c r="L54" s="4">
        <f>IF(ISNUMBER(SEARCH("营",'17.01'!T54)),(-$Y54+50*IF('17.01'!$AK54="是",'17.01'!$AY$4,'17.01'!$AY$3)),(VLOOKUP('17.01'!T54,'17.01'!$AM$4:$AO$55,2,FALSE))*IF('17.01'!$AK54="是",'17.01'!$AY$4,'17.01'!$AY$3))</f>
        <v>0</v>
      </c>
      <c r="M54" s="4">
        <f>IF(ISNUMBER(SEARCH("营",'17.01'!U54)),(-$Y54+50*IF('17.01'!$AK54="是",'17.01'!$AY$4,'17.01'!$AY$3)),(VLOOKUP('17.01'!U54,'17.01'!$AM$4:$AO$55,2,FALSE))*IF('17.01'!$AK54="是",'17.01'!$AY$4,'17.01'!$AY$3))</f>
        <v>0</v>
      </c>
      <c r="N54" s="4">
        <f>IF(ISNUMBER(SEARCH("营",'17.01'!V54)),(-$Y54+50*IF('17.01'!$AK54="是",'17.01'!$AY$4,'17.01'!$AY$3)),(VLOOKUP('17.01'!V54,'17.01'!$AM$4:$AO$55,2,FALSE))*IF('17.01'!$AK54="是",'17.01'!$AY$4,'17.01'!$AY$3))</f>
        <v>0</v>
      </c>
      <c r="O54" s="4">
        <f>IF(ISNUMBER(SEARCH("营",'17.01'!W54)),(-$Y54+50*IF('17.01'!$AK54="是",'17.01'!$AY$4,'17.01'!$AY$3)),(VLOOKUP('17.01'!W54,'17.01'!$AM$4:$AO$55,2,FALSE))*IF('17.01'!$AK54="是",'17.01'!$AY$4,'17.01'!$AY$3))</f>
        <v>0</v>
      </c>
      <c r="P54" s="4">
        <f>IF(ISNUMBER(SEARCH("营",'17.01'!X54)),(-$Y54+50*IF('17.01'!$AK54="是",'17.01'!$AY$4,'17.01'!$AY$3)),(VLOOKUP('17.01'!X54,'17.01'!$AM$4:$AO$55,2,FALSE))*IF('17.01'!$AK54="是",'17.01'!$AY$4,'17.01'!$AY$3))</f>
        <v>0</v>
      </c>
      <c r="Q54" s="4">
        <f>IF(ISNUMBER(SEARCH("营",'17.01'!Y54)),(-$Y54+50*IF('17.01'!$AK54="是",'17.01'!$AY$4,'17.01'!$AY$3)),(VLOOKUP('17.01'!Y54,'17.01'!$AM$4:$AO$55,2,FALSE))*IF('17.01'!$AK54="是",'17.01'!$AY$4,'17.01'!$AY$3))</f>
        <v>0</v>
      </c>
      <c r="R54" s="4">
        <f>IF(ISNUMBER(SEARCH("营",'17.01'!Z54)),(-$Y54+50*IF('17.01'!$AK54="是",'17.01'!$AY$4,'17.01'!$AY$3)),(VLOOKUP('17.01'!Z54,'17.01'!$AM$4:$AO$55,2,FALSE))*IF('17.01'!$AK54="是",'17.01'!$AY$4,'17.01'!$AY$3))</f>
        <v>0</v>
      </c>
      <c r="S54" s="4">
        <f>IF(ISNUMBER(SEARCH("营",'17.01'!AA54)),(-$Y54+50*IF('17.01'!$AK54="是",'17.01'!$AY$4,'17.01'!$AY$3)),(VLOOKUP('17.01'!AA54,'17.01'!$AM$4:$AO$55,2,FALSE))*IF('17.01'!$AK54="是",'17.01'!$AY$4,'17.01'!$AY$3))</f>
        <v>0</v>
      </c>
      <c r="T54" s="4">
        <f>IF(ISNUMBER(SEARCH("营",'17.01'!AB54)),(-$Y54+50*IF('17.01'!$AK54="是",'17.01'!$AY$4,'17.01'!$AY$3)),(VLOOKUP('17.01'!AB54,'17.01'!$AM$4:$AO$55,2,FALSE))*IF('17.01'!$AK54="是",'17.01'!$AY$4,'17.01'!$AY$3))</f>
        <v>0</v>
      </c>
      <c r="U54" s="4">
        <f>IF(ISNUMBER(SEARCH("营",'17.01'!AC54)),(-$Y54+50*IF('17.01'!$AK54="是",'17.01'!$AY$4,'17.01'!$AY$3)),(VLOOKUP('17.01'!AC54,'17.01'!$AM$4:$AO$55,2,FALSE))*IF('17.01'!$AK54="是",'17.01'!$AY$4,'17.01'!$AY$3))</f>
        <v>0</v>
      </c>
      <c r="V54" s="4">
        <f>IF(ISNUMBER(SEARCH("营",'17.01'!AD54)),(-$Y54+50*IF('17.01'!$AK54="是",'17.01'!$AY$4,'17.01'!$AY$3)),(VLOOKUP('17.01'!AD54,'17.01'!$AM$4:$AO$55,2,FALSE))*IF('17.01'!$AK54="是",'17.01'!$AY$4,'17.01'!$AY$3))</f>
        <v>0</v>
      </c>
      <c r="W54" s="4">
        <f>IF(ISNUMBER(SEARCH("营",'17.01'!AE54)),(-$Y54+50*IF('17.01'!$AK54="是",'17.01'!$AY$4,'17.01'!$AY$3)),(VLOOKUP('17.01'!AE54,'17.01'!$AM$4:$AO$55,2,FALSE))*IF('17.01'!$AK54="是",'17.01'!$AY$4,'17.01'!$AY$3))</f>
        <v>0</v>
      </c>
      <c r="X54" s="4">
        <f>IF(ISNUMBER(SEARCH("营",'17.01'!AF54)),(-$Y54+50*IF('17.01'!$AK54="是",'17.01'!$AY$4,'17.01'!$AY$3)),(VLOOKUP('17.01'!AF54,'17.01'!$AM$4:$AO$55,2,FALSE))*IF('17.01'!$AK54="是",'17.01'!$AY$4,'17.01'!$AY$3))</f>
        <v>0</v>
      </c>
      <c r="Y54" s="91">
        <v>150</v>
      </c>
    </row>
    <row r="55" spans="1:25">
      <c r="A55" s="4">
        <f>IF(ISNUMBER(SEARCH("营",'17.01'!I55)),(-$Y55+50*IF('17.01'!$AK55="是",'17.01'!$AY$4,'17.01'!$AY$3)),(VLOOKUP('17.01'!I55,'17.01'!$AM$4:$AO$55,2,FALSE))*IF('17.01'!$AK55="是",'17.01'!$AY$4,'17.01'!$AY$3))</f>
        <v>0</v>
      </c>
      <c r="B55" s="4">
        <f>IF(ISNUMBER(SEARCH("营",'17.01'!J55)),(-$Y55+50*IF('17.01'!$AK55="是",'17.01'!$AY$4,'17.01'!$AY$3)),(VLOOKUP('17.01'!J55,'17.01'!$AM$4:$AO$55,2,FALSE))*IF('17.01'!$AK55="是",'17.01'!$AY$4,'17.01'!$AY$3))</f>
        <v>0</v>
      </c>
      <c r="C55" s="4">
        <f>IF(ISNUMBER(SEARCH("营",'17.01'!K55)),(-$Y55+50*IF('17.01'!$AK55="是",'17.01'!$AY$4,'17.01'!$AY$3)),(VLOOKUP('17.01'!K55,'17.01'!$AM$4:$AO$55,2,FALSE))*IF('17.01'!$AK55="是",'17.01'!$AY$4,'17.01'!$AY$3))</f>
        <v>0</v>
      </c>
      <c r="D55" s="4">
        <f>IF(ISNUMBER(SEARCH("营",'17.01'!L55)),(-$Y55+50*IF('17.01'!$AK55="是",'17.01'!$AY$4,'17.01'!$AY$3)),(VLOOKUP('17.01'!L55,'17.01'!$AM$4:$AO$55,2,FALSE))*IF('17.01'!$AK55="是",'17.01'!$AY$4,'17.01'!$AY$3))</f>
        <v>0</v>
      </c>
      <c r="E55" s="4">
        <f>IF(ISNUMBER(SEARCH("营",'17.01'!M55)),(-$Y55+50*IF('17.01'!$AK55="是",'17.01'!$AY$4,'17.01'!$AY$3)),(VLOOKUP('17.01'!M55,'17.01'!$AM$4:$AO$55,2,FALSE))*IF('17.01'!$AK55="是",'17.01'!$AY$4,'17.01'!$AY$3))</f>
        <v>0</v>
      </c>
      <c r="F55" s="4">
        <f>IF(ISNUMBER(SEARCH("营",'17.01'!N55)),(-$Y55+50*IF('17.01'!$AK55="是",'17.01'!$AY$4,'17.01'!$AY$3)),(VLOOKUP('17.01'!N55,'17.01'!$AM$4:$AO$55,2,FALSE))*IF('17.01'!$AK55="是",'17.01'!$AY$4,'17.01'!$AY$3))</f>
        <v>0</v>
      </c>
      <c r="G55" s="4">
        <f>IF(ISNUMBER(SEARCH("营",'17.01'!O55)),(-$Y55+50*IF('17.01'!$AK55="是",'17.01'!$AY$4,'17.01'!$AY$3)),(VLOOKUP('17.01'!O55,'17.01'!$AM$4:$AO$55,2,FALSE))*IF('17.01'!$AK55="是",'17.01'!$AY$4,'17.01'!$AY$3))</f>
        <v>0</v>
      </c>
      <c r="H55" s="4">
        <f>IF(ISNUMBER(SEARCH("营",'17.01'!P55)),(-$Y55+50*IF('17.01'!$AK55="是",'17.01'!$AY$4,'17.01'!$AY$3)),(VLOOKUP('17.01'!P55,'17.01'!$AM$4:$AO$55,2,FALSE))*IF('17.01'!$AK55="是",'17.01'!$AY$4,'17.01'!$AY$3))</f>
        <v>0</v>
      </c>
      <c r="I55" s="4">
        <f>IF(ISNUMBER(SEARCH("营",'17.01'!Q55)),(-$Y55+50*IF('17.01'!$AK55="是",'17.01'!$AY$4,'17.01'!$AY$3)),(VLOOKUP('17.01'!Q55,'17.01'!$AM$4:$AO$55,2,FALSE))*IF('17.01'!$AK55="是",'17.01'!$AY$4,'17.01'!$AY$3))</f>
        <v>0</v>
      </c>
      <c r="J55" s="4">
        <f>IF(ISNUMBER(SEARCH("营",'17.01'!R55)),(-$Y55+50*IF('17.01'!$AK55="是",'17.01'!$AY$4,'17.01'!$AY$3)),(VLOOKUP('17.01'!R55,'17.01'!$AM$4:$AO$55,2,FALSE))*IF('17.01'!$AK55="是",'17.01'!$AY$4,'17.01'!$AY$3))</f>
        <v>0</v>
      </c>
      <c r="K55" s="4">
        <f>IF(ISNUMBER(SEARCH("营",'17.01'!S55)),(-$Y55+50*IF('17.01'!$AK55="是",'17.01'!$AY$4,'17.01'!$AY$3)),(VLOOKUP('17.01'!S55,'17.01'!$AM$4:$AO$55,2,FALSE))*IF('17.01'!$AK55="是",'17.01'!$AY$4,'17.01'!$AY$3))</f>
        <v>0</v>
      </c>
      <c r="L55" s="4">
        <f>IF(ISNUMBER(SEARCH("营",'17.01'!T55)),(-$Y55+50*IF('17.01'!$AK55="是",'17.01'!$AY$4,'17.01'!$AY$3)),(VLOOKUP('17.01'!T55,'17.01'!$AM$4:$AO$55,2,FALSE))*IF('17.01'!$AK55="是",'17.01'!$AY$4,'17.01'!$AY$3))</f>
        <v>0</v>
      </c>
      <c r="M55" s="4">
        <f>IF(ISNUMBER(SEARCH("营",'17.01'!U55)),(-$Y55+50*IF('17.01'!$AK55="是",'17.01'!$AY$4,'17.01'!$AY$3)),(VLOOKUP('17.01'!U55,'17.01'!$AM$4:$AO$55,2,FALSE))*IF('17.01'!$AK55="是",'17.01'!$AY$4,'17.01'!$AY$3))</f>
        <v>0</v>
      </c>
      <c r="N55" s="4">
        <f>IF(ISNUMBER(SEARCH("营",'17.01'!V55)),(-$Y55+50*IF('17.01'!$AK55="是",'17.01'!$AY$4,'17.01'!$AY$3)),(VLOOKUP('17.01'!V55,'17.01'!$AM$4:$AO$55,2,FALSE))*IF('17.01'!$AK55="是",'17.01'!$AY$4,'17.01'!$AY$3))</f>
        <v>0</v>
      </c>
      <c r="O55" s="4">
        <f>IF(ISNUMBER(SEARCH("营",'17.01'!W55)),(-$Y55+50*IF('17.01'!$AK55="是",'17.01'!$AY$4,'17.01'!$AY$3)),(VLOOKUP('17.01'!W55,'17.01'!$AM$4:$AO$55,2,FALSE))*IF('17.01'!$AK55="是",'17.01'!$AY$4,'17.01'!$AY$3))</f>
        <v>0</v>
      </c>
      <c r="P55" s="4">
        <f>IF(ISNUMBER(SEARCH("营",'17.01'!X55)),(-$Y55+50*IF('17.01'!$AK55="是",'17.01'!$AY$4,'17.01'!$AY$3)),(VLOOKUP('17.01'!X55,'17.01'!$AM$4:$AO$55,2,FALSE))*IF('17.01'!$AK55="是",'17.01'!$AY$4,'17.01'!$AY$3))</f>
        <v>0</v>
      </c>
      <c r="Q55" s="4">
        <f>IF(ISNUMBER(SEARCH("营",'17.01'!Y55)),(-$Y55+50*IF('17.01'!$AK55="是",'17.01'!$AY$4,'17.01'!$AY$3)),(VLOOKUP('17.01'!Y55,'17.01'!$AM$4:$AO$55,2,FALSE))*IF('17.01'!$AK55="是",'17.01'!$AY$4,'17.01'!$AY$3))</f>
        <v>0</v>
      </c>
      <c r="R55" s="4">
        <f>IF(ISNUMBER(SEARCH("营",'17.01'!Z55)),(-$Y55+50*IF('17.01'!$AK55="是",'17.01'!$AY$4,'17.01'!$AY$3)),(VLOOKUP('17.01'!Z55,'17.01'!$AM$4:$AO$55,2,FALSE))*IF('17.01'!$AK55="是",'17.01'!$AY$4,'17.01'!$AY$3))</f>
        <v>0</v>
      </c>
      <c r="S55" s="4">
        <f>IF(ISNUMBER(SEARCH("营",'17.01'!AA55)),(-$Y55+50*IF('17.01'!$AK55="是",'17.01'!$AY$4,'17.01'!$AY$3)),(VLOOKUP('17.01'!AA55,'17.01'!$AM$4:$AO$55,2,FALSE))*IF('17.01'!$AK55="是",'17.01'!$AY$4,'17.01'!$AY$3))</f>
        <v>0</v>
      </c>
      <c r="T55" s="4">
        <f>IF(ISNUMBER(SEARCH("营",'17.01'!AB55)),(-$Y55+50*IF('17.01'!$AK55="是",'17.01'!$AY$4,'17.01'!$AY$3)),(VLOOKUP('17.01'!AB55,'17.01'!$AM$4:$AO$55,2,FALSE))*IF('17.01'!$AK55="是",'17.01'!$AY$4,'17.01'!$AY$3))</f>
        <v>0</v>
      </c>
      <c r="U55" s="4">
        <f>IF(ISNUMBER(SEARCH("营",'17.01'!AC55)),(-$Y55+50*IF('17.01'!$AK55="是",'17.01'!$AY$4,'17.01'!$AY$3)),(VLOOKUP('17.01'!AC55,'17.01'!$AM$4:$AO$55,2,FALSE))*IF('17.01'!$AK55="是",'17.01'!$AY$4,'17.01'!$AY$3))</f>
        <v>0</v>
      </c>
      <c r="V55" s="4">
        <f>IF(ISNUMBER(SEARCH("营",'17.01'!AD55)),(-$Y55+50*IF('17.01'!$AK55="是",'17.01'!$AY$4,'17.01'!$AY$3)),(VLOOKUP('17.01'!AD55,'17.01'!$AM$4:$AO$55,2,FALSE))*IF('17.01'!$AK55="是",'17.01'!$AY$4,'17.01'!$AY$3))</f>
        <v>0</v>
      </c>
      <c r="W55" s="4">
        <f>IF(ISNUMBER(SEARCH("营",'17.01'!AE55)),(-$Y55+50*IF('17.01'!$AK55="是",'17.01'!$AY$4,'17.01'!$AY$3)),(VLOOKUP('17.01'!AE55,'17.01'!$AM$4:$AO$55,2,FALSE))*IF('17.01'!$AK55="是",'17.01'!$AY$4,'17.01'!$AY$3))</f>
        <v>0</v>
      </c>
      <c r="X55" s="4">
        <f>IF(ISNUMBER(SEARCH("营",'17.01'!AF55)),(-$Y55+50*IF('17.01'!$AK55="是",'17.01'!$AY$4,'17.01'!$AY$3)),(VLOOKUP('17.01'!AF55,'17.01'!$AM$4:$AO$55,2,FALSE))*IF('17.01'!$AK55="是",'17.01'!$AY$4,'17.01'!$AY$3))</f>
        <v>0</v>
      </c>
      <c r="Y55" s="91">
        <v>150</v>
      </c>
    </row>
    <row r="56" spans="1:25">
      <c r="A56" s="4">
        <f>IF(ISNUMBER(SEARCH("营",'17.01'!I56)),(-$Y56+50*IF('17.01'!$AK56="是",'17.01'!$AY$4,'17.01'!$AY$3)),(VLOOKUP('17.01'!I56,'17.01'!$AM$4:$AO$55,2,FALSE))*IF('17.01'!$AK56="是",'17.01'!$AY$4,'17.01'!$AY$3))</f>
        <v>0</v>
      </c>
      <c r="B56" s="4">
        <f>IF(ISNUMBER(SEARCH("营",'17.01'!J56)),(-$Y56+50*IF('17.01'!$AK56="是",'17.01'!$AY$4,'17.01'!$AY$3)),(VLOOKUP('17.01'!J56,'17.01'!$AM$4:$AO$55,2,FALSE))*IF('17.01'!$AK56="是",'17.01'!$AY$4,'17.01'!$AY$3))</f>
        <v>0</v>
      </c>
      <c r="C56" s="4">
        <f>IF(ISNUMBER(SEARCH("营",'17.01'!K56)),(-$Y56+50*IF('17.01'!$AK56="是",'17.01'!$AY$4,'17.01'!$AY$3)),(VLOOKUP('17.01'!K56,'17.01'!$AM$4:$AO$55,2,FALSE))*IF('17.01'!$AK56="是",'17.01'!$AY$4,'17.01'!$AY$3))</f>
        <v>0</v>
      </c>
      <c r="D56" s="4">
        <f>IF(ISNUMBER(SEARCH("营",'17.01'!L56)),(-$Y56+50*IF('17.01'!$AK56="是",'17.01'!$AY$4,'17.01'!$AY$3)),(VLOOKUP('17.01'!L56,'17.01'!$AM$4:$AO$55,2,FALSE))*IF('17.01'!$AK56="是",'17.01'!$AY$4,'17.01'!$AY$3))</f>
        <v>0</v>
      </c>
      <c r="E56" s="4">
        <f>IF(ISNUMBER(SEARCH("营",'17.01'!M56)),(-$Y56+50*IF('17.01'!$AK56="是",'17.01'!$AY$4,'17.01'!$AY$3)),(VLOOKUP('17.01'!M56,'17.01'!$AM$4:$AO$55,2,FALSE))*IF('17.01'!$AK56="是",'17.01'!$AY$4,'17.01'!$AY$3))</f>
        <v>0</v>
      </c>
      <c r="F56" s="4">
        <f>IF(ISNUMBER(SEARCH("营",'17.01'!N56)),(-$Y56+50*IF('17.01'!$AK56="是",'17.01'!$AY$4,'17.01'!$AY$3)),(VLOOKUP('17.01'!N56,'17.01'!$AM$4:$AO$55,2,FALSE))*IF('17.01'!$AK56="是",'17.01'!$AY$4,'17.01'!$AY$3))</f>
        <v>0</v>
      </c>
      <c r="G56" s="4">
        <f>IF(ISNUMBER(SEARCH("营",'17.01'!O56)),(-$Y56+50*IF('17.01'!$AK56="是",'17.01'!$AY$4,'17.01'!$AY$3)),(VLOOKUP('17.01'!O56,'17.01'!$AM$4:$AO$55,2,FALSE))*IF('17.01'!$AK56="是",'17.01'!$AY$4,'17.01'!$AY$3))</f>
        <v>0</v>
      </c>
      <c r="H56" s="4">
        <f>IF(ISNUMBER(SEARCH("营",'17.01'!P56)),(-$Y56+50*IF('17.01'!$AK56="是",'17.01'!$AY$4,'17.01'!$AY$3)),(VLOOKUP('17.01'!P56,'17.01'!$AM$4:$AO$55,2,FALSE))*IF('17.01'!$AK56="是",'17.01'!$AY$4,'17.01'!$AY$3))</f>
        <v>0</v>
      </c>
      <c r="I56" s="4">
        <f>IF(ISNUMBER(SEARCH("营",'17.01'!Q56)),(-$Y56+50*IF('17.01'!$AK56="是",'17.01'!$AY$4,'17.01'!$AY$3)),(VLOOKUP('17.01'!Q56,'17.01'!$AM$4:$AO$55,2,FALSE))*IF('17.01'!$AK56="是",'17.01'!$AY$4,'17.01'!$AY$3))</f>
        <v>0</v>
      </c>
      <c r="J56" s="4">
        <f>IF(ISNUMBER(SEARCH("营",'17.01'!R56)),(-$Y56+50*IF('17.01'!$AK56="是",'17.01'!$AY$4,'17.01'!$AY$3)),(VLOOKUP('17.01'!R56,'17.01'!$AM$4:$AO$55,2,FALSE))*IF('17.01'!$AK56="是",'17.01'!$AY$4,'17.01'!$AY$3))</f>
        <v>0</v>
      </c>
      <c r="K56" s="4">
        <f>IF(ISNUMBER(SEARCH("营",'17.01'!S56)),(-$Y56+50*IF('17.01'!$AK56="是",'17.01'!$AY$4,'17.01'!$AY$3)),(VLOOKUP('17.01'!S56,'17.01'!$AM$4:$AO$55,2,FALSE))*IF('17.01'!$AK56="是",'17.01'!$AY$4,'17.01'!$AY$3))</f>
        <v>0</v>
      </c>
      <c r="L56" s="4">
        <f>IF(ISNUMBER(SEARCH("营",'17.01'!T56)),(-$Y56+50*IF('17.01'!$AK56="是",'17.01'!$AY$4,'17.01'!$AY$3)),(VLOOKUP('17.01'!T56,'17.01'!$AM$4:$AO$55,2,FALSE))*IF('17.01'!$AK56="是",'17.01'!$AY$4,'17.01'!$AY$3))</f>
        <v>0</v>
      </c>
      <c r="M56" s="4">
        <f>IF(ISNUMBER(SEARCH("营",'17.01'!U56)),(-$Y56+50*IF('17.01'!$AK56="是",'17.01'!$AY$4,'17.01'!$AY$3)),(VLOOKUP('17.01'!U56,'17.01'!$AM$4:$AO$55,2,FALSE))*IF('17.01'!$AK56="是",'17.01'!$AY$4,'17.01'!$AY$3))</f>
        <v>0</v>
      </c>
      <c r="N56" s="4">
        <f>IF(ISNUMBER(SEARCH("营",'17.01'!V56)),(-$Y56+50*IF('17.01'!$AK56="是",'17.01'!$AY$4,'17.01'!$AY$3)),(VLOOKUP('17.01'!V56,'17.01'!$AM$4:$AO$55,2,FALSE))*IF('17.01'!$AK56="是",'17.01'!$AY$4,'17.01'!$AY$3))</f>
        <v>0</v>
      </c>
      <c r="O56" s="4">
        <f>IF(ISNUMBER(SEARCH("营",'17.01'!W56)),(-$Y56+50*IF('17.01'!$AK56="是",'17.01'!$AY$4,'17.01'!$AY$3)),(VLOOKUP('17.01'!W56,'17.01'!$AM$4:$AO$55,2,FALSE))*IF('17.01'!$AK56="是",'17.01'!$AY$4,'17.01'!$AY$3))</f>
        <v>0</v>
      </c>
      <c r="P56" s="4">
        <f>IF(ISNUMBER(SEARCH("营",'17.01'!X56)),(-$Y56+50*IF('17.01'!$AK56="是",'17.01'!$AY$4,'17.01'!$AY$3)),(VLOOKUP('17.01'!X56,'17.01'!$AM$4:$AO$55,2,FALSE))*IF('17.01'!$AK56="是",'17.01'!$AY$4,'17.01'!$AY$3))</f>
        <v>0</v>
      </c>
      <c r="Q56" s="4">
        <f>IF(ISNUMBER(SEARCH("营",'17.01'!Y56)),(-$Y56+50*IF('17.01'!$AK56="是",'17.01'!$AY$4,'17.01'!$AY$3)),(VLOOKUP('17.01'!Y56,'17.01'!$AM$4:$AO$55,2,FALSE))*IF('17.01'!$AK56="是",'17.01'!$AY$4,'17.01'!$AY$3))</f>
        <v>0</v>
      </c>
      <c r="R56" s="4">
        <f>IF(ISNUMBER(SEARCH("营",'17.01'!Z56)),(-$Y56+50*IF('17.01'!$AK56="是",'17.01'!$AY$4,'17.01'!$AY$3)),(VLOOKUP('17.01'!Z56,'17.01'!$AM$4:$AO$55,2,FALSE))*IF('17.01'!$AK56="是",'17.01'!$AY$4,'17.01'!$AY$3))</f>
        <v>0</v>
      </c>
      <c r="S56" s="4">
        <f>IF(ISNUMBER(SEARCH("营",'17.01'!AA56)),(-$Y56+50*IF('17.01'!$AK56="是",'17.01'!$AY$4,'17.01'!$AY$3)),(VLOOKUP('17.01'!AA56,'17.01'!$AM$4:$AO$55,2,FALSE))*IF('17.01'!$AK56="是",'17.01'!$AY$4,'17.01'!$AY$3))</f>
        <v>0</v>
      </c>
      <c r="T56" s="4">
        <f>IF(ISNUMBER(SEARCH("营",'17.01'!AB56)),(-$Y56+50*IF('17.01'!$AK56="是",'17.01'!$AY$4,'17.01'!$AY$3)),(VLOOKUP('17.01'!AB56,'17.01'!$AM$4:$AO$55,2,FALSE))*IF('17.01'!$AK56="是",'17.01'!$AY$4,'17.01'!$AY$3))</f>
        <v>0</v>
      </c>
      <c r="U56" s="4">
        <f>IF(ISNUMBER(SEARCH("营",'17.01'!AC56)),(-$Y56+50*IF('17.01'!$AK56="是",'17.01'!$AY$4,'17.01'!$AY$3)),(VLOOKUP('17.01'!AC56,'17.01'!$AM$4:$AO$55,2,FALSE))*IF('17.01'!$AK56="是",'17.01'!$AY$4,'17.01'!$AY$3))</f>
        <v>0</v>
      </c>
      <c r="V56" s="4">
        <f>IF(ISNUMBER(SEARCH("营",'17.01'!AD56)),(-$Y56+50*IF('17.01'!$AK56="是",'17.01'!$AY$4,'17.01'!$AY$3)),(VLOOKUP('17.01'!AD56,'17.01'!$AM$4:$AO$55,2,FALSE))*IF('17.01'!$AK56="是",'17.01'!$AY$4,'17.01'!$AY$3))</f>
        <v>0</v>
      </c>
      <c r="W56" s="4">
        <f>IF(ISNUMBER(SEARCH("营",'17.01'!AE56)),(-$Y56+50*IF('17.01'!$AK56="是",'17.01'!$AY$4,'17.01'!$AY$3)),(VLOOKUP('17.01'!AE56,'17.01'!$AM$4:$AO$55,2,FALSE))*IF('17.01'!$AK56="是",'17.01'!$AY$4,'17.01'!$AY$3))</f>
        <v>0</v>
      </c>
      <c r="X56" s="4">
        <f>IF(ISNUMBER(SEARCH("营",'17.01'!AF56)),(-$Y56+50*IF('17.01'!$AK56="是",'17.01'!$AY$4,'17.01'!$AY$3)),(VLOOKUP('17.01'!AF56,'17.01'!$AM$4:$AO$55,2,FALSE))*IF('17.01'!$AK56="是",'17.01'!$AY$4,'17.01'!$AY$3))</f>
        <v>0</v>
      </c>
      <c r="Y56" s="91">
        <v>150</v>
      </c>
    </row>
    <row r="57" spans="1:25">
      <c r="A57" s="4">
        <f>IF(ISNUMBER(SEARCH("营",'17.01'!I57)),(-$Y57+50*IF('17.01'!$AK57="是",'17.01'!$AY$4,'17.01'!$AY$3)),(VLOOKUP('17.01'!I57,'17.01'!$AM$4:$AO$55,2,FALSE))*IF('17.01'!$AK57="是",'17.01'!$AY$4,'17.01'!$AY$3))</f>
        <v>0</v>
      </c>
      <c r="B57" s="4">
        <f>IF(ISNUMBER(SEARCH("营",'17.01'!J57)),(-$Y57+50*IF('17.01'!$AK57="是",'17.01'!$AY$4,'17.01'!$AY$3)),(VLOOKUP('17.01'!J57,'17.01'!$AM$4:$AO$55,2,FALSE))*IF('17.01'!$AK57="是",'17.01'!$AY$4,'17.01'!$AY$3))</f>
        <v>0</v>
      </c>
      <c r="C57" s="4">
        <f>IF(ISNUMBER(SEARCH("营",'17.01'!K57)),(-$Y57+50*IF('17.01'!$AK57="是",'17.01'!$AY$4,'17.01'!$AY$3)),(VLOOKUP('17.01'!K57,'17.01'!$AM$4:$AO$55,2,FALSE))*IF('17.01'!$AK57="是",'17.01'!$AY$4,'17.01'!$AY$3))</f>
        <v>0</v>
      </c>
      <c r="D57" s="4">
        <f>IF(ISNUMBER(SEARCH("营",'17.01'!L57)),(-$Y57+50*IF('17.01'!$AK57="是",'17.01'!$AY$4,'17.01'!$AY$3)),(VLOOKUP('17.01'!L57,'17.01'!$AM$4:$AO$55,2,FALSE))*IF('17.01'!$AK57="是",'17.01'!$AY$4,'17.01'!$AY$3))</f>
        <v>0</v>
      </c>
      <c r="E57" s="4">
        <f>IF(ISNUMBER(SEARCH("营",'17.01'!M57)),(-$Y57+50*IF('17.01'!$AK57="是",'17.01'!$AY$4,'17.01'!$AY$3)),(VLOOKUP('17.01'!M57,'17.01'!$AM$4:$AO$55,2,FALSE))*IF('17.01'!$AK57="是",'17.01'!$AY$4,'17.01'!$AY$3))</f>
        <v>0</v>
      </c>
      <c r="F57" s="4">
        <f>IF(ISNUMBER(SEARCH("营",'17.01'!N57)),(-$Y57+50*IF('17.01'!$AK57="是",'17.01'!$AY$4,'17.01'!$AY$3)),(VLOOKUP('17.01'!N57,'17.01'!$AM$4:$AO$55,2,FALSE))*IF('17.01'!$AK57="是",'17.01'!$AY$4,'17.01'!$AY$3))</f>
        <v>0</v>
      </c>
      <c r="G57" s="4">
        <f>IF(ISNUMBER(SEARCH("营",'17.01'!O57)),(-$Y57+50*IF('17.01'!$AK57="是",'17.01'!$AY$4,'17.01'!$AY$3)),(VLOOKUP('17.01'!O57,'17.01'!$AM$4:$AO$55,2,FALSE))*IF('17.01'!$AK57="是",'17.01'!$AY$4,'17.01'!$AY$3))</f>
        <v>0</v>
      </c>
      <c r="H57" s="4">
        <f>IF(ISNUMBER(SEARCH("营",'17.01'!P57)),(-$Y57+50*IF('17.01'!$AK57="是",'17.01'!$AY$4,'17.01'!$AY$3)),(VLOOKUP('17.01'!P57,'17.01'!$AM$4:$AO$55,2,FALSE))*IF('17.01'!$AK57="是",'17.01'!$AY$4,'17.01'!$AY$3))</f>
        <v>0</v>
      </c>
      <c r="I57" s="4">
        <f>IF(ISNUMBER(SEARCH("营",'17.01'!Q57)),(-$Y57+50*IF('17.01'!$AK57="是",'17.01'!$AY$4,'17.01'!$AY$3)),(VLOOKUP('17.01'!Q57,'17.01'!$AM$4:$AO$55,2,FALSE))*IF('17.01'!$AK57="是",'17.01'!$AY$4,'17.01'!$AY$3))</f>
        <v>0</v>
      </c>
      <c r="J57" s="4">
        <f>IF(ISNUMBER(SEARCH("营",'17.01'!R57)),(-$Y57+50*IF('17.01'!$AK57="是",'17.01'!$AY$4,'17.01'!$AY$3)),(VLOOKUP('17.01'!R57,'17.01'!$AM$4:$AO$55,2,FALSE))*IF('17.01'!$AK57="是",'17.01'!$AY$4,'17.01'!$AY$3))</f>
        <v>0</v>
      </c>
      <c r="K57" s="4">
        <f>IF(ISNUMBER(SEARCH("营",'17.01'!S57)),(-$Y57+50*IF('17.01'!$AK57="是",'17.01'!$AY$4,'17.01'!$AY$3)),(VLOOKUP('17.01'!S57,'17.01'!$AM$4:$AO$55,2,FALSE))*IF('17.01'!$AK57="是",'17.01'!$AY$4,'17.01'!$AY$3))</f>
        <v>0</v>
      </c>
      <c r="L57" s="4">
        <f>IF(ISNUMBER(SEARCH("营",'17.01'!T57)),(-$Y57+50*IF('17.01'!$AK57="是",'17.01'!$AY$4,'17.01'!$AY$3)),(VLOOKUP('17.01'!T57,'17.01'!$AM$4:$AO$55,2,FALSE))*IF('17.01'!$AK57="是",'17.01'!$AY$4,'17.01'!$AY$3))</f>
        <v>0</v>
      </c>
      <c r="M57" s="4">
        <f>IF(ISNUMBER(SEARCH("营",'17.01'!U57)),(-$Y57+50*IF('17.01'!$AK57="是",'17.01'!$AY$4,'17.01'!$AY$3)),(VLOOKUP('17.01'!U57,'17.01'!$AM$4:$AO$55,2,FALSE))*IF('17.01'!$AK57="是",'17.01'!$AY$4,'17.01'!$AY$3))</f>
        <v>0</v>
      </c>
      <c r="N57" s="4">
        <f>IF(ISNUMBER(SEARCH("营",'17.01'!V57)),(-$Y57+50*IF('17.01'!$AK57="是",'17.01'!$AY$4,'17.01'!$AY$3)),(VLOOKUP('17.01'!V57,'17.01'!$AM$4:$AO$55,2,FALSE))*IF('17.01'!$AK57="是",'17.01'!$AY$4,'17.01'!$AY$3))</f>
        <v>0</v>
      </c>
      <c r="O57" s="4">
        <f>IF(ISNUMBER(SEARCH("营",'17.01'!W57)),(-$Y57+50*IF('17.01'!$AK57="是",'17.01'!$AY$4,'17.01'!$AY$3)),(VLOOKUP('17.01'!W57,'17.01'!$AM$4:$AO$55,2,FALSE))*IF('17.01'!$AK57="是",'17.01'!$AY$4,'17.01'!$AY$3))</f>
        <v>0</v>
      </c>
      <c r="P57" s="4">
        <f>IF(ISNUMBER(SEARCH("营",'17.01'!X57)),(-$Y57+50*IF('17.01'!$AK57="是",'17.01'!$AY$4,'17.01'!$AY$3)),(VLOOKUP('17.01'!X57,'17.01'!$AM$4:$AO$55,2,FALSE))*IF('17.01'!$AK57="是",'17.01'!$AY$4,'17.01'!$AY$3))</f>
        <v>0</v>
      </c>
      <c r="Q57" s="4">
        <f>IF(ISNUMBER(SEARCH("营",'17.01'!Y57)),(-$Y57+50*IF('17.01'!$AK57="是",'17.01'!$AY$4,'17.01'!$AY$3)),(VLOOKUP('17.01'!Y57,'17.01'!$AM$4:$AO$55,2,FALSE))*IF('17.01'!$AK57="是",'17.01'!$AY$4,'17.01'!$AY$3))</f>
        <v>0</v>
      </c>
      <c r="R57" s="4">
        <f>IF(ISNUMBER(SEARCH("营",'17.01'!Z57)),(-$Y57+50*IF('17.01'!$AK57="是",'17.01'!$AY$4,'17.01'!$AY$3)),(VLOOKUP('17.01'!Z57,'17.01'!$AM$4:$AO$55,2,FALSE))*IF('17.01'!$AK57="是",'17.01'!$AY$4,'17.01'!$AY$3))</f>
        <v>0</v>
      </c>
      <c r="S57" s="4">
        <f>IF(ISNUMBER(SEARCH("营",'17.01'!AA57)),(-$Y57+50*IF('17.01'!$AK57="是",'17.01'!$AY$4,'17.01'!$AY$3)),(VLOOKUP('17.01'!AA57,'17.01'!$AM$4:$AO$55,2,FALSE))*IF('17.01'!$AK57="是",'17.01'!$AY$4,'17.01'!$AY$3))</f>
        <v>0</v>
      </c>
      <c r="T57" s="4">
        <f>IF(ISNUMBER(SEARCH("营",'17.01'!AB57)),(-$Y57+50*IF('17.01'!$AK57="是",'17.01'!$AY$4,'17.01'!$AY$3)),(VLOOKUP('17.01'!AB57,'17.01'!$AM$4:$AO$55,2,FALSE))*IF('17.01'!$AK57="是",'17.01'!$AY$4,'17.01'!$AY$3))</f>
        <v>0</v>
      </c>
      <c r="U57" s="4">
        <f>IF(ISNUMBER(SEARCH("营",'17.01'!AC57)),(-$Y57+50*IF('17.01'!$AK57="是",'17.01'!$AY$4,'17.01'!$AY$3)),(VLOOKUP('17.01'!AC57,'17.01'!$AM$4:$AO$55,2,FALSE))*IF('17.01'!$AK57="是",'17.01'!$AY$4,'17.01'!$AY$3))</f>
        <v>0</v>
      </c>
      <c r="V57" s="4">
        <f>IF(ISNUMBER(SEARCH("营",'17.01'!AD57)),(-$Y57+50*IF('17.01'!$AK57="是",'17.01'!$AY$4,'17.01'!$AY$3)),(VLOOKUP('17.01'!AD57,'17.01'!$AM$4:$AO$55,2,FALSE))*IF('17.01'!$AK57="是",'17.01'!$AY$4,'17.01'!$AY$3))</f>
        <v>0</v>
      </c>
      <c r="W57" s="4">
        <f>IF(ISNUMBER(SEARCH("营",'17.01'!AE57)),(-$Y57+50*IF('17.01'!$AK57="是",'17.01'!$AY$4,'17.01'!$AY$3)),(VLOOKUP('17.01'!AE57,'17.01'!$AM$4:$AO$55,2,FALSE))*IF('17.01'!$AK57="是",'17.01'!$AY$4,'17.01'!$AY$3))</f>
        <v>0</v>
      </c>
      <c r="X57" s="4">
        <f>IF(ISNUMBER(SEARCH("营",'17.01'!AF57)),(-$Y57+50*IF('17.01'!$AK57="是",'17.01'!$AY$4,'17.01'!$AY$3)),(VLOOKUP('17.01'!AF57,'17.01'!$AM$4:$AO$55,2,FALSE))*IF('17.01'!$AK57="是",'17.01'!$AY$4,'17.01'!$AY$3))</f>
        <v>0</v>
      </c>
      <c r="Y57" s="91">
        <v>150</v>
      </c>
    </row>
    <row r="58" spans="1:25">
      <c r="A58" s="4">
        <f>IF(ISNUMBER(SEARCH("营",'17.01'!I58)),(-$Y58+50*IF('17.01'!$AK58="是",'17.01'!$AY$4,'17.01'!$AY$3)),(VLOOKUP('17.01'!I58,'17.01'!$AM$4:$AO$55,2,FALSE))*IF('17.01'!$AK58="是",'17.01'!$AY$4,'17.01'!$AY$3))</f>
        <v>0</v>
      </c>
      <c r="B58" s="4">
        <f>IF(ISNUMBER(SEARCH("营",'17.01'!J58)),(-$Y58+50*IF('17.01'!$AK58="是",'17.01'!$AY$4,'17.01'!$AY$3)),(VLOOKUP('17.01'!J58,'17.01'!$AM$4:$AO$55,2,FALSE))*IF('17.01'!$AK58="是",'17.01'!$AY$4,'17.01'!$AY$3))</f>
        <v>0</v>
      </c>
      <c r="C58" s="4">
        <f>IF(ISNUMBER(SEARCH("营",'17.01'!K58)),(-$Y58+50*IF('17.01'!$AK58="是",'17.01'!$AY$4,'17.01'!$AY$3)),(VLOOKUP('17.01'!K58,'17.01'!$AM$4:$AO$55,2,FALSE))*IF('17.01'!$AK58="是",'17.01'!$AY$4,'17.01'!$AY$3))</f>
        <v>0</v>
      </c>
      <c r="D58" s="4">
        <f>IF(ISNUMBER(SEARCH("营",'17.01'!L58)),(-$Y58+50*IF('17.01'!$AK58="是",'17.01'!$AY$4,'17.01'!$AY$3)),(VLOOKUP('17.01'!L58,'17.01'!$AM$4:$AO$55,2,FALSE))*IF('17.01'!$AK58="是",'17.01'!$AY$4,'17.01'!$AY$3))</f>
        <v>0</v>
      </c>
      <c r="E58" s="4">
        <f>IF(ISNUMBER(SEARCH("营",'17.01'!M58)),(-$Y58+50*IF('17.01'!$AK58="是",'17.01'!$AY$4,'17.01'!$AY$3)),(VLOOKUP('17.01'!M58,'17.01'!$AM$4:$AO$55,2,FALSE))*IF('17.01'!$AK58="是",'17.01'!$AY$4,'17.01'!$AY$3))</f>
        <v>0</v>
      </c>
      <c r="F58" s="4">
        <f>IF(ISNUMBER(SEARCH("营",'17.01'!N58)),(-$Y58+50*IF('17.01'!$AK58="是",'17.01'!$AY$4,'17.01'!$AY$3)),(VLOOKUP('17.01'!N58,'17.01'!$AM$4:$AO$55,2,FALSE))*IF('17.01'!$AK58="是",'17.01'!$AY$4,'17.01'!$AY$3))</f>
        <v>0</v>
      </c>
      <c r="G58" s="4">
        <f>IF(ISNUMBER(SEARCH("营",'17.01'!O58)),(-$Y58+50*IF('17.01'!$AK58="是",'17.01'!$AY$4,'17.01'!$AY$3)),(VLOOKUP('17.01'!O58,'17.01'!$AM$4:$AO$55,2,FALSE))*IF('17.01'!$AK58="是",'17.01'!$AY$4,'17.01'!$AY$3))</f>
        <v>0</v>
      </c>
      <c r="H58" s="4">
        <f>IF(ISNUMBER(SEARCH("营",'17.01'!P58)),(-$Y58+50*IF('17.01'!$AK58="是",'17.01'!$AY$4,'17.01'!$AY$3)),(VLOOKUP('17.01'!P58,'17.01'!$AM$4:$AO$55,2,FALSE))*IF('17.01'!$AK58="是",'17.01'!$AY$4,'17.01'!$AY$3))</f>
        <v>0</v>
      </c>
      <c r="I58" s="4">
        <f>IF(ISNUMBER(SEARCH("营",'17.01'!Q58)),(-$Y58+50*IF('17.01'!$AK58="是",'17.01'!$AY$4,'17.01'!$AY$3)),(VLOOKUP('17.01'!Q58,'17.01'!$AM$4:$AO$55,2,FALSE))*IF('17.01'!$AK58="是",'17.01'!$AY$4,'17.01'!$AY$3))</f>
        <v>0</v>
      </c>
      <c r="J58" s="4">
        <f>IF(ISNUMBER(SEARCH("营",'17.01'!R58)),(-$Y58+50*IF('17.01'!$AK58="是",'17.01'!$AY$4,'17.01'!$AY$3)),(VLOOKUP('17.01'!R58,'17.01'!$AM$4:$AO$55,2,FALSE))*IF('17.01'!$AK58="是",'17.01'!$AY$4,'17.01'!$AY$3))</f>
        <v>0</v>
      </c>
      <c r="K58" s="4">
        <f>IF(ISNUMBER(SEARCH("营",'17.01'!S58)),(-$Y58+50*IF('17.01'!$AK58="是",'17.01'!$AY$4,'17.01'!$AY$3)),(VLOOKUP('17.01'!S58,'17.01'!$AM$4:$AO$55,2,FALSE))*IF('17.01'!$AK58="是",'17.01'!$AY$4,'17.01'!$AY$3))</f>
        <v>0</v>
      </c>
      <c r="L58" s="4">
        <f>IF(ISNUMBER(SEARCH("营",'17.01'!T58)),(-$Y58+50*IF('17.01'!$AK58="是",'17.01'!$AY$4,'17.01'!$AY$3)),(VLOOKUP('17.01'!T58,'17.01'!$AM$4:$AO$55,2,FALSE))*IF('17.01'!$AK58="是",'17.01'!$AY$4,'17.01'!$AY$3))</f>
        <v>0</v>
      </c>
      <c r="M58" s="4">
        <f>IF(ISNUMBER(SEARCH("营",'17.01'!U58)),(-$Y58+50*IF('17.01'!$AK58="是",'17.01'!$AY$4,'17.01'!$AY$3)),(VLOOKUP('17.01'!U58,'17.01'!$AM$4:$AO$55,2,FALSE))*IF('17.01'!$AK58="是",'17.01'!$AY$4,'17.01'!$AY$3))</f>
        <v>0</v>
      </c>
      <c r="N58" s="4">
        <f>IF(ISNUMBER(SEARCH("营",'17.01'!V58)),(-$Y58+50*IF('17.01'!$AK58="是",'17.01'!$AY$4,'17.01'!$AY$3)),(VLOOKUP('17.01'!V58,'17.01'!$AM$4:$AO$55,2,FALSE))*IF('17.01'!$AK58="是",'17.01'!$AY$4,'17.01'!$AY$3))</f>
        <v>0</v>
      </c>
      <c r="O58" s="4">
        <f>IF(ISNUMBER(SEARCH("营",'17.01'!W58)),(-$Y58+50*IF('17.01'!$AK58="是",'17.01'!$AY$4,'17.01'!$AY$3)),(VLOOKUP('17.01'!W58,'17.01'!$AM$4:$AO$55,2,FALSE))*IF('17.01'!$AK58="是",'17.01'!$AY$4,'17.01'!$AY$3))</f>
        <v>0</v>
      </c>
      <c r="P58" s="4">
        <f>IF(ISNUMBER(SEARCH("营",'17.01'!X58)),(-$Y58+50*IF('17.01'!$AK58="是",'17.01'!$AY$4,'17.01'!$AY$3)),(VLOOKUP('17.01'!X58,'17.01'!$AM$4:$AO$55,2,FALSE))*IF('17.01'!$AK58="是",'17.01'!$AY$4,'17.01'!$AY$3))</f>
        <v>0</v>
      </c>
      <c r="Q58" s="4">
        <f>IF(ISNUMBER(SEARCH("营",'17.01'!Y58)),(-$Y58+50*IF('17.01'!$AK58="是",'17.01'!$AY$4,'17.01'!$AY$3)),(VLOOKUP('17.01'!Y58,'17.01'!$AM$4:$AO$55,2,FALSE))*IF('17.01'!$AK58="是",'17.01'!$AY$4,'17.01'!$AY$3))</f>
        <v>0</v>
      </c>
      <c r="R58" s="4">
        <f>IF(ISNUMBER(SEARCH("营",'17.01'!Z58)),(-$Y58+50*IF('17.01'!$AK58="是",'17.01'!$AY$4,'17.01'!$AY$3)),(VLOOKUP('17.01'!Z58,'17.01'!$AM$4:$AO$55,2,FALSE))*IF('17.01'!$AK58="是",'17.01'!$AY$4,'17.01'!$AY$3))</f>
        <v>0</v>
      </c>
      <c r="S58" s="4">
        <f>IF(ISNUMBER(SEARCH("营",'17.01'!AA58)),(-$Y58+50*IF('17.01'!$AK58="是",'17.01'!$AY$4,'17.01'!$AY$3)),(VLOOKUP('17.01'!AA58,'17.01'!$AM$4:$AO$55,2,FALSE))*IF('17.01'!$AK58="是",'17.01'!$AY$4,'17.01'!$AY$3))</f>
        <v>0</v>
      </c>
      <c r="T58" s="4">
        <f>IF(ISNUMBER(SEARCH("营",'17.01'!AB58)),(-$Y58+50*IF('17.01'!$AK58="是",'17.01'!$AY$4,'17.01'!$AY$3)),(VLOOKUP('17.01'!AB58,'17.01'!$AM$4:$AO$55,2,FALSE))*IF('17.01'!$AK58="是",'17.01'!$AY$4,'17.01'!$AY$3))</f>
        <v>0</v>
      </c>
      <c r="U58" s="4">
        <f>IF(ISNUMBER(SEARCH("营",'17.01'!AC58)),(-$Y58+50*IF('17.01'!$AK58="是",'17.01'!$AY$4,'17.01'!$AY$3)),(VLOOKUP('17.01'!AC58,'17.01'!$AM$4:$AO$55,2,FALSE))*IF('17.01'!$AK58="是",'17.01'!$AY$4,'17.01'!$AY$3))</f>
        <v>0</v>
      </c>
      <c r="V58" s="4">
        <f>IF(ISNUMBER(SEARCH("营",'17.01'!AD58)),(-$Y58+50*IF('17.01'!$AK58="是",'17.01'!$AY$4,'17.01'!$AY$3)),(VLOOKUP('17.01'!AD58,'17.01'!$AM$4:$AO$55,2,FALSE))*IF('17.01'!$AK58="是",'17.01'!$AY$4,'17.01'!$AY$3))</f>
        <v>0</v>
      </c>
      <c r="W58" s="4">
        <f>IF(ISNUMBER(SEARCH("营",'17.01'!AE58)),(-$Y58+50*IF('17.01'!$AK58="是",'17.01'!$AY$4,'17.01'!$AY$3)),(VLOOKUP('17.01'!AE58,'17.01'!$AM$4:$AO$55,2,FALSE))*IF('17.01'!$AK58="是",'17.01'!$AY$4,'17.01'!$AY$3))</f>
        <v>0</v>
      </c>
      <c r="X58" s="4">
        <f>IF(ISNUMBER(SEARCH("营",'17.01'!AF58)),(-$Y58+50*IF('17.01'!$AK58="是",'17.01'!$AY$4,'17.01'!$AY$3)),(VLOOKUP('17.01'!AF58,'17.01'!$AM$4:$AO$55,2,FALSE))*IF('17.01'!$AK58="是",'17.01'!$AY$4,'17.01'!$AY$3))</f>
        <v>0</v>
      </c>
      <c r="Y58" s="91">
        <v>150</v>
      </c>
    </row>
    <row r="59" spans="1:25">
      <c r="A59" s="4">
        <f>IF(ISNUMBER(SEARCH("营",'17.01'!I59)),(-$Y59+50*IF('17.01'!$AK59="是",'17.01'!$AY$4,'17.01'!$AY$3)),(VLOOKUP('17.01'!I59,'17.01'!$AM$4:$AO$55,2,FALSE))*IF('17.01'!$AK59="是",'17.01'!$AY$4,'17.01'!$AY$3))</f>
        <v>0</v>
      </c>
      <c r="B59" s="4">
        <f>IF(ISNUMBER(SEARCH("营",'17.01'!J59)),(-$Y59+50*IF('17.01'!$AK59="是",'17.01'!$AY$4,'17.01'!$AY$3)),(VLOOKUP('17.01'!J59,'17.01'!$AM$4:$AO$55,2,FALSE))*IF('17.01'!$AK59="是",'17.01'!$AY$4,'17.01'!$AY$3))</f>
        <v>0</v>
      </c>
      <c r="C59" s="4">
        <f>IF(ISNUMBER(SEARCH("营",'17.01'!K59)),(-$Y59+50*IF('17.01'!$AK59="是",'17.01'!$AY$4,'17.01'!$AY$3)),(VLOOKUP('17.01'!K59,'17.01'!$AM$4:$AO$55,2,FALSE))*IF('17.01'!$AK59="是",'17.01'!$AY$4,'17.01'!$AY$3))</f>
        <v>0</v>
      </c>
      <c r="D59" s="4">
        <f>IF(ISNUMBER(SEARCH("营",'17.01'!L59)),(-$Y59+50*IF('17.01'!$AK59="是",'17.01'!$AY$4,'17.01'!$AY$3)),(VLOOKUP('17.01'!L59,'17.01'!$AM$4:$AO$55,2,FALSE))*IF('17.01'!$AK59="是",'17.01'!$AY$4,'17.01'!$AY$3))</f>
        <v>0</v>
      </c>
      <c r="E59" s="4">
        <f>IF(ISNUMBER(SEARCH("营",'17.01'!M59)),(-$Y59+50*IF('17.01'!$AK59="是",'17.01'!$AY$4,'17.01'!$AY$3)),(VLOOKUP('17.01'!M59,'17.01'!$AM$4:$AO$55,2,FALSE))*IF('17.01'!$AK59="是",'17.01'!$AY$4,'17.01'!$AY$3))</f>
        <v>0</v>
      </c>
      <c r="F59" s="4">
        <f>IF(ISNUMBER(SEARCH("营",'17.01'!N59)),(-$Y59+50*IF('17.01'!$AK59="是",'17.01'!$AY$4,'17.01'!$AY$3)),(VLOOKUP('17.01'!N59,'17.01'!$AM$4:$AO$55,2,FALSE))*IF('17.01'!$AK59="是",'17.01'!$AY$4,'17.01'!$AY$3))</f>
        <v>0</v>
      </c>
      <c r="G59" s="4">
        <f>IF(ISNUMBER(SEARCH("营",'17.01'!O59)),(-$Y59+50*IF('17.01'!$AK59="是",'17.01'!$AY$4,'17.01'!$AY$3)),(VLOOKUP('17.01'!O59,'17.01'!$AM$4:$AO$55,2,FALSE))*IF('17.01'!$AK59="是",'17.01'!$AY$4,'17.01'!$AY$3))</f>
        <v>0</v>
      </c>
      <c r="H59" s="4">
        <f>IF(ISNUMBER(SEARCH("营",'17.01'!P59)),(-$Y59+50*IF('17.01'!$AK59="是",'17.01'!$AY$4,'17.01'!$AY$3)),(VLOOKUP('17.01'!P59,'17.01'!$AM$4:$AO$55,2,FALSE))*IF('17.01'!$AK59="是",'17.01'!$AY$4,'17.01'!$AY$3))</f>
        <v>0</v>
      </c>
      <c r="I59" s="4">
        <f>IF(ISNUMBER(SEARCH("营",'17.01'!Q59)),(-$Y59+50*IF('17.01'!$AK59="是",'17.01'!$AY$4,'17.01'!$AY$3)),(VLOOKUP('17.01'!Q59,'17.01'!$AM$4:$AO$55,2,FALSE))*IF('17.01'!$AK59="是",'17.01'!$AY$4,'17.01'!$AY$3))</f>
        <v>0</v>
      </c>
      <c r="J59" s="4">
        <f>IF(ISNUMBER(SEARCH("营",'17.01'!R59)),(-$Y59+50*IF('17.01'!$AK59="是",'17.01'!$AY$4,'17.01'!$AY$3)),(VLOOKUP('17.01'!R59,'17.01'!$AM$4:$AO$55,2,FALSE))*IF('17.01'!$AK59="是",'17.01'!$AY$4,'17.01'!$AY$3))</f>
        <v>0</v>
      </c>
      <c r="K59" s="4">
        <f>IF(ISNUMBER(SEARCH("营",'17.01'!S59)),(-$Y59+50*IF('17.01'!$AK59="是",'17.01'!$AY$4,'17.01'!$AY$3)),(VLOOKUP('17.01'!S59,'17.01'!$AM$4:$AO$55,2,FALSE))*IF('17.01'!$AK59="是",'17.01'!$AY$4,'17.01'!$AY$3))</f>
        <v>0</v>
      </c>
      <c r="L59" s="4">
        <f>IF(ISNUMBER(SEARCH("营",'17.01'!T59)),(-$Y59+50*IF('17.01'!$AK59="是",'17.01'!$AY$4,'17.01'!$AY$3)),(VLOOKUP('17.01'!T59,'17.01'!$AM$4:$AO$55,2,FALSE))*IF('17.01'!$AK59="是",'17.01'!$AY$4,'17.01'!$AY$3))</f>
        <v>0</v>
      </c>
      <c r="M59" s="4">
        <f>IF(ISNUMBER(SEARCH("营",'17.01'!U59)),(-$Y59+50*IF('17.01'!$AK59="是",'17.01'!$AY$4,'17.01'!$AY$3)),(VLOOKUP('17.01'!U59,'17.01'!$AM$4:$AO$55,2,FALSE))*IF('17.01'!$AK59="是",'17.01'!$AY$4,'17.01'!$AY$3))</f>
        <v>0</v>
      </c>
      <c r="N59" s="4">
        <f>IF(ISNUMBER(SEARCH("营",'17.01'!V59)),(-$Y59+50*IF('17.01'!$AK59="是",'17.01'!$AY$4,'17.01'!$AY$3)),(VLOOKUP('17.01'!V59,'17.01'!$AM$4:$AO$55,2,FALSE))*IF('17.01'!$AK59="是",'17.01'!$AY$4,'17.01'!$AY$3))</f>
        <v>0</v>
      </c>
      <c r="O59" s="4">
        <f>IF(ISNUMBER(SEARCH("营",'17.01'!W59)),(-$Y59+50*IF('17.01'!$AK59="是",'17.01'!$AY$4,'17.01'!$AY$3)),(VLOOKUP('17.01'!W59,'17.01'!$AM$4:$AO$55,2,FALSE))*IF('17.01'!$AK59="是",'17.01'!$AY$4,'17.01'!$AY$3))</f>
        <v>0</v>
      </c>
      <c r="P59" s="4">
        <f>IF(ISNUMBER(SEARCH("营",'17.01'!X59)),(-$Y59+50*IF('17.01'!$AK59="是",'17.01'!$AY$4,'17.01'!$AY$3)),(VLOOKUP('17.01'!X59,'17.01'!$AM$4:$AO$55,2,FALSE))*IF('17.01'!$AK59="是",'17.01'!$AY$4,'17.01'!$AY$3))</f>
        <v>0</v>
      </c>
      <c r="Q59" s="4">
        <f>IF(ISNUMBER(SEARCH("营",'17.01'!Y59)),(-$Y59+50*IF('17.01'!$AK59="是",'17.01'!$AY$4,'17.01'!$AY$3)),(VLOOKUP('17.01'!Y59,'17.01'!$AM$4:$AO$55,2,FALSE))*IF('17.01'!$AK59="是",'17.01'!$AY$4,'17.01'!$AY$3))</f>
        <v>0</v>
      </c>
      <c r="R59" s="4">
        <f>IF(ISNUMBER(SEARCH("营",'17.01'!Z59)),(-$Y59+50*IF('17.01'!$AK59="是",'17.01'!$AY$4,'17.01'!$AY$3)),(VLOOKUP('17.01'!Z59,'17.01'!$AM$4:$AO$55,2,FALSE))*IF('17.01'!$AK59="是",'17.01'!$AY$4,'17.01'!$AY$3))</f>
        <v>0</v>
      </c>
      <c r="S59" s="4">
        <f>IF(ISNUMBER(SEARCH("营",'17.01'!AA59)),(-$Y59+50*IF('17.01'!$AK59="是",'17.01'!$AY$4,'17.01'!$AY$3)),(VLOOKUP('17.01'!AA59,'17.01'!$AM$4:$AO$55,2,FALSE))*IF('17.01'!$AK59="是",'17.01'!$AY$4,'17.01'!$AY$3))</f>
        <v>0</v>
      </c>
      <c r="T59" s="4">
        <f>IF(ISNUMBER(SEARCH("营",'17.01'!AB59)),(-$Y59+50*IF('17.01'!$AK59="是",'17.01'!$AY$4,'17.01'!$AY$3)),(VLOOKUP('17.01'!AB59,'17.01'!$AM$4:$AO$55,2,FALSE))*IF('17.01'!$AK59="是",'17.01'!$AY$4,'17.01'!$AY$3))</f>
        <v>0</v>
      </c>
      <c r="U59" s="4">
        <f>IF(ISNUMBER(SEARCH("营",'17.01'!AC59)),(-$Y59+50*IF('17.01'!$AK59="是",'17.01'!$AY$4,'17.01'!$AY$3)),(VLOOKUP('17.01'!AC59,'17.01'!$AM$4:$AO$55,2,FALSE))*IF('17.01'!$AK59="是",'17.01'!$AY$4,'17.01'!$AY$3))</f>
        <v>0</v>
      </c>
      <c r="V59" s="4">
        <f>IF(ISNUMBER(SEARCH("营",'17.01'!AD59)),(-$Y59+50*IF('17.01'!$AK59="是",'17.01'!$AY$4,'17.01'!$AY$3)),(VLOOKUP('17.01'!AD59,'17.01'!$AM$4:$AO$55,2,FALSE))*IF('17.01'!$AK59="是",'17.01'!$AY$4,'17.01'!$AY$3))</f>
        <v>0</v>
      </c>
      <c r="W59" s="4">
        <f>IF(ISNUMBER(SEARCH("营",'17.01'!AE59)),(-$Y59+50*IF('17.01'!$AK59="是",'17.01'!$AY$4,'17.01'!$AY$3)),(VLOOKUP('17.01'!AE59,'17.01'!$AM$4:$AO$55,2,FALSE))*IF('17.01'!$AK59="是",'17.01'!$AY$4,'17.01'!$AY$3))</f>
        <v>0</v>
      </c>
      <c r="X59" s="4">
        <f>IF(ISNUMBER(SEARCH("营",'17.01'!AF59)),(-$Y59+50*IF('17.01'!$AK59="是",'17.01'!$AY$4,'17.01'!$AY$3)),(VLOOKUP('17.01'!AF59,'17.01'!$AM$4:$AO$55,2,FALSE))*IF('17.01'!$AK59="是",'17.01'!$AY$4,'17.01'!$AY$3))</f>
        <v>0</v>
      </c>
      <c r="Y59" s="91">
        <v>150</v>
      </c>
    </row>
    <row r="60" spans="1:25">
      <c r="A60" s="4">
        <f>IF(ISNUMBER(SEARCH("营",'17.01'!I60)),(-$Y60+50*IF('17.01'!$AK60="是",'17.01'!$AY$4,'17.01'!$AY$3)),(VLOOKUP('17.01'!I60,'17.01'!$AM$4:$AO$55,2,FALSE))*IF('17.01'!$AK60="是",'17.01'!$AY$4,'17.01'!$AY$3))</f>
        <v>0</v>
      </c>
      <c r="B60" s="4">
        <f>IF(ISNUMBER(SEARCH("营",'17.01'!J60)),(-$Y60+50*IF('17.01'!$AK60="是",'17.01'!$AY$4,'17.01'!$AY$3)),(VLOOKUP('17.01'!J60,'17.01'!$AM$4:$AO$55,2,FALSE))*IF('17.01'!$AK60="是",'17.01'!$AY$4,'17.01'!$AY$3))</f>
        <v>0</v>
      </c>
      <c r="C60" s="4">
        <f>IF(ISNUMBER(SEARCH("营",'17.01'!K60)),(-$Y60+50*IF('17.01'!$AK60="是",'17.01'!$AY$4,'17.01'!$AY$3)),(VLOOKUP('17.01'!K60,'17.01'!$AM$4:$AO$55,2,FALSE))*IF('17.01'!$AK60="是",'17.01'!$AY$4,'17.01'!$AY$3))</f>
        <v>0</v>
      </c>
      <c r="D60" s="4">
        <f>IF(ISNUMBER(SEARCH("营",'17.01'!L60)),(-$Y60+50*IF('17.01'!$AK60="是",'17.01'!$AY$4,'17.01'!$AY$3)),(VLOOKUP('17.01'!L60,'17.01'!$AM$4:$AO$55,2,FALSE))*IF('17.01'!$AK60="是",'17.01'!$AY$4,'17.01'!$AY$3))</f>
        <v>0</v>
      </c>
      <c r="E60" s="4">
        <f>IF(ISNUMBER(SEARCH("营",'17.01'!M60)),(-$Y60+50*IF('17.01'!$AK60="是",'17.01'!$AY$4,'17.01'!$AY$3)),(VLOOKUP('17.01'!M60,'17.01'!$AM$4:$AO$55,2,FALSE))*IF('17.01'!$AK60="是",'17.01'!$AY$4,'17.01'!$AY$3))</f>
        <v>0</v>
      </c>
      <c r="F60" s="4">
        <f>IF(ISNUMBER(SEARCH("营",'17.01'!N60)),(-$Y60+50*IF('17.01'!$AK60="是",'17.01'!$AY$4,'17.01'!$AY$3)),(VLOOKUP('17.01'!N60,'17.01'!$AM$4:$AO$55,2,FALSE))*IF('17.01'!$AK60="是",'17.01'!$AY$4,'17.01'!$AY$3))</f>
        <v>0</v>
      </c>
      <c r="G60" s="4">
        <f>IF(ISNUMBER(SEARCH("营",'17.01'!O60)),(-$Y60+50*IF('17.01'!$AK60="是",'17.01'!$AY$4,'17.01'!$AY$3)),(VLOOKUP('17.01'!O60,'17.01'!$AM$4:$AO$55,2,FALSE))*IF('17.01'!$AK60="是",'17.01'!$AY$4,'17.01'!$AY$3))</f>
        <v>0</v>
      </c>
      <c r="H60" s="4">
        <f>IF(ISNUMBER(SEARCH("营",'17.01'!P60)),(-$Y60+50*IF('17.01'!$AK60="是",'17.01'!$AY$4,'17.01'!$AY$3)),(VLOOKUP('17.01'!P60,'17.01'!$AM$4:$AO$55,2,FALSE))*IF('17.01'!$AK60="是",'17.01'!$AY$4,'17.01'!$AY$3))</f>
        <v>0</v>
      </c>
      <c r="I60" s="4">
        <f>IF(ISNUMBER(SEARCH("营",'17.01'!Q60)),(-$Y60+50*IF('17.01'!$AK60="是",'17.01'!$AY$4,'17.01'!$AY$3)),(VLOOKUP('17.01'!Q60,'17.01'!$AM$4:$AO$55,2,FALSE))*IF('17.01'!$AK60="是",'17.01'!$AY$4,'17.01'!$AY$3))</f>
        <v>0</v>
      </c>
      <c r="J60" s="4">
        <f>IF(ISNUMBER(SEARCH("营",'17.01'!R60)),(-$Y60+50*IF('17.01'!$AK60="是",'17.01'!$AY$4,'17.01'!$AY$3)),(VLOOKUP('17.01'!R60,'17.01'!$AM$4:$AO$55,2,FALSE))*IF('17.01'!$AK60="是",'17.01'!$AY$4,'17.01'!$AY$3))</f>
        <v>0</v>
      </c>
      <c r="K60" s="4">
        <f>IF(ISNUMBER(SEARCH("营",'17.01'!S60)),(-$Y60+50*IF('17.01'!$AK60="是",'17.01'!$AY$4,'17.01'!$AY$3)),(VLOOKUP('17.01'!S60,'17.01'!$AM$4:$AO$55,2,FALSE))*IF('17.01'!$AK60="是",'17.01'!$AY$4,'17.01'!$AY$3))</f>
        <v>0</v>
      </c>
      <c r="L60" s="4">
        <f>IF(ISNUMBER(SEARCH("营",'17.01'!T60)),(-$Y60+50*IF('17.01'!$AK60="是",'17.01'!$AY$4,'17.01'!$AY$3)),(VLOOKUP('17.01'!T60,'17.01'!$AM$4:$AO$55,2,FALSE))*IF('17.01'!$AK60="是",'17.01'!$AY$4,'17.01'!$AY$3))</f>
        <v>0</v>
      </c>
      <c r="M60" s="4">
        <f>IF(ISNUMBER(SEARCH("营",'17.01'!U60)),(-$Y60+50*IF('17.01'!$AK60="是",'17.01'!$AY$4,'17.01'!$AY$3)),(VLOOKUP('17.01'!U60,'17.01'!$AM$4:$AO$55,2,FALSE))*IF('17.01'!$AK60="是",'17.01'!$AY$4,'17.01'!$AY$3))</f>
        <v>0</v>
      </c>
      <c r="N60" s="4">
        <f>IF(ISNUMBER(SEARCH("营",'17.01'!V60)),(-$Y60+50*IF('17.01'!$AK60="是",'17.01'!$AY$4,'17.01'!$AY$3)),(VLOOKUP('17.01'!V60,'17.01'!$AM$4:$AO$55,2,FALSE))*IF('17.01'!$AK60="是",'17.01'!$AY$4,'17.01'!$AY$3))</f>
        <v>0</v>
      </c>
      <c r="O60" s="4">
        <f>IF(ISNUMBER(SEARCH("营",'17.01'!W60)),(-$Y60+50*IF('17.01'!$AK60="是",'17.01'!$AY$4,'17.01'!$AY$3)),(VLOOKUP('17.01'!W60,'17.01'!$AM$4:$AO$55,2,FALSE))*IF('17.01'!$AK60="是",'17.01'!$AY$4,'17.01'!$AY$3))</f>
        <v>0</v>
      </c>
      <c r="P60" s="4">
        <f>IF(ISNUMBER(SEARCH("营",'17.01'!X60)),(-$Y60+50*IF('17.01'!$AK60="是",'17.01'!$AY$4,'17.01'!$AY$3)),(VLOOKUP('17.01'!X60,'17.01'!$AM$4:$AO$55,2,FALSE))*IF('17.01'!$AK60="是",'17.01'!$AY$4,'17.01'!$AY$3))</f>
        <v>0</v>
      </c>
      <c r="Q60" s="4">
        <f>IF(ISNUMBER(SEARCH("营",'17.01'!Y60)),(-$Y60+50*IF('17.01'!$AK60="是",'17.01'!$AY$4,'17.01'!$AY$3)),(VLOOKUP('17.01'!Y60,'17.01'!$AM$4:$AO$55,2,FALSE))*IF('17.01'!$AK60="是",'17.01'!$AY$4,'17.01'!$AY$3))</f>
        <v>0</v>
      </c>
      <c r="R60" s="4">
        <f>IF(ISNUMBER(SEARCH("营",'17.01'!Z60)),(-$Y60+50*IF('17.01'!$AK60="是",'17.01'!$AY$4,'17.01'!$AY$3)),(VLOOKUP('17.01'!Z60,'17.01'!$AM$4:$AO$55,2,FALSE))*IF('17.01'!$AK60="是",'17.01'!$AY$4,'17.01'!$AY$3))</f>
        <v>0</v>
      </c>
      <c r="S60" s="4">
        <f>IF(ISNUMBER(SEARCH("营",'17.01'!AA60)),(-$Y60+50*IF('17.01'!$AK60="是",'17.01'!$AY$4,'17.01'!$AY$3)),(VLOOKUP('17.01'!AA60,'17.01'!$AM$4:$AO$55,2,FALSE))*IF('17.01'!$AK60="是",'17.01'!$AY$4,'17.01'!$AY$3))</f>
        <v>0</v>
      </c>
      <c r="T60" s="4">
        <f>IF(ISNUMBER(SEARCH("营",'17.01'!AB60)),(-$Y60+50*IF('17.01'!$AK60="是",'17.01'!$AY$4,'17.01'!$AY$3)),(VLOOKUP('17.01'!AB60,'17.01'!$AM$4:$AO$55,2,FALSE))*IF('17.01'!$AK60="是",'17.01'!$AY$4,'17.01'!$AY$3))</f>
        <v>0</v>
      </c>
      <c r="U60" s="4">
        <f>IF(ISNUMBER(SEARCH("营",'17.01'!AC60)),(-$Y60+50*IF('17.01'!$AK60="是",'17.01'!$AY$4,'17.01'!$AY$3)),(VLOOKUP('17.01'!AC60,'17.01'!$AM$4:$AO$55,2,FALSE))*IF('17.01'!$AK60="是",'17.01'!$AY$4,'17.01'!$AY$3))</f>
        <v>0</v>
      </c>
      <c r="V60" s="4">
        <f>IF(ISNUMBER(SEARCH("营",'17.01'!AD60)),(-$Y60+50*IF('17.01'!$AK60="是",'17.01'!$AY$4,'17.01'!$AY$3)),(VLOOKUP('17.01'!AD60,'17.01'!$AM$4:$AO$55,2,FALSE))*IF('17.01'!$AK60="是",'17.01'!$AY$4,'17.01'!$AY$3))</f>
        <v>0</v>
      </c>
      <c r="W60" s="4">
        <f>IF(ISNUMBER(SEARCH("营",'17.01'!AE60)),(-$Y60+50*IF('17.01'!$AK60="是",'17.01'!$AY$4,'17.01'!$AY$3)),(VLOOKUP('17.01'!AE60,'17.01'!$AM$4:$AO$55,2,FALSE))*IF('17.01'!$AK60="是",'17.01'!$AY$4,'17.01'!$AY$3))</f>
        <v>0</v>
      </c>
      <c r="X60" s="4">
        <f>IF(ISNUMBER(SEARCH("营",'17.01'!AF60)),(-$Y60+50*IF('17.01'!$AK60="是",'17.01'!$AY$4,'17.01'!$AY$3)),(VLOOKUP('17.01'!AF60,'17.01'!$AM$4:$AO$55,2,FALSE))*IF('17.01'!$AK60="是",'17.01'!$AY$4,'17.01'!$AY$3))</f>
        <v>0</v>
      </c>
      <c r="Y60" s="91">
        <v>150</v>
      </c>
    </row>
    <row r="61" spans="1:25">
      <c r="A61" s="4">
        <f>IF(ISNUMBER(SEARCH("营",'17.01'!I61)),(-$Y61+50*IF('17.01'!$AK61="是",'17.01'!$AY$4,'17.01'!$AY$3)),(VLOOKUP('17.01'!I61,'17.01'!$AM$4:$AO$55,2,FALSE))*IF('17.01'!$AK61="是",'17.01'!$AY$4,'17.01'!$AY$3))</f>
        <v>0</v>
      </c>
      <c r="B61" s="4">
        <f>IF(ISNUMBER(SEARCH("营",'17.01'!J61)),(-$Y61+50*IF('17.01'!$AK61="是",'17.01'!$AY$4,'17.01'!$AY$3)),(VLOOKUP('17.01'!J61,'17.01'!$AM$4:$AO$55,2,FALSE))*IF('17.01'!$AK61="是",'17.01'!$AY$4,'17.01'!$AY$3))</f>
        <v>0</v>
      </c>
      <c r="C61" s="4">
        <f>IF(ISNUMBER(SEARCH("营",'17.01'!K61)),(-$Y61+50*IF('17.01'!$AK61="是",'17.01'!$AY$4,'17.01'!$AY$3)),(VLOOKUP('17.01'!K61,'17.01'!$AM$4:$AO$55,2,FALSE))*IF('17.01'!$AK61="是",'17.01'!$AY$4,'17.01'!$AY$3))</f>
        <v>0</v>
      </c>
      <c r="D61" s="4">
        <f>IF(ISNUMBER(SEARCH("营",'17.01'!L61)),(-$Y61+50*IF('17.01'!$AK61="是",'17.01'!$AY$4,'17.01'!$AY$3)),(VLOOKUP('17.01'!L61,'17.01'!$AM$4:$AO$55,2,FALSE))*IF('17.01'!$AK61="是",'17.01'!$AY$4,'17.01'!$AY$3))</f>
        <v>0</v>
      </c>
      <c r="E61" s="4">
        <f>IF(ISNUMBER(SEARCH("营",'17.01'!M61)),(-$Y61+50*IF('17.01'!$AK61="是",'17.01'!$AY$4,'17.01'!$AY$3)),(VLOOKUP('17.01'!M61,'17.01'!$AM$4:$AO$55,2,FALSE))*IF('17.01'!$AK61="是",'17.01'!$AY$4,'17.01'!$AY$3))</f>
        <v>0</v>
      </c>
      <c r="F61" s="4">
        <f>IF(ISNUMBER(SEARCH("营",'17.01'!N61)),(-$Y61+50*IF('17.01'!$AK61="是",'17.01'!$AY$4,'17.01'!$AY$3)),(VLOOKUP('17.01'!N61,'17.01'!$AM$4:$AO$55,2,FALSE))*IF('17.01'!$AK61="是",'17.01'!$AY$4,'17.01'!$AY$3))</f>
        <v>0</v>
      </c>
      <c r="G61" s="4">
        <f>IF(ISNUMBER(SEARCH("营",'17.01'!O61)),(-$Y61+50*IF('17.01'!$AK61="是",'17.01'!$AY$4,'17.01'!$AY$3)),(VLOOKUP('17.01'!O61,'17.01'!$AM$4:$AO$55,2,FALSE))*IF('17.01'!$AK61="是",'17.01'!$AY$4,'17.01'!$AY$3))</f>
        <v>0</v>
      </c>
      <c r="H61" s="4">
        <f>IF(ISNUMBER(SEARCH("营",'17.01'!P61)),(-$Y61+50*IF('17.01'!$AK61="是",'17.01'!$AY$4,'17.01'!$AY$3)),(VLOOKUP('17.01'!P61,'17.01'!$AM$4:$AO$55,2,FALSE))*IF('17.01'!$AK61="是",'17.01'!$AY$4,'17.01'!$AY$3))</f>
        <v>0</v>
      </c>
      <c r="I61" s="4">
        <f>IF(ISNUMBER(SEARCH("营",'17.01'!Q61)),(-$Y61+50*IF('17.01'!$AK61="是",'17.01'!$AY$4,'17.01'!$AY$3)),(VLOOKUP('17.01'!Q61,'17.01'!$AM$4:$AO$55,2,FALSE))*IF('17.01'!$AK61="是",'17.01'!$AY$4,'17.01'!$AY$3))</f>
        <v>0</v>
      </c>
      <c r="J61" s="4">
        <f>IF(ISNUMBER(SEARCH("营",'17.01'!R61)),(-$Y61+50*IF('17.01'!$AK61="是",'17.01'!$AY$4,'17.01'!$AY$3)),(VLOOKUP('17.01'!R61,'17.01'!$AM$4:$AO$55,2,FALSE))*IF('17.01'!$AK61="是",'17.01'!$AY$4,'17.01'!$AY$3))</f>
        <v>0</v>
      </c>
      <c r="K61" s="4">
        <f>IF(ISNUMBER(SEARCH("营",'17.01'!S61)),(-$Y61+50*IF('17.01'!$AK61="是",'17.01'!$AY$4,'17.01'!$AY$3)),(VLOOKUP('17.01'!S61,'17.01'!$AM$4:$AO$55,2,FALSE))*IF('17.01'!$AK61="是",'17.01'!$AY$4,'17.01'!$AY$3))</f>
        <v>0</v>
      </c>
      <c r="L61" s="4">
        <f>IF(ISNUMBER(SEARCH("营",'17.01'!T61)),(-$Y61+50*IF('17.01'!$AK61="是",'17.01'!$AY$4,'17.01'!$AY$3)),(VLOOKUP('17.01'!T61,'17.01'!$AM$4:$AO$55,2,FALSE))*IF('17.01'!$AK61="是",'17.01'!$AY$4,'17.01'!$AY$3))</f>
        <v>0</v>
      </c>
      <c r="M61" s="4">
        <f>IF(ISNUMBER(SEARCH("营",'17.01'!U61)),(-$Y61+50*IF('17.01'!$AK61="是",'17.01'!$AY$4,'17.01'!$AY$3)),(VLOOKUP('17.01'!U61,'17.01'!$AM$4:$AO$55,2,FALSE))*IF('17.01'!$AK61="是",'17.01'!$AY$4,'17.01'!$AY$3))</f>
        <v>0</v>
      </c>
      <c r="N61" s="4">
        <f>IF(ISNUMBER(SEARCH("营",'17.01'!V61)),(-$Y61+50*IF('17.01'!$AK61="是",'17.01'!$AY$4,'17.01'!$AY$3)),(VLOOKUP('17.01'!V61,'17.01'!$AM$4:$AO$55,2,FALSE))*IF('17.01'!$AK61="是",'17.01'!$AY$4,'17.01'!$AY$3))</f>
        <v>0</v>
      </c>
      <c r="O61" s="4">
        <f>IF(ISNUMBER(SEARCH("营",'17.01'!W61)),(-$Y61+50*IF('17.01'!$AK61="是",'17.01'!$AY$4,'17.01'!$AY$3)),(VLOOKUP('17.01'!W61,'17.01'!$AM$4:$AO$55,2,FALSE))*IF('17.01'!$AK61="是",'17.01'!$AY$4,'17.01'!$AY$3))</f>
        <v>0</v>
      </c>
      <c r="P61" s="4">
        <f>IF(ISNUMBER(SEARCH("营",'17.01'!X61)),(-$Y61+50*IF('17.01'!$AK61="是",'17.01'!$AY$4,'17.01'!$AY$3)),(VLOOKUP('17.01'!X61,'17.01'!$AM$4:$AO$55,2,FALSE))*IF('17.01'!$AK61="是",'17.01'!$AY$4,'17.01'!$AY$3))</f>
        <v>0</v>
      </c>
      <c r="Q61" s="4">
        <f>IF(ISNUMBER(SEARCH("营",'17.01'!Y61)),(-$Y61+50*IF('17.01'!$AK61="是",'17.01'!$AY$4,'17.01'!$AY$3)),(VLOOKUP('17.01'!Y61,'17.01'!$AM$4:$AO$55,2,FALSE))*IF('17.01'!$AK61="是",'17.01'!$AY$4,'17.01'!$AY$3))</f>
        <v>0</v>
      </c>
      <c r="R61" s="4">
        <f>IF(ISNUMBER(SEARCH("营",'17.01'!Z61)),(-$Y61+50*IF('17.01'!$AK61="是",'17.01'!$AY$4,'17.01'!$AY$3)),(VLOOKUP('17.01'!Z61,'17.01'!$AM$4:$AO$55,2,FALSE))*IF('17.01'!$AK61="是",'17.01'!$AY$4,'17.01'!$AY$3))</f>
        <v>0</v>
      </c>
      <c r="S61" s="4">
        <f>IF(ISNUMBER(SEARCH("营",'17.01'!AA61)),(-$Y61+50*IF('17.01'!$AK61="是",'17.01'!$AY$4,'17.01'!$AY$3)),(VLOOKUP('17.01'!AA61,'17.01'!$AM$4:$AO$55,2,FALSE))*IF('17.01'!$AK61="是",'17.01'!$AY$4,'17.01'!$AY$3))</f>
        <v>0</v>
      </c>
      <c r="T61" s="4">
        <f>IF(ISNUMBER(SEARCH("营",'17.01'!AB61)),(-$Y61+50*IF('17.01'!$AK61="是",'17.01'!$AY$4,'17.01'!$AY$3)),(VLOOKUP('17.01'!AB61,'17.01'!$AM$4:$AO$55,2,FALSE))*IF('17.01'!$AK61="是",'17.01'!$AY$4,'17.01'!$AY$3))</f>
        <v>0</v>
      </c>
      <c r="U61" s="4">
        <f>IF(ISNUMBER(SEARCH("营",'17.01'!AC61)),(-$Y61+50*IF('17.01'!$AK61="是",'17.01'!$AY$4,'17.01'!$AY$3)),(VLOOKUP('17.01'!AC61,'17.01'!$AM$4:$AO$55,2,FALSE))*IF('17.01'!$AK61="是",'17.01'!$AY$4,'17.01'!$AY$3))</f>
        <v>0</v>
      </c>
      <c r="V61" s="4">
        <f>IF(ISNUMBER(SEARCH("营",'17.01'!AD61)),(-$Y61+50*IF('17.01'!$AK61="是",'17.01'!$AY$4,'17.01'!$AY$3)),(VLOOKUP('17.01'!AD61,'17.01'!$AM$4:$AO$55,2,FALSE))*IF('17.01'!$AK61="是",'17.01'!$AY$4,'17.01'!$AY$3))</f>
        <v>0</v>
      </c>
      <c r="W61" s="4">
        <f>IF(ISNUMBER(SEARCH("营",'17.01'!AE61)),(-$Y61+50*IF('17.01'!$AK61="是",'17.01'!$AY$4,'17.01'!$AY$3)),(VLOOKUP('17.01'!AE61,'17.01'!$AM$4:$AO$55,2,FALSE))*IF('17.01'!$AK61="是",'17.01'!$AY$4,'17.01'!$AY$3))</f>
        <v>0</v>
      </c>
      <c r="X61" s="4">
        <f>IF(ISNUMBER(SEARCH("营",'17.01'!AF61)),(-$Y61+50*IF('17.01'!$AK61="是",'17.01'!$AY$4,'17.01'!$AY$3)),(VLOOKUP('17.01'!AF61,'17.01'!$AM$4:$AO$55,2,FALSE))*IF('17.01'!$AK61="是",'17.01'!$AY$4,'17.01'!$AY$3))</f>
        <v>0</v>
      </c>
      <c r="Y61" s="91">
        <v>150</v>
      </c>
    </row>
    <row r="62" spans="1:25">
      <c r="A62" s="4">
        <f>IF(ISNUMBER(SEARCH("营",'17.01'!I62)),(-$Y62+50*IF('17.01'!$AK62="是",'17.01'!$AY$4,'17.01'!$AY$3)),(VLOOKUP('17.01'!I62,'17.01'!$AM$4:$AO$55,2,FALSE))*IF('17.01'!$AK62="是",'17.01'!$AY$4,'17.01'!$AY$3))</f>
        <v>0</v>
      </c>
      <c r="B62" s="4">
        <f>IF(ISNUMBER(SEARCH("营",'17.01'!J62)),(-$Y62+50*IF('17.01'!$AK62="是",'17.01'!$AY$4,'17.01'!$AY$3)),(VLOOKUP('17.01'!J62,'17.01'!$AM$4:$AO$55,2,FALSE))*IF('17.01'!$AK62="是",'17.01'!$AY$4,'17.01'!$AY$3))</f>
        <v>0</v>
      </c>
      <c r="C62" s="4">
        <f>IF(ISNUMBER(SEARCH("营",'17.01'!K62)),(-$Y62+50*IF('17.01'!$AK62="是",'17.01'!$AY$4,'17.01'!$AY$3)),(VLOOKUP('17.01'!K62,'17.01'!$AM$4:$AO$55,2,FALSE))*IF('17.01'!$AK62="是",'17.01'!$AY$4,'17.01'!$AY$3))</f>
        <v>0</v>
      </c>
      <c r="D62" s="4">
        <f>IF(ISNUMBER(SEARCH("营",'17.01'!L62)),(-$Y62+50*IF('17.01'!$AK62="是",'17.01'!$AY$4,'17.01'!$AY$3)),(VLOOKUP('17.01'!L62,'17.01'!$AM$4:$AO$55,2,FALSE))*IF('17.01'!$AK62="是",'17.01'!$AY$4,'17.01'!$AY$3))</f>
        <v>0</v>
      </c>
      <c r="E62" s="4">
        <f>IF(ISNUMBER(SEARCH("营",'17.01'!M62)),(-$Y62+50*IF('17.01'!$AK62="是",'17.01'!$AY$4,'17.01'!$AY$3)),(VLOOKUP('17.01'!M62,'17.01'!$AM$4:$AO$55,2,FALSE))*IF('17.01'!$AK62="是",'17.01'!$AY$4,'17.01'!$AY$3))</f>
        <v>0</v>
      </c>
      <c r="F62" s="4">
        <f>IF(ISNUMBER(SEARCH("营",'17.01'!N62)),(-$Y62+50*IF('17.01'!$AK62="是",'17.01'!$AY$4,'17.01'!$AY$3)),(VLOOKUP('17.01'!N62,'17.01'!$AM$4:$AO$55,2,FALSE))*IF('17.01'!$AK62="是",'17.01'!$AY$4,'17.01'!$AY$3))</f>
        <v>0</v>
      </c>
      <c r="G62" s="4">
        <f>IF(ISNUMBER(SEARCH("营",'17.01'!O62)),(-$Y62+50*IF('17.01'!$AK62="是",'17.01'!$AY$4,'17.01'!$AY$3)),(VLOOKUP('17.01'!O62,'17.01'!$AM$4:$AO$55,2,FALSE))*IF('17.01'!$AK62="是",'17.01'!$AY$4,'17.01'!$AY$3))</f>
        <v>0</v>
      </c>
      <c r="H62" s="4">
        <f>IF(ISNUMBER(SEARCH("营",'17.01'!P62)),(-$Y62+50*IF('17.01'!$AK62="是",'17.01'!$AY$4,'17.01'!$AY$3)),(VLOOKUP('17.01'!P62,'17.01'!$AM$4:$AO$55,2,FALSE))*IF('17.01'!$AK62="是",'17.01'!$AY$4,'17.01'!$AY$3))</f>
        <v>0</v>
      </c>
      <c r="I62" s="4">
        <f>IF(ISNUMBER(SEARCH("营",'17.01'!Q62)),(-$Y62+50*IF('17.01'!$AK62="是",'17.01'!$AY$4,'17.01'!$AY$3)),(VLOOKUP('17.01'!Q62,'17.01'!$AM$4:$AO$55,2,FALSE))*IF('17.01'!$AK62="是",'17.01'!$AY$4,'17.01'!$AY$3))</f>
        <v>0</v>
      </c>
      <c r="J62" s="4">
        <f>IF(ISNUMBER(SEARCH("营",'17.01'!R62)),(-$Y62+50*IF('17.01'!$AK62="是",'17.01'!$AY$4,'17.01'!$AY$3)),(VLOOKUP('17.01'!R62,'17.01'!$AM$4:$AO$55,2,FALSE))*IF('17.01'!$AK62="是",'17.01'!$AY$4,'17.01'!$AY$3))</f>
        <v>0</v>
      </c>
      <c r="K62" s="4">
        <f>IF(ISNUMBER(SEARCH("营",'17.01'!S62)),(-$Y62+50*IF('17.01'!$AK62="是",'17.01'!$AY$4,'17.01'!$AY$3)),(VLOOKUP('17.01'!S62,'17.01'!$AM$4:$AO$55,2,FALSE))*IF('17.01'!$AK62="是",'17.01'!$AY$4,'17.01'!$AY$3))</f>
        <v>0</v>
      </c>
      <c r="L62" s="4">
        <f>IF(ISNUMBER(SEARCH("营",'17.01'!T62)),(-$Y62+50*IF('17.01'!$AK62="是",'17.01'!$AY$4,'17.01'!$AY$3)),(VLOOKUP('17.01'!T62,'17.01'!$AM$4:$AO$55,2,FALSE))*IF('17.01'!$AK62="是",'17.01'!$AY$4,'17.01'!$AY$3))</f>
        <v>0</v>
      </c>
      <c r="M62" s="4">
        <f>IF(ISNUMBER(SEARCH("营",'17.01'!U62)),(-$Y62+50*IF('17.01'!$AK62="是",'17.01'!$AY$4,'17.01'!$AY$3)),(VLOOKUP('17.01'!U62,'17.01'!$AM$4:$AO$55,2,FALSE))*IF('17.01'!$AK62="是",'17.01'!$AY$4,'17.01'!$AY$3))</f>
        <v>0</v>
      </c>
      <c r="N62" s="4">
        <f>IF(ISNUMBER(SEARCH("营",'17.01'!V62)),(-$Y62+50*IF('17.01'!$AK62="是",'17.01'!$AY$4,'17.01'!$AY$3)),(VLOOKUP('17.01'!V62,'17.01'!$AM$4:$AO$55,2,FALSE))*IF('17.01'!$AK62="是",'17.01'!$AY$4,'17.01'!$AY$3))</f>
        <v>0</v>
      </c>
      <c r="O62" s="4">
        <f>IF(ISNUMBER(SEARCH("营",'17.01'!W62)),(-$Y62+50*IF('17.01'!$AK62="是",'17.01'!$AY$4,'17.01'!$AY$3)),(VLOOKUP('17.01'!W62,'17.01'!$AM$4:$AO$55,2,FALSE))*IF('17.01'!$AK62="是",'17.01'!$AY$4,'17.01'!$AY$3))</f>
        <v>0</v>
      </c>
      <c r="P62" s="4">
        <f>IF(ISNUMBER(SEARCH("营",'17.01'!X62)),(-$Y62+50*IF('17.01'!$AK62="是",'17.01'!$AY$4,'17.01'!$AY$3)),(VLOOKUP('17.01'!X62,'17.01'!$AM$4:$AO$55,2,FALSE))*IF('17.01'!$AK62="是",'17.01'!$AY$4,'17.01'!$AY$3))</f>
        <v>0</v>
      </c>
      <c r="Q62" s="4">
        <f>IF(ISNUMBER(SEARCH("营",'17.01'!Y62)),(-$Y62+50*IF('17.01'!$AK62="是",'17.01'!$AY$4,'17.01'!$AY$3)),(VLOOKUP('17.01'!Y62,'17.01'!$AM$4:$AO$55,2,FALSE))*IF('17.01'!$AK62="是",'17.01'!$AY$4,'17.01'!$AY$3))</f>
        <v>0</v>
      </c>
      <c r="R62" s="4">
        <f>IF(ISNUMBER(SEARCH("营",'17.01'!Z62)),(-$Y62+50*IF('17.01'!$AK62="是",'17.01'!$AY$4,'17.01'!$AY$3)),(VLOOKUP('17.01'!Z62,'17.01'!$AM$4:$AO$55,2,FALSE))*IF('17.01'!$AK62="是",'17.01'!$AY$4,'17.01'!$AY$3))</f>
        <v>0</v>
      </c>
      <c r="S62" s="4">
        <f>IF(ISNUMBER(SEARCH("营",'17.01'!AA62)),(-$Y62+50*IF('17.01'!$AK62="是",'17.01'!$AY$4,'17.01'!$AY$3)),(VLOOKUP('17.01'!AA62,'17.01'!$AM$4:$AO$55,2,FALSE))*IF('17.01'!$AK62="是",'17.01'!$AY$4,'17.01'!$AY$3))</f>
        <v>0</v>
      </c>
      <c r="T62" s="4">
        <f>IF(ISNUMBER(SEARCH("营",'17.01'!AB62)),(-$Y62+50*IF('17.01'!$AK62="是",'17.01'!$AY$4,'17.01'!$AY$3)),(VLOOKUP('17.01'!AB62,'17.01'!$AM$4:$AO$55,2,FALSE))*IF('17.01'!$AK62="是",'17.01'!$AY$4,'17.01'!$AY$3))</f>
        <v>0</v>
      </c>
      <c r="U62" s="4">
        <f>IF(ISNUMBER(SEARCH("营",'17.01'!AC62)),(-$Y62+50*IF('17.01'!$AK62="是",'17.01'!$AY$4,'17.01'!$AY$3)),(VLOOKUP('17.01'!AC62,'17.01'!$AM$4:$AO$55,2,FALSE))*IF('17.01'!$AK62="是",'17.01'!$AY$4,'17.01'!$AY$3))</f>
        <v>0</v>
      </c>
      <c r="V62" s="4">
        <f>IF(ISNUMBER(SEARCH("营",'17.01'!AD62)),(-$Y62+50*IF('17.01'!$AK62="是",'17.01'!$AY$4,'17.01'!$AY$3)),(VLOOKUP('17.01'!AD62,'17.01'!$AM$4:$AO$55,2,FALSE))*IF('17.01'!$AK62="是",'17.01'!$AY$4,'17.01'!$AY$3))</f>
        <v>0</v>
      </c>
      <c r="W62" s="4">
        <f>IF(ISNUMBER(SEARCH("营",'17.01'!AE62)),(-$Y62+50*IF('17.01'!$AK62="是",'17.01'!$AY$4,'17.01'!$AY$3)),(VLOOKUP('17.01'!AE62,'17.01'!$AM$4:$AO$55,2,FALSE))*IF('17.01'!$AK62="是",'17.01'!$AY$4,'17.01'!$AY$3))</f>
        <v>0</v>
      </c>
      <c r="X62" s="4">
        <f>IF(ISNUMBER(SEARCH("营",'17.01'!AF62)),(-$Y62+50*IF('17.01'!$AK62="是",'17.01'!$AY$4,'17.01'!$AY$3)),(VLOOKUP('17.01'!AF62,'17.01'!$AM$4:$AO$55,2,FALSE))*IF('17.01'!$AK62="是",'17.01'!$AY$4,'17.01'!$AY$3))</f>
        <v>0</v>
      </c>
      <c r="Y62" s="91">
        <v>150</v>
      </c>
    </row>
    <row r="63" spans="1:25">
      <c r="A63" s="4">
        <f>IF(ISNUMBER(SEARCH("营",'17.01'!I63)),(-$Y63+50*IF('17.01'!$AK63="是",'17.01'!$AY$4,'17.01'!$AY$3)),(VLOOKUP('17.01'!I63,'17.01'!$AM$4:$AO$55,2,FALSE))*IF('17.01'!$AK63="是",'17.01'!$AY$4,'17.01'!$AY$3))</f>
        <v>0</v>
      </c>
      <c r="B63" s="4">
        <f>IF(ISNUMBER(SEARCH("营",'17.01'!J63)),(-$Y63+50*IF('17.01'!$AK63="是",'17.01'!$AY$4,'17.01'!$AY$3)),(VLOOKUP('17.01'!J63,'17.01'!$AM$4:$AO$55,2,FALSE))*IF('17.01'!$AK63="是",'17.01'!$AY$4,'17.01'!$AY$3))</f>
        <v>0</v>
      </c>
      <c r="C63" s="4">
        <f>IF(ISNUMBER(SEARCH("营",'17.01'!K63)),(-$Y63+50*IF('17.01'!$AK63="是",'17.01'!$AY$4,'17.01'!$AY$3)),(VLOOKUP('17.01'!K63,'17.01'!$AM$4:$AO$55,2,FALSE))*IF('17.01'!$AK63="是",'17.01'!$AY$4,'17.01'!$AY$3))</f>
        <v>0</v>
      </c>
      <c r="D63" s="4">
        <f>IF(ISNUMBER(SEARCH("营",'17.01'!L63)),(-$Y63+50*IF('17.01'!$AK63="是",'17.01'!$AY$4,'17.01'!$AY$3)),(VLOOKUP('17.01'!L63,'17.01'!$AM$4:$AO$55,2,FALSE))*IF('17.01'!$AK63="是",'17.01'!$AY$4,'17.01'!$AY$3))</f>
        <v>0</v>
      </c>
      <c r="E63" s="4">
        <f>IF(ISNUMBER(SEARCH("营",'17.01'!M63)),(-$Y63+50*IF('17.01'!$AK63="是",'17.01'!$AY$4,'17.01'!$AY$3)),(VLOOKUP('17.01'!M63,'17.01'!$AM$4:$AO$55,2,FALSE))*IF('17.01'!$AK63="是",'17.01'!$AY$4,'17.01'!$AY$3))</f>
        <v>0</v>
      </c>
      <c r="F63" s="4">
        <f>IF(ISNUMBER(SEARCH("营",'17.01'!N63)),(-$Y63+50*IF('17.01'!$AK63="是",'17.01'!$AY$4,'17.01'!$AY$3)),(VLOOKUP('17.01'!N63,'17.01'!$AM$4:$AO$55,2,FALSE))*IF('17.01'!$AK63="是",'17.01'!$AY$4,'17.01'!$AY$3))</f>
        <v>0</v>
      </c>
      <c r="G63" s="4">
        <f>IF(ISNUMBER(SEARCH("营",'17.01'!O63)),(-$Y63+50*IF('17.01'!$AK63="是",'17.01'!$AY$4,'17.01'!$AY$3)),(VLOOKUP('17.01'!O63,'17.01'!$AM$4:$AO$55,2,FALSE))*IF('17.01'!$AK63="是",'17.01'!$AY$4,'17.01'!$AY$3))</f>
        <v>0</v>
      </c>
      <c r="H63" s="4">
        <f>IF(ISNUMBER(SEARCH("营",'17.01'!P63)),(-$Y63+50*IF('17.01'!$AK63="是",'17.01'!$AY$4,'17.01'!$AY$3)),(VLOOKUP('17.01'!P63,'17.01'!$AM$4:$AO$55,2,FALSE))*IF('17.01'!$AK63="是",'17.01'!$AY$4,'17.01'!$AY$3))</f>
        <v>0</v>
      </c>
      <c r="I63" s="4">
        <f>IF(ISNUMBER(SEARCH("营",'17.01'!Q63)),(-$Y63+50*IF('17.01'!$AK63="是",'17.01'!$AY$4,'17.01'!$AY$3)),(VLOOKUP('17.01'!Q63,'17.01'!$AM$4:$AO$55,2,FALSE))*IF('17.01'!$AK63="是",'17.01'!$AY$4,'17.01'!$AY$3))</f>
        <v>0</v>
      </c>
      <c r="J63" s="4">
        <f>IF(ISNUMBER(SEARCH("营",'17.01'!R63)),(-$Y63+50*IF('17.01'!$AK63="是",'17.01'!$AY$4,'17.01'!$AY$3)),(VLOOKUP('17.01'!R63,'17.01'!$AM$4:$AO$55,2,FALSE))*IF('17.01'!$AK63="是",'17.01'!$AY$4,'17.01'!$AY$3))</f>
        <v>0</v>
      </c>
      <c r="K63" s="4">
        <f>IF(ISNUMBER(SEARCH("营",'17.01'!S63)),(-$Y63+50*IF('17.01'!$AK63="是",'17.01'!$AY$4,'17.01'!$AY$3)),(VLOOKUP('17.01'!S63,'17.01'!$AM$4:$AO$55,2,FALSE))*IF('17.01'!$AK63="是",'17.01'!$AY$4,'17.01'!$AY$3))</f>
        <v>0</v>
      </c>
      <c r="L63" s="4">
        <f>IF(ISNUMBER(SEARCH("营",'17.01'!T63)),(-$Y63+50*IF('17.01'!$AK63="是",'17.01'!$AY$4,'17.01'!$AY$3)),(VLOOKUP('17.01'!T63,'17.01'!$AM$4:$AO$55,2,FALSE))*IF('17.01'!$AK63="是",'17.01'!$AY$4,'17.01'!$AY$3))</f>
        <v>0</v>
      </c>
      <c r="M63" s="4">
        <f>IF(ISNUMBER(SEARCH("营",'17.01'!U63)),(-$Y63+50*IF('17.01'!$AK63="是",'17.01'!$AY$4,'17.01'!$AY$3)),(VLOOKUP('17.01'!U63,'17.01'!$AM$4:$AO$55,2,FALSE))*IF('17.01'!$AK63="是",'17.01'!$AY$4,'17.01'!$AY$3))</f>
        <v>0</v>
      </c>
      <c r="N63" s="4">
        <f>IF(ISNUMBER(SEARCH("营",'17.01'!V63)),(-$Y63+50*IF('17.01'!$AK63="是",'17.01'!$AY$4,'17.01'!$AY$3)),(VLOOKUP('17.01'!V63,'17.01'!$AM$4:$AO$55,2,FALSE))*IF('17.01'!$AK63="是",'17.01'!$AY$4,'17.01'!$AY$3))</f>
        <v>0</v>
      </c>
      <c r="O63" s="4">
        <f>IF(ISNUMBER(SEARCH("营",'17.01'!W63)),(-$Y63+50*IF('17.01'!$AK63="是",'17.01'!$AY$4,'17.01'!$AY$3)),(VLOOKUP('17.01'!W63,'17.01'!$AM$4:$AO$55,2,FALSE))*IF('17.01'!$AK63="是",'17.01'!$AY$4,'17.01'!$AY$3))</f>
        <v>0</v>
      </c>
      <c r="P63" s="4">
        <f>IF(ISNUMBER(SEARCH("营",'17.01'!X63)),(-$Y63+50*IF('17.01'!$AK63="是",'17.01'!$AY$4,'17.01'!$AY$3)),(VLOOKUP('17.01'!X63,'17.01'!$AM$4:$AO$55,2,FALSE))*IF('17.01'!$AK63="是",'17.01'!$AY$4,'17.01'!$AY$3))</f>
        <v>0</v>
      </c>
      <c r="Q63" s="4">
        <f>IF(ISNUMBER(SEARCH("营",'17.01'!Y63)),(-$Y63+50*IF('17.01'!$AK63="是",'17.01'!$AY$4,'17.01'!$AY$3)),(VLOOKUP('17.01'!Y63,'17.01'!$AM$4:$AO$55,2,FALSE))*IF('17.01'!$AK63="是",'17.01'!$AY$4,'17.01'!$AY$3))</f>
        <v>0</v>
      </c>
      <c r="R63" s="4">
        <f>IF(ISNUMBER(SEARCH("营",'17.01'!Z63)),(-$Y63+50*IF('17.01'!$AK63="是",'17.01'!$AY$4,'17.01'!$AY$3)),(VLOOKUP('17.01'!Z63,'17.01'!$AM$4:$AO$55,2,FALSE))*IF('17.01'!$AK63="是",'17.01'!$AY$4,'17.01'!$AY$3))</f>
        <v>0</v>
      </c>
      <c r="S63" s="4">
        <f>IF(ISNUMBER(SEARCH("营",'17.01'!AA63)),(-$Y63+50*IF('17.01'!$AK63="是",'17.01'!$AY$4,'17.01'!$AY$3)),(VLOOKUP('17.01'!AA63,'17.01'!$AM$4:$AO$55,2,FALSE))*IF('17.01'!$AK63="是",'17.01'!$AY$4,'17.01'!$AY$3))</f>
        <v>0</v>
      </c>
      <c r="T63" s="4">
        <f>IF(ISNUMBER(SEARCH("营",'17.01'!AB63)),(-$Y63+50*IF('17.01'!$AK63="是",'17.01'!$AY$4,'17.01'!$AY$3)),(VLOOKUP('17.01'!AB63,'17.01'!$AM$4:$AO$55,2,FALSE))*IF('17.01'!$AK63="是",'17.01'!$AY$4,'17.01'!$AY$3))</f>
        <v>0</v>
      </c>
      <c r="U63" s="4">
        <f>IF(ISNUMBER(SEARCH("营",'17.01'!AC63)),(-$Y63+50*IF('17.01'!$AK63="是",'17.01'!$AY$4,'17.01'!$AY$3)),(VLOOKUP('17.01'!AC63,'17.01'!$AM$4:$AO$55,2,FALSE))*IF('17.01'!$AK63="是",'17.01'!$AY$4,'17.01'!$AY$3))</f>
        <v>0</v>
      </c>
      <c r="V63" s="4">
        <f>IF(ISNUMBER(SEARCH("营",'17.01'!AD63)),(-$Y63+50*IF('17.01'!$AK63="是",'17.01'!$AY$4,'17.01'!$AY$3)),(VLOOKUP('17.01'!AD63,'17.01'!$AM$4:$AO$55,2,FALSE))*IF('17.01'!$AK63="是",'17.01'!$AY$4,'17.01'!$AY$3))</f>
        <v>0</v>
      </c>
      <c r="W63" s="4">
        <f>IF(ISNUMBER(SEARCH("营",'17.01'!AE63)),(-$Y63+50*IF('17.01'!$AK63="是",'17.01'!$AY$4,'17.01'!$AY$3)),(VLOOKUP('17.01'!AE63,'17.01'!$AM$4:$AO$55,2,FALSE))*IF('17.01'!$AK63="是",'17.01'!$AY$4,'17.01'!$AY$3))</f>
        <v>0</v>
      </c>
      <c r="X63" s="4">
        <f>IF(ISNUMBER(SEARCH("营",'17.01'!AF63)),(-$Y63+50*IF('17.01'!$AK63="是",'17.01'!$AY$4,'17.01'!$AY$3)),(VLOOKUP('17.01'!AF63,'17.01'!$AM$4:$AO$55,2,FALSE))*IF('17.01'!$AK63="是",'17.01'!$AY$4,'17.01'!$AY$3))</f>
        <v>0</v>
      </c>
      <c r="Y63" s="91">
        <v>150</v>
      </c>
    </row>
    <row r="64" spans="1:25">
      <c r="A64" s="4">
        <f>IF(ISNUMBER(SEARCH("营",'17.01'!I64)),(-$Y64+50*IF('17.01'!$AK64="是",'17.01'!$AY$4,'17.01'!$AY$3)),(VLOOKUP('17.01'!I64,'17.01'!$AM$4:$AO$55,2,FALSE))*IF('17.01'!$AK64="是",'17.01'!$AY$4,'17.01'!$AY$3))</f>
        <v>0</v>
      </c>
      <c r="B64" s="4">
        <f>IF(ISNUMBER(SEARCH("营",'17.01'!J64)),(-$Y64+50*IF('17.01'!$AK64="是",'17.01'!$AY$4,'17.01'!$AY$3)),(VLOOKUP('17.01'!J64,'17.01'!$AM$4:$AO$55,2,FALSE))*IF('17.01'!$AK64="是",'17.01'!$AY$4,'17.01'!$AY$3))</f>
        <v>0</v>
      </c>
      <c r="C64" s="4">
        <f>IF(ISNUMBER(SEARCH("营",'17.01'!K64)),(-$Y64+50*IF('17.01'!$AK64="是",'17.01'!$AY$4,'17.01'!$AY$3)),(VLOOKUP('17.01'!K64,'17.01'!$AM$4:$AO$55,2,FALSE))*IF('17.01'!$AK64="是",'17.01'!$AY$4,'17.01'!$AY$3))</f>
        <v>0</v>
      </c>
      <c r="D64" s="4">
        <f>IF(ISNUMBER(SEARCH("营",'17.01'!L64)),(-$Y64+50*IF('17.01'!$AK64="是",'17.01'!$AY$4,'17.01'!$AY$3)),(VLOOKUP('17.01'!L64,'17.01'!$AM$4:$AO$55,2,FALSE))*IF('17.01'!$AK64="是",'17.01'!$AY$4,'17.01'!$AY$3))</f>
        <v>0</v>
      </c>
      <c r="E64" s="4">
        <f>IF(ISNUMBER(SEARCH("营",'17.01'!M64)),(-$Y64+50*IF('17.01'!$AK64="是",'17.01'!$AY$4,'17.01'!$AY$3)),(VLOOKUP('17.01'!M64,'17.01'!$AM$4:$AO$55,2,FALSE))*IF('17.01'!$AK64="是",'17.01'!$AY$4,'17.01'!$AY$3))</f>
        <v>0</v>
      </c>
      <c r="F64" s="4">
        <f>IF(ISNUMBER(SEARCH("营",'17.01'!N64)),(-$Y64+50*IF('17.01'!$AK64="是",'17.01'!$AY$4,'17.01'!$AY$3)),(VLOOKUP('17.01'!N64,'17.01'!$AM$4:$AO$55,2,FALSE))*IF('17.01'!$AK64="是",'17.01'!$AY$4,'17.01'!$AY$3))</f>
        <v>0</v>
      </c>
      <c r="G64" s="4">
        <f>IF(ISNUMBER(SEARCH("营",'17.01'!O64)),(-$Y64+50*IF('17.01'!$AK64="是",'17.01'!$AY$4,'17.01'!$AY$3)),(VLOOKUP('17.01'!O64,'17.01'!$AM$4:$AO$55,2,FALSE))*IF('17.01'!$AK64="是",'17.01'!$AY$4,'17.01'!$AY$3))</f>
        <v>0</v>
      </c>
      <c r="H64" s="4">
        <f>IF(ISNUMBER(SEARCH("营",'17.01'!P64)),(-$Y64+50*IF('17.01'!$AK64="是",'17.01'!$AY$4,'17.01'!$AY$3)),(VLOOKUP('17.01'!P64,'17.01'!$AM$4:$AO$55,2,FALSE))*IF('17.01'!$AK64="是",'17.01'!$AY$4,'17.01'!$AY$3))</f>
        <v>0</v>
      </c>
      <c r="I64" s="4">
        <f>IF(ISNUMBER(SEARCH("营",'17.01'!Q64)),(-$Y64+50*IF('17.01'!$AK64="是",'17.01'!$AY$4,'17.01'!$AY$3)),(VLOOKUP('17.01'!Q64,'17.01'!$AM$4:$AO$55,2,FALSE))*IF('17.01'!$AK64="是",'17.01'!$AY$4,'17.01'!$AY$3))</f>
        <v>0</v>
      </c>
      <c r="J64" s="4">
        <f>IF(ISNUMBER(SEARCH("营",'17.01'!R64)),(-$Y64+50*IF('17.01'!$AK64="是",'17.01'!$AY$4,'17.01'!$AY$3)),(VLOOKUP('17.01'!R64,'17.01'!$AM$4:$AO$55,2,FALSE))*IF('17.01'!$AK64="是",'17.01'!$AY$4,'17.01'!$AY$3))</f>
        <v>0</v>
      </c>
      <c r="K64" s="4">
        <f>IF(ISNUMBER(SEARCH("营",'17.01'!S64)),(-$Y64+50*IF('17.01'!$AK64="是",'17.01'!$AY$4,'17.01'!$AY$3)),(VLOOKUP('17.01'!S64,'17.01'!$AM$4:$AO$55,2,FALSE))*IF('17.01'!$AK64="是",'17.01'!$AY$4,'17.01'!$AY$3))</f>
        <v>0</v>
      </c>
      <c r="L64" s="4">
        <f>IF(ISNUMBER(SEARCH("营",'17.01'!T64)),(-$Y64+50*IF('17.01'!$AK64="是",'17.01'!$AY$4,'17.01'!$AY$3)),(VLOOKUP('17.01'!T64,'17.01'!$AM$4:$AO$55,2,FALSE))*IF('17.01'!$AK64="是",'17.01'!$AY$4,'17.01'!$AY$3))</f>
        <v>0</v>
      </c>
      <c r="M64" s="4">
        <f>IF(ISNUMBER(SEARCH("营",'17.01'!U64)),(-$Y64+50*IF('17.01'!$AK64="是",'17.01'!$AY$4,'17.01'!$AY$3)),(VLOOKUP('17.01'!U64,'17.01'!$AM$4:$AO$55,2,FALSE))*IF('17.01'!$AK64="是",'17.01'!$AY$4,'17.01'!$AY$3))</f>
        <v>0</v>
      </c>
      <c r="N64" s="4">
        <f>IF(ISNUMBER(SEARCH("营",'17.01'!V64)),(-$Y64+50*IF('17.01'!$AK64="是",'17.01'!$AY$4,'17.01'!$AY$3)),(VLOOKUP('17.01'!V64,'17.01'!$AM$4:$AO$55,2,FALSE))*IF('17.01'!$AK64="是",'17.01'!$AY$4,'17.01'!$AY$3))</f>
        <v>0</v>
      </c>
      <c r="O64" s="4">
        <f>IF(ISNUMBER(SEARCH("营",'17.01'!W64)),(-$Y64+50*IF('17.01'!$AK64="是",'17.01'!$AY$4,'17.01'!$AY$3)),(VLOOKUP('17.01'!W64,'17.01'!$AM$4:$AO$55,2,FALSE))*IF('17.01'!$AK64="是",'17.01'!$AY$4,'17.01'!$AY$3))</f>
        <v>0</v>
      </c>
      <c r="P64" s="4">
        <f>IF(ISNUMBER(SEARCH("营",'17.01'!X64)),(-$Y64+50*IF('17.01'!$AK64="是",'17.01'!$AY$4,'17.01'!$AY$3)),(VLOOKUP('17.01'!X64,'17.01'!$AM$4:$AO$55,2,FALSE))*IF('17.01'!$AK64="是",'17.01'!$AY$4,'17.01'!$AY$3))</f>
        <v>0</v>
      </c>
      <c r="Q64" s="4">
        <f>IF(ISNUMBER(SEARCH("营",'17.01'!Y64)),(-$Y64+50*IF('17.01'!$AK64="是",'17.01'!$AY$4,'17.01'!$AY$3)),(VLOOKUP('17.01'!Y64,'17.01'!$AM$4:$AO$55,2,FALSE))*IF('17.01'!$AK64="是",'17.01'!$AY$4,'17.01'!$AY$3))</f>
        <v>0</v>
      </c>
      <c r="R64" s="4">
        <f>IF(ISNUMBER(SEARCH("营",'17.01'!Z64)),(-$Y64+50*IF('17.01'!$AK64="是",'17.01'!$AY$4,'17.01'!$AY$3)),(VLOOKUP('17.01'!Z64,'17.01'!$AM$4:$AO$55,2,FALSE))*IF('17.01'!$AK64="是",'17.01'!$AY$4,'17.01'!$AY$3))</f>
        <v>0</v>
      </c>
      <c r="S64" s="4">
        <f>IF(ISNUMBER(SEARCH("营",'17.01'!AA64)),(-$Y64+50*IF('17.01'!$AK64="是",'17.01'!$AY$4,'17.01'!$AY$3)),(VLOOKUP('17.01'!AA64,'17.01'!$AM$4:$AO$55,2,FALSE))*IF('17.01'!$AK64="是",'17.01'!$AY$4,'17.01'!$AY$3))</f>
        <v>0</v>
      </c>
      <c r="T64" s="4">
        <f>IF(ISNUMBER(SEARCH("营",'17.01'!AB64)),(-$Y64+50*IF('17.01'!$AK64="是",'17.01'!$AY$4,'17.01'!$AY$3)),(VLOOKUP('17.01'!AB64,'17.01'!$AM$4:$AO$55,2,FALSE))*IF('17.01'!$AK64="是",'17.01'!$AY$4,'17.01'!$AY$3))</f>
        <v>0</v>
      </c>
      <c r="U64" s="4">
        <f>IF(ISNUMBER(SEARCH("营",'17.01'!AC64)),(-$Y64+50*IF('17.01'!$AK64="是",'17.01'!$AY$4,'17.01'!$AY$3)),(VLOOKUP('17.01'!AC64,'17.01'!$AM$4:$AO$55,2,FALSE))*IF('17.01'!$AK64="是",'17.01'!$AY$4,'17.01'!$AY$3))</f>
        <v>0</v>
      </c>
      <c r="V64" s="4">
        <f>IF(ISNUMBER(SEARCH("营",'17.01'!AD64)),(-$Y64+50*IF('17.01'!$AK64="是",'17.01'!$AY$4,'17.01'!$AY$3)),(VLOOKUP('17.01'!AD64,'17.01'!$AM$4:$AO$55,2,FALSE))*IF('17.01'!$AK64="是",'17.01'!$AY$4,'17.01'!$AY$3))</f>
        <v>0</v>
      </c>
      <c r="W64" s="4">
        <f>IF(ISNUMBER(SEARCH("营",'17.01'!AE64)),(-$Y64+50*IF('17.01'!$AK64="是",'17.01'!$AY$4,'17.01'!$AY$3)),(VLOOKUP('17.01'!AE64,'17.01'!$AM$4:$AO$55,2,FALSE))*IF('17.01'!$AK64="是",'17.01'!$AY$4,'17.01'!$AY$3))</f>
        <v>0</v>
      </c>
      <c r="X64" s="4">
        <f>IF(ISNUMBER(SEARCH("营",'17.01'!AF64)),(-$Y64+50*IF('17.01'!$AK64="是",'17.01'!$AY$4,'17.01'!$AY$3)),(VLOOKUP('17.01'!AF64,'17.01'!$AM$4:$AO$55,2,FALSE))*IF('17.01'!$AK64="是",'17.01'!$AY$4,'17.01'!$AY$3))</f>
        <v>0</v>
      </c>
      <c r="Y64" s="90">
        <v>100</v>
      </c>
    </row>
    <row r="65" spans="1:25">
      <c r="A65" s="4">
        <f>IF(ISNUMBER(SEARCH("营",'17.01'!I65)),(-$Y65+50*IF('17.01'!$AK65="是",'17.01'!$AY$4,'17.01'!$AY$3)),(VLOOKUP('17.01'!I65,'17.01'!$AM$4:$AO$55,2,FALSE))*IF('17.01'!$AK65="是",'17.01'!$AY$4,'17.01'!$AY$3))</f>
        <v>0</v>
      </c>
      <c r="B65" s="4">
        <f>IF(ISNUMBER(SEARCH("营",'17.01'!J65)),(-$Y65+50*IF('17.01'!$AK65="是",'17.01'!$AY$4,'17.01'!$AY$3)),(VLOOKUP('17.01'!J65,'17.01'!$AM$4:$AO$55,2,FALSE))*IF('17.01'!$AK65="是",'17.01'!$AY$4,'17.01'!$AY$3))</f>
        <v>0</v>
      </c>
      <c r="C65" s="4">
        <f>IF(ISNUMBER(SEARCH("营",'17.01'!K65)),(-$Y65+50*IF('17.01'!$AK65="是",'17.01'!$AY$4,'17.01'!$AY$3)),(VLOOKUP('17.01'!K65,'17.01'!$AM$4:$AO$55,2,FALSE))*IF('17.01'!$AK65="是",'17.01'!$AY$4,'17.01'!$AY$3))</f>
        <v>0</v>
      </c>
      <c r="D65" s="4">
        <f>IF(ISNUMBER(SEARCH("营",'17.01'!L65)),(-$Y65+50*IF('17.01'!$AK65="是",'17.01'!$AY$4,'17.01'!$AY$3)),(VLOOKUP('17.01'!L65,'17.01'!$AM$4:$AO$55,2,FALSE))*IF('17.01'!$AK65="是",'17.01'!$AY$4,'17.01'!$AY$3))</f>
        <v>0</v>
      </c>
      <c r="E65" s="4">
        <f>IF(ISNUMBER(SEARCH("营",'17.01'!M65)),(-$Y65+50*IF('17.01'!$AK65="是",'17.01'!$AY$4,'17.01'!$AY$3)),(VLOOKUP('17.01'!M65,'17.01'!$AM$4:$AO$55,2,FALSE))*IF('17.01'!$AK65="是",'17.01'!$AY$4,'17.01'!$AY$3))</f>
        <v>0</v>
      </c>
      <c r="F65" s="4">
        <f>IF(ISNUMBER(SEARCH("营",'17.01'!N65)),(-$Y65+50*IF('17.01'!$AK65="是",'17.01'!$AY$4,'17.01'!$AY$3)),(VLOOKUP('17.01'!N65,'17.01'!$AM$4:$AO$55,2,FALSE))*IF('17.01'!$AK65="是",'17.01'!$AY$4,'17.01'!$AY$3))</f>
        <v>0</v>
      </c>
      <c r="G65" s="4">
        <f>IF(ISNUMBER(SEARCH("营",'17.01'!O65)),(-$Y65+50*IF('17.01'!$AK65="是",'17.01'!$AY$4,'17.01'!$AY$3)),(VLOOKUP('17.01'!O65,'17.01'!$AM$4:$AO$55,2,FALSE))*IF('17.01'!$AK65="是",'17.01'!$AY$4,'17.01'!$AY$3))</f>
        <v>0</v>
      </c>
      <c r="H65" s="4">
        <f>IF(ISNUMBER(SEARCH("营",'17.01'!P65)),(-$Y65+50*IF('17.01'!$AK65="是",'17.01'!$AY$4,'17.01'!$AY$3)),(VLOOKUP('17.01'!P65,'17.01'!$AM$4:$AO$55,2,FALSE))*IF('17.01'!$AK65="是",'17.01'!$AY$4,'17.01'!$AY$3))</f>
        <v>0</v>
      </c>
      <c r="I65" s="4">
        <f>IF(ISNUMBER(SEARCH("营",'17.01'!Q65)),(-$Y65+50*IF('17.01'!$AK65="是",'17.01'!$AY$4,'17.01'!$AY$3)),(VLOOKUP('17.01'!Q65,'17.01'!$AM$4:$AO$55,2,FALSE))*IF('17.01'!$AK65="是",'17.01'!$AY$4,'17.01'!$AY$3))</f>
        <v>0</v>
      </c>
      <c r="J65" s="4">
        <f>IF(ISNUMBER(SEARCH("营",'17.01'!R65)),(-$Y65+50*IF('17.01'!$AK65="是",'17.01'!$AY$4,'17.01'!$AY$3)),(VLOOKUP('17.01'!R65,'17.01'!$AM$4:$AO$55,2,FALSE))*IF('17.01'!$AK65="是",'17.01'!$AY$4,'17.01'!$AY$3))</f>
        <v>0</v>
      </c>
      <c r="K65" s="4">
        <f>IF(ISNUMBER(SEARCH("营",'17.01'!S65)),(-$Y65+50*IF('17.01'!$AK65="是",'17.01'!$AY$4,'17.01'!$AY$3)),(VLOOKUP('17.01'!S65,'17.01'!$AM$4:$AO$55,2,FALSE))*IF('17.01'!$AK65="是",'17.01'!$AY$4,'17.01'!$AY$3))</f>
        <v>0</v>
      </c>
      <c r="L65" s="4">
        <f>IF(ISNUMBER(SEARCH("营",'17.01'!T65)),(-$Y65+50*IF('17.01'!$AK65="是",'17.01'!$AY$4,'17.01'!$AY$3)),(VLOOKUP('17.01'!T65,'17.01'!$AM$4:$AO$55,2,FALSE))*IF('17.01'!$AK65="是",'17.01'!$AY$4,'17.01'!$AY$3))</f>
        <v>0</v>
      </c>
      <c r="M65" s="4">
        <f>IF(ISNUMBER(SEARCH("营",'17.01'!U65)),(-$Y65+50*IF('17.01'!$AK65="是",'17.01'!$AY$4,'17.01'!$AY$3)),(VLOOKUP('17.01'!U65,'17.01'!$AM$4:$AO$55,2,FALSE))*IF('17.01'!$AK65="是",'17.01'!$AY$4,'17.01'!$AY$3))</f>
        <v>0</v>
      </c>
      <c r="N65" s="4">
        <f>IF(ISNUMBER(SEARCH("营",'17.01'!V65)),(-$Y65+50*IF('17.01'!$AK65="是",'17.01'!$AY$4,'17.01'!$AY$3)),(VLOOKUP('17.01'!V65,'17.01'!$AM$4:$AO$55,2,FALSE))*IF('17.01'!$AK65="是",'17.01'!$AY$4,'17.01'!$AY$3))</f>
        <v>0</v>
      </c>
      <c r="O65" s="4">
        <f>IF(ISNUMBER(SEARCH("营",'17.01'!W65)),(-$Y65+50*IF('17.01'!$AK65="是",'17.01'!$AY$4,'17.01'!$AY$3)),(VLOOKUP('17.01'!W65,'17.01'!$AM$4:$AO$55,2,FALSE))*IF('17.01'!$AK65="是",'17.01'!$AY$4,'17.01'!$AY$3))</f>
        <v>0</v>
      </c>
      <c r="P65" s="4">
        <f>IF(ISNUMBER(SEARCH("营",'17.01'!X65)),(-$Y65+50*IF('17.01'!$AK65="是",'17.01'!$AY$4,'17.01'!$AY$3)),(VLOOKUP('17.01'!X65,'17.01'!$AM$4:$AO$55,2,FALSE))*IF('17.01'!$AK65="是",'17.01'!$AY$4,'17.01'!$AY$3))</f>
        <v>0</v>
      </c>
      <c r="Q65" s="4">
        <f>IF(ISNUMBER(SEARCH("营",'17.01'!Y65)),(-$Y65+50*IF('17.01'!$AK65="是",'17.01'!$AY$4,'17.01'!$AY$3)),(VLOOKUP('17.01'!Y65,'17.01'!$AM$4:$AO$55,2,FALSE))*IF('17.01'!$AK65="是",'17.01'!$AY$4,'17.01'!$AY$3))</f>
        <v>0</v>
      </c>
      <c r="R65" s="4">
        <f>IF(ISNUMBER(SEARCH("营",'17.01'!Z65)),(-$Y65+50*IF('17.01'!$AK65="是",'17.01'!$AY$4,'17.01'!$AY$3)),(VLOOKUP('17.01'!Z65,'17.01'!$AM$4:$AO$55,2,FALSE))*IF('17.01'!$AK65="是",'17.01'!$AY$4,'17.01'!$AY$3))</f>
        <v>0</v>
      </c>
      <c r="S65" s="4">
        <f>IF(ISNUMBER(SEARCH("营",'17.01'!AA65)),(-$Y65+50*IF('17.01'!$AK65="是",'17.01'!$AY$4,'17.01'!$AY$3)),(VLOOKUP('17.01'!AA65,'17.01'!$AM$4:$AO$55,2,FALSE))*IF('17.01'!$AK65="是",'17.01'!$AY$4,'17.01'!$AY$3))</f>
        <v>0</v>
      </c>
      <c r="T65" s="4">
        <f>IF(ISNUMBER(SEARCH("营",'17.01'!AB65)),(-$Y65+50*IF('17.01'!$AK65="是",'17.01'!$AY$4,'17.01'!$AY$3)),(VLOOKUP('17.01'!AB65,'17.01'!$AM$4:$AO$55,2,FALSE))*IF('17.01'!$AK65="是",'17.01'!$AY$4,'17.01'!$AY$3))</f>
        <v>0</v>
      </c>
      <c r="U65" s="4">
        <f>IF(ISNUMBER(SEARCH("营",'17.01'!AC65)),(-$Y65+50*IF('17.01'!$AK65="是",'17.01'!$AY$4,'17.01'!$AY$3)),(VLOOKUP('17.01'!AC65,'17.01'!$AM$4:$AO$55,2,FALSE))*IF('17.01'!$AK65="是",'17.01'!$AY$4,'17.01'!$AY$3))</f>
        <v>0</v>
      </c>
      <c r="V65" s="4">
        <f>IF(ISNUMBER(SEARCH("营",'17.01'!AD65)),(-$Y65+50*IF('17.01'!$AK65="是",'17.01'!$AY$4,'17.01'!$AY$3)),(VLOOKUP('17.01'!AD65,'17.01'!$AM$4:$AO$55,2,FALSE))*IF('17.01'!$AK65="是",'17.01'!$AY$4,'17.01'!$AY$3))</f>
        <v>0</v>
      </c>
      <c r="W65" s="4">
        <f>IF(ISNUMBER(SEARCH("营",'17.01'!AE65)),(-$Y65+50*IF('17.01'!$AK65="是",'17.01'!$AY$4,'17.01'!$AY$3)),(VLOOKUP('17.01'!AE65,'17.01'!$AM$4:$AO$55,2,FALSE))*IF('17.01'!$AK65="是",'17.01'!$AY$4,'17.01'!$AY$3))</f>
        <v>0</v>
      </c>
      <c r="X65" s="4">
        <f>IF(ISNUMBER(SEARCH("营",'17.01'!AF65)),(-$Y65+50*IF('17.01'!$AK65="是",'17.01'!$AY$4,'17.01'!$AY$3)),(VLOOKUP('17.01'!AF65,'17.01'!$AM$4:$AO$55,2,FALSE))*IF('17.01'!$AK65="是",'17.01'!$AY$4,'17.01'!$AY$3))</f>
        <v>0</v>
      </c>
      <c r="Y65" s="90">
        <v>100</v>
      </c>
    </row>
    <row r="66" spans="1:25">
      <c r="A66" s="4">
        <f>IF(ISNUMBER(SEARCH("营",'17.01'!I66)),(-$Y66+50*IF('17.01'!$AK66="是",'17.01'!$AY$4,'17.01'!$AY$3)),(VLOOKUP('17.01'!I66,'17.01'!$AM$4:$AO$55,2,FALSE))*IF('17.01'!$AK66="是",'17.01'!$AY$4,'17.01'!$AY$3))</f>
        <v>0</v>
      </c>
      <c r="B66" s="4">
        <f>IF(ISNUMBER(SEARCH("营",'17.01'!J66)),(-$Y66+50*IF('17.01'!$AK66="是",'17.01'!$AY$4,'17.01'!$AY$3)),(VLOOKUP('17.01'!J66,'17.01'!$AM$4:$AO$55,2,FALSE))*IF('17.01'!$AK66="是",'17.01'!$AY$4,'17.01'!$AY$3))</f>
        <v>0</v>
      </c>
      <c r="C66" s="4">
        <f>IF(ISNUMBER(SEARCH("营",'17.01'!K66)),(-$Y66+50*IF('17.01'!$AK66="是",'17.01'!$AY$4,'17.01'!$AY$3)),(VLOOKUP('17.01'!K66,'17.01'!$AM$4:$AO$55,2,FALSE))*IF('17.01'!$AK66="是",'17.01'!$AY$4,'17.01'!$AY$3))</f>
        <v>0</v>
      </c>
      <c r="D66" s="4">
        <f>IF(ISNUMBER(SEARCH("营",'17.01'!L66)),(-$Y66+50*IF('17.01'!$AK66="是",'17.01'!$AY$4,'17.01'!$AY$3)),(VLOOKUP('17.01'!L66,'17.01'!$AM$4:$AO$55,2,FALSE))*IF('17.01'!$AK66="是",'17.01'!$AY$4,'17.01'!$AY$3))</f>
        <v>0</v>
      </c>
      <c r="E66" s="4">
        <f>IF(ISNUMBER(SEARCH("营",'17.01'!M66)),(-$Y66+50*IF('17.01'!$AK66="是",'17.01'!$AY$4,'17.01'!$AY$3)),(VLOOKUP('17.01'!M66,'17.01'!$AM$4:$AO$55,2,FALSE))*IF('17.01'!$AK66="是",'17.01'!$AY$4,'17.01'!$AY$3))</f>
        <v>0</v>
      </c>
      <c r="F66" s="4">
        <f>IF(ISNUMBER(SEARCH("营",'17.01'!N66)),(-$Y66+50*IF('17.01'!$AK66="是",'17.01'!$AY$4,'17.01'!$AY$3)),(VLOOKUP('17.01'!N66,'17.01'!$AM$4:$AO$55,2,FALSE))*IF('17.01'!$AK66="是",'17.01'!$AY$4,'17.01'!$AY$3))</f>
        <v>0</v>
      </c>
      <c r="G66" s="4">
        <f>IF(ISNUMBER(SEARCH("营",'17.01'!O66)),(-$Y66+50*IF('17.01'!$AK66="是",'17.01'!$AY$4,'17.01'!$AY$3)),(VLOOKUP('17.01'!O66,'17.01'!$AM$4:$AO$55,2,FALSE))*IF('17.01'!$AK66="是",'17.01'!$AY$4,'17.01'!$AY$3))</f>
        <v>0</v>
      </c>
      <c r="H66" s="4">
        <f>IF(ISNUMBER(SEARCH("营",'17.01'!P66)),(-$Y66+50*IF('17.01'!$AK66="是",'17.01'!$AY$4,'17.01'!$AY$3)),(VLOOKUP('17.01'!P66,'17.01'!$AM$4:$AO$55,2,FALSE))*IF('17.01'!$AK66="是",'17.01'!$AY$4,'17.01'!$AY$3))</f>
        <v>0</v>
      </c>
      <c r="I66" s="4">
        <f>IF(ISNUMBER(SEARCH("营",'17.01'!Q66)),(-$Y66+50*IF('17.01'!$AK66="是",'17.01'!$AY$4,'17.01'!$AY$3)),(VLOOKUP('17.01'!Q66,'17.01'!$AM$4:$AO$55,2,FALSE))*IF('17.01'!$AK66="是",'17.01'!$AY$4,'17.01'!$AY$3))</f>
        <v>0</v>
      </c>
      <c r="J66" s="4">
        <f>IF(ISNUMBER(SEARCH("营",'17.01'!R66)),(-$Y66+50*IF('17.01'!$AK66="是",'17.01'!$AY$4,'17.01'!$AY$3)),(VLOOKUP('17.01'!R66,'17.01'!$AM$4:$AO$55,2,FALSE))*IF('17.01'!$AK66="是",'17.01'!$AY$4,'17.01'!$AY$3))</f>
        <v>0</v>
      </c>
      <c r="K66" s="4">
        <f>IF(ISNUMBER(SEARCH("营",'17.01'!S66)),(-$Y66+50*IF('17.01'!$AK66="是",'17.01'!$AY$4,'17.01'!$AY$3)),(VLOOKUP('17.01'!S66,'17.01'!$AM$4:$AO$55,2,FALSE))*IF('17.01'!$AK66="是",'17.01'!$AY$4,'17.01'!$AY$3))</f>
        <v>0</v>
      </c>
      <c r="L66" s="4">
        <f>IF(ISNUMBER(SEARCH("营",'17.01'!T66)),(-$Y66+50*IF('17.01'!$AK66="是",'17.01'!$AY$4,'17.01'!$AY$3)),(VLOOKUP('17.01'!T66,'17.01'!$AM$4:$AO$55,2,FALSE))*IF('17.01'!$AK66="是",'17.01'!$AY$4,'17.01'!$AY$3))</f>
        <v>0</v>
      </c>
      <c r="M66" s="4">
        <f>IF(ISNUMBER(SEARCH("营",'17.01'!U66)),(-$Y66+50*IF('17.01'!$AK66="是",'17.01'!$AY$4,'17.01'!$AY$3)),(VLOOKUP('17.01'!U66,'17.01'!$AM$4:$AO$55,2,FALSE))*IF('17.01'!$AK66="是",'17.01'!$AY$4,'17.01'!$AY$3))</f>
        <v>0</v>
      </c>
      <c r="N66" s="4">
        <f>IF(ISNUMBER(SEARCH("营",'17.01'!V66)),(-$Y66+50*IF('17.01'!$AK66="是",'17.01'!$AY$4,'17.01'!$AY$3)),(VLOOKUP('17.01'!V66,'17.01'!$AM$4:$AO$55,2,FALSE))*IF('17.01'!$AK66="是",'17.01'!$AY$4,'17.01'!$AY$3))</f>
        <v>0</v>
      </c>
      <c r="O66" s="4">
        <f>IF(ISNUMBER(SEARCH("营",'17.01'!W66)),(-$Y66+50*IF('17.01'!$AK66="是",'17.01'!$AY$4,'17.01'!$AY$3)),(VLOOKUP('17.01'!W66,'17.01'!$AM$4:$AO$55,2,FALSE))*IF('17.01'!$AK66="是",'17.01'!$AY$4,'17.01'!$AY$3))</f>
        <v>0</v>
      </c>
      <c r="P66" s="4">
        <f>IF(ISNUMBER(SEARCH("营",'17.01'!X66)),(-$Y66+50*IF('17.01'!$AK66="是",'17.01'!$AY$4,'17.01'!$AY$3)),(VLOOKUP('17.01'!X66,'17.01'!$AM$4:$AO$55,2,FALSE))*IF('17.01'!$AK66="是",'17.01'!$AY$4,'17.01'!$AY$3))</f>
        <v>0</v>
      </c>
      <c r="Q66" s="4">
        <f>IF(ISNUMBER(SEARCH("营",'17.01'!Y66)),(-$Y66+50*IF('17.01'!$AK66="是",'17.01'!$AY$4,'17.01'!$AY$3)),(VLOOKUP('17.01'!Y66,'17.01'!$AM$4:$AO$55,2,FALSE))*IF('17.01'!$AK66="是",'17.01'!$AY$4,'17.01'!$AY$3))</f>
        <v>0</v>
      </c>
      <c r="R66" s="4">
        <f>IF(ISNUMBER(SEARCH("营",'17.01'!Z66)),(-$Y66+50*IF('17.01'!$AK66="是",'17.01'!$AY$4,'17.01'!$AY$3)),(VLOOKUP('17.01'!Z66,'17.01'!$AM$4:$AO$55,2,FALSE))*IF('17.01'!$AK66="是",'17.01'!$AY$4,'17.01'!$AY$3))</f>
        <v>0</v>
      </c>
      <c r="S66" s="4">
        <f>IF(ISNUMBER(SEARCH("营",'17.01'!AA66)),(-$Y66+50*IF('17.01'!$AK66="是",'17.01'!$AY$4,'17.01'!$AY$3)),(VLOOKUP('17.01'!AA66,'17.01'!$AM$4:$AO$55,2,FALSE))*IF('17.01'!$AK66="是",'17.01'!$AY$4,'17.01'!$AY$3))</f>
        <v>0</v>
      </c>
      <c r="T66" s="4">
        <f>IF(ISNUMBER(SEARCH("营",'17.01'!AB66)),(-$Y66+50*IF('17.01'!$AK66="是",'17.01'!$AY$4,'17.01'!$AY$3)),(VLOOKUP('17.01'!AB66,'17.01'!$AM$4:$AO$55,2,FALSE))*IF('17.01'!$AK66="是",'17.01'!$AY$4,'17.01'!$AY$3))</f>
        <v>0</v>
      </c>
      <c r="U66" s="4">
        <f>IF(ISNUMBER(SEARCH("营",'17.01'!AC66)),(-$Y66+50*IF('17.01'!$AK66="是",'17.01'!$AY$4,'17.01'!$AY$3)),(VLOOKUP('17.01'!AC66,'17.01'!$AM$4:$AO$55,2,FALSE))*IF('17.01'!$AK66="是",'17.01'!$AY$4,'17.01'!$AY$3))</f>
        <v>0</v>
      </c>
      <c r="V66" s="4">
        <f>IF(ISNUMBER(SEARCH("营",'17.01'!AD66)),(-$Y66+50*IF('17.01'!$AK66="是",'17.01'!$AY$4,'17.01'!$AY$3)),(VLOOKUP('17.01'!AD66,'17.01'!$AM$4:$AO$55,2,FALSE))*IF('17.01'!$AK66="是",'17.01'!$AY$4,'17.01'!$AY$3))</f>
        <v>0</v>
      </c>
      <c r="W66" s="4">
        <f>IF(ISNUMBER(SEARCH("营",'17.01'!AE66)),(-$Y66+50*IF('17.01'!$AK66="是",'17.01'!$AY$4,'17.01'!$AY$3)),(VLOOKUP('17.01'!AE66,'17.01'!$AM$4:$AO$55,2,FALSE))*IF('17.01'!$AK66="是",'17.01'!$AY$4,'17.01'!$AY$3))</f>
        <v>0</v>
      </c>
      <c r="X66" s="4">
        <f>IF(ISNUMBER(SEARCH("营",'17.01'!AF66)),(-$Y66+50*IF('17.01'!$AK66="是",'17.01'!$AY$4,'17.01'!$AY$3)),(VLOOKUP('17.01'!AF66,'17.01'!$AM$4:$AO$55,2,FALSE))*IF('17.01'!$AK66="是",'17.01'!$AY$4,'17.01'!$AY$3))</f>
        <v>0</v>
      </c>
      <c r="Y66" s="90">
        <v>100</v>
      </c>
    </row>
    <row r="67" spans="1:25">
      <c r="A67" s="4">
        <f>IF(ISNUMBER(SEARCH("营",'17.01'!I67)),(-$Y67+50*IF('17.01'!$AK67="是",'17.01'!$AY$4,'17.01'!$AY$3)),(VLOOKUP('17.01'!I67,'17.01'!$AM$4:$AO$55,2,FALSE))*IF('17.01'!$AK67="是",'17.01'!$AY$4,'17.01'!$AY$3))</f>
        <v>0</v>
      </c>
      <c r="B67" s="4">
        <f>IF(ISNUMBER(SEARCH("营",'17.01'!J67)),(-$Y67+50*IF('17.01'!$AK67="是",'17.01'!$AY$4,'17.01'!$AY$3)),(VLOOKUP('17.01'!J67,'17.01'!$AM$4:$AO$55,2,FALSE))*IF('17.01'!$AK67="是",'17.01'!$AY$4,'17.01'!$AY$3))</f>
        <v>0</v>
      </c>
      <c r="C67" s="4">
        <f>IF(ISNUMBER(SEARCH("营",'17.01'!K67)),(-$Y67+50*IF('17.01'!$AK67="是",'17.01'!$AY$4,'17.01'!$AY$3)),(VLOOKUP('17.01'!K67,'17.01'!$AM$4:$AO$55,2,FALSE))*IF('17.01'!$AK67="是",'17.01'!$AY$4,'17.01'!$AY$3))</f>
        <v>0</v>
      </c>
      <c r="D67" s="4">
        <f>IF(ISNUMBER(SEARCH("营",'17.01'!L67)),(-$Y67+50*IF('17.01'!$AK67="是",'17.01'!$AY$4,'17.01'!$AY$3)),(VLOOKUP('17.01'!L67,'17.01'!$AM$4:$AO$55,2,FALSE))*IF('17.01'!$AK67="是",'17.01'!$AY$4,'17.01'!$AY$3))</f>
        <v>0</v>
      </c>
      <c r="E67" s="4">
        <f>IF(ISNUMBER(SEARCH("营",'17.01'!M67)),(-$Y67+50*IF('17.01'!$AK67="是",'17.01'!$AY$4,'17.01'!$AY$3)),(VLOOKUP('17.01'!M67,'17.01'!$AM$4:$AO$55,2,FALSE))*IF('17.01'!$AK67="是",'17.01'!$AY$4,'17.01'!$AY$3))</f>
        <v>0</v>
      </c>
      <c r="F67" s="4">
        <f>IF(ISNUMBER(SEARCH("营",'17.01'!N67)),(-$Y67+50*IF('17.01'!$AK67="是",'17.01'!$AY$4,'17.01'!$AY$3)),(VLOOKUP('17.01'!N67,'17.01'!$AM$4:$AO$55,2,FALSE))*IF('17.01'!$AK67="是",'17.01'!$AY$4,'17.01'!$AY$3))</f>
        <v>0</v>
      </c>
      <c r="G67" s="4">
        <f>IF(ISNUMBER(SEARCH("营",'17.01'!O67)),(-$Y67+50*IF('17.01'!$AK67="是",'17.01'!$AY$4,'17.01'!$AY$3)),(VLOOKUP('17.01'!O67,'17.01'!$AM$4:$AO$55,2,FALSE))*IF('17.01'!$AK67="是",'17.01'!$AY$4,'17.01'!$AY$3))</f>
        <v>0</v>
      </c>
      <c r="H67" s="4">
        <f>IF(ISNUMBER(SEARCH("营",'17.01'!P67)),(-$Y67+50*IF('17.01'!$AK67="是",'17.01'!$AY$4,'17.01'!$AY$3)),(VLOOKUP('17.01'!P67,'17.01'!$AM$4:$AO$55,2,FALSE))*IF('17.01'!$AK67="是",'17.01'!$AY$4,'17.01'!$AY$3))</f>
        <v>0</v>
      </c>
      <c r="I67" s="4">
        <f>IF(ISNUMBER(SEARCH("营",'17.01'!Q67)),(-$Y67+50*IF('17.01'!$AK67="是",'17.01'!$AY$4,'17.01'!$AY$3)),(VLOOKUP('17.01'!Q67,'17.01'!$AM$4:$AO$55,2,FALSE))*IF('17.01'!$AK67="是",'17.01'!$AY$4,'17.01'!$AY$3))</f>
        <v>0</v>
      </c>
      <c r="J67" s="4">
        <f>IF(ISNUMBER(SEARCH("营",'17.01'!R67)),(-$Y67+50*IF('17.01'!$AK67="是",'17.01'!$AY$4,'17.01'!$AY$3)),(VLOOKUP('17.01'!R67,'17.01'!$AM$4:$AO$55,2,FALSE))*IF('17.01'!$AK67="是",'17.01'!$AY$4,'17.01'!$AY$3))</f>
        <v>0</v>
      </c>
      <c r="K67" s="4">
        <f>IF(ISNUMBER(SEARCH("营",'17.01'!S67)),(-$Y67+50*IF('17.01'!$AK67="是",'17.01'!$AY$4,'17.01'!$AY$3)),(VLOOKUP('17.01'!S67,'17.01'!$AM$4:$AO$55,2,FALSE))*IF('17.01'!$AK67="是",'17.01'!$AY$4,'17.01'!$AY$3))</f>
        <v>0</v>
      </c>
      <c r="L67" s="4">
        <f>IF(ISNUMBER(SEARCH("营",'17.01'!T67)),(-$Y67+50*IF('17.01'!$AK67="是",'17.01'!$AY$4,'17.01'!$AY$3)),(VLOOKUP('17.01'!T67,'17.01'!$AM$4:$AO$55,2,FALSE))*IF('17.01'!$AK67="是",'17.01'!$AY$4,'17.01'!$AY$3))</f>
        <v>0</v>
      </c>
      <c r="M67" s="4">
        <f>IF(ISNUMBER(SEARCH("营",'17.01'!U67)),(-$Y67+50*IF('17.01'!$AK67="是",'17.01'!$AY$4,'17.01'!$AY$3)),(VLOOKUP('17.01'!U67,'17.01'!$AM$4:$AO$55,2,FALSE))*IF('17.01'!$AK67="是",'17.01'!$AY$4,'17.01'!$AY$3))</f>
        <v>0</v>
      </c>
      <c r="N67" s="4">
        <f>IF(ISNUMBER(SEARCH("营",'17.01'!V67)),(-$Y67+50*IF('17.01'!$AK67="是",'17.01'!$AY$4,'17.01'!$AY$3)),(VLOOKUP('17.01'!V67,'17.01'!$AM$4:$AO$55,2,FALSE))*IF('17.01'!$AK67="是",'17.01'!$AY$4,'17.01'!$AY$3))</f>
        <v>0</v>
      </c>
      <c r="O67" s="4">
        <f>IF(ISNUMBER(SEARCH("营",'17.01'!W67)),(-$Y67+50*IF('17.01'!$AK67="是",'17.01'!$AY$4,'17.01'!$AY$3)),(VLOOKUP('17.01'!W67,'17.01'!$AM$4:$AO$55,2,FALSE))*IF('17.01'!$AK67="是",'17.01'!$AY$4,'17.01'!$AY$3))</f>
        <v>0</v>
      </c>
      <c r="P67" s="4">
        <f>IF(ISNUMBER(SEARCH("营",'17.01'!X67)),(-$Y67+50*IF('17.01'!$AK67="是",'17.01'!$AY$4,'17.01'!$AY$3)),(VLOOKUP('17.01'!X67,'17.01'!$AM$4:$AO$55,2,FALSE))*IF('17.01'!$AK67="是",'17.01'!$AY$4,'17.01'!$AY$3))</f>
        <v>0</v>
      </c>
      <c r="Q67" s="4">
        <f>IF(ISNUMBER(SEARCH("营",'17.01'!Y67)),(-$Y67+50*IF('17.01'!$AK67="是",'17.01'!$AY$4,'17.01'!$AY$3)),(VLOOKUP('17.01'!Y67,'17.01'!$AM$4:$AO$55,2,FALSE))*IF('17.01'!$AK67="是",'17.01'!$AY$4,'17.01'!$AY$3))</f>
        <v>0</v>
      </c>
      <c r="R67" s="4">
        <f>IF(ISNUMBER(SEARCH("营",'17.01'!Z67)),(-$Y67+50*IF('17.01'!$AK67="是",'17.01'!$AY$4,'17.01'!$AY$3)),(VLOOKUP('17.01'!Z67,'17.01'!$AM$4:$AO$55,2,FALSE))*IF('17.01'!$AK67="是",'17.01'!$AY$4,'17.01'!$AY$3))</f>
        <v>0</v>
      </c>
      <c r="S67" s="4">
        <f>IF(ISNUMBER(SEARCH("营",'17.01'!AA67)),(-$Y67+50*IF('17.01'!$AK67="是",'17.01'!$AY$4,'17.01'!$AY$3)),(VLOOKUP('17.01'!AA67,'17.01'!$AM$4:$AO$55,2,FALSE))*IF('17.01'!$AK67="是",'17.01'!$AY$4,'17.01'!$AY$3))</f>
        <v>0</v>
      </c>
      <c r="T67" s="4">
        <f>IF(ISNUMBER(SEARCH("营",'17.01'!AB67)),(-$Y67+50*IF('17.01'!$AK67="是",'17.01'!$AY$4,'17.01'!$AY$3)),(VLOOKUP('17.01'!AB67,'17.01'!$AM$4:$AO$55,2,FALSE))*IF('17.01'!$AK67="是",'17.01'!$AY$4,'17.01'!$AY$3))</f>
        <v>0</v>
      </c>
      <c r="U67" s="4">
        <f>IF(ISNUMBER(SEARCH("营",'17.01'!AC67)),(-$Y67+50*IF('17.01'!$AK67="是",'17.01'!$AY$4,'17.01'!$AY$3)),(VLOOKUP('17.01'!AC67,'17.01'!$AM$4:$AO$55,2,FALSE))*IF('17.01'!$AK67="是",'17.01'!$AY$4,'17.01'!$AY$3))</f>
        <v>0</v>
      </c>
      <c r="V67" s="4">
        <f>IF(ISNUMBER(SEARCH("营",'17.01'!AD67)),(-$Y67+50*IF('17.01'!$AK67="是",'17.01'!$AY$4,'17.01'!$AY$3)),(VLOOKUP('17.01'!AD67,'17.01'!$AM$4:$AO$55,2,FALSE))*IF('17.01'!$AK67="是",'17.01'!$AY$4,'17.01'!$AY$3))</f>
        <v>0</v>
      </c>
      <c r="W67" s="4">
        <f>IF(ISNUMBER(SEARCH("营",'17.01'!AE67)),(-$Y67+50*IF('17.01'!$AK67="是",'17.01'!$AY$4,'17.01'!$AY$3)),(VLOOKUP('17.01'!AE67,'17.01'!$AM$4:$AO$55,2,FALSE))*IF('17.01'!$AK67="是",'17.01'!$AY$4,'17.01'!$AY$3))</f>
        <v>0</v>
      </c>
      <c r="X67" s="4">
        <f>IF(ISNUMBER(SEARCH("营",'17.01'!AF67)),(-$Y67+50*IF('17.01'!$AK67="是",'17.01'!$AY$4,'17.01'!$AY$3)),(VLOOKUP('17.01'!AF67,'17.01'!$AM$4:$AO$55,2,FALSE))*IF('17.01'!$AK67="是",'17.01'!$AY$4,'17.01'!$AY$3))</f>
        <v>0</v>
      </c>
      <c r="Y67" s="90">
        <v>100</v>
      </c>
    </row>
    <row r="68" spans="1:25">
      <c r="A68" s="4">
        <f>IF(ISNUMBER(SEARCH("营",'17.01'!I68)),(-$Y68+50*IF('17.01'!$AK68="是",'17.01'!$AY$4,'17.01'!$AY$3)),(VLOOKUP('17.01'!I68,'17.01'!$AM$4:$AO$55,2,FALSE))*IF('17.01'!$AK68="是",'17.01'!$AY$4,'17.01'!$AY$3))</f>
        <v>0</v>
      </c>
      <c r="B68" s="4">
        <f>IF(ISNUMBER(SEARCH("营",'17.01'!J68)),(-$Y68+50*IF('17.01'!$AK68="是",'17.01'!$AY$4,'17.01'!$AY$3)),(VLOOKUP('17.01'!J68,'17.01'!$AM$4:$AO$55,2,FALSE))*IF('17.01'!$AK68="是",'17.01'!$AY$4,'17.01'!$AY$3))</f>
        <v>0</v>
      </c>
      <c r="C68" s="4">
        <f>IF(ISNUMBER(SEARCH("营",'17.01'!K68)),(-$Y68+50*IF('17.01'!$AK68="是",'17.01'!$AY$4,'17.01'!$AY$3)),(VLOOKUP('17.01'!K68,'17.01'!$AM$4:$AO$55,2,FALSE))*IF('17.01'!$AK68="是",'17.01'!$AY$4,'17.01'!$AY$3))</f>
        <v>0</v>
      </c>
      <c r="D68" s="4">
        <f>IF(ISNUMBER(SEARCH("营",'17.01'!L68)),(-$Y68+50*IF('17.01'!$AK68="是",'17.01'!$AY$4,'17.01'!$AY$3)),(VLOOKUP('17.01'!L68,'17.01'!$AM$4:$AO$55,2,FALSE))*IF('17.01'!$AK68="是",'17.01'!$AY$4,'17.01'!$AY$3))</f>
        <v>0</v>
      </c>
      <c r="E68" s="4">
        <f>IF(ISNUMBER(SEARCH("营",'17.01'!M68)),(-$Y68+50*IF('17.01'!$AK68="是",'17.01'!$AY$4,'17.01'!$AY$3)),(VLOOKUP('17.01'!M68,'17.01'!$AM$4:$AO$55,2,FALSE))*IF('17.01'!$AK68="是",'17.01'!$AY$4,'17.01'!$AY$3))</f>
        <v>0</v>
      </c>
      <c r="F68" s="4">
        <f>IF(ISNUMBER(SEARCH("营",'17.01'!N68)),(-$Y68+50*IF('17.01'!$AK68="是",'17.01'!$AY$4,'17.01'!$AY$3)),(VLOOKUP('17.01'!N68,'17.01'!$AM$4:$AO$55,2,FALSE))*IF('17.01'!$AK68="是",'17.01'!$AY$4,'17.01'!$AY$3))</f>
        <v>0</v>
      </c>
      <c r="G68" s="4">
        <f>IF(ISNUMBER(SEARCH("营",'17.01'!O68)),(-$Y68+50*IF('17.01'!$AK68="是",'17.01'!$AY$4,'17.01'!$AY$3)),(VLOOKUP('17.01'!O68,'17.01'!$AM$4:$AO$55,2,FALSE))*IF('17.01'!$AK68="是",'17.01'!$AY$4,'17.01'!$AY$3))</f>
        <v>0</v>
      </c>
      <c r="H68" s="4">
        <f>IF(ISNUMBER(SEARCH("营",'17.01'!P68)),(-$Y68+50*IF('17.01'!$AK68="是",'17.01'!$AY$4,'17.01'!$AY$3)),(VLOOKUP('17.01'!P68,'17.01'!$AM$4:$AO$55,2,FALSE))*IF('17.01'!$AK68="是",'17.01'!$AY$4,'17.01'!$AY$3))</f>
        <v>0</v>
      </c>
      <c r="I68" s="4">
        <f>IF(ISNUMBER(SEARCH("营",'17.01'!Q68)),(-$Y68+50*IF('17.01'!$AK68="是",'17.01'!$AY$4,'17.01'!$AY$3)),(VLOOKUP('17.01'!Q68,'17.01'!$AM$4:$AO$55,2,FALSE))*IF('17.01'!$AK68="是",'17.01'!$AY$4,'17.01'!$AY$3))</f>
        <v>0</v>
      </c>
      <c r="J68" s="4">
        <f>IF(ISNUMBER(SEARCH("营",'17.01'!R68)),(-$Y68+50*IF('17.01'!$AK68="是",'17.01'!$AY$4,'17.01'!$AY$3)),(VLOOKUP('17.01'!R68,'17.01'!$AM$4:$AO$55,2,FALSE))*IF('17.01'!$AK68="是",'17.01'!$AY$4,'17.01'!$AY$3))</f>
        <v>0</v>
      </c>
      <c r="K68" s="4">
        <f>IF(ISNUMBER(SEARCH("营",'17.01'!S68)),(-$Y68+50*IF('17.01'!$AK68="是",'17.01'!$AY$4,'17.01'!$AY$3)),(VLOOKUP('17.01'!S68,'17.01'!$AM$4:$AO$55,2,FALSE))*IF('17.01'!$AK68="是",'17.01'!$AY$4,'17.01'!$AY$3))</f>
        <v>0</v>
      </c>
      <c r="L68" s="4">
        <f>IF(ISNUMBER(SEARCH("营",'17.01'!T68)),(-$Y68+50*IF('17.01'!$AK68="是",'17.01'!$AY$4,'17.01'!$AY$3)),(VLOOKUP('17.01'!T68,'17.01'!$AM$4:$AO$55,2,FALSE))*IF('17.01'!$AK68="是",'17.01'!$AY$4,'17.01'!$AY$3))</f>
        <v>0</v>
      </c>
      <c r="M68" s="4">
        <f>IF(ISNUMBER(SEARCH("营",'17.01'!U68)),(-$Y68+50*IF('17.01'!$AK68="是",'17.01'!$AY$4,'17.01'!$AY$3)),(VLOOKUP('17.01'!U68,'17.01'!$AM$4:$AO$55,2,FALSE))*IF('17.01'!$AK68="是",'17.01'!$AY$4,'17.01'!$AY$3))</f>
        <v>0</v>
      </c>
      <c r="N68" s="4">
        <f>IF(ISNUMBER(SEARCH("营",'17.01'!V68)),(-$Y68+50*IF('17.01'!$AK68="是",'17.01'!$AY$4,'17.01'!$AY$3)),(VLOOKUP('17.01'!V68,'17.01'!$AM$4:$AO$55,2,FALSE))*IF('17.01'!$AK68="是",'17.01'!$AY$4,'17.01'!$AY$3))</f>
        <v>0</v>
      </c>
      <c r="O68" s="4">
        <f>IF(ISNUMBER(SEARCH("营",'17.01'!W68)),(-$Y68+50*IF('17.01'!$AK68="是",'17.01'!$AY$4,'17.01'!$AY$3)),(VLOOKUP('17.01'!W68,'17.01'!$AM$4:$AO$55,2,FALSE))*IF('17.01'!$AK68="是",'17.01'!$AY$4,'17.01'!$AY$3))</f>
        <v>0</v>
      </c>
      <c r="P68" s="4">
        <f>IF(ISNUMBER(SEARCH("营",'17.01'!X68)),(-$Y68+50*IF('17.01'!$AK68="是",'17.01'!$AY$4,'17.01'!$AY$3)),(VLOOKUP('17.01'!X68,'17.01'!$AM$4:$AO$55,2,FALSE))*IF('17.01'!$AK68="是",'17.01'!$AY$4,'17.01'!$AY$3))</f>
        <v>0</v>
      </c>
      <c r="Q68" s="4">
        <f>IF(ISNUMBER(SEARCH("营",'17.01'!Y68)),(-$Y68+50*IF('17.01'!$AK68="是",'17.01'!$AY$4,'17.01'!$AY$3)),(VLOOKUP('17.01'!Y68,'17.01'!$AM$4:$AO$55,2,FALSE))*IF('17.01'!$AK68="是",'17.01'!$AY$4,'17.01'!$AY$3))</f>
        <v>0</v>
      </c>
      <c r="R68" s="4">
        <f>IF(ISNUMBER(SEARCH("营",'17.01'!Z68)),(-$Y68+50*IF('17.01'!$AK68="是",'17.01'!$AY$4,'17.01'!$AY$3)),(VLOOKUP('17.01'!Z68,'17.01'!$AM$4:$AO$55,2,FALSE))*IF('17.01'!$AK68="是",'17.01'!$AY$4,'17.01'!$AY$3))</f>
        <v>0</v>
      </c>
      <c r="S68" s="4">
        <f>IF(ISNUMBER(SEARCH("营",'17.01'!AA68)),(-$Y68+50*IF('17.01'!$AK68="是",'17.01'!$AY$4,'17.01'!$AY$3)),(VLOOKUP('17.01'!AA68,'17.01'!$AM$4:$AO$55,2,FALSE))*IF('17.01'!$AK68="是",'17.01'!$AY$4,'17.01'!$AY$3))</f>
        <v>0</v>
      </c>
      <c r="T68" s="4">
        <f>IF(ISNUMBER(SEARCH("营",'17.01'!AB68)),(-$Y68+50*IF('17.01'!$AK68="是",'17.01'!$AY$4,'17.01'!$AY$3)),(VLOOKUP('17.01'!AB68,'17.01'!$AM$4:$AO$55,2,FALSE))*IF('17.01'!$AK68="是",'17.01'!$AY$4,'17.01'!$AY$3))</f>
        <v>0</v>
      </c>
      <c r="U68" s="4">
        <f>IF(ISNUMBER(SEARCH("营",'17.01'!AC68)),(-$Y68+50*IF('17.01'!$AK68="是",'17.01'!$AY$4,'17.01'!$AY$3)),(VLOOKUP('17.01'!AC68,'17.01'!$AM$4:$AO$55,2,FALSE))*IF('17.01'!$AK68="是",'17.01'!$AY$4,'17.01'!$AY$3))</f>
        <v>0</v>
      </c>
      <c r="V68" s="4">
        <f>IF(ISNUMBER(SEARCH("营",'17.01'!AD68)),(-$Y68+50*IF('17.01'!$AK68="是",'17.01'!$AY$4,'17.01'!$AY$3)),(VLOOKUP('17.01'!AD68,'17.01'!$AM$4:$AO$55,2,FALSE))*IF('17.01'!$AK68="是",'17.01'!$AY$4,'17.01'!$AY$3))</f>
        <v>0</v>
      </c>
      <c r="W68" s="4">
        <f>IF(ISNUMBER(SEARCH("营",'17.01'!AE68)),(-$Y68+50*IF('17.01'!$AK68="是",'17.01'!$AY$4,'17.01'!$AY$3)),(VLOOKUP('17.01'!AE68,'17.01'!$AM$4:$AO$55,2,FALSE))*IF('17.01'!$AK68="是",'17.01'!$AY$4,'17.01'!$AY$3))</f>
        <v>0</v>
      </c>
      <c r="X68" s="4">
        <f>IF(ISNUMBER(SEARCH("营",'17.01'!AF68)),(-$Y68+50*IF('17.01'!$AK68="是",'17.01'!$AY$4,'17.01'!$AY$3)),(VLOOKUP('17.01'!AF68,'17.01'!$AM$4:$AO$55,2,FALSE))*IF('17.01'!$AK68="是",'17.01'!$AY$4,'17.01'!$AY$3))</f>
        <v>0</v>
      </c>
      <c r="Y68" s="90">
        <v>100</v>
      </c>
    </row>
    <row r="69" spans="1:25">
      <c r="A69" s="4">
        <f>IF(ISNUMBER(SEARCH("营",'17.01'!I69)),(-$Y69+50*IF('17.01'!$AK69="是",'17.01'!$AY$4,'17.01'!$AY$3)),(VLOOKUP('17.01'!I69,'17.01'!$AM$4:$AO$55,2,FALSE))*IF('17.01'!$AK69="是",'17.01'!$AY$4,'17.01'!$AY$3))</f>
        <v>0</v>
      </c>
      <c r="B69" s="4">
        <f>IF(ISNUMBER(SEARCH("营",'17.01'!J69)),(-$Y69+50*IF('17.01'!$AK69="是",'17.01'!$AY$4,'17.01'!$AY$3)),(VLOOKUP('17.01'!J69,'17.01'!$AM$4:$AO$55,2,FALSE))*IF('17.01'!$AK69="是",'17.01'!$AY$4,'17.01'!$AY$3))</f>
        <v>0</v>
      </c>
      <c r="C69" s="4">
        <f>IF(ISNUMBER(SEARCH("营",'17.01'!K69)),(-$Y69+50*IF('17.01'!$AK69="是",'17.01'!$AY$4,'17.01'!$AY$3)),(VLOOKUP('17.01'!K69,'17.01'!$AM$4:$AO$55,2,FALSE))*IF('17.01'!$AK69="是",'17.01'!$AY$4,'17.01'!$AY$3))</f>
        <v>0</v>
      </c>
      <c r="D69" s="4">
        <f>IF(ISNUMBER(SEARCH("营",'17.01'!L69)),(-$Y69+50*IF('17.01'!$AK69="是",'17.01'!$AY$4,'17.01'!$AY$3)),(VLOOKUP('17.01'!L69,'17.01'!$AM$4:$AO$55,2,FALSE))*IF('17.01'!$AK69="是",'17.01'!$AY$4,'17.01'!$AY$3))</f>
        <v>0</v>
      </c>
      <c r="E69" s="4">
        <f>IF(ISNUMBER(SEARCH("营",'17.01'!M69)),(-$Y69+50*IF('17.01'!$AK69="是",'17.01'!$AY$4,'17.01'!$AY$3)),(VLOOKUP('17.01'!M69,'17.01'!$AM$4:$AO$55,2,FALSE))*IF('17.01'!$AK69="是",'17.01'!$AY$4,'17.01'!$AY$3))</f>
        <v>0</v>
      </c>
      <c r="F69" s="4">
        <f>IF(ISNUMBER(SEARCH("营",'17.01'!N69)),(-$Y69+50*IF('17.01'!$AK69="是",'17.01'!$AY$4,'17.01'!$AY$3)),(VLOOKUP('17.01'!N69,'17.01'!$AM$4:$AO$55,2,FALSE))*IF('17.01'!$AK69="是",'17.01'!$AY$4,'17.01'!$AY$3))</f>
        <v>0</v>
      </c>
      <c r="G69" s="4">
        <f>IF(ISNUMBER(SEARCH("营",'17.01'!O69)),(-$Y69+50*IF('17.01'!$AK69="是",'17.01'!$AY$4,'17.01'!$AY$3)),(VLOOKUP('17.01'!O69,'17.01'!$AM$4:$AO$55,2,FALSE))*IF('17.01'!$AK69="是",'17.01'!$AY$4,'17.01'!$AY$3))</f>
        <v>0</v>
      </c>
      <c r="H69" s="4">
        <f>IF(ISNUMBER(SEARCH("营",'17.01'!P69)),(-$Y69+50*IF('17.01'!$AK69="是",'17.01'!$AY$4,'17.01'!$AY$3)),(VLOOKUP('17.01'!P69,'17.01'!$AM$4:$AO$55,2,FALSE))*IF('17.01'!$AK69="是",'17.01'!$AY$4,'17.01'!$AY$3))</f>
        <v>0</v>
      </c>
      <c r="I69" s="4">
        <f>IF(ISNUMBER(SEARCH("营",'17.01'!Q69)),(-$Y69+50*IF('17.01'!$AK69="是",'17.01'!$AY$4,'17.01'!$AY$3)),(VLOOKUP('17.01'!Q69,'17.01'!$AM$4:$AO$55,2,FALSE))*IF('17.01'!$AK69="是",'17.01'!$AY$4,'17.01'!$AY$3))</f>
        <v>0</v>
      </c>
      <c r="J69" s="4">
        <f>IF(ISNUMBER(SEARCH("营",'17.01'!R69)),(-$Y69+50*IF('17.01'!$AK69="是",'17.01'!$AY$4,'17.01'!$AY$3)),(VLOOKUP('17.01'!R69,'17.01'!$AM$4:$AO$55,2,FALSE))*IF('17.01'!$AK69="是",'17.01'!$AY$4,'17.01'!$AY$3))</f>
        <v>0</v>
      </c>
      <c r="K69" s="4">
        <f>IF(ISNUMBER(SEARCH("营",'17.01'!S69)),(-$Y69+50*IF('17.01'!$AK69="是",'17.01'!$AY$4,'17.01'!$AY$3)),(VLOOKUP('17.01'!S69,'17.01'!$AM$4:$AO$55,2,FALSE))*IF('17.01'!$AK69="是",'17.01'!$AY$4,'17.01'!$AY$3))</f>
        <v>0</v>
      </c>
      <c r="L69" s="4">
        <f>IF(ISNUMBER(SEARCH("营",'17.01'!T69)),(-$Y69+50*IF('17.01'!$AK69="是",'17.01'!$AY$4,'17.01'!$AY$3)),(VLOOKUP('17.01'!T69,'17.01'!$AM$4:$AO$55,2,FALSE))*IF('17.01'!$AK69="是",'17.01'!$AY$4,'17.01'!$AY$3))</f>
        <v>0</v>
      </c>
      <c r="M69" s="4">
        <f>IF(ISNUMBER(SEARCH("营",'17.01'!U69)),(-$Y69+50*IF('17.01'!$AK69="是",'17.01'!$AY$4,'17.01'!$AY$3)),(VLOOKUP('17.01'!U69,'17.01'!$AM$4:$AO$55,2,FALSE))*IF('17.01'!$AK69="是",'17.01'!$AY$4,'17.01'!$AY$3))</f>
        <v>0</v>
      </c>
      <c r="N69" s="4">
        <f>IF(ISNUMBER(SEARCH("营",'17.01'!V69)),(-$Y69+50*IF('17.01'!$AK69="是",'17.01'!$AY$4,'17.01'!$AY$3)),(VLOOKUP('17.01'!V69,'17.01'!$AM$4:$AO$55,2,FALSE))*IF('17.01'!$AK69="是",'17.01'!$AY$4,'17.01'!$AY$3))</f>
        <v>0</v>
      </c>
      <c r="O69" s="4">
        <f>IF(ISNUMBER(SEARCH("营",'17.01'!W69)),(-$Y69+50*IF('17.01'!$AK69="是",'17.01'!$AY$4,'17.01'!$AY$3)),(VLOOKUP('17.01'!W69,'17.01'!$AM$4:$AO$55,2,FALSE))*IF('17.01'!$AK69="是",'17.01'!$AY$4,'17.01'!$AY$3))</f>
        <v>0</v>
      </c>
      <c r="P69" s="4">
        <f>IF(ISNUMBER(SEARCH("营",'17.01'!X69)),(-$Y69+50*IF('17.01'!$AK69="是",'17.01'!$AY$4,'17.01'!$AY$3)),(VLOOKUP('17.01'!X69,'17.01'!$AM$4:$AO$55,2,FALSE))*IF('17.01'!$AK69="是",'17.01'!$AY$4,'17.01'!$AY$3))</f>
        <v>0</v>
      </c>
      <c r="Q69" s="4">
        <f>IF(ISNUMBER(SEARCH("营",'17.01'!Y69)),(-$Y69+50*IF('17.01'!$AK69="是",'17.01'!$AY$4,'17.01'!$AY$3)),(VLOOKUP('17.01'!Y69,'17.01'!$AM$4:$AO$55,2,FALSE))*IF('17.01'!$AK69="是",'17.01'!$AY$4,'17.01'!$AY$3))</f>
        <v>0</v>
      </c>
      <c r="R69" s="4">
        <f>IF(ISNUMBER(SEARCH("营",'17.01'!Z69)),(-$Y69+50*IF('17.01'!$AK69="是",'17.01'!$AY$4,'17.01'!$AY$3)),(VLOOKUP('17.01'!Z69,'17.01'!$AM$4:$AO$55,2,FALSE))*IF('17.01'!$AK69="是",'17.01'!$AY$4,'17.01'!$AY$3))</f>
        <v>0</v>
      </c>
      <c r="S69" s="4">
        <f>IF(ISNUMBER(SEARCH("营",'17.01'!AA69)),(-$Y69+50*IF('17.01'!$AK69="是",'17.01'!$AY$4,'17.01'!$AY$3)),(VLOOKUP('17.01'!AA69,'17.01'!$AM$4:$AO$55,2,FALSE))*IF('17.01'!$AK69="是",'17.01'!$AY$4,'17.01'!$AY$3))</f>
        <v>0</v>
      </c>
      <c r="T69" s="4">
        <f>IF(ISNUMBER(SEARCH("营",'17.01'!AB69)),(-$Y69+50*IF('17.01'!$AK69="是",'17.01'!$AY$4,'17.01'!$AY$3)),(VLOOKUP('17.01'!AB69,'17.01'!$AM$4:$AO$55,2,FALSE))*IF('17.01'!$AK69="是",'17.01'!$AY$4,'17.01'!$AY$3))</f>
        <v>0</v>
      </c>
      <c r="U69" s="4">
        <f>IF(ISNUMBER(SEARCH("营",'17.01'!AC69)),(-$Y69+50*IF('17.01'!$AK69="是",'17.01'!$AY$4,'17.01'!$AY$3)),(VLOOKUP('17.01'!AC69,'17.01'!$AM$4:$AO$55,2,FALSE))*IF('17.01'!$AK69="是",'17.01'!$AY$4,'17.01'!$AY$3))</f>
        <v>0</v>
      </c>
      <c r="V69" s="4">
        <f>IF(ISNUMBER(SEARCH("营",'17.01'!AD69)),(-$Y69+50*IF('17.01'!$AK69="是",'17.01'!$AY$4,'17.01'!$AY$3)),(VLOOKUP('17.01'!AD69,'17.01'!$AM$4:$AO$55,2,FALSE))*IF('17.01'!$AK69="是",'17.01'!$AY$4,'17.01'!$AY$3))</f>
        <v>0</v>
      </c>
      <c r="W69" s="4">
        <f>IF(ISNUMBER(SEARCH("营",'17.01'!AE69)),(-$Y69+50*IF('17.01'!$AK69="是",'17.01'!$AY$4,'17.01'!$AY$3)),(VLOOKUP('17.01'!AE69,'17.01'!$AM$4:$AO$55,2,FALSE))*IF('17.01'!$AK69="是",'17.01'!$AY$4,'17.01'!$AY$3))</f>
        <v>0</v>
      </c>
      <c r="X69" s="4">
        <f>IF(ISNUMBER(SEARCH("营",'17.01'!AF69)),(-$Y69+50*IF('17.01'!$AK69="是",'17.01'!$AY$4,'17.01'!$AY$3)),(VLOOKUP('17.01'!AF69,'17.01'!$AM$4:$AO$55,2,FALSE))*IF('17.01'!$AK69="是",'17.01'!$AY$4,'17.01'!$AY$3))</f>
        <v>0</v>
      </c>
      <c r="Y69" s="90">
        <v>100</v>
      </c>
    </row>
    <row r="70" spans="1:25">
      <c r="A70" s="4">
        <f>IF(ISNUMBER(SEARCH("营",'17.01'!I70)),(-$Y70+50*IF('17.01'!$AK70="是",'17.01'!$AY$4,'17.01'!$AY$3)),(VLOOKUP('17.01'!I70,'17.01'!$AM$4:$AO$55,2,FALSE))*IF('17.01'!$AK70="是",'17.01'!$AY$4,'17.01'!$AY$3))</f>
        <v>0</v>
      </c>
      <c r="B70" s="4">
        <f>IF(ISNUMBER(SEARCH("营",'17.01'!J70)),(-$Y70+50*IF('17.01'!$AK70="是",'17.01'!$AY$4,'17.01'!$AY$3)),(VLOOKUP('17.01'!J70,'17.01'!$AM$4:$AO$55,2,FALSE))*IF('17.01'!$AK70="是",'17.01'!$AY$4,'17.01'!$AY$3))</f>
        <v>0</v>
      </c>
      <c r="C70" s="4">
        <f>IF(ISNUMBER(SEARCH("营",'17.01'!K70)),(-$Y70+50*IF('17.01'!$AK70="是",'17.01'!$AY$4,'17.01'!$AY$3)),(VLOOKUP('17.01'!K70,'17.01'!$AM$4:$AO$55,2,FALSE))*IF('17.01'!$AK70="是",'17.01'!$AY$4,'17.01'!$AY$3))</f>
        <v>0</v>
      </c>
      <c r="D70" s="4">
        <f>IF(ISNUMBER(SEARCH("营",'17.01'!L70)),(-$Y70+50*IF('17.01'!$AK70="是",'17.01'!$AY$4,'17.01'!$AY$3)),(VLOOKUP('17.01'!L70,'17.01'!$AM$4:$AO$55,2,FALSE))*IF('17.01'!$AK70="是",'17.01'!$AY$4,'17.01'!$AY$3))</f>
        <v>0</v>
      </c>
      <c r="E70" s="4">
        <f>IF(ISNUMBER(SEARCH("营",'17.01'!M70)),(-$Y70+50*IF('17.01'!$AK70="是",'17.01'!$AY$4,'17.01'!$AY$3)),(VLOOKUP('17.01'!M70,'17.01'!$AM$4:$AO$55,2,FALSE))*IF('17.01'!$AK70="是",'17.01'!$AY$4,'17.01'!$AY$3))</f>
        <v>0</v>
      </c>
      <c r="F70" s="4">
        <f>IF(ISNUMBER(SEARCH("营",'17.01'!N70)),(-$Y70+50*IF('17.01'!$AK70="是",'17.01'!$AY$4,'17.01'!$AY$3)),(VLOOKUP('17.01'!N70,'17.01'!$AM$4:$AO$55,2,FALSE))*IF('17.01'!$AK70="是",'17.01'!$AY$4,'17.01'!$AY$3))</f>
        <v>0</v>
      </c>
      <c r="G70" s="4">
        <f>IF(ISNUMBER(SEARCH("营",'17.01'!O70)),(-$Y70+50*IF('17.01'!$AK70="是",'17.01'!$AY$4,'17.01'!$AY$3)),(VLOOKUP('17.01'!O70,'17.01'!$AM$4:$AO$55,2,FALSE))*IF('17.01'!$AK70="是",'17.01'!$AY$4,'17.01'!$AY$3))</f>
        <v>0</v>
      </c>
      <c r="H70" s="4">
        <f>IF(ISNUMBER(SEARCH("营",'17.01'!P70)),(-$Y70+50*IF('17.01'!$AK70="是",'17.01'!$AY$4,'17.01'!$AY$3)),(VLOOKUP('17.01'!P70,'17.01'!$AM$4:$AO$55,2,FALSE))*IF('17.01'!$AK70="是",'17.01'!$AY$4,'17.01'!$AY$3))</f>
        <v>0</v>
      </c>
      <c r="I70" s="4">
        <f>IF(ISNUMBER(SEARCH("营",'17.01'!Q70)),(-$Y70+50*IF('17.01'!$AK70="是",'17.01'!$AY$4,'17.01'!$AY$3)),(VLOOKUP('17.01'!Q70,'17.01'!$AM$4:$AO$55,2,FALSE))*IF('17.01'!$AK70="是",'17.01'!$AY$4,'17.01'!$AY$3))</f>
        <v>0</v>
      </c>
      <c r="J70" s="4">
        <f>IF(ISNUMBER(SEARCH("营",'17.01'!R70)),(-$Y70+50*IF('17.01'!$AK70="是",'17.01'!$AY$4,'17.01'!$AY$3)),(VLOOKUP('17.01'!R70,'17.01'!$AM$4:$AO$55,2,FALSE))*IF('17.01'!$AK70="是",'17.01'!$AY$4,'17.01'!$AY$3))</f>
        <v>0</v>
      </c>
      <c r="K70" s="4">
        <f>IF(ISNUMBER(SEARCH("营",'17.01'!S70)),(-$Y70+50*IF('17.01'!$AK70="是",'17.01'!$AY$4,'17.01'!$AY$3)),(VLOOKUP('17.01'!S70,'17.01'!$AM$4:$AO$55,2,FALSE))*IF('17.01'!$AK70="是",'17.01'!$AY$4,'17.01'!$AY$3))</f>
        <v>0</v>
      </c>
      <c r="L70" s="4">
        <f>IF(ISNUMBER(SEARCH("营",'17.01'!T70)),(-$Y70+50*IF('17.01'!$AK70="是",'17.01'!$AY$4,'17.01'!$AY$3)),(VLOOKUP('17.01'!T70,'17.01'!$AM$4:$AO$55,2,FALSE))*IF('17.01'!$AK70="是",'17.01'!$AY$4,'17.01'!$AY$3))</f>
        <v>0</v>
      </c>
      <c r="M70" s="4">
        <f>IF(ISNUMBER(SEARCH("营",'17.01'!U70)),(-$Y70+50*IF('17.01'!$AK70="是",'17.01'!$AY$4,'17.01'!$AY$3)),(VLOOKUP('17.01'!U70,'17.01'!$AM$4:$AO$55,2,FALSE))*IF('17.01'!$AK70="是",'17.01'!$AY$4,'17.01'!$AY$3))</f>
        <v>0</v>
      </c>
      <c r="N70" s="4">
        <f>IF(ISNUMBER(SEARCH("营",'17.01'!V70)),(-$Y70+50*IF('17.01'!$AK70="是",'17.01'!$AY$4,'17.01'!$AY$3)),(VLOOKUP('17.01'!V70,'17.01'!$AM$4:$AO$55,2,FALSE))*IF('17.01'!$AK70="是",'17.01'!$AY$4,'17.01'!$AY$3))</f>
        <v>0</v>
      </c>
      <c r="O70" s="4">
        <f>IF(ISNUMBER(SEARCH("营",'17.01'!W70)),(-$Y70+50*IF('17.01'!$AK70="是",'17.01'!$AY$4,'17.01'!$AY$3)),(VLOOKUP('17.01'!W70,'17.01'!$AM$4:$AO$55,2,FALSE))*IF('17.01'!$AK70="是",'17.01'!$AY$4,'17.01'!$AY$3))</f>
        <v>0</v>
      </c>
      <c r="P70" s="4">
        <f>IF(ISNUMBER(SEARCH("营",'17.01'!X70)),(-$Y70+50*IF('17.01'!$AK70="是",'17.01'!$AY$4,'17.01'!$AY$3)),(VLOOKUP('17.01'!X70,'17.01'!$AM$4:$AO$55,2,FALSE))*IF('17.01'!$AK70="是",'17.01'!$AY$4,'17.01'!$AY$3))</f>
        <v>0</v>
      </c>
      <c r="Q70" s="4">
        <f>IF(ISNUMBER(SEARCH("营",'17.01'!Y70)),(-$Y70+50*IF('17.01'!$AK70="是",'17.01'!$AY$4,'17.01'!$AY$3)),(VLOOKUP('17.01'!Y70,'17.01'!$AM$4:$AO$55,2,FALSE))*IF('17.01'!$AK70="是",'17.01'!$AY$4,'17.01'!$AY$3))</f>
        <v>0</v>
      </c>
      <c r="R70" s="4">
        <f>IF(ISNUMBER(SEARCH("营",'17.01'!Z70)),(-$Y70+50*IF('17.01'!$AK70="是",'17.01'!$AY$4,'17.01'!$AY$3)),(VLOOKUP('17.01'!Z70,'17.01'!$AM$4:$AO$55,2,FALSE))*IF('17.01'!$AK70="是",'17.01'!$AY$4,'17.01'!$AY$3))</f>
        <v>0</v>
      </c>
      <c r="S70" s="4">
        <f>IF(ISNUMBER(SEARCH("营",'17.01'!AA70)),(-$Y70+50*IF('17.01'!$AK70="是",'17.01'!$AY$4,'17.01'!$AY$3)),(VLOOKUP('17.01'!AA70,'17.01'!$AM$4:$AO$55,2,FALSE))*IF('17.01'!$AK70="是",'17.01'!$AY$4,'17.01'!$AY$3))</f>
        <v>0</v>
      </c>
      <c r="T70" s="4">
        <f>IF(ISNUMBER(SEARCH("营",'17.01'!AB70)),(-$Y70+50*IF('17.01'!$AK70="是",'17.01'!$AY$4,'17.01'!$AY$3)),(VLOOKUP('17.01'!AB70,'17.01'!$AM$4:$AO$55,2,FALSE))*IF('17.01'!$AK70="是",'17.01'!$AY$4,'17.01'!$AY$3))</f>
        <v>0</v>
      </c>
      <c r="U70" s="4">
        <f>IF(ISNUMBER(SEARCH("营",'17.01'!AC70)),(-$Y70+50*IF('17.01'!$AK70="是",'17.01'!$AY$4,'17.01'!$AY$3)),(VLOOKUP('17.01'!AC70,'17.01'!$AM$4:$AO$55,2,FALSE))*IF('17.01'!$AK70="是",'17.01'!$AY$4,'17.01'!$AY$3))</f>
        <v>0</v>
      </c>
      <c r="V70" s="4">
        <f>IF(ISNUMBER(SEARCH("营",'17.01'!AD70)),(-$Y70+50*IF('17.01'!$AK70="是",'17.01'!$AY$4,'17.01'!$AY$3)),(VLOOKUP('17.01'!AD70,'17.01'!$AM$4:$AO$55,2,FALSE))*IF('17.01'!$AK70="是",'17.01'!$AY$4,'17.01'!$AY$3))</f>
        <v>0</v>
      </c>
      <c r="W70" s="4">
        <f>IF(ISNUMBER(SEARCH("营",'17.01'!AE70)),(-$Y70+50*IF('17.01'!$AK70="是",'17.01'!$AY$4,'17.01'!$AY$3)),(VLOOKUP('17.01'!AE70,'17.01'!$AM$4:$AO$55,2,FALSE))*IF('17.01'!$AK70="是",'17.01'!$AY$4,'17.01'!$AY$3))</f>
        <v>0</v>
      </c>
      <c r="X70" s="4">
        <f>IF(ISNUMBER(SEARCH("营",'17.01'!AF70)),(-$Y70+50*IF('17.01'!$AK70="是",'17.01'!$AY$4,'17.01'!$AY$3)),(VLOOKUP('17.01'!AF70,'17.01'!$AM$4:$AO$55,2,FALSE))*IF('17.01'!$AK70="是",'17.01'!$AY$4,'17.01'!$AY$3))</f>
        <v>0</v>
      </c>
      <c r="Y70" s="90">
        <v>100</v>
      </c>
    </row>
    <row r="71" spans="1:25">
      <c r="A71" s="4">
        <f>IF(ISNUMBER(SEARCH("营",'17.01'!I71)),(-$Y71+50*IF('17.01'!$AK71="是",'17.01'!$AY$4,'17.01'!$AY$3)),(VLOOKUP('17.01'!I71,'17.01'!$AM$4:$AO$55,2,FALSE))*IF('17.01'!$AK71="是",'17.01'!$AY$4,'17.01'!$AY$3))</f>
        <v>0</v>
      </c>
      <c r="B71" s="4">
        <f>IF(ISNUMBER(SEARCH("营",'17.01'!J71)),(-$Y71+50*IF('17.01'!$AK71="是",'17.01'!$AY$4,'17.01'!$AY$3)),(VLOOKUP('17.01'!J71,'17.01'!$AM$4:$AO$55,2,FALSE))*IF('17.01'!$AK71="是",'17.01'!$AY$4,'17.01'!$AY$3))</f>
        <v>0</v>
      </c>
      <c r="C71" s="4">
        <f>IF(ISNUMBER(SEARCH("营",'17.01'!K71)),(-$Y71+50*IF('17.01'!$AK71="是",'17.01'!$AY$4,'17.01'!$AY$3)),(VLOOKUP('17.01'!K71,'17.01'!$AM$4:$AO$55,2,FALSE))*IF('17.01'!$AK71="是",'17.01'!$AY$4,'17.01'!$AY$3))</f>
        <v>0</v>
      </c>
      <c r="D71" s="4">
        <f>IF(ISNUMBER(SEARCH("营",'17.01'!L71)),(-$Y71+50*IF('17.01'!$AK71="是",'17.01'!$AY$4,'17.01'!$AY$3)),(VLOOKUP('17.01'!L71,'17.01'!$AM$4:$AO$55,2,FALSE))*IF('17.01'!$AK71="是",'17.01'!$AY$4,'17.01'!$AY$3))</f>
        <v>0</v>
      </c>
      <c r="E71" s="4">
        <f>IF(ISNUMBER(SEARCH("营",'17.01'!M71)),(-$Y71+50*IF('17.01'!$AK71="是",'17.01'!$AY$4,'17.01'!$AY$3)),(VLOOKUP('17.01'!M71,'17.01'!$AM$4:$AO$55,2,FALSE))*IF('17.01'!$AK71="是",'17.01'!$AY$4,'17.01'!$AY$3))</f>
        <v>0</v>
      </c>
      <c r="F71" s="4">
        <f>IF(ISNUMBER(SEARCH("营",'17.01'!N71)),(-$Y71+50*IF('17.01'!$AK71="是",'17.01'!$AY$4,'17.01'!$AY$3)),(VLOOKUP('17.01'!N71,'17.01'!$AM$4:$AO$55,2,FALSE))*IF('17.01'!$AK71="是",'17.01'!$AY$4,'17.01'!$AY$3))</f>
        <v>0</v>
      </c>
      <c r="G71" s="4">
        <f>IF(ISNUMBER(SEARCH("营",'17.01'!O71)),(-$Y71+50*IF('17.01'!$AK71="是",'17.01'!$AY$4,'17.01'!$AY$3)),(VLOOKUP('17.01'!O71,'17.01'!$AM$4:$AO$55,2,FALSE))*IF('17.01'!$AK71="是",'17.01'!$AY$4,'17.01'!$AY$3))</f>
        <v>0</v>
      </c>
      <c r="H71" s="4">
        <f>IF(ISNUMBER(SEARCH("营",'17.01'!P71)),(-$Y71+50*IF('17.01'!$AK71="是",'17.01'!$AY$4,'17.01'!$AY$3)),(VLOOKUP('17.01'!P71,'17.01'!$AM$4:$AO$55,2,FALSE))*IF('17.01'!$AK71="是",'17.01'!$AY$4,'17.01'!$AY$3))</f>
        <v>0</v>
      </c>
      <c r="I71" s="4">
        <f>IF(ISNUMBER(SEARCH("营",'17.01'!Q71)),(-$Y71+50*IF('17.01'!$AK71="是",'17.01'!$AY$4,'17.01'!$AY$3)),(VLOOKUP('17.01'!Q71,'17.01'!$AM$4:$AO$55,2,FALSE))*IF('17.01'!$AK71="是",'17.01'!$AY$4,'17.01'!$AY$3))</f>
        <v>0</v>
      </c>
      <c r="J71" s="4">
        <f>IF(ISNUMBER(SEARCH("营",'17.01'!R71)),(-$Y71+50*IF('17.01'!$AK71="是",'17.01'!$AY$4,'17.01'!$AY$3)),(VLOOKUP('17.01'!R71,'17.01'!$AM$4:$AO$55,2,FALSE))*IF('17.01'!$AK71="是",'17.01'!$AY$4,'17.01'!$AY$3))</f>
        <v>0</v>
      </c>
      <c r="K71" s="4">
        <f>IF(ISNUMBER(SEARCH("营",'17.01'!S71)),(-$Y71+50*IF('17.01'!$AK71="是",'17.01'!$AY$4,'17.01'!$AY$3)),(VLOOKUP('17.01'!S71,'17.01'!$AM$4:$AO$55,2,FALSE))*IF('17.01'!$AK71="是",'17.01'!$AY$4,'17.01'!$AY$3))</f>
        <v>0</v>
      </c>
      <c r="L71" s="4">
        <f>IF(ISNUMBER(SEARCH("营",'17.01'!T71)),(-$Y71+50*IF('17.01'!$AK71="是",'17.01'!$AY$4,'17.01'!$AY$3)),(VLOOKUP('17.01'!T71,'17.01'!$AM$4:$AO$55,2,FALSE))*IF('17.01'!$AK71="是",'17.01'!$AY$4,'17.01'!$AY$3))</f>
        <v>0</v>
      </c>
      <c r="M71" s="4">
        <f>IF(ISNUMBER(SEARCH("营",'17.01'!U71)),(-$Y71+50*IF('17.01'!$AK71="是",'17.01'!$AY$4,'17.01'!$AY$3)),(VLOOKUP('17.01'!U71,'17.01'!$AM$4:$AO$55,2,FALSE))*IF('17.01'!$AK71="是",'17.01'!$AY$4,'17.01'!$AY$3))</f>
        <v>0</v>
      </c>
      <c r="N71" s="4">
        <f>IF(ISNUMBER(SEARCH("营",'17.01'!V71)),(-$Y71+50*IF('17.01'!$AK71="是",'17.01'!$AY$4,'17.01'!$AY$3)),(VLOOKUP('17.01'!V71,'17.01'!$AM$4:$AO$55,2,FALSE))*IF('17.01'!$AK71="是",'17.01'!$AY$4,'17.01'!$AY$3))</f>
        <v>0</v>
      </c>
      <c r="O71" s="4">
        <f>IF(ISNUMBER(SEARCH("营",'17.01'!W71)),(-$Y71+50*IF('17.01'!$AK71="是",'17.01'!$AY$4,'17.01'!$AY$3)),(VLOOKUP('17.01'!W71,'17.01'!$AM$4:$AO$55,2,FALSE))*IF('17.01'!$AK71="是",'17.01'!$AY$4,'17.01'!$AY$3))</f>
        <v>0</v>
      </c>
      <c r="P71" s="4">
        <f>IF(ISNUMBER(SEARCH("营",'17.01'!X71)),(-$Y71+50*IF('17.01'!$AK71="是",'17.01'!$AY$4,'17.01'!$AY$3)),(VLOOKUP('17.01'!X71,'17.01'!$AM$4:$AO$55,2,FALSE))*IF('17.01'!$AK71="是",'17.01'!$AY$4,'17.01'!$AY$3))</f>
        <v>0</v>
      </c>
      <c r="Q71" s="4">
        <f>IF(ISNUMBER(SEARCH("营",'17.01'!Y71)),(-$Y71+50*IF('17.01'!$AK71="是",'17.01'!$AY$4,'17.01'!$AY$3)),(VLOOKUP('17.01'!Y71,'17.01'!$AM$4:$AO$55,2,FALSE))*IF('17.01'!$AK71="是",'17.01'!$AY$4,'17.01'!$AY$3))</f>
        <v>0</v>
      </c>
      <c r="R71" s="4">
        <f>IF(ISNUMBER(SEARCH("营",'17.01'!Z71)),(-$Y71+50*IF('17.01'!$AK71="是",'17.01'!$AY$4,'17.01'!$AY$3)),(VLOOKUP('17.01'!Z71,'17.01'!$AM$4:$AO$55,2,FALSE))*IF('17.01'!$AK71="是",'17.01'!$AY$4,'17.01'!$AY$3))</f>
        <v>0</v>
      </c>
      <c r="S71" s="4">
        <f>IF(ISNUMBER(SEARCH("营",'17.01'!AA71)),(-$Y71+50*IF('17.01'!$AK71="是",'17.01'!$AY$4,'17.01'!$AY$3)),(VLOOKUP('17.01'!AA71,'17.01'!$AM$4:$AO$55,2,FALSE))*IF('17.01'!$AK71="是",'17.01'!$AY$4,'17.01'!$AY$3))</f>
        <v>0</v>
      </c>
      <c r="T71" s="4">
        <f>IF(ISNUMBER(SEARCH("营",'17.01'!AB71)),(-$Y71+50*IF('17.01'!$AK71="是",'17.01'!$AY$4,'17.01'!$AY$3)),(VLOOKUP('17.01'!AB71,'17.01'!$AM$4:$AO$55,2,FALSE))*IF('17.01'!$AK71="是",'17.01'!$AY$4,'17.01'!$AY$3))</f>
        <v>0</v>
      </c>
      <c r="U71" s="4">
        <f>IF(ISNUMBER(SEARCH("营",'17.01'!AC71)),(-$Y71+50*IF('17.01'!$AK71="是",'17.01'!$AY$4,'17.01'!$AY$3)),(VLOOKUP('17.01'!AC71,'17.01'!$AM$4:$AO$55,2,FALSE))*IF('17.01'!$AK71="是",'17.01'!$AY$4,'17.01'!$AY$3))</f>
        <v>0</v>
      </c>
      <c r="V71" s="4">
        <f>IF(ISNUMBER(SEARCH("营",'17.01'!AD71)),(-$Y71+50*IF('17.01'!$AK71="是",'17.01'!$AY$4,'17.01'!$AY$3)),(VLOOKUP('17.01'!AD71,'17.01'!$AM$4:$AO$55,2,FALSE))*IF('17.01'!$AK71="是",'17.01'!$AY$4,'17.01'!$AY$3))</f>
        <v>0</v>
      </c>
      <c r="W71" s="4">
        <f>IF(ISNUMBER(SEARCH("营",'17.01'!AE71)),(-$Y71+50*IF('17.01'!$AK71="是",'17.01'!$AY$4,'17.01'!$AY$3)),(VLOOKUP('17.01'!AE71,'17.01'!$AM$4:$AO$55,2,FALSE))*IF('17.01'!$AK71="是",'17.01'!$AY$4,'17.01'!$AY$3))</f>
        <v>0</v>
      </c>
      <c r="X71" s="4">
        <f>IF(ISNUMBER(SEARCH("营",'17.01'!AF71)),(-$Y71+50*IF('17.01'!$AK71="是",'17.01'!$AY$4,'17.01'!$AY$3)),(VLOOKUP('17.01'!AF71,'17.01'!$AM$4:$AO$55,2,FALSE))*IF('17.01'!$AK71="是",'17.01'!$AY$4,'17.01'!$AY$3))</f>
        <v>0</v>
      </c>
      <c r="Y71" s="90">
        <v>100</v>
      </c>
    </row>
    <row r="72" spans="1:25">
      <c r="A72" s="4">
        <f>IF(ISNUMBER(SEARCH("营",'17.01'!I72)),(-$Y72+50*IF('17.01'!$AK72="是",'17.01'!$AY$4,'17.01'!$AY$3)),(VLOOKUP('17.01'!I72,'17.01'!$AM$4:$AO$55,2,FALSE))*IF('17.01'!$AK72="是",'17.01'!$AY$4,'17.01'!$AY$3))</f>
        <v>0</v>
      </c>
      <c r="B72" s="4">
        <f>IF(ISNUMBER(SEARCH("营",'17.01'!J72)),(-$Y72+50*IF('17.01'!$AK72="是",'17.01'!$AY$4,'17.01'!$AY$3)),(VLOOKUP('17.01'!J72,'17.01'!$AM$4:$AO$55,2,FALSE))*IF('17.01'!$AK72="是",'17.01'!$AY$4,'17.01'!$AY$3))</f>
        <v>0</v>
      </c>
      <c r="C72" s="4">
        <f>IF(ISNUMBER(SEARCH("营",'17.01'!K72)),(-$Y72+50*IF('17.01'!$AK72="是",'17.01'!$AY$4,'17.01'!$AY$3)),(VLOOKUP('17.01'!K72,'17.01'!$AM$4:$AO$55,2,FALSE))*IF('17.01'!$AK72="是",'17.01'!$AY$4,'17.01'!$AY$3))</f>
        <v>0</v>
      </c>
      <c r="D72" s="4">
        <f>IF(ISNUMBER(SEARCH("营",'17.01'!L72)),(-$Y72+50*IF('17.01'!$AK72="是",'17.01'!$AY$4,'17.01'!$AY$3)),(VLOOKUP('17.01'!L72,'17.01'!$AM$4:$AO$55,2,FALSE))*IF('17.01'!$AK72="是",'17.01'!$AY$4,'17.01'!$AY$3))</f>
        <v>0</v>
      </c>
      <c r="E72" s="4">
        <f>IF(ISNUMBER(SEARCH("营",'17.01'!M72)),(-$Y72+50*IF('17.01'!$AK72="是",'17.01'!$AY$4,'17.01'!$AY$3)),(VLOOKUP('17.01'!M72,'17.01'!$AM$4:$AO$55,2,FALSE))*IF('17.01'!$AK72="是",'17.01'!$AY$4,'17.01'!$AY$3))</f>
        <v>0</v>
      </c>
      <c r="F72" s="4">
        <f>IF(ISNUMBER(SEARCH("营",'17.01'!N72)),(-$Y72+50*IF('17.01'!$AK72="是",'17.01'!$AY$4,'17.01'!$AY$3)),(VLOOKUP('17.01'!N72,'17.01'!$AM$4:$AO$55,2,FALSE))*IF('17.01'!$AK72="是",'17.01'!$AY$4,'17.01'!$AY$3))</f>
        <v>0</v>
      </c>
      <c r="G72" s="4">
        <f>IF(ISNUMBER(SEARCH("营",'17.01'!O72)),(-$Y72+50*IF('17.01'!$AK72="是",'17.01'!$AY$4,'17.01'!$AY$3)),(VLOOKUP('17.01'!O72,'17.01'!$AM$4:$AO$55,2,FALSE))*IF('17.01'!$AK72="是",'17.01'!$AY$4,'17.01'!$AY$3))</f>
        <v>0</v>
      </c>
      <c r="H72" s="4">
        <f>IF(ISNUMBER(SEARCH("营",'17.01'!P72)),(-$Y72+50*IF('17.01'!$AK72="是",'17.01'!$AY$4,'17.01'!$AY$3)),(VLOOKUP('17.01'!P72,'17.01'!$AM$4:$AO$55,2,FALSE))*IF('17.01'!$AK72="是",'17.01'!$AY$4,'17.01'!$AY$3))</f>
        <v>0</v>
      </c>
      <c r="I72" s="4">
        <f>IF(ISNUMBER(SEARCH("营",'17.01'!Q72)),(-$Y72+50*IF('17.01'!$AK72="是",'17.01'!$AY$4,'17.01'!$AY$3)),(VLOOKUP('17.01'!Q72,'17.01'!$AM$4:$AO$55,2,FALSE))*IF('17.01'!$AK72="是",'17.01'!$AY$4,'17.01'!$AY$3))</f>
        <v>0</v>
      </c>
      <c r="J72" s="4">
        <f>IF(ISNUMBER(SEARCH("营",'17.01'!R72)),(-$Y72+50*IF('17.01'!$AK72="是",'17.01'!$AY$4,'17.01'!$AY$3)),(VLOOKUP('17.01'!R72,'17.01'!$AM$4:$AO$55,2,FALSE))*IF('17.01'!$AK72="是",'17.01'!$AY$4,'17.01'!$AY$3))</f>
        <v>0</v>
      </c>
      <c r="K72" s="4">
        <f>IF(ISNUMBER(SEARCH("营",'17.01'!S72)),(-$Y72+50*IF('17.01'!$AK72="是",'17.01'!$AY$4,'17.01'!$AY$3)),(VLOOKUP('17.01'!S72,'17.01'!$AM$4:$AO$55,2,FALSE))*IF('17.01'!$AK72="是",'17.01'!$AY$4,'17.01'!$AY$3))</f>
        <v>0</v>
      </c>
      <c r="L72" s="4">
        <f>IF(ISNUMBER(SEARCH("营",'17.01'!T72)),(-$Y72+50*IF('17.01'!$AK72="是",'17.01'!$AY$4,'17.01'!$AY$3)),(VLOOKUP('17.01'!T72,'17.01'!$AM$4:$AO$55,2,FALSE))*IF('17.01'!$AK72="是",'17.01'!$AY$4,'17.01'!$AY$3))</f>
        <v>0</v>
      </c>
      <c r="M72" s="4">
        <f>IF(ISNUMBER(SEARCH("营",'17.01'!U72)),(-$Y72+50*IF('17.01'!$AK72="是",'17.01'!$AY$4,'17.01'!$AY$3)),(VLOOKUP('17.01'!U72,'17.01'!$AM$4:$AO$55,2,FALSE))*IF('17.01'!$AK72="是",'17.01'!$AY$4,'17.01'!$AY$3))</f>
        <v>0</v>
      </c>
      <c r="N72" s="4">
        <f>IF(ISNUMBER(SEARCH("营",'17.01'!V72)),(-$Y72+50*IF('17.01'!$AK72="是",'17.01'!$AY$4,'17.01'!$AY$3)),(VLOOKUP('17.01'!V72,'17.01'!$AM$4:$AO$55,2,FALSE))*IF('17.01'!$AK72="是",'17.01'!$AY$4,'17.01'!$AY$3))</f>
        <v>0</v>
      </c>
      <c r="O72" s="4">
        <f>IF(ISNUMBER(SEARCH("营",'17.01'!W72)),(-$Y72+50*IF('17.01'!$AK72="是",'17.01'!$AY$4,'17.01'!$AY$3)),(VLOOKUP('17.01'!W72,'17.01'!$AM$4:$AO$55,2,FALSE))*IF('17.01'!$AK72="是",'17.01'!$AY$4,'17.01'!$AY$3))</f>
        <v>0</v>
      </c>
      <c r="P72" s="4">
        <f>IF(ISNUMBER(SEARCH("营",'17.01'!X72)),(-$Y72+50*IF('17.01'!$AK72="是",'17.01'!$AY$4,'17.01'!$AY$3)),(VLOOKUP('17.01'!X72,'17.01'!$AM$4:$AO$55,2,FALSE))*IF('17.01'!$AK72="是",'17.01'!$AY$4,'17.01'!$AY$3))</f>
        <v>0</v>
      </c>
      <c r="Q72" s="4">
        <f>IF(ISNUMBER(SEARCH("营",'17.01'!Y72)),(-$Y72+50*IF('17.01'!$AK72="是",'17.01'!$AY$4,'17.01'!$AY$3)),(VLOOKUP('17.01'!Y72,'17.01'!$AM$4:$AO$55,2,FALSE))*IF('17.01'!$AK72="是",'17.01'!$AY$4,'17.01'!$AY$3))</f>
        <v>0</v>
      </c>
      <c r="R72" s="4">
        <f>IF(ISNUMBER(SEARCH("营",'17.01'!Z72)),(-$Y72+50*IF('17.01'!$AK72="是",'17.01'!$AY$4,'17.01'!$AY$3)),(VLOOKUP('17.01'!Z72,'17.01'!$AM$4:$AO$55,2,FALSE))*IF('17.01'!$AK72="是",'17.01'!$AY$4,'17.01'!$AY$3))</f>
        <v>0</v>
      </c>
      <c r="S72" s="4">
        <f>IF(ISNUMBER(SEARCH("营",'17.01'!AA72)),(-$Y72+50*IF('17.01'!$AK72="是",'17.01'!$AY$4,'17.01'!$AY$3)),(VLOOKUP('17.01'!AA72,'17.01'!$AM$4:$AO$55,2,FALSE))*IF('17.01'!$AK72="是",'17.01'!$AY$4,'17.01'!$AY$3))</f>
        <v>0</v>
      </c>
      <c r="T72" s="4">
        <f>IF(ISNUMBER(SEARCH("营",'17.01'!AB72)),(-$Y72+50*IF('17.01'!$AK72="是",'17.01'!$AY$4,'17.01'!$AY$3)),(VLOOKUP('17.01'!AB72,'17.01'!$AM$4:$AO$55,2,FALSE))*IF('17.01'!$AK72="是",'17.01'!$AY$4,'17.01'!$AY$3))</f>
        <v>0</v>
      </c>
      <c r="U72" s="4">
        <f>IF(ISNUMBER(SEARCH("营",'17.01'!AC72)),(-$Y72+50*IF('17.01'!$AK72="是",'17.01'!$AY$4,'17.01'!$AY$3)),(VLOOKUP('17.01'!AC72,'17.01'!$AM$4:$AO$55,2,FALSE))*IF('17.01'!$AK72="是",'17.01'!$AY$4,'17.01'!$AY$3))</f>
        <v>0</v>
      </c>
      <c r="V72" s="4">
        <f>IF(ISNUMBER(SEARCH("营",'17.01'!AD72)),(-$Y72+50*IF('17.01'!$AK72="是",'17.01'!$AY$4,'17.01'!$AY$3)),(VLOOKUP('17.01'!AD72,'17.01'!$AM$4:$AO$55,2,FALSE))*IF('17.01'!$AK72="是",'17.01'!$AY$4,'17.01'!$AY$3))</f>
        <v>0</v>
      </c>
      <c r="W72" s="4">
        <f>IF(ISNUMBER(SEARCH("营",'17.01'!AE72)),(-$Y72+50*IF('17.01'!$AK72="是",'17.01'!$AY$4,'17.01'!$AY$3)),(VLOOKUP('17.01'!AE72,'17.01'!$AM$4:$AO$55,2,FALSE))*IF('17.01'!$AK72="是",'17.01'!$AY$4,'17.01'!$AY$3))</f>
        <v>0</v>
      </c>
      <c r="X72" s="4">
        <f>IF(ISNUMBER(SEARCH("营",'17.01'!AF72)),(-$Y72+50*IF('17.01'!$AK72="是",'17.01'!$AY$4,'17.01'!$AY$3)),(VLOOKUP('17.01'!AF72,'17.01'!$AM$4:$AO$55,2,FALSE))*IF('17.01'!$AK72="是",'17.01'!$AY$4,'17.01'!$AY$3))</f>
        <v>0</v>
      </c>
      <c r="Y72" s="90">
        <v>100</v>
      </c>
    </row>
    <row r="73" spans="1:25">
      <c r="A73" s="4">
        <f>IF(ISNUMBER(SEARCH("营",'17.01'!I73)),(-$Y73+50*IF('17.01'!$AK73="是",'17.01'!$AY$4,'17.01'!$AY$3)),(VLOOKUP('17.01'!I73,'17.01'!$AM$4:$AO$55,2,FALSE))*IF('17.01'!$AK73="是",'17.01'!$AY$4,'17.01'!$AY$3))</f>
        <v>0</v>
      </c>
      <c r="B73" s="4">
        <f>IF(ISNUMBER(SEARCH("营",'17.01'!J73)),(-$Y73+50*IF('17.01'!$AK73="是",'17.01'!$AY$4,'17.01'!$AY$3)),(VLOOKUP('17.01'!J73,'17.01'!$AM$4:$AO$55,2,FALSE))*IF('17.01'!$AK73="是",'17.01'!$AY$4,'17.01'!$AY$3))</f>
        <v>0</v>
      </c>
      <c r="C73" s="4">
        <f>IF(ISNUMBER(SEARCH("营",'17.01'!K73)),(-$Y73+50*IF('17.01'!$AK73="是",'17.01'!$AY$4,'17.01'!$AY$3)),(VLOOKUP('17.01'!K73,'17.01'!$AM$4:$AO$55,2,FALSE))*IF('17.01'!$AK73="是",'17.01'!$AY$4,'17.01'!$AY$3))</f>
        <v>0</v>
      </c>
      <c r="D73" s="4">
        <f>IF(ISNUMBER(SEARCH("营",'17.01'!L73)),(-$Y73+50*IF('17.01'!$AK73="是",'17.01'!$AY$4,'17.01'!$AY$3)),(VLOOKUP('17.01'!L73,'17.01'!$AM$4:$AO$55,2,FALSE))*IF('17.01'!$AK73="是",'17.01'!$AY$4,'17.01'!$AY$3))</f>
        <v>0</v>
      </c>
      <c r="E73" s="4">
        <f>IF(ISNUMBER(SEARCH("营",'17.01'!M73)),(-$Y73+50*IF('17.01'!$AK73="是",'17.01'!$AY$4,'17.01'!$AY$3)),(VLOOKUP('17.01'!M73,'17.01'!$AM$4:$AO$55,2,FALSE))*IF('17.01'!$AK73="是",'17.01'!$AY$4,'17.01'!$AY$3))</f>
        <v>0</v>
      </c>
      <c r="F73" s="4">
        <f>IF(ISNUMBER(SEARCH("营",'17.01'!N73)),(-$Y73+50*IF('17.01'!$AK73="是",'17.01'!$AY$4,'17.01'!$AY$3)),(VLOOKUP('17.01'!N73,'17.01'!$AM$4:$AO$55,2,FALSE))*IF('17.01'!$AK73="是",'17.01'!$AY$4,'17.01'!$AY$3))</f>
        <v>0</v>
      </c>
      <c r="G73" s="4">
        <f>IF(ISNUMBER(SEARCH("营",'17.01'!O73)),(-$Y73+50*IF('17.01'!$AK73="是",'17.01'!$AY$4,'17.01'!$AY$3)),(VLOOKUP('17.01'!O73,'17.01'!$AM$4:$AO$55,2,FALSE))*IF('17.01'!$AK73="是",'17.01'!$AY$4,'17.01'!$AY$3))</f>
        <v>0</v>
      </c>
      <c r="H73" s="4">
        <f>IF(ISNUMBER(SEARCH("营",'17.01'!P73)),(-$Y73+50*IF('17.01'!$AK73="是",'17.01'!$AY$4,'17.01'!$AY$3)),(VLOOKUP('17.01'!P73,'17.01'!$AM$4:$AO$55,2,FALSE))*IF('17.01'!$AK73="是",'17.01'!$AY$4,'17.01'!$AY$3))</f>
        <v>0</v>
      </c>
      <c r="I73" s="4">
        <f>IF(ISNUMBER(SEARCH("营",'17.01'!Q73)),(-$Y73+50*IF('17.01'!$AK73="是",'17.01'!$AY$4,'17.01'!$AY$3)),(VLOOKUP('17.01'!Q73,'17.01'!$AM$4:$AO$55,2,FALSE))*IF('17.01'!$AK73="是",'17.01'!$AY$4,'17.01'!$AY$3))</f>
        <v>0</v>
      </c>
      <c r="J73" s="4">
        <f>IF(ISNUMBER(SEARCH("营",'17.01'!R73)),(-$Y73+50*IF('17.01'!$AK73="是",'17.01'!$AY$4,'17.01'!$AY$3)),(VLOOKUP('17.01'!R73,'17.01'!$AM$4:$AO$55,2,FALSE))*IF('17.01'!$AK73="是",'17.01'!$AY$4,'17.01'!$AY$3))</f>
        <v>0</v>
      </c>
      <c r="K73" s="4">
        <f>IF(ISNUMBER(SEARCH("营",'17.01'!S73)),(-$Y73+50*IF('17.01'!$AK73="是",'17.01'!$AY$4,'17.01'!$AY$3)),(VLOOKUP('17.01'!S73,'17.01'!$AM$4:$AO$55,2,FALSE))*IF('17.01'!$AK73="是",'17.01'!$AY$4,'17.01'!$AY$3))</f>
        <v>0</v>
      </c>
      <c r="L73" s="4">
        <f>IF(ISNUMBER(SEARCH("营",'17.01'!T73)),(-$Y73+50*IF('17.01'!$AK73="是",'17.01'!$AY$4,'17.01'!$AY$3)),(VLOOKUP('17.01'!T73,'17.01'!$AM$4:$AO$55,2,FALSE))*IF('17.01'!$AK73="是",'17.01'!$AY$4,'17.01'!$AY$3))</f>
        <v>0</v>
      </c>
      <c r="M73" s="4">
        <f>IF(ISNUMBER(SEARCH("营",'17.01'!U73)),(-$Y73+50*IF('17.01'!$AK73="是",'17.01'!$AY$4,'17.01'!$AY$3)),(VLOOKUP('17.01'!U73,'17.01'!$AM$4:$AO$55,2,FALSE))*IF('17.01'!$AK73="是",'17.01'!$AY$4,'17.01'!$AY$3))</f>
        <v>0</v>
      </c>
      <c r="N73" s="4">
        <f>IF(ISNUMBER(SEARCH("营",'17.01'!V73)),(-$Y73+50*IF('17.01'!$AK73="是",'17.01'!$AY$4,'17.01'!$AY$3)),(VLOOKUP('17.01'!V73,'17.01'!$AM$4:$AO$55,2,FALSE))*IF('17.01'!$AK73="是",'17.01'!$AY$4,'17.01'!$AY$3))</f>
        <v>0</v>
      </c>
      <c r="O73" s="4">
        <f>IF(ISNUMBER(SEARCH("营",'17.01'!W73)),(-$Y73+50*IF('17.01'!$AK73="是",'17.01'!$AY$4,'17.01'!$AY$3)),(VLOOKUP('17.01'!W73,'17.01'!$AM$4:$AO$55,2,FALSE))*IF('17.01'!$AK73="是",'17.01'!$AY$4,'17.01'!$AY$3))</f>
        <v>0</v>
      </c>
      <c r="P73" s="4">
        <f>IF(ISNUMBER(SEARCH("营",'17.01'!X73)),(-$Y73+50*IF('17.01'!$AK73="是",'17.01'!$AY$4,'17.01'!$AY$3)),(VLOOKUP('17.01'!X73,'17.01'!$AM$4:$AO$55,2,FALSE))*IF('17.01'!$AK73="是",'17.01'!$AY$4,'17.01'!$AY$3))</f>
        <v>0</v>
      </c>
      <c r="Q73" s="4">
        <f>IF(ISNUMBER(SEARCH("营",'17.01'!Y73)),(-$Y73+50*IF('17.01'!$AK73="是",'17.01'!$AY$4,'17.01'!$AY$3)),(VLOOKUP('17.01'!Y73,'17.01'!$AM$4:$AO$55,2,FALSE))*IF('17.01'!$AK73="是",'17.01'!$AY$4,'17.01'!$AY$3))</f>
        <v>0</v>
      </c>
      <c r="R73" s="4">
        <f>IF(ISNUMBER(SEARCH("营",'17.01'!Z73)),(-$Y73+50*IF('17.01'!$AK73="是",'17.01'!$AY$4,'17.01'!$AY$3)),(VLOOKUP('17.01'!Z73,'17.01'!$AM$4:$AO$55,2,FALSE))*IF('17.01'!$AK73="是",'17.01'!$AY$4,'17.01'!$AY$3))</f>
        <v>0</v>
      </c>
      <c r="S73" s="4">
        <f>IF(ISNUMBER(SEARCH("营",'17.01'!AA73)),(-$Y73+50*IF('17.01'!$AK73="是",'17.01'!$AY$4,'17.01'!$AY$3)),(VLOOKUP('17.01'!AA73,'17.01'!$AM$4:$AO$55,2,FALSE))*IF('17.01'!$AK73="是",'17.01'!$AY$4,'17.01'!$AY$3))</f>
        <v>0</v>
      </c>
      <c r="T73" s="4">
        <f>IF(ISNUMBER(SEARCH("营",'17.01'!AB73)),(-$Y73+50*IF('17.01'!$AK73="是",'17.01'!$AY$4,'17.01'!$AY$3)),(VLOOKUP('17.01'!AB73,'17.01'!$AM$4:$AO$55,2,FALSE))*IF('17.01'!$AK73="是",'17.01'!$AY$4,'17.01'!$AY$3))</f>
        <v>0</v>
      </c>
      <c r="U73" s="4">
        <f>IF(ISNUMBER(SEARCH("营",'17.01'!AC73)),(-$Y73+50*IF('17.01'!$AK73="是",'17.01'!$AY$4,'17.01'!$AY$3)),(VLOOKUP('17.01'!AC73,'17.01'!$AM$4:$AO$55,2,FALSE))*IF('17.01'!$AK73="是",'17.01'!$AY$4,'17.01'!$AY$3))</f>
        <v>0</v>
      </c>
      <c r="V73" s="4">
        <f>IF(ISNUMBER(SEARCH("营",'17.01'!AD73)),(-$Y73+50*IF('17.01'!$AK73="是",'17.01'!$AY$4,'17.01'!$AY$3)),(VLOOKUP('17.01'!AD73,'17.01'!$AM$4:$AO$55,2,FALSE))*IF('17.01'!$AK73="是",'17.01'!$AY$4,'17.01'!$AY$3))</f>
        <v>0</v>
      </c>
      <c r="W73" s="4">
        <f>IF(ISNUMBER(SEARCH("营",'17.01'!AE73)),(-$Y73+50*IF('17.01'!$AK73="是",'17.01'!$AY$4,'17.01'!$AY$3)),(VLOOKUP('17.01'!AE73,'17.01'!$AM$4:$AO$55,2,FALSE))*IF('17.01'!$AK73="是",'17.01'!$AY$4,'17.01'!$AY$3))</f>
        <v>0</v>
      </c>
      <c r="X73" s="4">
        <f>IF(ISNUMBER(SEARCH("营",'17.01'!AF73)),(-$Y73+50*IF('17.01'!$AK73="是",'17.01'!$AY$4,'17.01'!$AY$3)),(VLOOKUP('17.01'!AF73,'17.01'!$AM$4:$AO$55,2,FALSE))*IF('17.01'!$AK73="是",'17.01'!$AY$4,'17.01'!$AY$3))</f>
        <v>0</v>
      </c>
      <c r="Y73" s="90">
        <v>100</v>
      </c>
    </row>
    <row r="74" spans="1:25">
      <c r="A74" s="4">
        <f>IF(ISNUMBER(SEARCH("营",'17.01'!I74)),(-$Y74+50*IF('17.01'!$AK74="是",'17.01'!$AY$4,'17.01'!$AY$3)),(VLOOKUP('17.01'!I74,'17.01'!$AM$4:$AO$55,2,FALSE))*IF('17.01'!$AK74="是",'17.01'!$AY$4,'17.01'!$AY$3))</f>
        <v>0</v>
      </c>
      <c r="B74" s="4">
        <f>IF(ISNUMBER(SEARCH("营",'17.01'!J74)),(-$Y74+50*IF('17.01'!$AK74="是",'17.01'!$AY$4,'17.01'!$AY$3)),(VLOOKUP('17.01'!J74,'17.01'!$AM$4:$AO$55,2,FALSE))*IF('17.01'!$AK74="是",'17.01'!$AY$4,'17.01'!$AY$3))</f>
        <v>0</v>
      </c>
      <c r="C74" s="4">
        <f>IF(ISNUMBER(SEARCH("营",'17.01'!K74)),(-$Y74+50*IF('17.01'!$AK74="是",'17.01'!$AY$4,'17.01'!$AY$3)),(VLOOKUP('17.01'!K74,'17.01'!$AM$4:$AO$55,2,FALSE))*IF('17.01'!$AK74="是",'17.01'!$AY$4,'17.01'!$AY$3))</f>
        <v>0</v>
      </c>
      <c r="D74" s="4">
        <f>IF(ISNUMBER(SEARCH("营",'17.01'!L74)),(-$Y74+50*IF('17.01'!$AK74="是",'17.01'!$AY$4,'17.01'!$AY$3)),(VLOOKUP('17.01'!L74,'17.01'!$AM$4:$AO$55,2,FALSE))*IF('17.01'!$AK74="是",'17.01'!$AY$4,'17.01'!$AY$3))</f>
        <v>0</v>
      </c>
      <c r="E74" s="4">
        <f>IF(ISNUMBER(SEARCH("营",'17.01'!M74)),(-$Y74+50*IF('17.01'!$AK74="是",'17.01'!$AY$4,'17.01'!$AY$3)),(VLOOKUP('17.01'!M74,'17.01'!$AM$4:$AO$55,2,FALSE))*IF('17.01'!$AK74="是",'17.01'!$AY$4,'17.01'!$AY$3))</f>
        <v>0</v>
      </c>
      <c r="F74" s="4">
        <f>IF(ISNUMBER(SEARCH("营",'17.01'!N74)),(-$Y74+50*IF('17.01'!$AK74="是",'17.01'!$AY$4,'17.01'!$AY$3)),(VLOOKUP('17.01'!N74,'17.01'!$AM$4:$AO$55,2,FALSE))*IF('17.01'!$AK74="是",'17.01'!$AY$4,'17.01'!$AY$3))</f>
        <v>0</v>
      </c>
      <c r="G74" s="4">
        <f>IF(ISNUMBER(SEARCH("营",'17.01'!O74)),(-$Y74+50*IF('17.01'!$AK74="是",'17.01'!$AY$4,'17.01'!$AY$3)),(VLOOKUP('17.01'!O74,'17.01'!$AM$4:$AO$55,2,FALSE))*IF('17.01'!$AK74="是",'17.01'!$AY$4,'17.01'!$AY$3))</f>
        <v>0</v>
      </c>
      <c r="H74" s="4">
        <f>IF(ISNUMBER(SEARCH("营",'17.01'!P74)),(-$Y74+50*IF('17.01'!$AK74="是",'17.01'!$AY$4,'17.01'!$AY$3)),(VLOOKUP('17.01'!P74,'17.01'!$AM$4:$AO$55,2,FALSE))*IF('17.01'!$AK74="是",'17.01'!$AY$4,'17.01'!$AY$3))</f>
        <v>0</v>
      </c>
      <c r="I74" s="4">
        <f>IF(ISNUMBER(SEARCH("营",'17.01'!Q74)),(-$Y74+50*IF('17.01'!$AK74="是",'17.01'!$AY$4,'17.01'!$AY$3)),(VLOOKUP('17.01'!Q74,'17.01'!$AM$4:$AO$55,2,FALSE))*IF('17.01'!$AK74="是",'17.01'!$AY$4,'17.01'!$AY$3))</f>
        <v>0</v>
      </c>
      <c r="J74" s="4">
        <f>IF(ISNUMBER(SEARCH("营",'17.01'!R74)),(-$Y74+50*IF('17.01'!$AK74="是",'17.01'!$AY$4,'17.01'!$AY$3)),(VLOOKUP('17.01'!R74,'17.01'!$AM$4:$AO$55,2,FALSE))*IF('17.01'!$AK74="是",'17.01'!$AY$4,'17.01'!$AY$3))</f>
        <v>0</v>
      </c>
      <c r="K74" s="4">
        <f>IF(ISNUMBER(SEARCH("营",'17.01'!S74)),(-$Y74+50*IF('17.01'!$AK74="是",'17.01'!$AY$4,'17.01'!$AY$3)),(VLOOKUP('17.01'!S74,'17.01'!$AM$4:$AO$55,2,FALSE))*IF('17.01'!$AK74="是",'17.01'!$AY$4,'17.01'!$AY$3))</f>
        <v>0</v>
      </c>
      <c r="L74" s="4">
        <f>IF(ISNUMBER(SEARCH("营",'17.01'!T74)),(-$Y74+50*IF('17.01'!$AK74="是",'17.01'!$AY$4,'17.01'!$AY$3)),(VLOOKUP('17.01'!T74,'17.01'!$AM$4:$AO$55,2,FALSE))*IF('17.01'!$AK74="是",'17.01'!$AY$4,'17.01'!$AY$3))</f>
        <v>0</v>
      </c>
      <c r="M74" s="4">
        <f>IF(ISNUMBER(SEARCH("营",'17.01'!U74)),(-$Y74+50*IF('17.01'!$AK74="是",'17.01'!$AY$4,'17.01'!$AY$3)),(VLOOKUP('17.01'!U74,'17.01'!$AM$4:$AO$55,2,FALSE))*IF('17.01'!$AK74="是",'17.01'!$AY$4,'17.01'!$AY$3))</f>
        <v>0</v>
      </c>
      <c r="N74" s="4">
        <f>IF(ISNUMBER(SEARCH("营",'17.01'!V74)),(-$Y74+50*IF('17.01'!$AK74="是",'17.01'!$AY$4,'17.01'!$AY$3)),(VLOOKUP('17.01'!V74,'17.01'!$AM$4:$AO$55,2,FALSE))*IF('17.01'!$AK74="是",'17.01'!$AY$4,'17.01'!$AY$3))</f>
        <v>0</v>
      </c>
      <c r="O74" s="4">
        <f>IF(ISNUMBER(SEARCH("营",'17.01'!W74)),(-$Y74+50*IF('17.01'!$AK74="是",'17.01'!$AY$4,'17.01'!$AY$3)),(VLOOKUP('17.01'!W74,'17.01'!$AM$4:$AO$55,2,FALSE))*IF('17.01'!$AK74="是",'17.01'!$AY$4,'17.01'!$AY$3))</f>
        <v>0</v>
      </c>
      <c r="P74" s="4">
        <f>IF(ISNUMBER(SEARCH("营",'17.01'!X74)),(-$Y74+50*IF('17.01'!$AK74="是",'17.01'!$AY$4,'17.01'!$AY$3)),(VLOOKUP('17.01'!X74,'17.01'!$AM$4:$AO$55,2,FALSE))*IF('17.01'!$AK74="是",'17.01'!$AY$4,'17.01'!$AY$3))</f>
        <v>0</v>
      </c>
      <c r="Q74" s="4">
        <f>IF(ISNUMBER(SEARCH("营",'17.01'!Y74)),(-$Y74+50*IF('17.01'!$AK74="是",'17.01'!$AY$4,'17.01'!$AY$3)),(VLOOKUP('17.01'!Y74,'17.01'!$AM$4:$AO$55,2,FALSE))*IF('17.01'!$AK74="是",'17.01'!$AY$4,'17.01'!$AY$3))</f>
        <v>0</v>
      </c>
      <c r="R74" s="4">
        <f>IF(ISNUMBER(SEARCH("营",'17.01'!Z74)),(-$Y74+50*IF('17.01'!$AK74="是",'17.01'!$AY$4,'17.01'!$AY$3)),(VLOOKUP('17.01'!Z74,'17.01'!$AM$4:$AO$55,2,FALSE))*IF('17.01'!$AK74="是",'17.01'!$AY$4,'17.01'!$AY$3))</f>
        <v>0</v>
      </c>
      <c r="S74" s="4">
        <f>IF(ISNUMBER(SEARCH("营",'17.01'!AA74)),(-$Y74+50*IF('17.01'!$AK74="是",'17.01'!$AY$4,'17.01'!$AY$3)),(VLOOKUP('17.01'!AA74,'17.01'!$AM$4:$AO$55,2,FALSE))*IF('17.01'!$AK74="是",'17.01'!$AY$4,'17.01'!$AY$3))</f>
        <v>0</v>
      </c>
      <c r="T74" s="4">
        <f>IF(ISNUMBER(SEARCH("营",'17.01'!AB74)),(-$Y74+50*IF('17.01'!$AK74="是",'17.01'!$AY$4,'17.01'!$AY$3)),(VLOOKUP('17.01'!AB74,'17.01'!$AM$4:$AO$55,2,FALSE))*IF('17.01'!$AK74="是",'17.01'!$AY$4,'17.01'!$AY$3))</f>
        <v>0</v>
      </c>
      <c r="U74" s="4">
        <f>IF(ISNUMBER(SEARCH("营",'17.01'!AC74)),(-$Y74+50*IF('17.01'!$AK74="是",'17.01'!$AY$4,'17.01'!$AY$3)),(VLOOKUP('17.01'!AC74,'17.01'!$AM$4:$AO$55,2,FALSE))*IF('17.01'!$AK74="是",'17.01'!$AY$4,'17.01'!$AY$3))</f>
        <v>0</v>
      </c>
      <c r="V74" s="4">
        <f>IF(ISNUMBER(SEARCH("营",'17.01'!AD74)),(-$Y74+50*IF('17.01'!$AK74="是",'17.01'!$AY$4,'17.01'!$AY$3)),(VLOOKUP('17.01'!AD74,'17.01'!$AM$4:$AO$55,2,FALSE))*IF('17.01'!$AK74="是",'17.01'!$AY$4,'17.01'!$AY$3))</f>
        <v>0</v>
      </c>
      <c r="W74" s="4">
        <f>IF(ISNUMBER(SEARCH("营",'17.01'!AE74)),(-$Y74+50*IF('17.01'!$AK74="是",'17.01'!$AY$4,'17.01'!$AY$3)),(VLOOKUP('17.01'!AE74,'17.01'!$AM$4:$AO$55,2,FALSE))*IF('17.01'!$AK74="是",'17.01'!$AY$4,'17.01'!$AY$3))</f>
        <v>0</v>
      </c>
      <c r="X74" s="4">
        <f>IF(ISNUMBER(SEARCH("营",'17.01'!AF74)),(-$Y74+50*IF('17.01'!$AK74="是",'17.01'!$AY$4,'17.01'!$AY$3)),(VLOOKUP('17.01'!AF74,'17.01'!$AM$4:$AO$55,2,FALSE))*IF('17.01'!$AK74="是",'17.01'!$AY$4,'17.01'!$AY$3))</f>
        <v>0</v>
      </c>
      <c r="Y74" s="90">
        <v>100</v>
      </c>
    </row>
    <row r="75" spans="1:25">
      <c r="A75" s="4">
        <f>IF(ISNUMBER(SEARCH("营",'17.01'!I75)),(-$Y75+50*IF('17.01'!$AK75="是",'17.01'!$AY$4,'17.01'!$AY$3)),(VLOOKUP('17.01'!I75,'17.01'!$AM$4:$AO$55,2,FALSE))*IF('17.01'!$AK75="是",'17.01'!$AY$4,'17.01'!$AY$3))</f>
        <v>0</v>
      </c>
      <c r="B75" s="4">
        <f>IF(ISNUMBER(SEARCH("营",'17.01'!J75)),(-$Y75+50*IF('17.01'!$AK75="是",'17.01'!$AY$4,'17.01'!$AY$3)),(VLOOKUP('17.01'!J75,'17.01'!$AM$4:$AO$55,2,FALSE))*IF('17.01'!$AK75="是",'17.01'!$AY$4,'17.01'!$AY$3))</f>
        <v>0</v>
      </c>
      <c r="C75" s="4">
        <f>IF(ISNUMBER(SEARCH("营",'17.01'!K75)),(-$Y75+50*IF('17.01'!$AK75="是",'17.01'!$AY$4,'17.01'!$AY$3)),(VLOOKUP('17.01'!K75,'17.01'!$AM$4:$AO$55,2,FALSE))*IF('17.01'!$AK75="是",'17.01'!$AY$4,'17.01'!$AY$3))</f>
        <v>0</v>
      </c>
      <c r="D75" s="4">
        <f>IF(ISNUMBER(SEARCH("营",'17.01'!L75)),(-$Y75+50*IF('17.01'!$AK75="是",'17.01'!$AY$4,'17.01'!$AY$3)),(VLOOKUP('17.01'!L75,'17.01'!$AM$4:$AO$55,2,FALSE))*IF('17.01'!$AK75="是",'17.01'!$AY$4,'17.01'!$AY$3))</f>
        <v>0</v>
      </c>
      <c r="E75" s="4">
        <f>IF(ISNUMBER(SEARCH("营",'17.01'!M75)),(-$Y75+50*IF('17.01'!$AK75="是",'17.01'!$AY$4,'17.01'!$AY$3)),(VLOOKUP('17.01'!M75,'17.01'!$AM$4:$AO$55,2,FALSE))*IF('17.01'!$AK75="是",'17.01'!$AY$4,'17.01'!$AY$3))</f>
        <v>0</v>
      </c>
      <c r="F75" s="4">
        <f>IF(ISNUMBER(SEARCH("营",'17.01'!N75)),(-$Y75+50*IF('17.01'!$AK75="是",'17.01'!$AY$4,'17.01'!$AY$3)),(VLOOKUP('17.01'!N75,'17.01'!$AM$4:$AO$55,2,FALSE))*IF('17.01'!$AK75="是",'17.01'!$AY$4,'17.01'!$AY$3))</f>
        <v>0</v>
      </c>
      <c r="G75" s="4">
        <f>IF(ISNUMBER(SEARCH("营",'17.01'!O75)),(-$Y75+50*IF('17.01'!$AK75="是",'17.01'!$AY$4,'17.01'!$AY$3)),(VLOOKUP('17.01'!O75,'17.01'!$AM$4:$AO$55,2,FALSE))*IF('17.01'!$AK75="是",'17.01'!$AY$4,'17.01'!$AY$3))</f>
        <v>0</v>
      </c>
      <c r="H75" s="4">
        <f>IF(ISNUMBER(SEARCH("营",'17.01'!P75)),(-$Y75+50*IF('17.01'!$AK75="是",'17.01'!$AY$4,'17.01'!$AY$3)),(VLOOKUP('17.01'!P75,'17.01'!$AM$4:$AO$55,2,FALSE))*IF('17.01'!$AK75="是",'17.01'!$AY$4,'17.01'!$AY$3))</f>
        <v>0</v>
      </c>
      <c r="I75" s="4">
        <f>IF(ISNUMBER(SEARCH("营",'17.01'!Q75)),(-$Y75+50*IF('17.01'!$AK75="是",'17.01'!$AY$4,'17.01'!$AY$3)),(VLOOKUP('17.01'!Q75,'17.01'!$AM$4:$AO$55,2,FALSE))*IF('17.01'!$AK75="是",'17.01'!$AY$4,'17.01'!$AY$3))</f>
        <v>0</v>
      </c>
      <c r="J75" s="4">
        <f>IF(ISNUMBER(SEARCH("营",'17.01'!R75)),(-$Y75+50*IF('17.01'!$AK75="是",'17.01'!$AY$4,'17.01'!$AY$3)),(VLOOKUP('17.01'!R75,'17.01'!$AM$4:$AO$55,2,FALSE))*IF('17.01'!$AK75="是",'17.01'!$AY$4,'17.01'!$AY$3))</f>
        <v>0</v>
      </c>
      <c r="K75" s="4">
        <f>IF(ISNUMBER(SEARCH("营",'17.01'!S75)),(-$Y75+50*IF('17.01'!$AK75="是",'17.01'!$AY$4,'17.01'!$AY$3)),(VLOOKUP('17.01'!S75,'17.01'!$AM$4:$AO$55,2,FALSE))*IF('17.01'!$AK75="是",'17.01'!$AY$4,'17.01'!$AY$3))</f>
        <v>0</v>
      </c>
      <c r="L75" s="4">
        <f>IF(ISNUMBER(SEARCH("营",'17.01'!T75)),(-$Y75+50*IF('17.01'!$AK75="是",'17.01'!$AY$4,'17.01'!$AY$3)),(VLOOKUP('17.01'!T75,'17.01'!$AM$4:$AO$55,2,FALSE))*IF('17.01'!$AK75="是",'17.01'!$AY$4,'17.01'!$AY$3))</f>
        <v>0</v>
      </c>
      <c r="M75" s="4">
        <f>IF(ISNUMBER(SEARCH("营",'17.01'!U75)),(-$Y75+50*IF('17.01'!$AK75="是",'17.01'!$AY$4,'17.01'!$AY$3)),(VLOOKUP('17.01'!U75,'17.01'!$AM$4:$AO$55,2,FALSE))*IF('17.01'!$AK75="是",'17.01'!$AY$4,'17.01'!$AY$3))</f>
        <v>0</v>
      </c>
      <c r="N75" s="4">
        <f>IF(ISNUMBER(SEARCH("营",'17.01'!V75)),(-$Y75+50*IF('17.01'!$AK75="是",'17.01'!$AY$4,'17.01'!$AY$3)),(VLOOKUP('17.01'!V75,'17.01'!$AM$4:$AO$55,2,FALSE))*IF('17.01'!$AK75="是",'17.01'!$AY$4,'17.01'!$AY$3))</f>
        <v>0</v>
      </c>
      <c r="O75" s="4">
        <f>IF(ISNUMBER(SEARCH("营",'17.01'!W75)),(-$Y75+50*IF('17.01'!$AK75="是",'17.01'!$AY$4,'17.01'!$AY$3)),(VLOOKUP('17.01'!W75,'17.01'!$AM$4:$AO$55,2,FALSE))*IF('17.01'!$AK75="是",'17.01'!$AY$4,'17.01'!$AY$3))</f>
        <v>0</v>
      </c>
      <c r="P75" s="4">
        <f>IF(ISNUMBER(SEARCH("营",'17.01'!X75)),(-$Y75+50*IF('17.01'!$AK75="是",'17.01'!$AY$4,'17.01'!$AY$3)),(VLOOKUP('17.01'!X75,'17.01'!$AM$4:$AO$55,2,FALSE))*IF('17.01'!$AK75="是",'17.01'!$AY$4,'17.01'!$AY$3))</f>
        <v>0</v>
      </c>
      <c r="Q75" s="4">
        <f>IF(ISNUMBER(SEARCH("营",'17.01'!Y75)),(-$Y75+50*IF('17.01'!$AK75="是",'17.01'!$AY$4,'17.01'!$AY$3)),(VLOOKUP('17.01'!Y75,'17.01'!$AM$4:$AO$55,2,FALSE))*IF('17.01'!$AK75="是",'17.01'!$AY$4,'17.01'!$AY$3))</f>
        <v>0</v>
      </c>
      <c r="R75" s="4">
        <f>IF(ISNUMBER(SEARCH("营",'17.01'!Z75)),(-$Y75+50*IF('17.01'!$AK75="是",'17.01'!$AY$4,'17.01'!$AY$3)),(VLOOKUP('17.01'!Z75,'17.01'!$AM$4:$AO$55,2,FALSE))*IF('17.01'!$AK75="是",'17.01'!$AY$4,'17.01'!$AY$3))</f>
        <v>0</v>
      </c>
      <c r="S75" s="4">
        <f>IF(ISNUMBER(SEARCH("营",'17.01'!AA75)),(-$Y75+50*IF('17.01'!$AK75="是",'17.01'!$AY$4,'17.01'!$AY$3)),(VLOOKUP('17.01'!AA75,'17.01'!$AM$4:$AO$55,2,FALSE))*IF('17.01'!$AK75="是",'17.01'!$AY$4,'17.01'!$AY$3))</f>
        <v>0</v>
      </c>
      <c r="T75" s="4">
        <f>IF(ISNUMBER(SEARCH("营",'17.01'!AB75)),(-$Y75+50*IF('17.01'!$AK75="是",'17.01'!$AY$4,'17.01'!$AY$3)),(VLOOKUP('17.01'!AB75,'17.01'!$AM$4:$AO$55,2,FALSE))*IF('17.01'!$AK75="是",'17.01'!$AY$4,'17.01'!$AY$3))</f>
        <v>0</v>
      </c>
      <c r="U75" s="4">
        <f>IF(ISNUMBER(SEARCH("营",'17.01'!AC75)),(-$Y75+50*IF('17.01'!$AK75="是",'17.01'!$AY$4,'17.01'!$AY$3)),(VLOOKUP('17.01'!AC75,'17.01'!$AM$4:$AO$55,2,FALSE))*IF('17.01'!$AK75="是",'17.01'!$AY$4,'17.01'!$AY$3))</f>
        <v>0</v>
      </c>
      <c r="V75" s="4">
        <f>IF(ISNUMBER(SEARCH("营",'17.01'!AD75)),(-$Y75+50*IF('17.01'!$AK75="是",'17.01'!$AY$4,'17.01'!$AY$3)),(VLOOKUP('17.01'!AD75,'17.01'!$AM$4:$AO$55,2,FALSE))*IF('17.01'!$AK75="是",'17.01'!$AY$4,'17.01'!$AY$3))</f>
        <v>0</v>
      </c>
      <c r="W75" s="4">
        <f>IF(ISNUMBER(SEARCH("营",'17.01'!AE75)),(-$Y75+50*IF('17.01'!$AK75="是",'17.01'!$AY$4,'17.01'!$AY$3)),(VLOOKUP('17.01'!AE75,'17.01'!$AM$4:$AO$55,2,FALSE))*IF('17.01'!$AK75="是",'17.01'!$AY$4,'17.01'!$AY$3))</f>
        <v>0</v>
      </c>
      <c r="X75" s="4">
        <f>IF(ISNUMBER(SEARCH("营",'17.01'!AF75)),(-$Y75+50*IF('17.01'!$AK75="是",'17.01'!$AY$4,'17.01'!$AY$3)),(VLOOKUP('17.01'!AF75,'17.01'!$AM$4:$AO$55,2,FALSE))*IF('17.01'!$AK75="是",'17.01'!$AY$4,'17.01'!$AY$3))</f>
        <v>0</v>
      </c>
      <c r="Y75" s="90">
        <v>100</v>
      </c>
    </row>
    <row r="76" spans="1:25">
      <c r="A76" s="4">
        <f>IF(ISNUMBER(SEARCH("营",'17.01'!I76)),(-$Y76+50*IF('17.01'!$AK76="是",'17.01'!$AY$4,'17.01'!$AY$3)),(VLOOKUP('17.01'!I76,'17.01'!$AM$4:$AO$55,2,FALSE))*IF('17.01'!$AK76="是",'17.01'!$AY$4,'17.01'!$AY$3))</f>
        <v>0</v>
      </c>
      <c r="B76" s="4">
        <f>IF(ISNUMBER(SEARCH("营",'17.01'!J76)),(-$Y76+50*IF('17.01'!$AK76="是",'17.01'!$AY$4,'17.01'!$AY$3)),(VLOOKUP('17.01'!J76,'17.01'!$AM$4:$AO$55,2,FALSE))*IF('17.01'!$AK76="是",'17.01'!$AY$4,'17.01'!$AY$3))</f>
        <v>0</v>
      </c>
      <c r="C76" s="4">
        <f>IF(ISNUMBER(SEARCH("营",'17.01'!K76)),(-$Y76+50*IF('17.01'!$AK76="是",'17.01'!$AY$4,'17.01'!$AY$3)),(VLOOKUP('17.01'!K76,'17.01'!$AM$4:$AO$55,2,FALSE))*IF('17.01'!$AK76="是",'17.01'!$AY$4,'17.01'!$AY$3))</f>
        <v>0</v>
      </c>
      <c r="D76" s="4">
        <f>IF(ISNUMBER(SEARCH("营",'17.01'!L76)),(-$Y76+50*IF('17.01'!$AK76="是",'17.01'!$AY$4,'17.01'!$AY$3)),(VLOOKUP('17.01'!L76,'17.01'!$AM$4:$AO$55,2,FALSE))*IF('17.01'!$AK76="是",'17.01'!$AY$4,'17.01'!$AY$3))</f>
        <v>0</v>
      </c>
      <c r="E76" s="4">
        <f>IF(ISNUMBER(SEARCH("营",'17.01'!M76)),(-$Y76+50*IF('17.01'!$AK76="是",'17.01'!$AY$4,'17.01'!$AY$3)),(VLOOKUP('17.01'!M76,'17.01'!$AM$4:$AO$55,2,FALSE))*IF('17.01'!$AK76="是",'17.01'!$AY$4,'17.01'!$AY$3))</f>
        <v>0</v>
      </c>
      <c r="F76" s="4">
        <f>IF(ISNUMBER(SEARCH("营",'17.01'!N76)),(-$Y76+50*IF('17.01'!$AK76="是",'17.01'!$AY$4,'17.01'!$AY$3)),(VLOOKUP('17.01'!N76,'17.01'!$AM$4:$AO$55,2,FALSE))*IF('17.01'!$AK76="是",'17.01'!$AY$4,'17.01'!$AY$3))</f>
        <v>0</v>
      </c>
      <c r="G76" s="4">
        <f>IF(ISNUMBER(SEARCH("营",'17.01'!O76)),(-$Y76+50*IF('17.01'!$AK76="是",'17.01'!$AY$4,'17.01'!$AY$3)),(VLOOKUP('17.01'!O76,'17.01'!$AM$4:$AO$55,2,FALSE))*IF('17.01'!$AK76="是",'17.01'!$AY$4,'17.01'!$AY$3))</f>
        <v>0</v>
      </c>
      <c r="H76" s="4">
        <f>IF(ISNUMBER(SEARCH("营",'17.01'!P76)),(-$Y76+50*IF('17.01'!$AK76="是",'17.01'!$AY$4,'17.01'!$AY$3)),(VLOOKUP('17.01'!P76,'17.01'!$AM$4:$AO$55,2,FALSE))*IF('17.01'!$AK76="是",'17.01'!$AY$4,'17.01'!$AY$3))</f>
        <v>0</v>
      </c>
      <c r="I76" s="4">
        <f>IF(ISNUMBER(SEARCH("营",'17.01'!Q76)),(-$Y76+50*IF('17.01'!$AK76="是",'17.01'!$AY$4,'17.01'!$AY$3)),(VLOOKUP('17.01'!Q76,'17.01'!$AM$4:$AO$55,2,FALSE))*IF('17.01'!$AK76="是",'17.01'!$AY$4,'17.01'!$AY$3))</f>
        <v>0</v>
      </c>
      <c r="J76" s="4">
        <f>IF(ISNUMBER(SEARCH("营",'17.01'!R76)),(-$Y76+50*IF('17.01'!$AK76="是",'17.01'!$AY$4,'17.01'!$AY$3)),(VLOOKUP('17.01'!R76,'17.01'!$AM$4:$AO$55,2,FALSE))*IF('17.01'!$AK76="是",'17.01'!$AY$4,'17.01'!$AY$3))</f>
        <v>0</v>
      </c>
      <c r="K76" s="4">
        <f>IF(ISNUMBER(SEARCH("营",'17.01'!S76)),(-$Y76+50*IF('17.01'!$AK76="是",'17.01'!$AY$4,'17.01'!$AY$3)),(VLOOKUP('17.01'!S76,'17.01'!$AM$4:$AO$55,2,FALSE))*IF('17.01'!$AK76="是",'17.01'!$AY$4,'17.01'!$AY$3))</f>
        <v>0</v>
      </c>
      <c r="L76" s="4">
        <f>IF(ISNUMBER(SEARCH("营",'17.01'!T76)),(-$Y76+50*IF('17.01'!$AK76="是",'17.01'!$AY$4,'17.01'!$AY$3)),(VLOOKUP('17.01'!T76,'17.01'!$AM$4:$AO$55,2,FALSE))*IF('17.01'!$AK76="是",'17.01'!$AY$4,'17.01'!$AY$3))</f>
        <v>0</v>
      </c>
      <c r="M76" s="4">
        <f>IF(ISNUMBER(SEARCH("营",'17.01'!U76)),(-$Y76+50*IF('17.01'!$AK76="是",'17.01'!$AY$4,'17.01'!$AY$3)),(VLOOKUP('17.01'!U76,'17.01'!$AM$4:$AO$55,2,FALSE))*IF('17.01'!$AK76="是",'17.01'!$AY$4,'17.01'!$AY$3))</f>
        <v>0</v>
      </c>
      <c r="N76" s="4">
        <f>IF(ISNUMBER(SEARCH("营",'17.01'!V76)),(-$Y76+50*IF('17.01'!$AK76="是",'17.01'!$AY$4,'17.01'!$AY$3)),(VLOOKUP('17.01'!V76,'17.01'!$AM$4:$AO$55,2,FALSE))*IF('17.01'!$AK76="是",'17.01'!$AY$4,'17.01'!$AY$3))</f>
        <v>0</v>
      </c>
      <c r="O76" s="4">
        <f>IF(ISNUMBER(SEARCH("营",'17.01'!W76)),(-$Y76+50*IF('17.01'!$AK76="是",'17.01'!$AY$4,'17.01'!$AY$3)),(VLOOKUP('17.01'!W76,'17.01'!$AM$4:$AO$55,2,FALSE))*IF('17.01'!$AK76="是",'17.01'!$AY$4,'17.01'!$AY$3))</f>
        <v>0</v>
      </c>
      <c r="P76" s="4">
        <f>IF(ISNUMBER(SEARCH("营",'17.01'!X76)),(-$Y76+50*IF('17.01'!$AK76="是",'17.01'!$AY$4,'17.01'!$AY$3)),(VLOOKUP('17.01'!X76,'17.01'!$AM$4:$AO$55,2,FALSE))*IF('17.01'!$AK76="是",'17.01'!$AY$4,'17.01'!$AY$3))</f>
        <v>0</v>
      </c>
      <c r="Q76" s="4">
        <f>IF(ISNUMBER(SEARCH("营",'17.01'!Y76)),(-$Y76+50*IF('17.01'!$AK76="是",'17.01'!$AY$4,'17.01'!$AY$3)),(VLOOKUP('17.01'!Y76,'17.01'!$AM$4:$AO$55,2,FALSE))*IF('17.01'!$AK76="是",'17.01'!$AY$4,'17.01'!$AY$3))</f>
        <v>0</v>
      </c>
      <c r="R76" s="4">
        <f>IF(ISNUMBER(SEARCH("营",'17.01'!Z76)),(-$Y76+50*IF('17.01'!$AK76="是",'17.01'!$AY$4,'17.01'!$AY$3)),(VLOOKUP('17.01'!Z76,'17.01'!$AM$4:$AO$55,2,FALSE))*IF('17.01'!$AK76="是",'17.01'!$AY$4,'17.01'!$AY$3))</f>
        <v>0</v>
      </c>
      <c r="S76" s="4">
        <f>IF(ISNUMBER(SEARCH("营",'17.01'!AA76)),(-$Y76+50*IF('17.01'!$AK76="是",'17.01'!$AY$4,'17.01'!$AY$3)),(VLOOKUP('17.01'!AA76,'17.01'!$AM$4:$AO$55,2,FALSE))*IF('17.01'!$AK76="是",'17.01'!$AY$4,'17.01'!$AY$3))</f>
        <v>0</v>
      </c>
      <c r="T76" s="4">
        <f>IF(ISNUMBER(SEARCH("营",'17.01'!AB76)),(-$Y76+50*IF('17.01'!$AK76="是",'17.01'!$AY$4,'17.01'!$AY$3)),(VLOOKUP('17.01'!AB76,'17.01'!$AM$4:$AO$55,2,FALSE))*IF('17.01'!$AK76="是",'17.01'!$AY$4,'17.01'!$AY$3))</f>
        <v>0</v>
      </c>
      <c r="U76" s="4">
        <f>IF(ISNUMBER(SEARCH("营",'17.01'!AC76)),(-$Y76+50*IF('17.01'!$AK76="是",'17.01'!$AY$4,'17.01'!$AY$3)),(VLOOKUP('17.01'!AC76,'17.01'!$AM$4:$AO$55,2,FALSE))*IF('17.01'!$AK76="是",'17.01'!$AY$4,'17.01'!$AY$3))</f>
        <v>0</v>
      </c>
      <c r="V76" s="4">
        <f>IF(ISNUMBER(SEARCH("营",'17.01'!AD76)),(-$Y76+50*IF('17.01'!$AK76="是",'17.01'!$AY$4,'17.01'!$AY$3)),(VLOOKUP('17.01'!AD76,'17.01'!$AM$4:$AO$55,2,FALSE))*IF('17.01'!$AK76="是",'17.01'!$AY$4,'17.01'!$AY$3))</f>
        <v>0</v>
      </c>
      <c r="W76" s="4">
        <f>IF(ISNUMBER(SEARCH("营",'17.01'!AE76)),(-$Y76+50*IF('17.01'!$AK76="是",'17.01'!$AY$4,'17.01'!$AY$3)),(VLOOKUP('17.01'!AE76,'17.01'!$AM$4:$AO$55,2,FALSE))*IF('17.01'!$AK76="是",'17.01'!$AY$4,'17.01'!$AY$3))</f>
        <v>0</v>
      </c>
      <c r="X76" s="4">
        <f>IF(ISNUMBER(SEARCH("营",'17.01'!AF76)),(-$Y76+50*IF('17.01'!$AK76="是",'17.01'!$AY$4,'17.01'!$AY$3)),(VLOOKUP('17.01'!AF76,'17.01'!$AM$4:$AO$55,2,FALSE))*IF('17.01'!$AK76="是",'17.01'!$AY$4,'17.01'!$AY$3))</f>
        <v>0</v>
      </c>
      <c r="Y76" s="90">
        <v>100</v>
      </c>
    </row>
    <row r="77" spans="1:25">
      <c r="A77" s="4">
        <f>IF(ISNUMBER(SEARCH("营",'17.01'!I77)),(-$Y77+50*IF('17.01'!$AK77="是",'17.01'!$AY$4,'17.01'!$AY$3)),(VLOOKUP('17.01'!I77,'17.01'!$AM$4:$AO$55,2,FALSE))*IF('17.01'!$AK77="是",'17.01'!$AY$4,'17.01'!$AY$3))</f>
        <v>0</v>
      </c>
      <c r="B77" s="4">
        <f>IF(ISNUMBER(SEARCH("营",'17.01'!J77)),(-$Y77+50*IF('17.01'!$AK77="是",'17.01'!$AY$4,'17.01'!$AY$3)),(VLOOKUP('17.01'!J77,'17.01'!$AM$4:$AO$55,2,FALSE))*IF('17.01'!$AK77="是",'17.01'!$AY$4,'17.01'!$AY$3))</f>
        <v>0</v>
      </c>
      <c r="C77" s="4">
        <f>IF(ISNUMBER(SEARCH("营",'17.01'!K77)),(-$Y77+50*IF('17.01'!$AK77="是",'17.01'!$AY$4,'17.01'!$AY$3)),(VLOOKUP('17.01'!K77,'17.01'!$AM$4:$AO$55,2,FALSE))*IF('17.01'!$AK77="是",'17.01'!$AY$4,'17.01'!$AY$3))</f>
        <v>0</v>
      </c>
      <c r="D77" s="4">
        <f>IF(ISNUMBER(SEARCH("营",'17.01'!L77)),(-$Y77+50*IF('17.01'!$AK77="是",'17.01'!$AY$4,'17.01'!$AY$3)),(VLOOKUP('17.01'!L77,'17.01'!$AM$4:$AO$55,2,FALSE))*IF('17.01'!$AK77="是",'17.01'!$AY$4,'17.01'!$AY$3))</f>
        <v>0</v>
      </c>
      <c r="E77" s="4">
        <f>IF(ISNUMBER(SEARCH("营",'17.01'!M77)),(-$Y77+50*IF('17.01'!$AK77="是",'17.01'!$AY$4,'17.01'!$AY$3)),(VLOOKUP('17.01'!M77,'17.01'!$AM$4:$AO$55,2,FALSE))*IF('17.01'!$AK77="是",'17.01'!$AY$4,'17.01'!$AY$3))</f>
        <v>0</v>
      </c>
      <c r="F77" s="4">
        <f>IF(ISNUMBER(SEARCH("营",'17.01'!N77)),(-$Y77+50*IF('17.01'!$AK77="是",'17.01'!$AY$4,'17.01'!$AY$3)),(VLOOKUP('17.01'!N77,'17.01'!$AM$4:$AO$55,2,FALSE))*IF('17.01'!$AK77="是",'17.01'!$AY$4,'17.01'!$AY$3))</f>
        <v>0</v>
      </c>
      <c r="G77" s="4">
        <f>IF(ISNUMBER(SEARCH("营",'17.01'!O77)),(-$Y77+50*IF('17.01'!$AK77="是",'17.01'!$AY$4,'17.01'!$AY$3)),(VLOOKUP('17.01'!O77,'17.01'!$AM$4:$AO$55,2,FALSE))*IF('17.01'!$AK77="是",'17.01'!$AY$4,'17.01'!$AY$3))</f>
        <v>0</v>
      </c>
      <c r="H77" s="4">
        <f>IF(ISNUMBER(SEARCH("营",'17.01'!P77)),(-$Y77+50*IF('17.01'!$AK77="是",'17.01'!$AY$4,'17.01'!$AY$3)),(VLOOKUP('17.01'!P77,'17.01'!$AM$4:$AO$55,2,FALSE))*IF('17.01'!$AK77="是",'17.01'!$AY$4,'17.01'!$AY$3))</f>
        <v>0</v>
      </c>
      <c r="I77" s="4">
        <f>IF(ISNUMBER(SEARCH("营",'17.01'!Q77)),(-$Y77+50*IF('17.01'!$AK77="是",'17.01'!$AY$4,'17.01'!$AY$3)),(VLOOKUP('17.01'!Q77,'17.01'!$AM$4:$AO$55,2,FALSE))*IF('17.01'!$AK77="是",'17.01'!$AY$4,'17.01'!$AY$3))</f>
        <v>0</v>
      </c>
      <c r="J77" s="4">
        <f>IF(ISNUMBER(SEARCH("营",'17.01'!R77)),(-$Y77+50*IF('17.01'!$AK77="是",'17.01'!$AY$4,'17.01'!$AY$3)),(VLOOKUP('17.01'!R77,'17.01'!$AM$4:$AO$55,2,FALSE))*IF('17.01'!$AK77="是",'17.01'!$AY$4,'17.01'!$AY$3))</f>
        <v>0</v>
      </c>
      <c r="K77" s="4">
        <f>IF(ISNUMBER(SEARCH("营",'17.01'!S77)),(-$Y77+50*IF('17.01'!$AK77="是",'17.01'!$AY$4,'17.01'!$AY$3)),(VLOOKUP('17.01'!S77,'17.01'!$AM$4:$AO$55,2,FALSE))*IF('17.01'!$AK77="是",'17.01'!$AY$4,'17.01'!$AY$3))</f>
        <v>0</v>
      </c>
      <c r="L77" s="4">
        <f>IF(ISNUMBER(SEARCH("营",'17.01'!T77)),(-$Y77+50*IF('17.01'!$AK77="是",'17.01'!$AY$4,'17.01'!$AY$3)),(VLOOKUP('17.01'!T77,'17.01'!$AM$4:$AO$55,2,FALSE))*IF('17.01'!$AK77="是",'17.01'!$AY$4,'17.01'!$AY$3))</f>
        <v>0</v>
      </c>
      <c r="M77" s="4">
        <f>IF(ISNUMBER(SEARCH("营",'17.01'!U77)),(-$Y77+50*IF('17.01'!$AK77="是",'17.01'!$AY$4,'17.01'!$AY$3)),(VLOOKUP('17.01'!U77,'17.01'!$AM$4:$AO$55,2,FALSE))*IF('17.01'!$AK77="是",'17.01'!$AY$4,'17.01'!$AY$3))</f>
        <v>0</v>
      </c>
      <c r="N77" s="4">
        <f>IF(ISNUMBER(SEARCH("营",'17.01'!V77)),(-$Y77+50*IF('17.01'!$AK77="是",'17.01'!$AY$4,'17.01'!$AY$3)),(VLOOKUP('17.01'!V77,'17.01'!$AM$4:$AO$55,2,FALSE))*IF('17.01'!$AK77="是",'17.01'!$AY$4,'17.01'!$AY$3))</f>
        <v>0</v>
      </c>
      <c r="O77" s="4">
        <f>IF(ISNUMBER(SEARCH("营",'17.01'!W77)),(-$Y77+50*IF('17.01'!$AK77="是",'17.01'!$AY$4,'17.01'!$AY$3)),(VLOOKUP('17.01'!W77,'17.01'!$AM$4:$AO$55,2,FALSE))*IF('17.01'!$AK77="是",'17.01'!$AY$4,'17.01'!$AY$3))</f>
        <v>0</v>
      </c>
      <c r="P77" s="4">
        <f>IF(ISNUMBER(SEARCH("营",'17.01'!X77)),(-$Y77+50*IF('17.01'!$AK77="是",'17.01'!$AY$4,'17.01'!$AY$3)),(VLOOKUP('17.01'!X77,'17.01'!$AM$4:$AO$55,2,FALSE))*IF('17.01'!$AK77="是",'17.01'!$AY$4,'17.01'!$AY$3))</f>
        <v>0</v>
      </c>
      <c r="Q77" s="4">
        <f>IF(ISNUMBER(SEARCH("营",'17.01'!Y77)),(-$Y77+50*IF('17.01'!$AK77="是",'17.01'!$AY$4,'17.01'!$AY$3)),(VLOOKUP('17.01'!Y77,'17.01'!$AM$4:$AO$55,2,FALSE))*IF('17.01'!$AK77="是",'17.01'!$AY$4,'17.01'!$AY$3))</f>
        <v>0</v>
      </c>
      <c r="R77" s="4">
        <f>IF(ISNUMBER(SEARCH("营",'17.01'!Z77)),(-$Y77+50*IF('17.01'!$AK77="是",'17.01'!$AY$4,'17.01'!$AY$3)),(VLOOKUP('17.01'!Z77,'17.01'!$AM$4:$AO$55,2,FALSE))*IF('17.01'!$AK77="是",'17.01'!$AY$4,'17.01'!$AY$3))</f>
        <v>0</v>
      </c>
      <c r="S77" s="4">
        <f>IF(ISNUMBER(SEARCH("营",'17.01'!AA77)),(-$Y77+50*IF('17.01'!$AK77="是",'17.01'!$AY$4,'17.01'!$AY$3)),(VLOOKUP('17.01'!AA77,'17.01'!$AM$4:$AO$55,2,FALSE))*IF('17.01'!$AK77="是",'17.01'!$AY$4,'17.01'!$AY$3))</f>
        <v>0</v>
      </c>
      <c r="T77" s="4">
        <f>IF(ISNUMBER(SEARCH("营",'17.01'!AB77)),(-$Y77+50*IF('17.01'!$AK77="是",'17.01'!$AY$4,'17.01'!$AY$3)),(VLOOKUP('17.01'!AB77,'17.01'!$AM$4:$AO$55,2,FALSE))*IF('17.01'!$AK77="是",'17.01'!$AY$4,'17.01'!$AY$3))</f>
        <v>0</v>
      </c>
      <c r="U77" s="4">
        <f>IF(ISNUMBER(SEARCH("营",'17.01'!AC77)),(-$Y77+50*IF('17.01'!$AK77="是",'17.01'!$AY$4,'17.01'!$AY$3)),(VLOOKUP('17.01'!AC77,'17.01'!$AM$4:$AO$55,2,FALSE))*IF('17.01'!$AK77="是",'17.01'!$AY$4,'17.01'!$AY$3))</f>
        <v>0</v>
      </c>
      <c r="V77" s="4">
        <f>IF(ISNUMBER(SEARCH("营",'17.01'!AD77)),(-$Y77+50*IF('17.01'!$AK77="是",'17.01'!$AY$4,'17.01'!$AY$3)),(VLOOKUP('17.01'!AD77,'17.01'!$AM$4:$AO$55,2,FALSE))*IF('17.01'!$AK77="是",'17.01'!$AY$4,'17.01'!$AY$3))</f>
        <v>0</v>
      </c>
      <c r="W77" s="4">
        <f>IF(ISNUMBER(SEARCH("营",'17.01'!AE77)),(-$Y77+50*IF('17.01'!$AK77="是",'17.01'!$AY$4,'17.01'!$AY$3)),(VLOOKUP('17.01'!AE77,'17.01'!$AM$4:$AO$55,2,FALSE))*IF('17.01'!$AK77="是",'17.01'!$AY$4,'17.01'!$AY$3))</f>
        <v>0</v>
      </c>
      <c r="X77" s="4">
        <f>IF(ISNUMBER(SEARCH("营",'17.01'!AF77)),(-$Y77+50*IF('17.01'!$AK77="是",'17.01'!$AY$4,'17.01'!$AY$3)),(VLOOKUP('17.01'!AF77,'17.01'!$AM$4:$AO$55,2,FALSE))*IF('17.01'!$AK77="是",'17.01'!$AY$4,'17.01'!$AY$3))</f>
        <v>0</v>
      </c>
      <c r="Y77" s="90">
        <v>100</v>
      </c>
    </row>
    <row r="78" spans="1:25">
      <c r="A78" s="4">
        <f>IF(ISNUMBER(SEARCH("营",'17.01'!I78)),(-$Y78+50*IF('17.01'!$AK78="是",'17.01'!$AY$4,'17.01'!$AY$3)),(VLOOKUP('17.01'!I78,'17.01'!$AM$4:$AO$55,2,FALSE))*IF('17.01'!$AK78="是",'17.01'!$AY$4,'17.01'!$AY$3))</f>
        <v>0</v>
      </c>
      <c r="B78" s="4">
        <f>IF(ISNUMBER(SEARCH("营",'17.01'!J78)),(-$Y78+50*IF('17.01'!$AK78="是",'17.01'!$AY$4,'17.01'!$AY$3)),(VLOOKUP('17.01'!J78,'17.01'!$AM$4:$AO$55,2,FALSE))*IF('17.01'!$AK78="是",'17.01'!$AY$4,'17.01'!$AY$3))</f>
        <v>0</v>
      </c>
      <c r="C78" s="4">
        <f>IF(ISNUMBER(SEARCH("营",'17.01'!K78)),(-$Y78+50*IF('17.01'!$AK78="是",'17.01'!$AY$4,'17.01'!$AY$3)),(VLOOKUP('17.01'!K78,'17.01'!$AM$4:$AO$55,2,FALSE))*IF('17.01'!$AK78="是",'17.01'!$AY$4,'17.01'!$AY$3))</f>
        <v>0</v>
      </c>
      <c r="D78" s="4">
        <f>IF(ISNUMBER(SEARCH("营",'17.01'!L78)),(-$Y78+50*IF('17.01'!$AK78="是",'17.01'!$AY$4,'17.01'!$AY$3)),(VLOOKUP('17.01'!L78,'17.01'!$AM$4:$AO$55,2,FALSE))*IF('17.01'!$AK78="是",'17.01'!$AY$4,'17.01'!$AY$3))</f>
        <v>0</v>
      </c>
      <c r="E78" s="4">
        <f>IF(ISNUMBER(SEARCH("营",'17.01'!M78)),(-$Y78+50*IF('17.01'!$AK78="是",'17.01'!$AY$4,'17.01'!$AY$3)),(VLOOKUP('17.01'!M78,'17.01'!$AM$4:$AO$55,2,FALSE))*IF('17.01'!$AK78="是",'17.01'!$AY$4,'17.01'!$AY$3))</f>
        <v>0</v>
      </c>
      <c r="F78" s="4">
        <f>IF(ISNUMBER(SEARCH("营",'17.01'!N78)),(-$Y78+50*IF('17.01'!$AK78="是",'17.01'!$AY$4,'17.01'!$AY$3)),(VLOOKUP('17.01'!N78,'17.01'!$AM$4:$AO$55,2,FALSE))*IF('17.01'!$AK78="是",'17.01'!$AY$4,'17.01'!$AY$3))</f>
        <v>0</v>
      </c>
      <c r="G78" s="4">
        <f>IF(ISNUMBER(SEARCH("营",'17.01'!O78)),(-$Y78+50*IF('17.01'!$AK78="是",'17.01'!$AY$4,'17.01'!$AY$3)),(VLOOKUP('17.01'!O78,'17.01'!$AM$4:$AO$55,2,FALSE))*IF('17.01'!$AK78="是",'17.01'!$AY$4,'17.01'!$AY$3))</f>
        <v>0</v>
      </c>
      <c r="H78" s="4">
        <f>IF(ISNUMBER(SEARCH("营",'17.01'!P78)),(-$Y78+50*IF('17.01'!$AK78="是",'17.01'!$AY$4,'17.01'!$AY$3)),(VLOOKUP('17.01'!P78,'17.01'!$AM$4:$AO$55,2,FALSE))*IF('17.01'!$AK78="是",'17.01'!$AY$4,'17.01'!$AY$3))</f>
        <v>0</v>
      </c>
      <c r="I78" s="4">
        <f>IF(ISNUMBER(SEARCH("营",'17.01'!Q78)),(-$Y78+50*IF('17.01'!$AK78="是",'17.01'!$AY$4,'17.01'!$AY$3)),(VLOOKUP('17.01'!Q78,'17.01'!$AM$4:$AO$55,2,FALSE))*IF('17.01'!$AK78="是",'17.01'!$AY$4,'17.01'!$AY$3))</f>
        <v>0</v>
      </c>
      <c r="J78" s="4">
        <f>IF(ISNUMBER(SEARCH("营",'17.01'!R78)),(-$Y78+50*IF('17.01'!$AK78="是",'17.01'!$AY$4,'17.01'!$AY$3)),(VLOOKUP('17.01'!R78,'17.01'!$AM$4:$AO$55,2,FALSE))*IF('17.01'!$AK78="是",'17.01'!$AY$4,'17.01'!$AY$3))</f>
        <v>0</v>
      </c>
      <c r="K78" s="4">
        <f>IF(ISNUMBER(SEARCH("营",'17.01'!S78)),(-$Y78+50*IF('17.01'!$AK78="是",'17.01'!$AY$4,'17.01'!$AY$3)),(VLOOKUP('17.01'!S78,'17.01'!$AM$4:$AO$55,2,FALSE))*IF('17.01'!$AK78="是",'17.01'!$AY$4,'17.01'!$AY$3))</f>
        <v>0</v>
      </c>
      <c r="L78" s="4">
        <f>IF(ISNUMBER(SEARCH("营",'17.01'!T78)),(-$Y78+50*IF('17.01'!$AK78="是",'17.01'!$AY$4,'17.01'!$AY$3)),(VLOOKUP('17.01'!T78,'17.01'!$AM$4:$AO$55,2,FALSE))*IF('17.01'!$AK78="是",'17.01'!$AY$4,'17.01'!$AY$3))</f>
        <v>0</v>
      </c>
      <c r="M78" s="4">
        <f>IF(ISNUMBER(SEARCH("营",'17.01'!U78)),(-$Y78+50*IF('17.01'!$AK78="是",'17.01'!$AY$4,'17.01'!$AY$3)),(VLOOKUP('17.01'!U78,'17.01'!$AM$4:$AO$55,2,FALSE))*IF('17.01'!$AK78="是",'17.01'!$AY$4,'17.01'!$AY$3))</f>
        <v>0</v>
      </c>
      <c r="N78" s="4">
        <f>IF(ISNUMBER(SEARCH("营",'17.01'!V78)),(-$Y78+50*IF('17.01'!$AK78="是",'17.01'!$AY$4,'17.01'!$AY$3)),(VLOOKUP('17.01'!V78,'17.01'!$AM$4:$AO$55,2,FALSE))*IF('17.01'!$AK78="是",'17.01'!$AY$4,'17.01'!$AY$3))</f>
        <v>0</v>
      </c>
      <c r="O78" s="4">
        <f>IF(ISNUMBER(SEARCH("营",'17.01'!W78)),(-$Y78+50*IF('17.01'!$AK78="是",'17.01'!$AY$4,'17.01'!$AY$3)),(VLOOKUP('17.01'!W78,'17.01'!$AM$4:$AO$55,2,FALSE))*IF('17.01'!$AK78="是",'17.01'!$AY$4,'17.01'!$AY$3))</f>
        <v>0</v>
      </c>
      <c r="P78" s="4">
        <f>IF(ISNUMBER(SEARCH("营",'17.01'!X78)),(-$Y78+50*IF('17.01'!$AK78="是",'17.01'!$AY$4,'17.01'!$AY$3)),(VLOOKUP('17.01'!X78,'17.01'!$AM$4:$AO$55,2,FALSE))*IF('17.01'!$AK78="是",'17.01'!$AY$4,'17.01'!$AY$3))</f>
        <v>0</v>
      </c>
      <c r="Q78" s="4">
        <f>IF(ISNUMBER(SEARCH("营",'17.01'!Y78)),(-$Y78+50*IF('17.01'!$AK78="是",'17.01'!$AY$4,'17.01'!$AY$3)),(VLOOKUP('17.01'!Y78,'17.01'!$AM$4:$AO$55,2,FALSE))*IF('17.01'!$AK78="是",'17.01'!$AY$4,'17.01'!$AY$3))</f>
        <v>0</v>
      </c>
      <c r="R78" s="4">
        <f>IF(ISNUMBER(SEARCH("营",'17.01'!Z78)),(-$Y78+50*IF('17.01'!$AK78="是",'17.01'!$AY$4,'17.01'!$AY$3)),(VLOOKUP('17.01'!Z78,'17.01'!$AM$4:$AO$55,2,FALSE))*IF('17.01'!$AK78="是",'17.01'!$AY$4,'17.01'!$AY$3))</f>
        <v>0</v>
      </c>
      <c r="S78" s="4">
        <f>IF(ISNUMBER(SEARCH("营",'17.01'!AA78)),(-$Y78+50*IF('17.01'!$AK78="是",'17.01'!$AY$4,'17.01'!$AY$3)),(VLOOKUP('17.01'!AA78,'17.01'!$AM$4:$AO$55,2,FALSE))*IF('17.01'!$AK78="是",'17.01'!$AY$4,'17.01'!$AY$3))</f>
        <v>0</v>
      </c>
      <c r="T78" s="4">
        <f>IF(ISNUMBER(SEARCH("营",'17.01'!AB78)),(-$Y78+50*IF('17.01'!$AK78="是",'17.01'!$AY$4,'17.01'!$AY$3)),(VLOOKUP('17.01'!AB78,'17.01'!$AM$4:$AO$55,2,FALSE))*IF('17.01'!$AK78="是",'17.01'!$AY$4,'17.01'!$AY$3))</f>
        <v>0</v>
      </c>
      <c r="U78" s="4">
        <f>IF(ISNUMBER(SEARCH("营",'17.01'!AC78)),(-$Y78+50*IF('17.01'!$AK78="是",'17.01'!$AY$4,'17.01'!$AY$3)),(VLOOKUP('17.01'!AC78,'17.01'!$AM$4:$AO$55,2,FALSE))*IF('17.01'!$AK78="是",'17.01'!$AY$4,'17.01'!$AY$3))</f>
        <v>0</v>
      </c>
      <c r="V78" s="4">
        <f>IF(ISNUMBER(SEARCH("营",'17.01'!AD78)),(-$Y78+50*IF('17.01'!$AK78="是",'17.01'!$AY$4,'17.01'!$AY$3)),(VLOOKUP('17.01'!AD78,'17.01'!$AM$4:$AO$55,2,FALSE))*IF('17.01'!$AK78="是",'17.01'!$AY$4,'17.01'!$AY$3))</f>
        <v>0</v>
      </c>
      <c r="W78" s="4">
        <f>IF(ISNUMBER(SEARCH("营",'17.01'!AE78)),(-$Y78+50*IF('17.01'!$AK78="是",'17.01'!$AY$4,'17.01'!$AY$3)),(VLOOKUP('17.01'!AE78,'17.01'!$AM$4:$AO$55,2,FALSE))*IF('17.01'!$AK78="是",'17.01'!$AY$4,'17.01'!$AY$3))</f>
        <v>0</v>
      </c>
      <c r="X78" s="4">
        <f>IF(ISNUMBER(SEARCH("营",'17.01'!AF78)),(-$Y78+50*IF('17.01'!$AK78="是",'17.01'!$AY$4,'17.01'!$AY$3)),(VLOOKUP('17.01'!AF78,'17.01'!$AM$4:$AO$55,2,FALSE))*IF('17.01'!$AK78="是",'17.01'!$AY$4,'17.01'!$AY$3))</f>
        <v>0</v>
      </c>
      <c r="Y78" s="90">
        <v>100</v>
      </c>
    </row>
    <row r="79" spans="1:25">
      <c r="A79" s="4">
        <f>IF(ISNUMBER(SEARCH("营",'17.01'!I79)),(-$Y79+50*IF('17.01'!$AK79="是",'17.01'!$AY$4,'17.01'!$AY$3)),(VLOOKUP('17.01'!I79,'17.01'!$AM$4:$AO$55,2,FALSE))*IF('17.01'!$AK79="是",'17.01'!$AY$4,'17.01'!$AY$3))</f>
        <v>0</v>
      </c>
      <c r="B79" s="4">
        <f>IF(ISNUMBER(SEARCH("营",'17.01'!J79)),(-$Y79+50*IF('17.01'!$AK79="是",'17.01'!$AY$4,'17.01'!$AY$3)),(VLOOKUP('17.01'!J79,'17.01'!$AM$4:$AO$55,2,FALSE))*IF('17.01'!$AK79="是",'17.01'!$AY$4,'17.01'!$AY$3))</f>
        <v>0</v>
      </c>
      <c r="C79" s="4">
        <f>IF(ISNUMBER(SEARCH("营",'17.01'!K79)),(-$Y79+50*IF('17.01'!$AK79="是",'17.01'!$AY$4,'17.01'!$AY$3)),(VLOOKUP('17.01'!K79,'17.01'!$AM$4:$AO$55,2,FALSE))*IF('17.01'!$AK79="是",'17.01'!$AY$4,'17.01'!$AY$3))</f>
        <v>0</v>
      </c>
      <c r="D79" s="4">
        <f>IF(ISNUMBER(SEARCH("营",'17.01'!L79)),(-$Y79+50*IF('17.01'!$AK79="是",'17.01'!$AY$4,'17.01'!$AY$3)),(VLOOKUP('17.01'!L79,'17.01'!$AM$4:$AO$55,2,FALSE))*IF('17.01'!$AK79="是",'17.01'!$AY$4,'17.01'!$AY$3))</f>
        <v>0</v>
      </c>
      <c r="E79" s="4">
        <f>IF(ISNUMBER(SEARCH("营",'17.01'!M79)),(-$Y79+50*IF('17.01'!$AK79="是",'17.01'!$AY$4,'17.01'!$AY$3)),(VLOOKUP('17.01'!M79,'17.01'!$AM$4:$AO$55,2,FALSE))*IF('17.01'!$AK79="是",'17.01'!$AY$4,'17.01'!$AY$3))</f>
        <v>0</v>
      </c>
      <c r="F79" s="4">
        <f>IF(ISNUMBER(SEARCH("营",'17.01'!N79)),(-$Y79+50*IF('17.01'!$AK79="是",'17.01'!$AY$4,'17.01'!$AY$3)),(VLOOKUP('17.01'!N79,'17.01'!$AM$4:$AO$55,2,FALSE))*IF('17.01'!$AK79="是",'17.01'!$AY$4,'17.01'!$AY$3))</f>
        <v>0</v>
      </c>
      <c r="G79" s="4">
        <f>IF(ISNUMBER(SEARCH("营",'17.01'!O79)),(-$Y79+50*IF('17.01'!$AK79="是",'17.01'!$AY$4,'17.01'!$AY$3)),(VLOOKUP('17.01'!O79,'17.01'!$AM$4:$AO$55,2,FALSE))*IF('17.01'!$AK79="是",'17.01'!$AY$4,'17.01'!$AY$3))</f>
        <v>0</v>
      </c>
      <c r="H79" s="4">
        <f>IF(ISNUMBER(SEARCH("营",'17.01'!P79)),(-$Y79+50*IF('17.01'!$AK79="是",'17.01'!$AY$4,'17.01'!$AY$3)),(VLOOKUP('17.01'!P79,'17.01'!$AM$4:$AO$55,2,FALSE))*IF('17.01'!$AK79="是",'17.01'!$AY$4,'17.01'!$AY$3))</f>
        <v>0</v>
      </c>
      <c r="I79" s="4">
        <f>IF(ISNUMBER(SEARCH("营",'17.01'!Q79)),(-$Y79+50*IF('17.01'!$AK79="是",'17.01'!$AY$4,'17.01'!$AY$3)),(VLOOKUP('17.01'!Q79,'17.01'!$AM$4:$AO$55,2,FALSE))*IF('17.01'!$AK79="是",'17.01'!$AY$4,'17.01'!$AY$3))</f>
        <v>0</v>
      </c>
      <c r="J79" s="4">
        <f>IF(ISNUMBER(SEARCH("营",'17.01'!R79)),(-$Y79+50*IF('17.01'!$AK79="是",'17.01'!$AY$4,'17.01'!$AY$3)),(VLOOKUP('17.01'!R79,'17.01'!$AM$4:$AO$55,2,FALSE))*IF('17.01'!$AK79="是",'17.01'!$AY$4,'17.01'!$AY$3))</f>
        <v>0</v>
      </c>
      <c r="K79" s="4">
        <f>IF(ISNUMBER(SEARCH("营",'17.01'!S79)),(-$Y79+50*IF('17.01'!$AK79="是",'17.01'!$AY$4,'17.01'!$AY$3)),(VLOOKUP('17.01'!S79,'17.01'!$AM$4:$AO$55,2,FALSE))*IF('17.01'!$AK79="是",'17.01'!$AY$4,'17.01'!$AY$3))</f>
        <v>0</v>
      </c>
      <c r="L79" s="4">
        <f>IF(ISNUMBER(SEARCH("营",'17.01'!T79)),(-$Y79+50*IF('17.01'!$AK79="是",'17.01'!$AY$4,'17.01'!$AY$3)),(VLOOKUP('17.01'!T79,'17.01'!$AM$4:$AO$55,2,FALSE))*IF('17.01'!$AK79="是",'17.01'!$AY$4,'17.01'!$AY$3))</f>
        <v>0</v>
      </c>
      <c r="M79" s="4">
        <f>IF(ISNUMBER(SEARCH("营",'17.01'!U79)),(-$Y79+50*IF('17.01'!$AK79="是",'17.01'!$AY$4,'17.01'!$AY$3)),(VLOOKUP('17.01'!U79,'17.01'!$AM$4:$AO$55,2,FALSE))*IF('17.01'!$AK79="是",'17.01'!$AY$4,'17.01'!$AY$3))</f>
        <v>0</v>
      </c>
      <c r="N79" s="4">
        <f>IF(ISNUMBER(SEARCH("营",'17.01'!V79)),(-$Y79+50*IF('17.01'!$AK79="是",'17.01'!$AY$4,'17.01'!$AY$3)),(VLOOKUP('17.01'!V79,'17.01'!$AM$4:$AO$55,2,FALSE))*IF('17.01'!$AK79="是",'17.01'!$AY$4,'17.01'!$AY$3))</f>
        <v>0</v>
      </c>
      <c r="O79" s="4">
        <f>IF(ISNUMBER(SEARCH("营",'17.01'!W79)),(-$Y79+50*IF('17.01'!$AK79="是",'17.01'!$AY$4,'17.01'!$AY$3)),(VLOOKUP('17.01'!W79,'17.01'!$AM$4:$AO$55,2,FALSE))*IF('17.01'!$AK79="是",'17.01'!$AY$4,'17.01'!$AY$3))</f>
        <v>0</v>
      </c>
      <c r="P79" s="4">
        <f>IF(ISNUMBER(SEARCH("营",'17.01'!X79)),(-$Y79+50*IF('17.01'!$AK79="是",'17.01'!$AY$4,'17.01'!$AY$3)),(VLOOKUP('17.01'!X79,'17.01'!$AM$4:$AO$55,2,FALSE))*IF('17.01'!$AK79="是",'17.01'!$AY$4,'17.01'!$AY$3))</f>
        <v>0</v>
      </c>
      <c r="Q79" s="4">
        <f>IF(ISNUMBER(SEARCH("营",'17.01'!Y79)),(-$Y79+50*IF('17.01'!$AK79="是",'17.01'!$AY$4,'17.01'!$AY$3)),(VLOOKUP('17.01'!Y79,'17.01'!$AM$4:$AO$55,2,FALSE))*IF('17.01'!$AK79="是",'17.01'!$AY$4,'17.01'!$AY$3))</f>
        <v>0</v>
      </c>
      <c r="R79" s="4">
        <f>IF(ISNUMBER(SEARCH("营",'17.01'!Z79)),(-$Y79+50*IF('17.01'!$AK79="是",'17.01'!$AY$4,'17.01'!$AY$3)),(VLOOKUP('17.01'!Z79,'17.01'!$AM$4:$AO$55,2,FALSE))*IF('17.01'!$AK79="是",'17.01'!$AY$4,'17.01'!$AY$3))</f>
        <v>0</v>
      </c>
      <c r="S79" s="4">
        <f>IF(ISNUMBER(SEARCH("营",'17.01'!AA79)),(-$Y79+50*IF('17.01'!$AK79="是",'17.01'!$AY$4,'17.01'!$AY$3)),(VLOOKUP('17.01'!AA79,'17.01'!$AM$4:$AO$55,2,FALSE))*IF('17.01'!$AK79="是",'17.01'!$AY$4,'17.01'!$AY$3))</f>
        <v>0</v>
      </c>
      <c r="T79" s="4">
        <f>IF(ISNUMBER(SEARCH("营",'17.01'!AB79)),(-$Y79+50*IF('17.01'!$AK79="是",'17.01'!$AY$4,'17.01'!$AY$3)),(VLOOKUP('17.01'!AB79,'17.01'!$AM$4:$AO$55,2,FALSE))*IF('17.01'!$AK79="是",'17.01'!$AY$4,'17.01'!$AY$3))</f>
        <v>0</v>
      </c>
      <c r="U79" s="4">
        <f>IF(ISNUMBER(SEARCH("营",'17.01'!AC79)),(-$Y79+50*IF('17.01'!$AK79="是",'17.01'!$AY$4,'17.01'!$AY$3)),(VLOOKUP('17.01'!AC79,'17.01'!$AM$4:$AO$55,2,FALSE))*IF('17.01'!$AK79="是",'17.01'!$AY$4,'17.01'!$AY$3))</f>
        <v>0</v>
      </c>
      <c r="V79" s="4">
        <f>IF(ISNUMBER(SEARCH("营",'17.01'!AD79)),(-$Y79+50*IF('17.01'!$AK79="是",'17.01'!$AY$4,'17.01'!$AY$3)),(VLOOKUP('17.01'!AD79,'17.01'!$AM$4:$AO$55,2,FALSE))*IF('17.01'!$AK79="是",'17.01'!$AY$4,'17.01'!$AY$3))</f>
        <v>0</v>
      </c>
      <c r="W79" s="4">
        <f>IF(ISNUMBER(SEARCH("营",'17.01'!AE79)),(-$Y79+50*IF('17.01'!$AK79="是",'17.01'!$AY$4,'17.01'!$AY$3)),(VLOOKUP('17.01'!AE79,'17.01'!$AM$4:$AO$55,2,FALSE))*IF('17.01'!$AK79="是",'17.01'!$AY$4,'17.01'!$AY$3))</f>
        <v>0</v>
      </c>
      <c r="X79" s="4">
        <f>IF(ISNUMBER(SEARCH("营",'17.01'!AF79)),(-$Y79+50*IF('17.01'!$AK79="是",'17.01'!$AY$4,'17.01'!$AY$3)),(VLOOKUP('17.01'!AF79,'17.01'!$AM$4:$AO$55,2,FALSE))*IF('17.01'!$AK79="是",'17.01'!$AY$4,'17.01'!$AY$3))</f>
        <v>0</v>
      </c>
      <c r="Y79" s="90">
        <v>100</v>
      </c>
    </row>
    <row r="80" spans="1:25">
      <c r="A80" s="4">
        <f>IF(ISNUMBER(SEARCH("营",'17.01'!I80)),(-$Y80+50*IF('17.01'!$AK80="是",'17.01'!$AY$4,'17.01'!$AY$3)),(VLOOKUP('17.01'!I80,'17.01'!$AM$4:$AO$55,2,FALSE))*IF('17.01'!$AK80="是",'17.01'!$AY$4,'17.01'!$AY$3))</f>
        <v>0</v>
      </c>
      <c r="B80" s="4">
        <f>IF(ISNUMBER(SEARCH("营",'17.01'!J80)),(-$Y80+50*IF('17.01'!$AK80="是",'17.01'!$AY$4,'17.01'!$AY$3)),(VLOOKUP('17.01'!J80,'17.01'!$AM$4:$AO$55,2,FALSE))*IF('17.01'!$AK80="是",'17.01'!$AY$4,'17.01'!$AY$3))</f>
        <v>0</v>
      </c>
      <c r="C80" s="4">
        <f>IF(ISNUMBER(SEARCH("营",'17.01'!K80)),(-$Y80+50*IF('17.01'!$AK80="是",'17.01'!$AY$4,'17.01'!$AY$3)),(VLOOKUP('17.01'!K80,'17.01'!$AM$4:$AO$55,2,FALSE))*IF('17.01'!$AK80="是",'17.01'!$AY$4,'17.01'!$AY$3))</f>
        <v>0</v>
      </c>
      <c r="D80" s="4">
        <f>IF(ISNUMBER(SEARCH("营",'17.01'!L80)),(-$Y80+50*IF('17.01'!$AK80="是",'17.01'!$AY$4,'17.01'!$AY$3)),(VLOOKUP('17.01'!L80,'17.01'!$AM$4:$AO$55,2,FALSE))*IF('17.01'!$AK80="是",'17.01'!$AY$4,'17.01'!$AY$3))</f>
        <v>0</v>
      </c>
      <c r="E80" s="4">
        <f>IF(ISNUMBER(SEARCH("营",'17.01'!M80)),(-$Y80+50*IF('17.01'!$AK80="是",'17.01'!$AY$4,'17.01'!$AY$3)),(VLOOKUP('17.01'!M80,'17.01'!$AM$4:$AO$55,2,FALSE))*IF('17.01'!$AK80="是",'17.01'!$AY$4,'17.01'!$AY$3))</f>
        <v>0</v>
      </c>
      <c r="F80" s="4">
        <f>IF(ISNUMBER(SEARCH("营",'17.01'!N80)),(-$Y80+50*IF('17.01'!$AK80="是",'17.01'!$AY$4,'17.01'!$AY$3)),(VLOOKUP('17.01'!N80,'17.01'!$AM$4:$AO$55,2,FALSE))*IF('17.01'!$AK80="是",'17.01'!$AY$4,'17.01'!$AY$3))</f>
        <v>0</v>
      </c>
      <c r="G80" s="4">
        <f>IF(ISNUMBER(SEARCH("营",'17.01'!O80)),(-$Y80+50*IF('17.01'!$AK80="是",'17.01'!$AY$4,'17.01'!$AY$3)),(VLOOKUP('17.01'!O80,'17.01'!$AM$4:$AO$55,2,FALSE))*IF('17.01'!$AK80="是",'17.01'!$AY$4,'17.01'!$AY$3))</f>
        <v>0</v>
      </c>
      <c r="H80" s="4">
        <f>IF(ISNUMBER(SEARCH("营",'17.01'!P80)),(-$Y80+50*IF('17.01'!$AK80="是",'17.01'!$AY$4,'17.01'!$AY$3)),(VLOOKUP('17.01'!P80,'17.01'!$AM$4:$AO$55,2,FALSE))*IF('17.01'!$AK80="是",'17.01'!$AY$4,'17.01'!$AY$3))</f>
        <v>0</v>
      </c>
      <c r="I80" s="4">
        <f>IF(ISNUMBER(SEARCH("营",'17.01'!Q80)),(-$Y80+50*IF('17.01'!$AK80="是",'17.01'!$AY$4,'17.01'!$AY$3)),(VLOOKUP('17.01'!Q80,'17.01'!$AM$4:$AO$55,2,FALSE))*IF('17.01'!$AK80="是",'17.01'!$AY$4,'17.01'!$AY$3))</f>
        <v>0</v>
      </c>
      <c r="J80" s="4">
        <f>IF(ISNUMBER(SEARCH("营",'17.01'!R80)),(-$Y80+50*IF('17.01'!$AK80="是",'17.01'!$AY$4,'17.01'!$AY$3)),(VLOOKUP('17.01'!R80,'17.01'!$AM$4:$AO$55,2,FALSE))*IF('17.01'!$AK80="是",'17.01'!$AY$4,'17.01'!$AY$3))</f>
        <v>0</v>
      </c>
      <c r="K80" s="4">
        <f>IF(ISNUMBER(SEARCH("营",'17.01'!S80)),(-$Y80+50*IF('17.01'!$AK80="是",'17.01'!$AY$4,'17.01'!$AY$3)),(VLOOKUP('17.01'!S80,'17.01'!$AM$4:$AO$55,2,FALSE))*IF('17.01'!$AK80="是",'17.01'!$AY$4,'17.01'!$AY$3))</f>
        <v>0</v>
      </c>
      <c r="L80" s="4">
        <f>IF(ISNUMBER(SEARCH("营",'17.01'!T80)),(-$Y80+50*IF('17.01'!$AK80="是",'17.01'!$AY$4,'17.01'!$AY$3)),(VLOOKUP('17.01'!T80,'17.01'!$AM$4:$AO$55,2,FALSE))*IF('17.01'!$AK80="是",'17.01'!$AY$4,'17.01'!$AY$3))</f>
        <v>0</v>
      </c>
      <c r="M80" s="4">
        <f>IF(ISNUMBER(SEARCH("营",'17.01'!U80)),(-$Y80+50*IF('17.01'!$AK80="是",'17.01'!$AY$4,'17.01'!$AY$3)),(VLOOKUP('17.01'!U80,'17.01'!$AM$4:$AO$55,2,FALSE))*IF('17.01'!$AK80="是",'17.01'!$AY$4,'17.01'!$AY$3))</f>
        <v>0</v>
      </c>
      <c r="N80" s="4">
        <f>IF(ISNUMBER(SEARCH("营",'17.01'!V80)),(-$Y80+50*IF('17.01'!$AK80="是",'17.01'!$AY$4,'17.01'!$AY$3)),(VLOOKUP('17.01'!V80,'17.01'!$AM$4:$AO$55,2,FALSE))*IF('17.01'!$AK80="是",'17.01'!$AY$4,'17.01'!$AY$3))</f>
        <v>0</v>
      </c>
      <c r="O80" s="4">
        <f>IF(ISNUMBER(SEARCH("营",'17.01'!W80)),(-$Y80+50*IF('17.01'!$AK80="是",'17.01'!$AY$4,'17.01'!$AY$3)),(VLOOKUP('17.01'!W80,'17.01'!$AM$4:$AO$55,2,FALSE))*IF('17.01'!$AK80="是",'17.01'!$AY$4,'17.01'!$AY$3))</f>
        <v>0</v>
      </c>
      <c r="P80" s="4">
        <f>IF(ISNUMBER(SEARCH("营",'17.01'!X80)),(-$Y80+50*IF('17.01'!$AK80="是",'17.01'!$AY$4,'17.01'!$AY$3)),(VLOOKUP('17.01'!X80,'17.01'!$AM$4:$AO$55,2,FALSE))*IF('17.01'!$AK80="是",'17.01'!$AY$4,'17.01'!$AY$3))</f>
        <v>0</v>
      </c>
      <c r="Q80" s="4">
        <f>IF(ISNUMBER(SEARCH("营",'17.01'!Y80)),(-$Y80+50*IF('17.01'!$AK80="是",'17.01'!$AY$4,'17.01'!$AY$3)),(VLOOKUP('17.01'!Y80,'17.01'!$AM$4:$AO$55,2,FALSE))*IF('17.01'!$AK80="是",'17.01'!$AY$4,'17.01'!$AY$3))</f>
        <v>0</v>
      </c>
      <c r="R80" s="4">
        <f>IF(ISNUMBER(SEARCH("营",'17.01'!Z80)),(-$Y80+50*IF('17.01'!$AK80="是",'17.01'!$AY$4,'17.01'!$AY$3)),(VLOOKUP('17.01'!Z80,'17.01'!$AM$4:$AO$55,2,FALSE))*IF('17.01'!$AK80="是",'17.01'!$AY$4,'17.01'!$AY$3))</f>
        <v>0</v>
      </c>
      <c r="S80" s="4">
        <f>IF(ISNUMBER(SEARCH("营",'17.01'!AA80)),(-$Y80+50*IF('17.01'!$AK80="是",'17.01'!$AY$4,'17.01'!$AY$3)),(VLOOKUP('17.01'!AA80,'17.01'!$AM$4:$AO$55,2,FALSE))*IF('17.01'!$AK80="是",'17.01'!$AY$4,'17.01'!$AY$3))</f>
        <v>0</v>
      </c>
      <c r="T80" s="4">
        <f>IF(ISNUMBER(SEARCH("营",'17.01'!AB80)),(-$Y80+50*IF('17.01'!$AK80="是",'17.01'!$AY$4,'17.01'!$AY$3)),(VLOOKUP('17.01'!AB80,'17.01'!$AM$4:$AO$55,2,FALSE))*IF('17.01'!$AK80="是",'17.01'!$AY$4,'17.01'!$AY$3))</f>
        <v>0</v>
      </c>
      <c r="U80" s="4">
        <f>IF(ISNUMBER(SEARCH("营",'17.01'!AC80)),(-$Y80+50*IF('17.01'!$AK80="是",'17.01'!$AY$4,'17.01'!$AY$3)),(VLOOKUP('17.01'!AC80,'17.01'!$AM$4:$AO$55,2,FALSE))*IF('17.01'!$AK80="是",'17.01'!$AY$4,'17.01'!$AY$3))</f>
        <v>0</v>
      </c>
      <c r="V80" s="4">
        <f>IF(ISNUMBER(SEARCH("营",'17.01'!AD80)),(-$Y80+50*IF('17.01'!$AK80="是",'17.01'!$AY$4,'17.01'!$AY$3)),(VLOOKUP('17.01'!AD80,'17.01'!$AM$4:$AO$55,2,FALSE))*IF('17.01'!$AK80="是",'17.01'!$AY$4,'17.01'!$AY$3))</f>
        <v>0</v>
      </c>
      <c r="W80" s="4">
        <f>IF(ISNUMBER(SEARCH("营",'17.01'!AE80)),(-$Y80+50*IF('17.01'!$AK80="是",'17.01'!$AY$4,'17.01'!$AY$3)),(VLOOKUP('17.01'!AE80,'17.01'!$AM$4:$AO$55,2,FALSE))*IF('17.01'!$AK80="是",'17.01'!$AY$4,'17.01'!$AY$3))</f>
        <v>0</v>
      </c>
      <c r="X80" s="4">
        <f>IF(ISNUMBER(SEARCH("营",'17.01'!AF80)),(-$Y80+50*IF('17.01'!$AK80="是",'17.01'!$AY$4,'17.01'!$AY$3)),(VLOOKUP('17.01'!AF80,'17.01'!$AM$4:$AO$55,2,FALSE))*IF('17.01'!$AK80="是",'17.01'!$AY$4,'17.01'!$AY$3))</f>
        <v>0</v>
      </c>
      <c r="Y80" s="90">
        <v>100</v>
      </c>
    </row>
    <row r="81" spans="1:25">
      <c r="A81" s="4">
        <f>IF(ISNUMBER(SEARCH("营",'17.01'!I81)),(-$Y81+50*IF('17.01'!$AK81="是",'17.01'!$AY$4,'17.01'!$AY$3)),(VLOOKUP('17.01'!I81,'17.01'!$AM$4:$AO$55,2,FALSE))*IF('17.01'!$AK81="是",'17.01'!$AY$4,'17.01'!$AY$3))</f>
        <v>0</v>
      </c>
      <c r="B81" s="4">
        <f>IF(ISNUMBER(SEARCH("营",'17.01'!J81)),(-$Y81+50*IF('17.01'!$AK81="是",'17.01'!$AY$4,'17.01'!$AY$3)),(VLOOKUP('17.01'!J81,'17.01'!$AM$4:$AO$55,2,FALSE))*IF('17.01'!$AK81="是",'17.01'!$AY$4,'17.01'!$AY$3))</f>
        <v>0</v>
      </c>
      <c r="C81" s="4">
        <f>IF(ISNUMBER(SEARCH("营",'17.01'!K81)),(-$Y81+50*IF('17.01'!$AK81="是",'17.01'!$AY$4,'17.01'!$AY$3)),(VLOOKUP('17.01'!K81,'17.01'!$AM$4:$AO$55,2,FALSE))*IF('17.01'!$AK81="是",'17.01'!$AY$4,'17.01'!$AY$3))</f>
        <v>0</v>
      </c>
      <c r="D81" s="4">
        <f>IF(ISNUMBER(SEARCH("营",'17.01'!L81)),(-$Y81+50*IF('17.01'!$AK81="是",'17.01'!$AY$4,'17.01'!$AY$3)),(VLOOKUP('17.01'!L81,'17.01'!$AM$4:$AO$55,2,FALSE))*IF('17.01'!$AK81="是",'17.01'!$AY$4,'17.01'!$AY$3))</f>
        <v>0</v>
      </c>
      <c r="E81" s="4">
        <f>IF(ISNUMBER(SEARCH("营",'17.01'!M81)),(-$Y81+50*IF('17.01'!$AK81="是",'17.01'!$AY$4,'17.01'!$AY$3)),(VLOOKUP('17.01'!M81,'17.01'!$AM$4:$AO$55,2,FALSE))*IF('17.01'!$AK81="是",'17.01'!$AY$4,'17.01'!$AY$3))</f>
        <v>0</v>
      </c>
      <c r="F81" s="4">
        <f>IF(ISNUMBER(SEARCH("营",'17.01'!N81)),(-$Y81+50*IF('17.01'!$AK81="是",'17.01'!$AY$4,'17.01'!$AY$3)),(VLOOKUP('17.01'!N81,'17.01'!$AM$4:$AO$55,2,FALSE))*IF('17.01'!$AK81="是",'17.01'!$AY$4,'17.01'!$AY$3))</f>
        <v>0</v>
      </c>
      <c r="G81" s="4">
        <f>IF(ISNUMBER(SEARCH("营",'17.01'!O81)),(-$Y81+50*IF('17.01'!$AK81="是",'17.01'!$AY$4,'17.01'!$AY$3)),(VLOOKUP('17.01'!O81,'17.01'!$AM$4:$AO$55,2,FALSE))*IF('17.01'!$AK81="是",'17.01'!$AY$4,'17.01'!$AY$3))</f>
        <v>0</v>
      </c>
      <c r="H81" s="4">
        <f>IF(ISNUMBER(SEARCH("营",'17.01'!P81)),(-$Y81+50*IF('17.01'!$AK81="是",'17.01'!$AY$4,'17.01'!$AY$3)),(VLOOKUP('17.01'!P81,'17.01'!$AM$4:$AO$55,2,FALSE))*IF('17.01'!$AK81="是",'17.01'!$AY$4,'17.01'!$AY$3))</f>
        <v>0</v>
      </c>
      <c r="I81" s="4">
        <f>IF(ISNUMBER(SEARCH("营",'17.01'!Q81)),(-$Y81+50*IF('17.01'!$AK81="是",'17.01'!$AY$4,'17.01'!$AY$3)),(VLOOKUP('17.01'!Q81,'17.01'!$AM$4:$AO$55,2,FALSE))*IF('17.01'!$AK81="是",'17.01'!$AY$4,'17.01'!$AY$3))</f>
        <v>0</v>
      </c>
      <c r="J81" s="4">
        <f>IF(ISNUMBER(SEARCH("营",'17.01'!R81)),(-$Y81+50*IF('17.01'!$AK81="是",'17.01'!$AY$4,'17.01'!$AY$3)),(VLOOKUP('17.01'!R81,'17.01'!$AM$4:$AO$55,2,FALSE))*IF('17.01'!$AK81="是",'17.01'!$AY$4,'17.01'!$AY$3))</f>
        <v>0</v>
      </c>
      <c r="K81" s="4">
        <f>IF(ISNUMBER(SEARCH("营",'17.01'!S81)),(-$Y81+50*IF('17.01'!$AK81="是",'17.01'!$AY$4,'17.01'!$AY$3)),(VLOOKUP('17.01'!S81,'17.01'!$AM$4:$AO$55,2,FALSE))*IF('17.01'!$AK81="是",'17.01'!$AY$4,'17.01'!$AY$3))</f>
        <v>0</v>
      </c>
      <c r="L81" s="4">
        <f>IF(ISNUMBER(SEARCH("营",'17.01'!T81)),(-$Y81+50*IF('17.01'!$AK81="是",'17.01'!$AY$4,'17.01'!$AY$3)),(VLOOKUP('17.01'!T81,'17.01'!$AM$4:$AO$55,2,FALSE))*IF('17.01'!$AK81="是",'17.01'!$AY$4,'17.01'!$AY$3))</f>
        <v>0</v>
      </c>
      <c r="M81" s="4">
        <f>IF(ISNUMBER(SEARCH("营",'17.01'!U81)),(-$Y81+50*IF('17.01'!$AK81="是",'17.01'!$AY$4,'17.01'!$AY$3)),(VLOOKUP('17.01'!U81,'17.01'!$AM$4:$AO$55,2,FALSE))*IF('17.01'!$AK81="是",'17.01'!$AY$4,'17.01'!$AY$3))</f>
        <v>0</v>
      </c>
      <c r="N81" s="4">
        <f>IF(ISNUMBER(SEARCH("营",'17.01'!V81)),(-$Y81+50*IF('17.01'!$AK81="是",'17.01'!$AY$4,'17.01'!$AY$3)),(VLOOKUP('17.01'!V81,'17.01'!$AM$4:$AO$55,2,FALSE))*IF('17.01'!$AK81="是",'17.01'!$AY$4,'17.01'!$AY$3))</f>
        <v>0</v>
      </c>
      <c r="O81" s="4">
        <f>IF(ISNUMBER(SEARCH("营",'17.01'!W81)),(-$Y81+50*IF('17.01'!$AK81="是",'17.01'!$AY$4,'17.01'!$AY$3)),(VLOOKUP('17.01'!W81,'17.01'!$AM$4:$AO$55,2,FALSE))*IF('17.01'!$AK81="是",'17.01'!$AY$4,'17.01'!$AY$3))</f>
        <v>0</v>
      </c>
      <c r="P81" s="4">
        <f>IF(ISNUMBER(SEARCH("营",'17.01'!X81)),(-$Y81+50*IF('17.01'!$AK81="是",'17.01'!$AY$4,'17.01'!$AY$3)),(VLOOKUP('17.01'!X81,'17.01'!$AM$4:$AO$55,2,FALSE))*IF('17.01'!$AK81="是",'17.01'!$AY$4,'17.01'!$AY$3))</f>
        <v>0</v>
      </c>
      <c r="Q81" s="4">
        <f>IF(ISNUMBER(SEARCH("营",'17.01'!Y81)),(-$Y81+50*IF('17.01'!$AK81="是",'17.01'!$AY$4,'17.01'!$AY$3)),(VLOOKUP('17.01'!Y81,'17.01'!$AM$4:$AO$55,2,FALSE))*IF('17.01'!$AK81="是",'17.01'!$AY$4,'17.01'!$AY$3))</f>
        <v>0</v>
      </c>
      <c r="R81" s="4">
        <f>IF(ISNUMBER(SEARCH("营",'17.01'!Z81)),(-$Y81+50*IF('17.01'!$AK81="是",'17.01'!$AY$4,'17.01'!$AY$3)),(VLOOKUP('17.01'!Z81,'17.01'!$AM$4:$AO$55,2,FALSE))*IF('17.01'!$AK81="是",'17.01'!$AY$4,'17.01'!$AY$3))</f>
        <v>0</v>
      </c>
      <c r="S81" s="4">
        <f>IF(ISNUMBER(SEARCH("营",'17.01'!AA81)),(-$Y81+50*IF('17.01'!$AK81="是",'17.01'!$AY$4,'17.01'!$AY$3)),(VLOOKUP('17.01'!AA81,'17.01'!$AM$4:$AO$55,2,FALSE))*IF('17.01'!$AK81="是",'17.01'!$AY$4,'17.01'!$AY$3))</f>
        <v>0</v>
      </c>
      <c r="T81" s="4">
        <f>IF(ISNUMBER(SEARCH("营",'17.01'!AB81)),(-$Y81+50*IF('17.01'!$AK81="是",'17.01'!$AY$4,'17.01'!$AY$3)),(VLOOKUP('17.01'!AB81,'17.01'!$AM$4:$AO$55,2,FALSE))*IF('17.01'!$AK81="是",'17.01'!$AY$4,'17.01'!$AY$3))</f>
        <v>0</v>
      </c>
      <c r="U81" s="4">
        <f>IF(ISNUMBER(SEARCH("营",'17.01'!AC81)),(-$Y81+50*IF('17.01'!$AK81="是",'17.01'!$AY$4,'17.01'!$AY$3)),(VLOOKUP('17.01'!AC81,'17.01'!$AM$4:$AO$55,2,FALSE))*IF('17.01'!$AK81="是",'17.01'!$AY$4,'17.01'!$AY$3))</f>
        <v>0</v>
      </c>
      <c r="V81" s="4">
        <f>IF(ISNUMBER(SEARCH("营",'17.01'!AD81)),(-$Y81+50*IF('17.01'!$AK81="是",'17.01'!$AY$4,'17.01'!$AY$3)),(VLOOKUP('17.01'!AD81,'17.01'!$AM$4:$AO$55,2,FALSE))*IF('17.01'!$AK81="是",'17.01'!$AY$4,'17.01'!$AY$3))</f>
        <v>0</v>
      </c>
      <c r="W81" s="4">
        <f>IF(ISNUMBER(SEARCH("营",'17.01'!AE81)),(-$Y81+50*IF('17.01'!$AK81="是",'17.01'!$AY$4,'17.01'!$AY$3)),(VLOOKUP('17.01'!AE81,'17.01'!$AM$4:$AO$55,2,FALSE))*IF('17.01'!$AK81="是",'17.01'!$AY$4,'17.01'!$AY$3))</f>
        <v>0</v>
      </c>
      <c r="X81" s="4">
        <f>IF(ISNUMBER(SEARCH("营",'17.01'!AF81)),(-$Y81+50*IF('17.01'!$AK81="是",'17.01'!$AY$4,'17.01'!$AY$3)),(VLOOKUP('17.01'!AF81,'17.01'!$AM$4:$AO$55,2,FALSE))*IF('17.01'!$AK81="是",'17.01'!$AY$4,'17.01'!$AY$3))</f>
        <v>0</v>
      </c>
      <c r="Y81" s="90">
        <v>100</v>
      </c>
    </row>
    <row r="82" spans="1:25">
      <c r="A82" s="4">
        <f>IF(ISNUMBER(SEARCH("营",'17.01'!I82)),(-$Y82+50*IF('17.01'!$AK82="是",'17.01'!$AY$4,'17.01'!$AY$3)),(VLOOKUP('17.01'!I82,'17.01'!$AM$4:$AO$55,2,FALSE))*IF('17.01'!$AK82="是",'17.01'!$AY$4,'17.01'!$AY$3))</f>
        <v>0</v>
      </c>
      <c r="B82" s="4">
        <f>IF(ISNUMBER(SEARCH("营",'17.01'!J82)),(-$Y82+50*IF('17.01'!$AK82="是",'17.01'!$AY$4,'17.01'!$AY$3)),(VLOOKUP('17.01'!J82,'17.01'!$AM$4:$AO$55,2,FALSE))*IF('17.01'!$AK82="是",'17.01'!$AY$4,'17.01'!$AY$3))</f>
        <v>0</v>
      </c>
      <c r="C82" s="4">
        <f>IF(ISNUMBER(SEARCH("营",'17.01'!K82)),(-$Y82+50*IF('17.01'!$AK82="是",'17.01'!$AY$4,'17.01'!$AY$3)),(VLOOKUP('17.01'!K82,'17.01'!$AM$4:$AO$55,2,FALSE))*IF('17.01'!$AK82="是",'17.01'!$AY$4,'17.01'!$AY$3))</f>
        <v>0</v>
      </c>
      <c r="D82" s="4">
        <f>IF(ISNUMBER(SEARCH("营",'17.01'!L82)),(-$Y82+50*IF('17.01'!$AK82="是",'17.01'!$AY$4,'17.01'!$AY$3)),(VLOOKUP('17.01'!L82,'17.01'!$AM$4:$AO$55,2,FALSE))*IF('17.01'!$AK82="是",'17.01'!$AY$4,'17.01'!$AY$3))</f>
        <v>0</v>
      </c>
      <c r="E82" s="4">
        <f>IF(ISNUMBER(SEARCH("营",'17.01'!M82)),(-$Y82+50*IF('17.01'!$AK82="是",'17.01'!$AY$4,'17.01'!$AY$3)),(VLOOKUP('17.01'!M82,'17.01'!$AM$4:$AO$55,2,FALSE))*IF('17.01'!$AK82="是",'17.01'!$AY$4,'17.01'!$AY$3))</f>
        <v>0</v>
      </c>
      <c r="F82" s="4">
        <f>IF(ISNUMBER(SEARCH("营",'17.01'!N82)),(-$Y82+50*IF('17.01'!$AK82="是",'17.01'!$AY$4,'17.01'!$AY$3)),(VLOOKUP('17.01'!N82,'17.01'!$AM$4:$AO$55,2,FALSE))*IF('17.01'!$AK82="是",'17.01'!$AY$4,'17.01'!$AY$3))</f>
        <v>0</v>
      </c>
      <c r="G82" s="4">
        <f>IF(ISNUMBER(SEARCH("营",'17.01'!O82)),(-$Y82+50*IF('17.01'!$AK82="是",'17.01'!$AY$4,'17.01'!$AY$3)),(VLOOKUP('17.01'!O82,'17.01'!$AM$4:$AO$55,2,FALSE))*IF('17.01'!$AK82="是",'17.01'!$AY$4,'17.01'!$AY$3))</f>
        <v>0</v>
      </c>
      <c r="H82" s="4">
        <f>IF(ISNUMBER(SEARCH("营",'17.01'!P82)),(-$Y82+50*IF('17.01'!$AK82="是",'17.01'!$AY$4,'17.01'!$AY$3)),(VLOOKUP('17.01'!P82,'17.01'!$AM$4:$AO$55,2,FALSE))*IF('17.01'!$AK82="是",'17.01'!$AY$4,'17.01'!$AY$3))</f>
        <v>0</v>
      </c>
      <c r="I82" s="4">
        <f>IF(ISNUMBER(SEARCH("营",'17.01'!Q82)),(-$Y82+50*IF('17.01'!$AK82="是",'17.01'!$AY$4,'17.01'!$AY$3)),(VLOOKUP('17.01'!Q82,'17.01'!$AM$4:$AO$55,2,FALSE))*IF('17.01'!$AK82="是",'17.01'!$AY$4,'17.01'!$AY$3))</f>
        <v>0</v>
      </c>
      <c r="J82" s="4">
        <f>IF(ISNUMBER(SEARCH("营",'17.01'!R82)),(-$Y82+50*IF('17.01'!$AK82="是",'17.01'!$AY$4,'17.01'!$AY$3)),(VLOOKUP('17.01'!R82,'17.01'!$AM$4:$AO$55,2,FALSE))*IF('17.01'!$AK82="是",'17.01'!$AY$4,'17.01'!$AY$3))</f>
        <v>0</v>
      </c>
      <c r="K82" s="4">
        <f>IF(ISNUMBER(SEARCH("营",'17.01'!S82)),(-$Y82+50*IF('17.01'!$AK82="是",'17.01'!$AY$4,'17.01'!$AY$3)),(VLOOKUP('17.01'!S82,'17.01'!$AM$4:$AO$55,2,FALSE))*IF('17.01'!$AK82="是",'17.01'!$AY$4,'17.01'!$AY$3))</f>
        <v>0</v>
      </c>
      <c r="L82" s="4">
        <f>IF(ISNUMBER(SEARCH("营",'17.01'!T82)),(-$Y82+50*IF('17.01'!$AK82="是",'17.01'!$AY$4,'17.01'!$AY$3)),(VLOOKUP('17.01'!T82,'17.01'!$AM$4:$AO$55,2,FALSE))*IF('17.01'!$AK82="是",'17.01'!$AY$4,'17.01'!$AY$3))</f>
        <v>0</v>
      </c>
      <c r="M82" s="4">
        <f>IF(ISNUMBER(SEARCH("营",'17.01'!U82)),(-$Y82+50*IF('17.01'!$AK82="是",'17.01'!$AY$4,'17.01'!$AY$3)),(VLOOKUP('17.01'!U82,'17.01'!$AM$4:$AO$55,2,FALSE))*IF('17.01'!$AK82="是",'17.01'!$AY$4,'17.01'!$AY$3))</f>
        <v>0</v>
      </c>
      <c r="N82" s="4">
        <f>IF(ISNUMBER(SEARCH("营",'17.01'!V82)),(-$Y82+50*IF('17.01'!$AK82="是",'17.01'!$AY$4,'17.01'!$AY$3)),(VLOOKUP('17.01'!V82,'17.01'!$AM$4:$AO$55,2,FALSE))*IF('17.01'!$AK82="是",'17.01'!$AY$4,'17.01'!$AY$3))</f>
        <v>0</v>
      </c>
      <c r="O82" s="4">
        <f>IF(ISNUMBER(SEARCH("营",'17.01'!W82)),(-$Y82+50*IF('17.01'!$AK82="是",'17.01'!$AY$4,'17.01'!$AY$3)),(VLOOKUP('17.01'!W82,'17.01'!$AM$4:$AO$55,2,FALSE))*IF('17.01'!$AK82="是",'17.01'!$AY$4,'17.01'!$AY$3))</f>
        <v>0</v>
      </c>
      <c r="P82" s="4">
        <f>IF(ISNUMBER(SEARCH("营",'17.01'!X82)),(-$Y82+50*IF('17.01'!$AK82="是",'17.01'!$AY$4,'17.01'!$AY$3)),(VLOOKUP('17.01'!X82,'17.01'!$AM$4:$AO$55,2,FALSE))*IF('17.01'!$AK82="是",'17.01'!$AY$4,'17.01'!$AY$3))</f>
        <v>0</v>
      </c>
      <c r="Q82" s="4">
        <f>IF(ISNUMBER(SEARCH("营",'17.01'!Y82)),(-$Y82+50*IF('17.01'!$AK82="是",'17.01'!$AY$4,'17.01'!$AY$3)),(VLOOKUP('17.01'!Y82,'17.01'!$AM$4:$AO$55,2,FALSE))*IF('17.01'!$AK82="是",'17.01'!$AY$4,'17.01'!$AY$3))</f>
        <v>0</v>
      </c>
      <c r="R82" s="4">
        <f>IF(ISNUMBER(SEARCH("营",'17.01'!Z82)),(-$Y82+50*IF('17.01'!$AK82="是",'17.01'!$AY$4,'17.01'!$AY$3)),(VLOOKUP('17.01'!Z82,'17.01'!$AM$4:$AO$55,2,FALSE))*IF('17.01'!$AK82="是",'17.01'!$AY$4,'17.01'!$AY$3))</f>
        <v>0</v>
      </c>
      <c r="S82" s="4">
        <f>IF(ISNUMBER(SEARCH("营",'17.01'!AA82)),(-$Y82+50*IF('17.01'!$AK82="是",'17.01'!$AY$4,'17.01'!$AY$3)),(VLOOKUP('17.01'!AA82,'17.01'!$AM$4:$AO$55,2,FALSE))*IF('17.01'!$AK82="是",'17.01'!$AY$4,'17.01'!$AY$3))</f>
        <v>0</v>
      </c>
      <c r="T82" s="4">
        <f>IF(ISNUMBER(SEARCH("营",'17.01'!AB82)),(-$Y82+50*IF('17.01'!$AK82="是",'17.01'!$AY$4,'17.01'!$AY$3)),(VLOOKUP('17.01'!AB82,'17.01'!$AM$4:$AO$55,2,FALSE))*IF('17.01'!$AK82="是",'17.01'!$AY$4,'17.01'!$AY$3))</f>
        <v>0</v>
      </c>
      <c r="U82" s="4">
        <f>IF(ISNUMBER(SEARCH("营",'17.01'!AC82)),(-$Y82+50*IF('17.01'!$AK82="是",'17.01'!$AY$4,'17.01'!$AY$3)),(VLOOKUP('17.01'!AC82,'17.01'!$AM$4:$AO$55,2,FALSE))*IF('17.01'!$AK82="是",'17.01'!$AY$4,'17.01'!$AY$3))</f>
        <v>0</v>
      </c>
      <c r="V82" s="4">
        <f>IF(ISNUMBER(SEARCH("营",'17.01'!AD82)),(-$Y82+50*IF('17.01'!$AK82="是",'17.01'!$AY$4,'17.01'!$AY$3)),(VLOOKUP('17.01'!AD82,'17.01'!$AM$4:$AO$55,2,FALSE))*IF('17.01'!$AK82="是",'17.01'!$AY$4,'17.01'!$AY$3))</f>
        <v>0</v>
      </c>
      <c r="W82" s="4">
        <f>IF(ISNUMBER(SEARCH("营",'17.01'!AE82)),(-$Y82+50*IF('17.01'!$AK82="是",'17.01'!$AY$4,'17.01'!$AY$3)),(VLOOKUP('17.01'!AE82,'17.01'!$AM$4:$AO$55,2,FALSE))*IF('17.01'!$AK82="是",'17.01'!$AY$4,'17.01'!$AY$3))</f>
        <v>0</v>
      </c>
      <c r="X82" s="4">
        <f>IF(ISNUMBER(SEARCH("营",'17.01'!AF82)),(-$Y82+50*IF('17.01'!$AK82="是",'17.01'!$AY$4,'17.01'!$AY$3)),(VLOOKUP('17.01'!AF82,'17.01'!$AM$4:$AO$55,2,FALSE))*IF('17.01'!$AK82="是",'17.01'!$AY$4,'17.01'!$AY$3))</f>
        <v>0</v>
      </c>
      <c r="Y82" s="90">
        <v>100</v>
      </c>
    </row>
    <row r="83" spans="1:25">
      <c r="A83" s="4">
        <f>IF(ISNUMBER(SEARCH("营",'17.01'!I83)),(-$Y83+50*IF('17.01'!$AK83="是",'17.01'!$AY$4,'17.01'!$AY$3)),(VLOOKUP('17.01'!I83,'17.01'!$AM$4:$AO$55,2,FALSE))*IF('17.01'!$AK83="是",'17.01'!$AY$4,'17.01'!$AY$3))</f>
        <v>0</v>
      </c>
      <c r="B83" s="4">
        <f>IF(ISNUMBER(SEARCH("营",'17.01'!J83)),(-$Y83+50*IF('17.01'!$AK83="是",'17.01'!$AY$4,'17.01'!$AY$3)),(VLOOKUP('17.01'!J83,'17.01'!$AM$4:$AO$55,2,FALSE))*IF('17.01'!$AK83="是",'17.01'!$AY$4,'17.01'!$AY$3))</f>
        <v>0</v>
      </c>
      <c r="C83" s="4">
        <f>IF(ISNUMBER(SEARCH("营",'17.01'!K83)),(-$Y83+50*IF('17.01'!$AK83="是",'17.01'!$AY$4,'17.01'!$AY$3)),(VLOOKUP('17.01'!K83,'17.01'!$AM$4:$AO$55,2,FALSE))*IF('17.01'!$AK83="是",'17.01'!$AY$4,'17.01'!$AY$3))</f>
        <v>0</v>
      </c>
      <c r="D83" s="4">
        <f>IF(ISNUMBER(SEARCH("营",'17.01'!L83)),(-$Y83+50*IF('17.01'!$AK83="是",'17.01'!$AY$4,'17.01'!$AY$3)),(VLOOKUP('17.01'!L83,'17.01'!$AM$4:$AO$55,2,FALSE))*IF('17.01'!$AK83="是",'17.01'!$AY$4,'17.01'!$AY$3))</f>
        <v>0</v>
      </c>
      <c r="E83" s="4">
        <f>IF(ISNUMBER(SEARCH("营",'17.01'!M83)),(-$Y83+50*IF('17.01'!$AK83="是",'17.01'!$AY$4,'17.01'!$AY$3)),(VLOOKUP('17.01'!M83,'17.01'!$AM$4:$AO$55,2,FALSE))*IF('17.01'!$AK83="是",'17.01'!$AY$4,'17.01'!$AY$3))</f>
        <v>0</v>
      </c>
      <c r="F83" s="4">
        <f>IF(ISNUMBER(SEARCH("营",'17.01'!N83)),(-$Y83+50*IF('17.01'!$AK83="是",'17.01'!$AY$4,'17.01'!$AY$3)),(VLOOKUP('17.01'!N83,'17.01'!$AM$4:$AO$55,2,FALSE))*IF('17.01'!$AK83="是",'17.01'!$AY$4,'17.01'!$AY$3))</f>
        <v>0</v>
      </c>
      <c r="G83" s="4">
        <f>IF(ISNUMBER(SEARCH("营",'17.01'!O83)),(-$Y83+50*IF('17.01'!$AK83="是",'17.01'!$AY$4,'17.01'!$AY$3)),(VLOOKUP('17.01'!O83,'17.01'!$AM$4:$AO$55,2,FALSE))*IF('17.01'!$AK83="是",'17.01'!$AY$4,'17.01'!$AY$3))</f>
        <v>0</v>
      </c>
      <c r="H83" s="4">
        <f>IF(ISNUMBER(SEARCH("营",'17.01'!P83)),(-$Y83+50*IF('17.01'!$AK83="是",'17.01'!$AY$4,'17.01'!$AY$3)),(VLOOKUP('17.01'!P83,'17.01'!$AM$4:$AO$55,2,FALSE))*IF('17.01'!$AK83="是",'17.01'!$AY$4,'17.01'!$AY$3))</f>
        <v>0</v>
      </c>
      <c r="I83" s="4">
        <f>IF(ISNUMBER(SEARCH("营",'17.01'!Q83)),(-$Y83+50*IF('17.01'!$AK83="是",'17.01'!$AY$4,'17.01'!$AY$3)),(VLOOKUP('17.01'!Q83,'17.01'!$AM$4:$AO$55,2,FALSE))*IF('17.01'!$AK83="是",'17.01'!$AY$4,'17.01'!$AY$3))</f>
        <v>0</v>
      </c>
      <c r="J83" s="4">
        <f>IF(ISNUMBER(SEARCH("营",'17.01'!R83)),(-$Y83+50*IF('17.01'!$AK83="是",'17.01'!$AY$4,'17.01'!$AY$3)),(VLOOKUP('17.01'!R83,'17.01'!$AM$4:$AO$55,2,FALSE))*IF('17.01'!$AK83="是",'17.01'!$AY$4,'17.01'!$AY$3))</f>
        <v>0</v>
      </c>
      <c r="K83" s="4">
        <f>IF(ISNUMBER(SEARCH("营",'17.01'!S83)),(-$Y83+50*IF('17.01'!$AK83="是",'17.01'!$AY$4,'17.01'!$AY$3)),(VLOOKUP('17.01'!S83,'17.01'!$AM$4:$AO$55,2,FALSE))*IF('17.01'!$AK83="是",'17.01'!$AY$4,'17.01'!$AY$3))</f>
        <v>0</v>
      </c>
      <c r="L83" s="4">
        <f>IF(ISNUMBER(SEARCH("营",'17.01'!T83)),(-$Y83+50*IF('17.01'!$AK83="是",'17.01'!$AY$4,'17.01'!$AY$3)),(VLOOKUP('17.01'!T83,'17.01'!$AM$4:$AO$55,2,FALSE))*IF('17.01'!$AK83="是",'17.01'!$AY$4,'17.01'!$AY$3))</f>
        <v>0</v>
      </c>
      <c r="M83" s="4">
        <f>IF(ISNUMBER(SEARCH("营",'17.01'!U83)),(-$Y83+50*IF('17.01'!$AK83="是",'17.01'!$AY$4,'17.01'!$AY$3)),(VLOOKUP('17.01'!U83,'17.01'!$AM$4:$AO$55,2,FALSE))*IF('17.01'!$AK83="是",'17.01'!$AY$4,'17.01'!$AY$3))</f>
        <v>0</v>
      </c>
      <c r="N83" s="4">
        <f>IF(ISNUMBER(SEARCH("营",'17.01'!V83)),(-$Y83+50*IF('17.01'!$AK83="是",'17.01'!$AY$4,'17.01'!$AY$3)),(VLOOKUP('17.01'!V83,'17.01'!$AM$4:$AO$55,2,FALSE))*IF('17.01'!$AK83="是",'17.01'!$AY$4,'17.01'!$AY$3))</f>
        <v>0</v>
      </c>
      <c r="O83" s="4">
        <f>IF(ISNUMBER(SEARCH("营",'17.01'!W83)),(-$Y83+50*IF('17.01'!$AK83="是",'17.01'!$AY$4,'17.01'!$AY$3)),(VLOOKUP('17.01'!W83,'17.01'!$AM$4:$AO$55,2,FALSE))*IF('17.01'!$AK83="是",'17.01'!$AY$4,'17.01'!$AY$3))</f>
        <v>0</v>
      </c>
      <c r="P83" s="4">
        <f>IF(ISNUMBER(SEARCH("营",'17.01'!X83)),(-$Y83+50*IF('17.01'!$AK83="是",'17.01'!$AY$4,'17.01'!$AY$3)),(VLOOKUP('17.01'!X83,'17.01'!$AM$4:$AO$55,2,FALSE))*IF('17.01'!$AK83="是",'17.01'!$AY$4,'17.01'!$AY$3))</f>
        <v>0</v>
      </c>
      <c r="Q83" s="4">
        <f>IF(ISNUMBER(SEARCH("营",'17.01'!Y83)),(-$Y83+50*IF('17.01'!$AK83="是",'17.01'!$AY$4,'17.01'!$AY$3)),(VLOOKUP('17.01'!Y83,'17.01'!$AM$4:$AO$55,2,FALSE))*IF('17.01'!$AK83="是",'17.01'!$AY$4,'17.01'!$AY$3))</f>
        <v>0</v>
      </c>
      <c r="R83" s="4">
        <f>IF(ISNUMBER(SEARCH("营",'17.01'!Z83)),(-$Y83+50*IF('17.01'!$AK83="是",'17.01'!$AY$4,'17.01'!$AY$3)),(VLOOKUP('17.01'!Z83,'17.01'!$AM$4:$AO$55,2,FALSE))*IF('17.01'!$AK83="是",'17.01'!$AY$4,'17.01'!$AY$3))</f>
        <v>0</v>
      </c>
      <c r="S83" s="4">
        <f>IF(ISNUMBER(SEARCH("营",'17.01'!AA83)),(-$Y83+50*IF('17.01'!$AK83="是",'17.01'!$AY$4,'17.01'!$AY$3)),(VLOOKUP('17.01'!AA83,'17.01'!$AM$4:$AO$55,2,FALSE))*IF('17.01'!$AK83="是",'17.01'!$AY$4,'17.01'!$AY$3))</f>
        <v>0</v>
      </c>
      <c r="T83" s="4">
        <f>IF(ISNUMBER(SEARCH("营",'17.01'!AB83)),(-$Y83+50*IF('17.01'!$AK83="是",'17.01'!$AY$4,'17.01'!$AY$3)),(VLOOKUP('17.01'!AB83,'17.01'!$AM$4:$AO$55,2,FALSE))*IF('17.01'!$AK83="是",'17.01'!$AY$4,'17.01'!$AY$3))</f>
        <v>0</v>
      </c>
      <c r="U83" s="4">
        <f>IF(ISNUMBER(SEARCH("营",'17.01'!AC83)),(-$Y83+50*IF('17.01'!$AK83="是",'17.01'!$AY$4,'17.01'!$AY$3)),(VLOOKUP('17.01'!AC83,'17.01'!$AM$4:$AO$55,2,FALSE))*IF('17.01'!$AK83="是",'17.01'!$AY$4,'17.01'!$AY$3))</f>
        <v>0</v>
      </c>
      <c r="V83" s="4">
        <f>IF(ISNUMBER(SEARCH("营",'17.01'!AD83)),(-$Y83+50*IF('17.01'!$AK83="是",'17.01'!$AY$4,'17.01'!$AY$3)),(VLOOKUP('17.01'!AD83,'17.01'!$AM$4:$AO$55,2,FALSE))*IF('17.01'!$AK83="是",'17.01'!$AY$4,'17.01'!$AY$3))</f>
        <v>0</v>
      </c>
      <c r="W83" s="4">
        <f>IF(ISNUMBER(SEARCH("营",'17.01'!AE83)),(-$Y83+50*IF('17.01'!$AK83="是",'17.01'!$AY$4,'17.01'!$AY$3)),(VLOOKUP('17.01'!AE83,'17.01'!$AM$4:$AO$55,2,FALSE))*IF('17.01'!$AK83="是",'17.01'!$AY$4,'17.01'!$AY$3))</f>
        <v>0</v>
      </c>
      <c r="X83" s="4">
        <f>IF(ISNUMBER(SEARCH("营",'17.01'!AF83)),(-$Y83+50*IF('17.01'!$AK83="是",'17.01'!$AY$4,'17.01'!$AY$3)),(VLOOKUP('17.01'!AF83,'17.01'!$AM$4:$AO$55,2,FALSE))*IF('17.01'!$AK83="是",'17.01'!$AY$4,'17.01'!$AY$3))</f>
        <v>0</v>
      </c>
      <c r="Y83" s="90">
        <v>100</v>
      </c>
    </row>
    <row r="84" spans="1:25">
      <c r="A84" s="4">
        <f>IF(ISNUMBER(SEARCH("营",'17.01'!I84)),(-$Y84+50*IF('17.01'!$AK84="是",'17.01'!$AY$4,'17.01'!$AY$3)),(VLOOKUP('17.01'!I84,'17.01'!$AM$4:$AO$55,2,FALSE))*IF('17.01'!$AK84="是",'17.01'!$AY$4,'17.01'!$AY$3))</f>
        <v>0</v>
      </c>
      <c r="B84" s="4">
        <f>IF(ISNUMBER(SEARCH("营",'17.01'!J84)),(-$Y84+50*IF('17.01'!$AK84="是",'17.01'!$AY$4,'17.01'!$AY$3)),(VLOOKUP('17.01'!J84,'17.01'!$AM$4:$AO$55,2,FALSE))*IF('17.01'!$AK84="是",'17.01'!$AY$4,'17.01'!$AY$3))</f>
        <v>0</v>
      </c>
      <c r="C84" s="4">
        <f>IF(ISNUMBER(SEARCH("营",'17.01'!K84)),(-$Y84+50*IF('17.01'!$AK84="是",'17.01'!$AY$4,'17.01'!$AY$3)),(VLOOKUP('17.01'!K84,'17.01'!$AM$4:$AO$55,2,FALSE))*IF('17.01'!$AK84="是",'17.01'!$AY$4,'17.01'!$AY$3))</f>
        <v>0</v>
      </c>
      <c r="D84" s="4">
        <f>IF(ISNUMBER(SEARCH("营",'17.01'!L84)),(-$Y84+50*IF('17.01'!$AK84="是",'17.01'!$AY$4,'17.01'!$AY$3)),(VLOOKUP('17.01'!L84,'17.01'!$AM$4:$AO$55,2,FALSE))*IF('17.01'!$AK84="是",'17.01'!$AY$4,'17.01'!$AY$3))</f>
        <v>0</v>
      </c>
      <c r="E84" s="4">
        <f>IF(ISNUMBER(SEARCH("营",'17.01'!M84)),(-$Y84+50*IF('17.01'!$AK84="是",'17.01'!$AY$4,'17.01'!$AY$3)),(VLOOKUP('17.01'!M84,'17.01'!$AM$4:$AO$55,2,FALSE))*IF('17.01'!$AK84="是",'17.01'!$AY$4,'17.01'!$AY$3))</f>
        <v>0</v>
      </c>
      <c r="F84" s="4">
        <f>IF(ISNUMBER(SEARCH("营",'17.01'!N84)),(-$Y84+50*IF('17.01'!$AK84="是",'17.01'!$AY$4,'17.01'!$AY$3)),(VLOOKUP('17.01'!N84,'17.01'!$AM$4:$AO$55,2,FALSE))*IF('17.01'!$AK84="是",'17.01'!$AY$4,'17.01'!$AY$3))</f>
        <v>0</v>
      </c>
      <c r="G84" s="4">
        <f>IF(ISNUMBER(SEARCH("营",'17.01'!O84)),(-$Y84+50*IF('17.01'!$AK84="是",'17.01'!$AY$4,'17.01'!$AY$3)),(VLOOKUP('17.01'!O84,'17.01'!$AM$4:$AO$55,2,FALSE))*IF('17.01'!$AK84="是",'17.01'!$AY$4,'17.01'!$AY$3))</f>
        <v>0</v>
      </c>
      <c r="H84" s="4">
        <f>IF(ISNUMBER(SEARCH("营",'17.01'!P84)),(-$Y84+50*IF('17.01'!$AK84="是",'17.01'!$AY$4,'17.01'!$AY$3)),(VLOOKUP('17.01'!P84,'17.01'!$AM$4:$AO$55,2,FALSE))*IF('17.01'!$AK84="是",'17.01'!$AY$4,'17.01'!$AY$3))</f>
        <v>0</v>
      </c>
      <c r="I84" s="4">
        <f>IF(ISNUMBER(SEARCH("营",'17.01'!Q84)),(-$Y84+50*IF('17.01'!$AK84="是",'17.01'!$AY$4,'17.01'!$AY$3)),(VLOOKUP('17.01'!Q84,'17.01'!$AM$4:$AO$55,2,FALSE))*IF('17.01'!$AK84="是",'17.01'!$AY$4,'17.01'!$AY$3))</f>
        <v>0</v>
      </c>
      <c r="J84" s="4">
        <f>IF(ISNUMBER(SEARCH("营",'17.01'!R84)),(-$Y84+50*IF('17.01'!$AK84="是",'17.01'!$AY$4,'17.01'!$AY$3)),(VLOOKUP('17.01'!R84,'17.01'!$AM$4:$AO$55,2,FALSE))*IF('17.01'!$AK84="是",'17.01'!$AY$4,'17.01'!$AY$3))</f>
        <v>0</v>
      </c>
      <c r="K84" s="4">
        <f>IF(ISNUMBER(SEARCH("营",'17.01'!S84)),(-$Y84+50*IF('17.01'!$AK84="是",'17.01'!$AY$4,'17.01'!$AY$3)),(VLOOKUP('17.01'!S84,'17.01'!$AM$4:$AO$55,2,FALSE))*IF('17.01'!$AK84="是",'17.01'!$AY$4,'17.01'!$AY$3))</f>
        <v>0</v>
      </c>
      <c r="L84" s="4">
        <f>IF(ISNUMBER(SEARCH("营",'17.01'!T84)),(-$Y84+50*IF('17.01'!$AK84="是",'17.01'!$AY$4,'17.01'!$AY$3)),(VLOOKUP('17.01'!T84,'17.01'!$AM$4:$AO$55,2,FALSE))*IF('17.01'!$AK84="是",'17.01'!$AY$4,'17.01'!$AY$3))</f>
        <v>0</v>
      </c>
      <c r="M84" s="4">
        <f>IF(ISNUMBER(SEARCH("营",'17.01'!U84)),(-$Y84+50*IF('17.01'!$AK84="是",'17.01'!$AY$4,'17.01'!$AY$3)),(VLOOKUP('17.01'!U84,'17.01'!$AM$4:$AO$55,2,FALSE))*IF('17.01'!$AK84="是",'17.01'!$AY$4,'17.01'!$AY$3))</f>
        <v>0</v>
      </c>
      <c r="N84" s="4">
        <f>IF(ISNUMBER(SEARCH("营",'17.01'!V84)),(-$Y84+50*IF('17.01'!$AK84="是",'17.01'!$AY$4,'17.01'!$AY$3)),(VLOOKUP('17.01'!V84,'17.01'!$AM$4:$AO$55,2,FALSE))*IF('17.01'!$AK84="是",'17.01'!$AY$4,'17.01'!$AY$3))</f>
        <v>0</v>
      </c>
      <c r="O84" s="4">
        <f>IF(ISNUMBER(SEARCH("营",'17.01'!W84)),(-$Y84+50*IF('17.01'!$AK84="是",'17.01'!$AY$4,'17.01'!$AY$3)),(VLOOKUP('17.01'!W84,'17.01'!$AM$4:$AO$55,2,FALSE))*IF('17.01'!$AK84="是",'17.01'!$AY$4,'17.01'!$AY$3))</f>
        <v>0</v>
      </c>
      <c r="P84" s="4">
        <f>IF(ISNUMBER(SEARCH("营",'17.01'!X84)),(-$Y84+50*IF('17.01'!$AK84="是",'17.01'!$AY$4,'17.01'!$AY$3)),(VLOOKUP('17.01'!X84,'17.01'!$AM$4:$AO$55,2,FALSE))*IF('17.01'!$AK84="是",'17.01'!$AY$4,'17.01'!$AY$3))</f>
        <v>0</v>
      </c>
      <c r="Q84" s="4">
        <f>IF(ISNUMBER(SEARCH("营",'17.01'!Y84)),(-$Y84+50*IF('17.01'!$AK84="是",'17.01'!$AY$4,'17.01'!$AY$3)),(VLOOKUP('17.01'!Y84,'17.01'!$AM$4:$AO$55,2,FALSE))*IF('17.01'!$AK84="是",'17.01'!$AY$4,'17.01'!$AY$3))</f>
        <v>0</v>
      </c>
      <c r="R84" s="4">
        <f>IF(ISNUMBER(SEARCH("营",'17.01'!Z84)),(-$Y84+50*IF('17.01'!$AK84="是",'17.01'!$AY$4,'17.01'!$AY$3)),(VLOOKUP('17.01'!Z84,'17.01'!$AM$4:$AO$55,2,FALSE))*IF('17.01'!$AK84="是",'17.01'!$AY$4,'17.01'!$AY$3))</f>
        <v>0</v>
      </c>
      <c r="S84" s="4">
        <f>IF(ISNUMBER(SEARCH("营",'17.01'!AA84)),(-$Y84+50*IF('17.01'!$AK84="是",'17.01'!$AY$4,'17.01'!$AY$3)),(VLOOKUP('17.01'!AA84,'17.01'!$AM$4:$AO$55,2,FALSE))*IF('17.01'!$AK84="是",'17.01'!$AY$4,'17.01'!$AY$3))</f>
        <v>0</v>
      </c>
      <c r="T84" s="4">
        <f>IF(ISNUMBER(SEARCH("营",'17.01'!AB84)),(-$Y84+50*IF('17.01'!$AK84="是",'17.01'!$AY$4,'17.01'!$AY$3)),(VLOOKUP('17.01'!AB84,'17.01'!$AM$4:$AO$55,2,FALSE))*IF('17.01'!$AK84="是",'17.01'!$AY$4,'17.01'!$AY$3))</f>
        <v>0</v>
      </c>
      <c r="U84" s="4">
        <f>IF(ISNUMBER(SEARCH("营",'17.01'!AC84)),(-$Y84+50*IF('17.01'!$AK84="是",'17.01'!$AY$4,'17.01'!$AY$3)),(VLOOKUP('17.01'!AC84,'17.01'!$AM$4:$AO$55,2,FALSE))*IF('17.01'!$AK84="是",'17.01'!$AY$4,'17.01'!$AY$3))</f>
        <v>0</v>
      </c>
      <c r="V84" s="4">
        <f>IF(ISNUMBER(SEARCH("营",'17.01'!AD84)),(-$Y84+50*IF('17.01'!$AK84="是",'17.01'!$AY$4,'17.01'!$AY$3)),(VLOOKUP('17.01'!AD84,'17.01'!$AM$4:$AO$55,2,FALSE))*IF('17.01'!$AK84="是",'17.01'!$AY$4,'17.01'!$AY$3))</f>
        <v>0</v>
      </c>
      <c r="W84" s="4">
        <f>IF(ISNUMBER(SEARCH("营",'17.01'!AE84)),(-$Y84+50*IF('17.01'!$AK84="是",'17.01'!$AY$4,'17.01'!$AY$3)),(VLOOKUP('17.01'!AE84,'17.01'!$AM$4:$AO$55,2,FALSE))*IF('17.01'!$AK84="是",'17.01'!$AY$4,'17.01'!$AY$3))</f>
        <v>0</v>
      </c>
      <c r="X84" s="4">
        <f>IF(ISNUMBER(SEARCH("营",'17.01'!AF84)),(-$Y84+50*IF('17.01'!$AK84="是",'17.01'!$AY$4,'17.01'!$AY$3)),(VLOOKUP('17.01'!AF84,'17.01'!$AM$4:$AO$55,2,FALSE))*IF('17.01'!$AK84="是",'17.01'!$AY$4,'17.01'!$AY$3))</f>
        <v>0</v>
      </c>
      <c r="Y84" s="90">
        <v>100</v>
      </c>
    </row>
    <row r="85" spans="1:25">
      <c r="A85" s="4">
        <f>IF(ISNUMBER(SEARCH("营",'17.01'!I85)),(-$Y85+50*IF('17.01'!$AK85="是",'17.01'!$AY$4,'17.01'!$AY$3)),(VLOOKUP('17.01'!I85,'17.01'!$AM$4:$AO$55,2,FALSE))*IF('17.01'!$AK85="是",'17.01'!$AY$4,'17.01'!$AY$3))</f>
        <v>0</v>
      </c>
      <c r="B85" s="4">
        <f>IF(ISNUMBER(SEARCH("营",'17.01'!J85)),(-$Y85+50*IF('17.01'!$AK85="是",'17.01'!$AY$4,'17.01'!$AY$3)),(VLOOKUP('17.01'!J85,'17.01'!$AM$4:$AO$55,2,FALSE))*IF('17.01'!$AK85="是",'17.01'!$AY$4,'17.01'!$AY$3))</f>
        <v>0</v>
      </c>
      <c r="C85" s="4">
        <f>IF(ISNUMBER(SEARCH("营",'17.01'!K85)),(-$Y85+50*IF('17.01'!$AK85="是",'17.01'!$AY$4,'17.01'!$AY$3)),(VLOOKUP('17.01'!K85,'17.01'!$AM$4:$AO$55,2,FALSE))*IF('17.01'!$AK85="是",'17.01'!$AY$4,'17.01'!$AY$3))</f>
        <v>0</v>
      </c>
      <c r="D85" s="4">
        <f>IF(ISNUMBER(SEARCH("营",'17.01'!L85)),(-$Y85+50*IF('17.01'!$AK85="是",'17.01'!$AY$4,'17.01'!$AY$3)),(VLOOKUP('17.01'!L85,'17.01'!$AM$4:$AO$55,2,FALSE))*IF('17.01'!$AK85="是",'17.01'!$AY$4,'17.01'!$AY$3))</f>
        <v>0</v>
      </c>
      <c r="E85" s="4">
        <f>IF(ISNUMBER(SEARCH("营",'17.01'!M85)),(-$Y85+50*IF('17.01'!$AK85="是",'17.01'!$AY$4,'17.01'!$AY$3)),(VLOOKUP('17.01'!M85,'17.01'!$AM$4:$AO$55,2,FALSE))*IF('17.01'!$AK85="是",'17.01'!$AY$4,'17.01'!$AY$3))</f>
        <v>0</v>
      </c>
      <c r="F85" s="4">
        <f>IF(ISNUMBER(SEARCH("营",'17.01'!N85)),(-$Y85+50*IF('17.01'!$AK85="是",'17.01'!$AY$4,'17.01'!$AY$3)),(VLOOKUP('17.01'!N85,'17.01'!$AM$4:$AO$55,2,FALSE))*IF('17.01'!$AK85="是",'17.01'!$AY$4,'17.01'!$AY$3))</f>
        <v>0</v>
      </c>
      <c r="G85" s="4">
        <f>IF(ISNUMBER(SEARCH("营",'17.01'!O85)),(-$Y85+50*IF('17.01'!$AK85="是",'17.01'!$AY$4,'17.01'!$AY$3)),(VLOOKUP('17.01'!O85,'17.01'!$AM$4:$AO$55,2,FALSE))*IF('17.01'!$AK85="是",'17.01'!$AY$4,'17.01'!$AY$3))</f>
        <v>0</v>
      </c>
      <c r="H85" s="4">
        <f>IF(ISNUMBER(SEARCH("营",'17.01'!P85)),(-$Y85+50*IF('17.01'!$AK85="是",'17.01'!$AY$4,'17.01'!$AY$3)),(VLOOKUP('17.01'!P85,'17.01'!$AM$4:$AO$55,2,FALSE))*IF('17.01'!$AK85="是",'17.01'!$AY$4,'17.01'!$AY$3))</f>
        <v>0</v>
      </c>
      <c r="I85" s="4">
        <f>IF(ISNUMBER(SEARCH("营",'17.01'!Q85)),(-$Y85+50*IF('17.01'!$AK85="是",'17.01'!$AY$4,'17.01'!$AY$3)),(VLOOKUP('17.01'!Q85,'17.01'!$AM$4:$AO$55,2,FALSE))*IF('17.01'!$AK85="是",'17.01'!$AY$4,'17.01'!$AY$3))</f>
        <v>0</v>
      </c>
      <c r="J85" s="4">
        <f>IF(ISNUMBER(SEARCH("营",'17.01'!R85)),(-$Y85+50*IF('17.01'!$AK85="是",'17.01'!$AY$4,'17.01'!$AY$3)),(VLOOKUP('17.01'!R85,'17.01'!$AM$4:$AO$55,2,FALSE))*IF('17.01'!$AK85="是",'17.01'!$AY$4,'17.01'!$AY$3))</f>
        <v>0</v>
      </c>
      <c r="K85" s="4">
        <f>IF(ISNUMBER(SEARCH("营",'17.01'!S85)),(-$Y85+50*IF('17.01'!$AK85="是",'17.01'!$AY$4,'17.01'!$AY$3)),(VLOOKUP('17.01'!S85,'17.01'!$AM$4:$AO$55,2,FALSE))*IF('17.01'!$AK85="是",'17.01'!$AY$4,'17.01'!$AY$3))</f>
        <v>0</v>
      </c>
      <c r="L85" s="4">
        <f>IF(ISNUMBER(SEARCH("营",'17.01'!T85)),(-$Y85+50*IF('17.01'!$AK85="是",'17.01'!$AY$4,'17.01'!$AY$3)),(VLOOKUP('17.01'!T85,'17.01'!$AM$4:$AO$55,2,FALSE))*IF('17.01'!$AK85="是",'17.01'!$AY$4,'17.01'!$AY$3))</f>
        <v>0</v>
      </c>
      <c r="M85" s="4">
        <f>IF(ISNUMBER(SEARCH("营",'17.01'!U85)),(-$Y85+50*IF('17.01'!$AK85="是",'17.01'!$AY$4,'17.01'!$AY$3)),(VLOOKUP('17.01'!U85,'17.01'!$AM$4:$AO$55,2,FALSE))*IF('17.01'!$AK85="是",'17.01'!$AY$4,'17.01'!$AY$3))</f>
        <v>0</v>
      </c>
      <c r="N85" s="4">
        <f>IF(ISNUMBER(SEARCH("营",'17.01'!V85)),(-$Y85+50*IF('17.01'!$AK85="是",'17.01'!$AY$4,'17.01'!$AY$3)),(VLOOKUP('17.01'!V85,'17.01'!$AM$4:$AO$55,2,FALSE))*IF('17.01'!$AK85="是",'17.01'!$AY$4,'17.01'!$AY$3))</f>
        <v>0</v>
      </c>
      <c r="O85" s="4">
        <f>IF(ISNUMBER(SEARCH("营",'17.01'!W85)),(-$Y85+50*IF('17.01'!$AK85="是",'17.01'!$AY$4,'17.01'!$AY$3)),(VLOOKUP('17.01'!W85,'17.01'!$AM$4:$AO$55,2,FALSE))*IF('17.01'!$AK85="是",'17.01'!$AY$4,'17.01'!$AY$3))</f>
        <v>0</v>
      </c>
      <c r="P85" s="4">
        <f>IF(ISNUMBER(SEARCH("营",'17.01'!X85)),(-$Y85+50*IF('17.01'!$AK85="是",'17.01'!$AY$4,'17.01'!$AY$3)),(VLOOKUP('17.01'!X85,'17.01'!$AM$4:$AO$55,2,FALSE))*IF('17.01'!$AK85="是",'17.01'!$AY$4,'17.01'!$AY$3))</f>
        <v>0</v>
      </c>
      <c r="Q85" s="4">
        <f>IF(ISNUMBER(SEARCH("营",'17.01'!Y85)),(-$Y85+50*IF('17.01'!$AK85="是",'17.01'!$AY$4,'17.01'!$AY$3)),(VLOOKUP('17.01'!Y85,'17.01'!$AM$4:$AO$55,2,FALSE))*IF('17.01'!$AK85="是",'17.01'!$AY$4,'17.01'!$AY$3))</f>
        <v>0</v>
      </c>
      <c r="R85" s="4">
        <f>IF(ISNUMBER(SEARCH("营",'17.01'!Z85)),(-$Y85+50*IF('17.01'!$AK85="是",'17.01'!$AY$4,'17.01'!$AY$3)),(VLOOKUP('17.01'!Z85,'17.01'!$AM$4:$AO$55,2,FALSE))*IF('17.01'!$AK85="是",'17.01'!$AY$4,'17.01'!$AY$3))</f>
        <v>0</v>
      </c>
      <c r="S85" s="4">
        <f>IF(ISNUMBER(SEARCH("营",'17.01'!AA85)),(-$Y85+50*IF('17.01'!$AK85="是",'17.01'!$AY$4,'17.01'!$AY$3)),(VLOOKUP('17.01'!AA85,'17.01'!$AM$4:$AO$55,2,FALSE))*IF('17.01'!$AK85="是",'17.01'!$AY$4,'17.01'!$AY$3))</f>
        <v>0</v>
      </c>
      <c r="T85" s="4">
        <f>IF(ISNUMBER(SEARCH("营",'17.01'!AB85)),(-$Y85+50*IF('17.01'!$AK85="是",'17.01'!$AY$4,'17.01'!$AY$3)),(VLOOKUP('17.01'!AB85,'17.01'!$AM$4:$AO$55,2,FALSE))*IF('17.01'!$AK85="是",'17.01'!$AY$4,'17.01'!$AY$3))</f>
        <v>0</v>
      </c>
      <c r="U85" s="4">
        <f>IF(ISNUMBER(SEARCH("营",'17.01'!AC85)),(-$Y85+50*IF('17.01'!$AK85="是",'17.01'!$AY$4,'17.01'!$AY$3)),(VLOOKUP('17.01'!AC85,'17.01'!$AM$4:$AO$55,2,FALSE))*IF('17.01'!$AK85="是",'17.01'!$AY$4,'17.01'!$AY$3))</f>
        <v>0</v>
      </c>
      <c r="V85" s="4">
        <f>IF(ISNUMBER(SEARCH("营",'17.01'!AD85)),(-$Y85+50*IF('17.01'!$AK85="是",'17.01'!$AY$4,'17.01'!$AY$3)),(VLOOKUP('17.01'!AD85,'17.01'!$AM$4:$AO$55,2,FALSE))*IF('17.01'!$AK85="是",'17.01'!$AY$4,'17.01'!$AY$3))</f>
        <v>0</v>
      </c>
      <c r="W85" s="4">
        <f>IF(ISNUMBER(SEARCH("营",'17.01'!AE85)),(-$Y85+50*IF('17.01'!$AK85="是",'17.01'!$AY$4,'17.01'!$AY$3)),(VLOOKUP('17.01'!AE85,'17.01'!$AM$4:$AO$55,2,FALSE))*IF('17.01'!$AK85="是",'17.01'!$AY$4,'17.01'!$AY$3))</f>
        <v>0</v>
      </c>
      <c r="X85" s="4">
        <f>IF(ISNUMBER(SEARCH("营",'17.01'!AF85)),(-$Y85+50*IF('17.01'!$AK85="是",'17.01'!$AY$4,'17.01'!$AY$3)),(VLOOKUP('17.01'!AF85,'17.01'!$AM$4:$AO$55,2,FALSE))*IF('17.01'!$AK85="是",'17.01'!$AY$4,'17.01'!$AY$3))</f>
        <v>0</v>
      </c>
      <c r="Y85" s="90">
        <v>100</v>
      </c>
    </row>
    <row r="86" spans="1:25">
      <c r="A86" s="4">
        <f>IF(ISNUMBER(SEARCH("营",'17.01'!I86)),(-$Y86+50*IF('17.01'!$AK86="是",'17.01'!$AY$4,'17.01'!$AY$3)),(VLOOKUP('17.01'!I86,'17.01'!$AM$4:$AO$55,2,FALSE))*IF('17.01'!$AK86="是",'17.01'!$AY$4,'17.01'!$AY$3))</f>
        <v>0</v>
      </c>
      <c r="B86" s="4">
        <f>IF(ISNUMBER(SEARCH("营",'17.01'!J86)),(-$Y86+50*IF('17.01'!$AK86="是",'17.01'!$AY$4,'17.01'!$AY$3)),(VLOOKUP('17.01'!J86,'17.01'!$AM$4:$AO$55,2,FALSE))*IF('17.01'!$AK86="是",'17.01'!$AY$4,'17.01'!$AY$3))</f>
        <v>0</v>
      </c>
      <c r="C86" s="4">
        <f>IF(ISNUMBER(SEARCH("营",'17.01'!K86)),(-$Y86+50*IF('17.01'!$AK86="是",'17.01'!$AY$4,'17.01'!$AY$3)),(VLOOKUP('17.01'!K86,'17.01'!$AM$4:$AO$55,2,FALSE))*IF('17.01'!$AK86="是",'17.01'!$AY$4,'17.01'!$AY$3))</f>
        <v>0</v>
      </c>
      <c r="D86" s="4">
        <f>IF(ISNUMBER(SEARCH("营",'17.01'!L86)),(-$Y86+50*IF('17.01'!$AK86="是",'17.01'!$AY$4,'17.01'!$AY$3)),(VLOOKUP('17.01'!L86,'17.01'!$AM$4:$AO$55,2,FALSE))*IF('17.01'!$AK86="是",'17.01'!$AY$4,'17.01'!$AY$3))</f>
        <v>0</v>
      </c>
      <c r="E86" s="4">
        <f>IF(ISNUMBER(SEARCH("营",'17.01'!M86)),(-$Y86+50*IF('17.01'!$AK86="是",'17.01'!$AY$4,'17.01'!$AY$3)),(VLOOKUP('17.01'!M86,'17.01'!$AM$4:$AO$55,2,FALSE))*IF('17.01'!$AK86="是",'17.01'!$AY$4,'17.01'!$AY$3))</f>
        <v>0</v>
      </c>
      <c r="F86" s="4">
        <f>IF(ISNUMBER(SEARCH("营",'17.01'!N86)),(-$Y86+50*IF('17.01'!$AK86="是",'17.01'!$AY$4,'17.01'!$AY$3)),(VLOOKUP('17.01'!N86,'17.01'!$AM$4:$AO$55,2,FALSE))*IF('17.01'!$AK86="是",'17.01'!$AY$4,'17.01'!$AY$3))</f>
        <v>0</v>
      </c>
      <c r="G86" s="4">
        <f>IF(ISNUMBER(SEARCH("营",'17.01'!O86)),(-$Y86+50*IF('17.01'!$AK86="是",'17.01'!$AY$4,'17.01'!$AY$3)),(VLOOKUP('17.01'!O86,'17.01'!$AM$4:$AO$55,2,FALSE))*IF('17.01'!$AK86="是",'17.01'!$AY$4,'17.01'!$AY$3))</f>
        <v>0</v>
      </c>
      <c r="H86" s="4">
        <f>IF(ISNUMBER(SEARCH("营",'17.01'!P86)),(-$Y86+50*IF('17.01'!$AK86="是",'17.01'!$AY$4,'17.01'!$AY$3)),(VLOOKUP('17.01'!P86,'17.01'!$AM$4:$AO$55,2,FALSE))*IF('17.01'!$AK86="是",'17.01'!$AY$4,'17.01'!$AY$3))</f>
        <v>0</v>
      </c>
      <c r="I86" s="4">
        <f>IF(ISNUMBER(SEARCH("营",'17.01'!Q86)),(-$Y86+50*IF('17.01'!$AK86="是",'17.01'!$AY$4,'17.01'!$AY$3)),(VLOOKUP('17.01'!Q86,'17.01'!$AM$4:$AO$55,2,FALSE))*IF('17.01'!$AK86="是",'17.01'!$AY$4,'17.01'!$AY$3))</f>
        <v>0</v>
      </c>
      <c r="J86" s="4">
        <f>IF(ISNUMBER(SEARCH("营",'17.01'!R86)),(-$Y86+50*IF('17.01'!$AK86="是",'17.01'!$AY$4,'17.01'!$AY$3)),(VLOOKUP('17.01'!R86,'17.01'!$AM$4:$AO$55,2,FALSE))*IF('17.01'!$AK86="是",'17.01'!$AY$4,'17.01'!$AY$3))</f>
        <v>0</v>
      </c>
      <c r="K86" s="4">
        <f>IF(ISNUMBER(SEARCH("营",'17.01'!S86)),(-$Y86+50*IF('17.01'!$AK86="是",'17.01'!$AY$4,'17.01'!$AY$3)),(VLOOKUP('17.01'!S86,'17.01'!$AM$4:$AO$55,2,FALSE))*IF('17.01'!$AK86="是",'17.01'!$AY$4,'17.01'!$AY$3))</f>
        <v>0</v>
      </c>
      <c r="L86" s="4">
        <f>IF(ISNUMBER(SEARCH("营",'17.01'!T86)),(-$Y86+50*IF('17.01'!$AK86="是",'17.01'!$AY$4,'17.01'!$AY$3)),(VLOOKUP('17.01'!T86,'17.01'!$AM$4:$AO$55,2,FALSE))*IF('17.01'!$AK86="是",'17.01'!$AY$4,'17.01'!$AY$3))</f>
        <v>0</v>
      </c>
      <c r="M86" s="4">
        <f>IF(ISNUMBER(SEARCH("营",'17.01'!U86)),(-$Y86+50*IF('17.01'!$AK86="是",'17.01'!$AY$4,'17.01'!$AY$3)),(VLOOKUP('17.01'!U86,'17.01'!$AM$4:$AO$55,2,FALSE))*IF('17.01'!$AK86="是",'17.01'!$AY$4,'17.01'!$AY$3))</f>
        <v>0</v>
      </c>
      <c r="N86" s="4">
        <f>IF(ISNUMBER(SEARCH("营",'17.01'!V86)),(-$Y86+50*IF('17.01'!$AK86="是",'17.01'!$AY$4,'17.01'!$AY$3)),(VLOOKUP('17.01'!V86,'17.01'!$AM$4:$AO$55,2,FALSE))*IF('17.01'!$AK86="是",'17.01'!$AY$4,'17.01'!$AY$3))</f>
        <v>0</v>
      </c>
      <c r="O86" s="4">
        <f>IF(ISNUMBER(SEARCH("营",'17.01'!W86)),(-$Y86+50*IF('17.01'!$AK86="是",'17.01'!$AY$4,'17.01'!$AY$3)),(VLOOKUP('17.01'!W86,'17.01'!$AM$4:$AO$55,2,FALSE))*IF('17.01'!$AK86="是",'17.01'!$AY$4,'17.01'!$AY$3))</f>
        <v>0</v>
      </c>
      <c r="P86" s="4">
        <f>IF(ISNUMBER(SEARCH("营",'17.01'!X86)),(-$Y86+50*IF('17.01'!$AK86="是",'17.01'!$AY$4,'17.01'!$AY$3)),(VLOOKUP('17.01'!X86,'17.01'!$AM$4:$AO$55,2,FALSE))*IF('17.01'!$AK86="是",'17.01'!$AY$4,'17.01'!$AY$3))</f>
        <v>0</v>
      </c>
      <c r="Q86" s="4">
        <f>IF(ISNUMBER(SEARCH("营",'17.01'!Y86)),(-$Y86+50*IF('17.01'!$AK86="是",'17.01'!$AY$4,'17.01'!$AY$3)),(VLOOKUP('17.01'!Y86,'17.01'!$AM$4:$AO$55,2,FALSE))*IF('17.01'!$AK86="是",'17.01'!$AY$4,'17.01'!$AY$3))</f>
        <v>0</v>
      </c>
      <c r="R86" s="4">
        <f>IF(ISNUMBER(SEARCH("营",'17.01'!Z86)),(-$Y86+50*IF('17.01'!$AK86="是",'17.01'!$AY$4,'17.01'!$AY$3)),(VLOOKUP('17.01'!Z86,'17.01'!$AM$4:$AO$55,2,FALSE))*IF('17.01'!$AK86="是",'17.01'!$AY$4,'17.01'!$AY$3))</f>
        <v>0</v>
      </c>
      <c r="S86" s="4">
        <f>IF(ISNUMBER(SEARCH("营",'17.01'!AA86)),(-$Y86+50*IF('17.01'!$AK86="是",'17.01'!$AY$4,'17.01'!$AY$3)),(VLOOKUP('17.01'!AA86,'17.01'!$AM$4:$AO$55,2,FALSE))*IF('17.01'!$AK86="是",'17.01'!$AY$4,'17.01'!$AY$3))</f>
        <v>0</v>
      </c>
      <c r="T86" s="4">
        <f>IF(ISNUMBER(SEARCH("营",'17.01'!AB86)),(-$Y86+50*IF('17.01'!$AK86="是",'17.01'!$AY$4,'17.01'!$AY$3)),(VLOOKUP('17.01'!AB86,'17.01'!$AM$4:$AO$55,2,FALSE))*IF('17.01'!$AK86="是",'17.01'!$AY$4,'17.01'!$AY$3))</f>
        <v>0</v>
      </c>
      <c r="U86" s="4">
        <f>IF(ISNUMBER(SEARCH("营",'17.01'!AC86)),(-$Y86+50*IF('17.01'!$AK86="是",'17.01'!$AY$4,'17.01'!$AY$3)),(VLOOKUP('17.01'!AC86,'17.01'!$AM$4:$AO$55,2,FALSE))*IF('17.01'!$AK86="是",'17.01'!$AY$4,'17.01'!$AY$3))</f>
        <v>0</v>
      </c>
      <c r="V86" s="4">
        <f>IF(ISNUMBER(SEARCH("营",'17.01'!AD86)),(-$Y86+50*IF('17.01'!$AK86="是",'17.01'!$AY$4,'17.01'!$AY$3)),(VLOOKUP('17.01'!AD86,'17.01'!$AM$4:$AO$55,2,FALSE))*IF('17.01'!$AK86="是",'17.01'!$AY$4,'17.01'!$AY$3))</f>
        <v>0</v>
      </c>
      <c r="W86" s="4">
        <f>IF(ISNUMBER(SEARCH("营",'17.01'!AE86)),(-$Y86+50*IF('17.01'!$AK86="是",'17.01'!$AY$4,'17.01'!$AY$3)),(VLOOKUP('17.01'!AE86,'17.01'!$AM$4:$AO$55,2,FALSE))*IF('17.01'!$AK86="是",'17.01'!$AY$4,'17.01'!$AY$3))</f>
        <v>0</v>
      </c>
      <c r="X86" s="4">
        <f>IF(ISNUMBER(SEARCH("营",'17.01'!AF86)),(-$Y86+50*IF('17.01'!$AK86="是",'17.01'!$AY$4,'17.01'!$AY$3)),(VLOOKUP('17.01'!AF86,'17.01'!$AM$4:$AO$55,2,FALSE))*IF('17.01'!$AK86="是",'17.01'!$AY$4,'17.01'!$AY$3))</f>
        <v>0</v>
      </c>
      <c r="Y86" s="90">
        <v>100</v>
      </c>
    </row>
    <row r="87" spans="1:25">
      <c r="A87" s="4">
        <f>IF(ISNUMBER(SEARCH("营",'17.01'!I87)),(-$Y87+50*IF('17.01'!$AK87="是",'17.01'!$AY$4,'17.01'!$AY$3)),(VLOOKUP('17.01'!I87,'17.01'!$AM$4:$AO$55,2,FALSE))*IF('17.01'!$AK87="是",'17.01'!$AY$4,'17.01'!$AY$3))</f>
        <v>0</v>
      </c>
      <c r="B87" s="4">
        <f>IF(ISNUMBER(SEARCH("营",'17.01'!J87)),(-$Y87+50*IF('17.01'!$AK87="是",'17.01'!$AY$4,'17.01'!$AY$3)),(VLOOKUP('17.01'!J87,'17.01'!$AM$4:$AO$55,2,FALSE))*IF('17.01'!$AK87="是",'17.01'!$AY$4,'17.01'!$AY$3))</f>
        <v>0</v>
      </c>
      <c r="C87" s="4">
        <f>IF(ISNUMBER(SEARCH("营",'17.01'!K87)),(-$Y87+50*IF('17.01'!$AK87="是",'17.01'!$AY$4,'17.01'!$AY$3)),(VLOOKUP('17.01'!K87,'17.01'!$AM$4:$AO$55,2,FALSE))*IF('17.01'!$AK87="是",'17.01'!$AY$4,'17.01'!$AY$3))</f>
        <v>0</v>
      </c>
      <c r="D87" s="4">
        <f>IF(ISNUMBER(SEARCH("营",'17.01'!L87)),(-$Y87+50*IF('17.01'!$AK87="是",'17.01'!$AY$4,'17.01'!$AY$3)),(VLOOKUP('17.01'!L87,'17.01'!$AM$4:$AO$55,2,FALSE))*IF('17.01'!$AK87="是",'17.01'!$AY$4,'17.01'!$AY$3))</f>
        <v>0</v>
      </c>
      <c r="E87" s="4">
        <f>IF(ISNUMBER(SEARCH("营",'17.01'!M87)),(-$Y87+50*IF('17.01'!$AK87="是",'17.01'!$AY$4,'17.01'!$AY$3)),(VLOOKUP('17.01'!M87,'17.01'!$AM$4:$AO$55,2,FALSE))*IF('17.01'!$AK87="是",'17.01'!$AY$4,'17.01'!$AY$3))</f>
        <v>0</v>
      </c>
      <c r="F87" s="4">
        <f>IF(ISNUMBER(SEARCH("营",'17.01'!N87)),(-$Y87+50*IF('17.01'!$AK87="是",'17.01'!$AY$4,'17.01'!$AY$3)),(VLOOKUP('17.01'!N87,'17.01'!$AM$4:$AO$55,2,FALSE))*IF('17.01'!$AK87="是",'17.01'!$AY$4,'17.01'!$AY$3))</f>
        <v>0</v>
      </c>
      <c r="G87" s="4">
        <f>IF(ISNUMBER(SEARCH("营",'17.01'!O87)),(-$Y87+50*IF('17.01'!$AK87="是",'17.01'!$AY$4,'17.01'!$AY$3)),(VLOOKUP('17.01'!O87,'17.01'!$AM$4:$AO$55,2,FALSE))*IF('17.01'!$AK87="是",'17.01'!$AY$4,'17.01'!$AY$3))</f>
        <v>0</v>
      </c>
      <c r="H87" s="4">
        <f>IF(ISNUMBER(SEARCH("营",'17.01'!P87)),(-$Y87+50*IF('17.01'!$AK87="是",'17.01'!$AY$4,'17.01'!$AY$3)),(VLOOKUP('17.01'!P87,'17.01'!$AM$4:$AO$55,2,FALSE))*IF('17.01'!$AK87="是",'17.01'!$AY$4,'17.01'!$AY$3))</f>
        <v>0</v>
      </c>
      <c r="I87" s="4">
        <f>IF(ISNUMBER(SEARCH("营",'17.01'!Q87)),(-$Y87+50*IF('17.01'!$AK87="是",'17.01'!$AY$4,'17.01'!$AY$3)),(VLOOKUP('17.01'!Q87,'17.01'!$AM$4:$AO$55,2,FALSE))*IF('17.01'!$AK87="是",'17.01'!$AY$4,'17.01'!$AY$3))</f>
        <v>0</v>
      </c>
      <c r="J87" s="4">
        <f>IF(ISNUMBER(SEARCH("营",'17.01'!R87)),(-$Y87+50*IF('17.01'!$AK87="是",'17.01'!$AY$4,'17.01'!$AY$3)),(VLOOKUP('17.01'!R87,'17.01'!$AM$4:$AO$55,2,FALSE))*IF('17.01'!$AK87="是",'17.01'!$AY$4,'17.01'!$AY$3))</f>
        <v>0</v>
      </c>
      <c r="K87" s="4">
        <f>IF(ISNUMBER(SEARCH("营",'17.01'!S87)),(-$Y87+50*IF('17.01'!$AK87="是",'17.01'!$AY$4,'17.01'!$AY$3)),(VLOOKUP('17.01'!S87,'17.01'!$AM$4:$AO$55,2,FALSE))*IF('17.01'!$AK87="是",'17.01'!$AY$4,'17.01'!$AY$3))</f>
        <v>0</v>
      </c>
      <c r="L87" s="4">
        <f>IF(ISNUMBER(SEARCH("营",'17.01'!T87)),(-$Y87+50*IF('17.01'!$AK87="是",'17.01'!$AY$4,'17.01'!$AY$3)),(VLOOKUP('17.01'!T87,'17.01'!$AM$4:$AO$55,2,FALSE))*IF('17.01'!$AK87="是",'17.01'!$AY$4,'17.01'!$AY$3))</f>
        <v>0</v>
      </c>
      <c r="M87" s="4">
        <f>IF(ISNUMBER(SEARCH("营",'17.01'!U87)),(-$Y87+50*IF('17.01'!$AK87="是",'17.01'!$AY$4,'17.01'!$AY$3)),(VLOOKUP('17.01'!U87,'17.01'!$AM$4:$AO$55,2,FALSE))*IF('17.01'!$AK87="是",'17.01'!$AY$4,'17.01'!$AY$3))</f>
        <v>0</v>
      </c>
      <c r="N87" s="4">
        <f>IF(ISNUMBER(SEARCH("营",'17.01'!V87)),(-$Y87+50*IF('17.01'!$AK87="是",'17.01'!$AY$4,'17.01'!$AY$3)),(VLOOKUP('17.01'!V87,'17.01'!$AM$4:$AO$55,2,FALSE))*IF('17.01'!$AK87="是",'17.01'!$AY$4,'17.01'!$AY$3))</f>
        <v>0</v>
      </c>
      <c r="O87" s="4">
        <f>IF(ISNUMBER(SEARCH("营",'17.01'!W87)),(-$Y87+50*IF('17.01'!$AK87="是",'17.01'!$AY$4,'17.01'!$AY$3)),(VLOOKUP('17.01'!W87,'17.01'!$AM$4:$AO$55,2,FALSE))*IF('17.01'!$AK87="是",'17.01'!$AY$4,'17.01'!$AY$3))</f>
        <v>0</v>
      </c>
      <c r="P87" s="4">
        <f>IF(ISNUMBER(SEARCH("营",'17.01'!X87)),(-$Y87+50*IF('17.01'!$AK87="是",'17.01'!$AY$4,'17.01'!$AY$3)),(VLOOKUP('17.01'!X87,'17.01'!$AM$4:$AO$55,2,FALSE))*IF('17.01'!$AK87="是",'17.01'!$AY$4,'17.01'!$AY$3))</f>
        <v>0</v>
      </c>
      <c r="Q87" s="4">
        <f>IF(ISNUMBER(SEARCH("营",'17.01'!Y87)),(-$Y87+50*IF('17.01'!$AK87="是",'17.01'!$AY$4,'17.01'!$AY$3)),(VLOOKUP('17.01'!Y87,'17.01'!$AM$4:$AO$55,2,FALSE))*IF('17.01'!$AK87="是",'17.01'!$AY$4,'17.01'!$AY$3))</f>
        <v>0</v>
      </c>
      <c r="R87" s="4">
        <f>IF(ISNUMBER(SEARCH("营",'17.01'!Z87)),(-$Y87+50*IF('17.01'!$AK87="是",'17.01'!$AY$4,'17.01'!$AY$3)),(VLOOKUP('17.01'!Z87,'17.01'!$AM$4:$AO$55,2,FALSE))*IF('17.01'!$AK87="是",'17.01'!$AY$4,'17.01'!$AY$3))</f>
        <v>0</v>
      </c>
      <c r="S87" s="4">
        <f>IF(ISNUMBER(SEARCH("营",'17.01'!AA87)),(-$Y87+50*IF('17.01'!$AK87="是",'17.01'!$AY$4,'17.01'!$AY$3)),(VLOOKUP('17.01'!AA87,'17.01'!$AM$4:$AO$55,2,FALSE))*IF('17.01'!$AK87="是",'17.01'!$AY$4,'17.01'!$AY$3))</f>
        <v>0</v>
      </c>
      <c r="T87" s="4">
        <f>IF(ISNUMBER(SEARCH("营",'17.01'!AB87)),(-$Y87+50*IF('17.01'!$AK87="是",'17.01'!$AY$4,'17.01'!$AY$3)),(VLOOKUP('17.01'!AB87,'17.01'!$AM$4:$AO$55,2,FALSE))*IF('17.01'!$AK87="是",'17.01'!$AY$4,'17.01'!$AY$3))</f>
        <v>0</v>
      </c>
      <c r="U87" s="4">
        <f>IF(ISNUMBER(SEARCH("营",'17.01'!AC87)),(-$Y87+50*IF('17.01'!$AK87="是",'17.01'!$AY$4,'17.01'!$AY$3)),(VLOOKUP('17.01'!AC87,'17.01'!$AM$4:$AO$55,2,FALSE))*IF('17.01'!$AK87="是",'17.01'!$AY$4,'17.01'!$AY$3))</f>
        <v>0</v>
      </c>
      <c r="V87" s="4">
        <f>IF(ISNUMBER(SEARCH("营",'17.01'!AD87)),(-$Y87+50*IF('17.01'!$AK87="是",'17.01'!$AY$4,'17.01'!$AY$3)),(VLOOKUP('17.01'!AD87,'17.01'!$AM$4:$AO$55,2,FALSE))*IF('17.01'!$AK87="是",'17.01'!$AY$4,'17.01'!$AY$3))</f>
        <v>0</v>
      </c>
      <c r="W87" s="4">
        <f>IF(ISNUMBER(SEARCH("营",'17.01'!AE87)),(-$Y87+50*IF('17.01'!$AK87="是",'17.01'!$AY$4,'17.01'!$AY$3)),(VLOOKUP('17.01'!AE87,'17.01'!$AM$4:$AO$55,2,FALSE))*IF('17.01'!$AK87="是",'17.01'!$AY$4,'17.01'!$AY$3))</f>
        <v>0</v>
      </c>
      <c r="X87" s="4">
        <f>IF(ISNUMBER(SEARCH("营",'17.01'!AF87)),(-$Y87+50*IF('17.01'!$AK87="是",'17.01'!$AY$4,'17.01'!$AY$3)),(VLOOKUP('17.01'!AF87,'17.01'!$AM$4:$AO$55,2,FALSE))*IF('17.01'!$AK87="是",'17.01'!$AY$4,'17.01'!$AY$3))</f>
        <v>0</v>
      </c>
      <c r="Y87" s="90">
        <v>100</v>
      </c>
    </row>
    <row r="88" spans="1:25">
      <c r="A88" s="4">
        <f>IF(ISNUMBER(SEARCH("营",'17.01'!I88)),(-$Y88+50*IF('17.01'!$AK88="是",'17.01'!$AY$4,'17.01'!$AY$3)),(VLOOKUP('17.01'!I88,'17.01'!$AM$4:$AO$55,2,FALSE))*IF('17.01'!$AK88="是",'17.01'!$AY$4,'17.01'!$AY$3))</f>
        <v>0</v>
      </c>
      <c r="B88" s="4">
        <f>IF(ISNUMBER(SEARCH("营",'17.01'!J88)),(-$Y88+50*IF('17.01'!$AK88="是",'17.01'!$AY$4,'17.01'!$AY$3)),(VLOOKUP('17.01'!J88,'17.01'!$AM$4:$AO$55,2,FALSE))*IF('17.01'!$AK88="是",'17.01'!$AY$4,'17.01'!$AY$3))</f>
        <v>0</v>
      </c>
      <c r="C88" s="4">
        <f>IF(ISNUMBER(SEARCH("营",'17.01'!K88)),(-$Y88+50*IF('17.01'!$AK88="是",'17.01'!$AY$4,'17.01'!$AY$3)),(VLOOKUP('17.01'!K88,'17.01'!$AM$4:$AO$55,2,FALSE))*IF('17.01'!$AK88="是",'17.01'!$AY$4,'17.01'!$AY$3))</f>
        <v>0</v>
      </c>
      <c r="D88" s="4">
        <f>IF(ISNUMBER(SEARCH("营",'17.01'!L88)),(-$Y88+50*IF('17.01'!$AK88="是",'17.01'!$AY$4,'17.01'!$AY$3)),(VLOOKUP('17.01'!L88,'17.01'!$AM$4:$AO$55,2,FALSE))*IF('17.01'!$AK88="是",'17.01'!$AY$4,'17.01'!$AY$3))</f>
        <v>0</v>
      </c>
      <c r="E88" s="4">
        <f>IF(ISNUMBER(SEARCH("营",'17.01'!M88)),(-$Y88+50*IF('17.01'!$AK88="是",'17.01'!$AY$4,'17.01'!$AY$3)),(VLOOKUP('17.01'!M88,'17.01'!$AM$4:$AO$55,2,FALSE))*IF('17.01'!$AK88="是",'17.01'!$AY$4,'17.01'!$AY$3))</f>
        <v>0</v>
      </c>
      <c r="F88" s="4">
        <f>IF(ISNUMBER(SEARCH("营",'17.01'!N88)),(-$Y88+50*IF('17.01'!$AK88="是",'17.01'!$AY$4,'17.01'!$AY$3)),(VLOOKUP('17.01'!N88,'17.01'!$AM$4:$AO$55,2,FALSE))*IF('17.01'!$AK88="是",'17.01'!$AY$4,'17.01'!$AY$3))</f>
        <v>0</v>
      </c>
      <c r="G88" s="4">
        <f>IF(ISNUMBER(SEARCH("营",'17.01'!O88)),(-$Y88+50*IF('17.01'!$AK88="是",'17.01'!$AY$4,'17.01'!$AY$3)),(VLOOKUP('17.01'!O88,'17.01'!$AM$4:$AO$55,2,FALSE))*IF('17.01'!$AK88="是",'17.01'!$AY$4,'17.01'!$AY$3))</f>
        <v>0</v>
      </c>
      <c r="H88" s="4">
        <f>IF(ISNUMBER(SEARCH("营",'17.01'!P88)),(-$Y88+50*IF('17.01'!$AK88="是",'17.01'!$AY$4,'17.01'!$AY$3)),(VLOOKUP('17.01'!P88,'17.01'!$AM$4:$AO$55,2,FALSE))*IF('17.01'!$AK88="是",'17.01'!$AY$4,'17.01'!$AY$3))</f>
        <v>0</v>
      </c>
      <c r="I88" s="4">
        <f>IF(ISNUMBER(SEARCH("营",'17.01'!Q88)),(-$Y88+50*IF('17.01'!$AK88="是",'17.01'!$AY$4,'17.01'!$AY$3)),(VLOOKUP('17.01'!Q88,'17.01'!$AM$4:$AO$55,2,FALSE))*IF('17.01'!$AK88="是",'17.01'!$AY$4,'17.01'!$AY$3))</f>
        <v>0</v>
      </c>
      <c r="J88" s="4">
        <f>IF(ISNUMBER(SEARCH("营",'17.01'!R88)),(-$Y88+50*IF('17.01'!$AK88="是",'17.01'!$AY$4,'17.01'!$AY$3)),(VLOOKUP('17.01'!R88,'17.01'!$AM$4:$AO$55,2,FALSE))*IF('17.01'!$AK88="是",'17.01'!$AY$4,'17.01'!$AY$3))</f>
        <v>0</v>
      </c>
      <c r="K88" s="4">
        <f>IF(ISNUMBER(SEARCH("营",'17.01'!S88)),(-$Y88+50*IF('17.01'!$AK88="是",'17.01'!$AY$4,'17.01'!$AY$3)),(VLOOKUP('17.01'!S88,'17.01'!$AM$4:$AO$55,2,FALSE))*IF('17.01'!$AK88="是",'17.01'!$AY$4,'17.01'!$AY$3))</f>
        <v>0</v>
      </c>
      <c r="L88" s="4">
        <f>IF(ISNUMBER(SEARCH("营",'17.01'!T88)),(-$Y88+50*IF('17.01'!$AK88="是",'17.01'!$AY$4,'17.01'!$AY$3)),(VLOOKUP('17.01'!T88,'17.01'!$AM$4:$AO$55,2,FALSE))*IF('17.01'!$AK88="是",'17.01'!$AY$4,'17.01'!$AY$3))</f>
        <v>0</v>
      </c>
      <c r="M88" s="4">
        <f>IF(ISNUMBER(SEARCH("营",'17.01'!U88)),(-$Y88+50*IF('17.01'!$AK88="是",'17.01'!$AY$4,'17.01'!$AY$3)),(VLOOKUP('17.01'!U88,'17.01'!$AM$4:$AO$55,2,FALSE))*IF('17.01'!$AK88="是",'17.01'!$AY$4,'17.01'!$AY$3))</f>
        <v>0</v>
      </c>
      <c r="N88" s="4">
        <f>IF(ISNUMBER(SEARCH("营",'17.01'!V88)),(-$Y88+50*IF('17.01'!$AK88="是",'17.01'!$AY$4,'17.01'!$AY$3)),(VLOOKUP('17.01'!V88,'17.01'!$AM$4:$AO$55,2,FALSE))*IF('17.01'!$AK88="是",'17.01'!$AY$4,'17.01'!$AY$3))</f>
        <v>0</v>
      </c>
      <c r="O88" s="4">
        <f>IF(ISNUMBER(SEARCH("营",'17.01'!W88)),(-$Y88+50*IF('17.01'!$AK88="是",'17.01'!$AY$4,'17.01'!$AY$3)),(VLOOKUP('17.01'!W88,'17.01'!$AM$4:$AO$55,2,FALSE))*IF('17.01'!$AK88="是",'17.01'!$AY$4,'17.01'!$AY$3))</f>
        <v>0</v>
      </c>
      <c r="P88" s="4">
        <f>IF(ISNUMBER(SEARCH("营",'17.01'!X88)),(-$Y88+50*IF('17.01'!$AK88="是",'17.01'!$AY$4,'17.01'!$AY$3)),(VLOOKUP('17.01'!X88,'17.01'!$AM$4:$AO$55,2,FALSE))*IF('17.01'!$AK88="是",'17.01'!$AY$4,'17.01'!$AY$3))</f>
        <v>0</v>
      </c>
      <c r="Q88" s="4">
        <f>IF(ISNUMBER(SEARCH("营",'17.01'!Y88)),(-$Y88+50*IF('17.01'!$AK88="是",'17.01'!$AY$4,'17.01'!$AY$3)),(VLOOKUP('17.01'!Y88,'17.01'!$AM$4:$AO$55,2,FALSE))*IF('17.01'!$AK88="是",'17.01'!$AY$4,'17.01'!$AY$3))</f>
        <v>0</v>
      </c>
      <c r="R88" s="4">
        <f>IF(ISNUMBER(SEARCH("营",'17.01'!Z88)),(-$Y88+50*IF('17.01'!$AK88="是",'17.01'!$AY$4,'17.01'!$AY$3)),(VLOOKUP('17.01'!Z88,'17.01'!$AM$4:$AO$55,2,FALSE))*IF('17.01'!$AK88="是",'17.01'!$AY$4,'17.01'!$AY$3))</f>
        <v>0</v>
      </c>
      <c r="S88" s="4">
        <f>IF(ISNUMBER(SEARCH("营",'17.01'!AA88)),(-$Y88+50*IF('17.01'!$AK88="是",'17.01'!$AY$4,'17.01'!$AY$3)),(VLOOKUP('17.01'!AA88,'17.01'!$AM$4:$AO$55,2,FALSE))*IF('17.01'!$AK88="是",'17.01'!$AY$4,'17.01'!$AY$3))</f>
        <v>0</v>
      </c>
      <c r="T88" s="4">
        <f>IF(ISNUMBER(SEARCH("营",'17.01'!AB88)),(-$Y88+50*IF('17.01'!$AK88="是",'17.01'!$AY$4,'17.01'!$AY$3)),(VLOOKUP('17.01'!AB88,'17.01'!$AM$4:$AO$55,2,FALSE))*IF('17.01'!$AK88="是",'17.01'!$AY$4,'17.01'!$AY$3))</f>
        <v>0</v>
      </c>
      <c r="U88" s="4">
        <f>IF(ISNUMBER(SEARCH("营",'17.01'!AC88)),(-$Y88+50*IF('17.01'!$AK88="是",'17.01'!$AY$4,'17.01'!$AY$3)),(VLOOKUP('17.01'!AC88,'17.01'!$AM$4:$AO$55,2,FALSE))*IF('17.01'!$AK88="是",'17.01'!$AY$4,'17.01'!$AY$3))</f>
        <v>0</v>
      </c>
      <c r="V88" s="4">
        <f>IF(ISNUMBER(SEARCH("营",'17.01'!AD88)),(-$Y88+50*IF('17.01'!$AK88="是",'17.01'!$AY$4,'17.01'!$AY$3)),(VLOOKUP('17.01'!AD88,'17.01'!$AM$4:$AO$55,2,FALSE))*IF('17.01'!$AK88="是",'17.01'!$AY$4,'17.01'!$AY$3))</f>
        <v>0</v>
      </c>
      <c r="W88" s="4">
        <f>IF(ISNUMBER(SEARCH("营",'17.01'!AE88)),(-$Y88+50*IF('17.01'!$AK88="是",'17.01'!$AY$4,'17.01'!$AY$3)),(VLOOKUP('17.01'!AE88,'17.01'!$AM$4:$AO$55,2,FALSE))*IF('17.01'!$AK88="是",'17.01'!$AY$4,'17.01'!$AY$3))</f>
        <v>0</v>
      </c>
      <c r="X88" s="4">
        <f>IF(ISNUMBER(SEARCH("营",'17.01'!AF88)),(-$Y88+50*IF('17.01'!$AK88="是",'17.01'!$AY$4,'17.01'!$AY$3)),(VLOOKUP('17.01'!AF88,'17.01'!$AM$4:$AO$55,2,FALSE))*IF('17.01'!$AK88="是",'17.01'!$AY$4,'17.01'!$AY$3))</f>
        <v>0</v>
      </c>
      <c r="Y88" s="90">
        <v>100</v>
      </c>
    </row>
    <row r="89" spans="1:25">
      <c r="A89" s="4">
        <f>IF(ISNUMBER(SEARCH("营",'17.01'!I89)),(-$Y89+50*IF('17.01'!$AK89="是",'17.01'!$AY$4,'17.01'!$AY$3)),(VLOOKUP('17.01'!I89,'17.01'!$AM$4:$AO$55,2,FALSE))*IF('17.01'!$AK89="是",'17.01'!$AY$4,'17.01'!$AY$3))</f>
        <v>0</v>
      </c>
      <c r="B89" s="4">
        <f>IF(ISNUMBER(SEARCH("营",'17.01'!J89)),(-$Y89+50*IF('17.01'!$AK89="是",'17.01'!$AY$4,'17.01'!$AY$3)),(VLOOKUP('17.01'!J89,'17.01'!$AM$4:$AO$55,2,FALSE))*IF('17.01'!$AK89="是",'17.01'!$AY$4,'17.01'!$AY$3))</f>
        <v>0</v>
      </c>
      <c r="C89" s="4">
        <f>IF(ISNUMBER(SEARCH("营",'17.01'!K89)),(-$Y89+50*IF('17.01'!$AK89="是",'17.01'!$AY$4,'17.01'!$AY$3)),(VLOOKUP('17.01'!K89,'17.01'!$AM$4:$AO$55,2,FALSE))*IF('17.01'!$AK89="是",'17.01'!$AY$4,'17.01'!$AY$3))</f>
        <v>0</v>
      </c>
      <c r="D89" s="4">
        <f>IF(ISNUMBER(SEARCH("营",'17.01'!L89)),(-$Y89+50*IF('17.01'!$AK89="是",'17.01'!$AY$4,'17.01'!$AY$3)),(VLOOKUP('17.01'!L89,'17.01'!$AM$4:$AO$55,2,FALSE))*IF('17.01'!$AK89="是",'17.01'!$AY$4,'17.01'!$AY$3))</f>
        <v>0</v>
      </c>
      <c r="E89" s="4">
        <f>IF(ISNUMBER(SEARCH("营",'17.01'!M89)),(-$Y89+50*IF('17.01'!$AK89="是",'17.01'!$AY$4,'17.01'!$AY$3)),(VLOOKUP('17.01'!M89,'17.01'!$AM$4:$AO$55,2,FALSE))*IF('17.01'!$AK89="是",'17.01'!$AY$4,'17.01'!$AY$3))</f>
        <v>0</v>
      </c>
      <c r="F89" s="4">
        <f>IF(ISNUMBER(SEARCH("营",'17.01'!N89)),(-$Y89+50*IF('17.01'!$AK89="是",'17.01'!$AY$4,'17.01'!$AY$3)),(VLOOKUP('17.01'!N89,'17.01'!$AM$4:$AO$55,2,FALSE))*IF('17.01'!$AK89="是",'17.01'!$AY$4,'17.01'!$AY$3))</f>
        <v>0</v>
      </c>
      <c r="G89" s="4">
        <f>IF(ISNUMBER(SEARCH("营",'17.01'!O89)),(-$Y89+50*IF('17.01'!$AK89="是",'17.01'!$AY$4,'17.01'!$AY$3)),(VLOOKUP('17.01'!O89,'17.01'!$AM$4:$AO$55,2,FALSE))*IF('17.01'!$AK89="是",'17.01'!$AY$4,'17.01'!$AY$3))</f>
        <v>0</v>
      </c>
      <c r="H89" s="4">
        <f>IF(ISNUMBER(SEARCH("营",'17.01'!P89)),(-$Y89+50*IF('17.01'!$AK89="是",'17.01'!$AY$4,'17.01'!$AY$3)),(VLOOKUP('17.01'!P89,'17.01'!$AM$4:$AO$55,2,FALSE))*IF('17.01'!$AK89="是",'17.01'!$AY$4,'17.01'!$AY$3))</f>
        <v>0</v>
      </c>
      <c r="I89" s="4">
        <f>IF(ISNUMBER(SEARCH("营",'17.01'!Q89)),(-$Y89+50*IF('17.01'!$AK89="是",'17.01'!$AY$4,'17.01'!$AY$3)),(VLOOKUP('17.01'!Q89,'17.01'!$AM$4:$AO$55,2,FALSE))*IF('17.01'!$AK89="是",'17.01'!$AY$4,'17.01'!$AY$3))</f>
        <v>0</v>
      </c>
      <c r="J89" s="4">
        <f>IF(ISNUMBER(SEARCH("营",'17.01'!R89)),(-$Y89+50*IF('17.01'!$AK89="是",'17.01'!$AY$4,'17.01'!$AY$3)),(VLOOKUP('17.01'!R89,'17.01'!$AM$4:$AO$55,2,FALSE))*IF('17.01'!$AK89="是",'17.01'!$AY$4,'17.01'!$AY$3))</f>
        <v>0</v>
      </c>
      <c r="K89" s="4">
        <f>IF(ISNUMBER(SEARCH("营",'17.01'!S89)),(-$Y89+50*IF('17.01'!$AK89="是",'17.01'!$AY$4,'17.01'!$AY$3)),(VLOOKUP('17.01'!S89,'17.01'!$AM$4:$AO$55,2,FALSE))*IF('17.01'!$AK89="是",'17.01'!$AY$4,'17.01'!$AY$3))</f>
        <v>0</v>
      </c>
      <c r="L89" s="4">
        <f>IF(ISNUMBER(SEARCH("营",'17.01'!T89)),(-$Y89+50*IF('17.01'!$AK89="是",'17.01'!$AY$4,'17.01'!$AY$3)),(VLOOKUP('17.01'!T89,'17.01'!$AM$4:$AO$55,2,FALSE))*IF('17.01'!$AK89="是",'17.01'!$AY$4,'17.01'!$AY$3))</f>
        <v>0</v>
      </c>
      <c r="M89" s="4">
        <f>IF(ISNUMBER(SEARCH("营",'17.01'!U89)),(-$Y89+50*IF('17.01'!$AK89="是",'17.01'!$AY$4,'17.01'!$AY$3)),(VLOOKUP('17.01'!U89,'17.01'!$AM$4:$AO$55,2,FALSE))*IF('17.01'!$AK89="是",'17.01'!$AY$4,'17.01'!$AY$3))</f>
        <v>0</v>
      </c>
      <c r="N89" s="4">
        <f>IF(ISNUMBER(SEARCH("营",'17.01'!V89)),(-$Y89+50*IF('17.01'!$AK89="是",'17.01'!$AY$4,'17.01'!$AY$3)),(VLOOKUP('17.01'!V89,'17.01'!$AM$4:$AO$55,2,FALSE))*IF('17.01'!$AK89="是",'17.01'!$AY$4,'17.01'!$AY$3))</f>
        <v>0</v>
      </c>
      <c r="O89" s="4">
        <f>IF(ISNUMBER(SEARCH("营",'17.01'!W89)),(-$Y89+50*IF('17.01'!$AK89="是",'17.01'!$AY$4,'17.01'!$AY$3)),(VLOOKUP('17.01'!W89,'17.01'!$AM$4:$AO$55,2,FALSE))*IF('17.01'!$AK89="是",'17.01'!$AY$4,'17.01'!$AY$3))</f>
        <v>0</v>
      </c>
      <c r="P89" s="4">
        <f>IF(ISNUMBER(SEARCH("营",'17.01'!X89)),(-$Y89+50*IF('17.01'!$AK89="是",'17.01'!$AY$4,'17.01'!$AY$3)),(VLOOKUP('17.01'!X89,'17.01'!$AM$4:$AO$55,2,FALSE))*IF('17.01'!$AK89="是",'17.01'!$AY$4,'17.01'!$AY$3))</f>
        <v>0</v>
      </c>
      <c r="Q89" s="4">
        <f>IF(ISNUMBER(SEARCH("营",'17.01'!Y89)),(-$Y89+50*IF('17.01'!$AK89="是",'17.01'!$AY$4,'17.01'!$AY$3)),(VLOOKUP('17.01'!Y89,'17.01'!$AM$4:$AO$55,2,FALSE))*IF('17.01'!$AK89="是",'17.01'!$AY$4,'17.01'!$AY$3))</f>
        <v>0</v>
      </c>
      <c r="R89" s="4">
        <f>IF(ISNUMBER(SEARCH("营",'17.01'!Z89)),(-$Y89+50*IF('17.01'!$AK89="是",'17.01'!$AY$4,'17.01'!$AY$3)),(VLOOKUP('17.01'!Z89,'17.01'!$AM$4:$AO$55,2,FALSE))*IF('17.01'!$AK89="是",'17.01'!$AY$4,'17.01'!$AY$3))</f>
        <v>0</v>
      </c>
      <c r="S89" s="4">
        <f>IF(ISNUMBER(SEARCH("营",'17.01'!AA89)),(-$Y89+50*IF('17.01'!$AK89="是",'17.01'!$AY$4,'17.01'!$AY$3)),(VLOOKUP('17.01'!AA89,'17.01'!$AM$4:$AO$55,2,FALSE))*IF('17.01'!$AK89="是",'17.01'!$AY$4,'17.01'!$AY$3))</f>
        <v>0</v>
      </c>
      <c r="T89" s="4">
        <f>IF(ISNUMBER(SEARCH("营",'17.01'!AB89)),(-$Y89+50*IF('17.01'!$AK89="是",'17.01'!$AY$4,'17.01'!$AY$3)),(VLOOKUP('17.01'!AB89,'17.01'!$AM$4:$AO$55,2,FALSE))*IF('17.01'!$AK89="是",'17.01'!$AY$4,'17.01'!$AY$3))</f>
        <v>0</v>
      </c>
      <c r="U89" s="4">
        <f>IF(ISNUMBER(SEARCH("营",'17.01'!AC89)),(-$Y89+50*IF('17.01'!$AK89="是",'17.01'!$AY$4,'17.01'!$AY$3)),(VLOOKUP('17.01'!AC89,'17.01'!$AM$4:$AO$55,2,FALSE))*IF('17.01'!$AK89="是",'17.01'!$AY$4,'17.01'!$AY$3))</f>
        <v>0</v>
      </c>
      <c r="V89" s="4">
        <f>IF(ISNUMBER(SEARCH("营",'17.01'!AD89)),(-$Y89+50*IF('17.01'!$AK89="是",'17.01'!$AY$4,'17.01'!$AY$3)),(VLOOKUP('17.01'!AD89,'17.01'!$AM$4:$AO$55,2,FALSE))*IF('17.01'!$AK89="是",'17.01'!$AY$4,'17.01'!$AY$3))</f>
        <v>0</v>
      </c>
      <c r="W89" s="4">
        <f>IF(ISNUMBER(SEARCH("营",'17.01'!AE89)),(-$Y89+50*IF('17.01'!$AK89="是",'17.01'!$AY$4,'17.01'!$AY$3)),(VLOOKUP('17.01'!AE89,'17.01'!$AM$4:$AO$55,2,FALSE))*IF('17.01'!$AK89="是",'17.01'!$AY$4,'17.01'!$AY$3))</f>
        <v>0</v>
      </c>
      <c r="X89" s="4">
        <f>IF(ISNUMBER(SEARCH("营",'17.01'!AF89)),(-$Y89+50*IF('17.01'!$AK89="是",'17.01'!$AY$4,'17.01'!$AY$3)),(VLOOKUP('17.01'!AF89,'17.01'!$AM$4:$AO$55,2,FALSE))*IF('17.01'!$AK89="是",'17.01'!$AY$4,'17.01'!$AY$3))</f>
        <v>0</v>
      </c>
      <c r="Y89" s="90">
        <v>100</v>
      </c>
    </row>
    <row r="90" spans="1:25">
      <c r="A90" s="4">
        <f>IF(ISNUMBER(SEARCH("营",'17.01'!I90)),(-$Y90+50*IF('17.01'!$AK90="是",'17.01'!$AY$4,'17.01'!$AY$3)),(VLOOKUP('17.01'!I90,'17.01'!$AM$4:$AO$55,2,FALSE))*IF('17.01'!$AK90="是",'17.01'!$AY$4,'17.01'!$AY$3))</f>
        <v>0</v>
      </c>
      <c r="B90" s="4">
        <f>IF(ISNUMBER(SEARCH("营",'17.01'!J90)),(-$Y90+50*IF('17.01'!$AK90="是",'17.01'!$AY$4,'17.01'!$AY$3)),(VLOOKUP('17.01'!J90,'17.01'!$AM$4:$AO$55,2,FALSE))*IF('17.01'!$AK90="是",'17.01'!$AY$4,'17.01'!$AY$3))</f>
        <v>0</v>
      </c>
      <c r="C90" s="4">
        <f>IF(ISNUMBER(SEARCH("营",'17.01'!K90)),(-$Y90+50*IF('17.01'!$AK90="是",'17.01'!$AY$4,'17.01'!$AY$3)),(VLOOKUP('17.01'!K90,'17.01'!$AM$4:$AO$55,2,FALSE))*IF('17.01'!$AK90="是",'17.01'!$AY$4,'17.01'!$AY$3))</f>
        <v>0</v>
      </c>
      <c r="D90" s="4">
        <f>IF(ISNUMBER(SEARCH("营",'17.01'!L90)),(-$Y90+50*IF('17.01'!$AK90="是",'17.01'!$AY$4,'17.01'!$AY$3)),(VLOOKUP('17.01'!L90,'17.01'!$AM$4:$AO$55,2,FALSE))*IF('17.01'!$AK90="是",'17.01'!$AY$4,'17.01'!$AY$3))</f>
        <v>0</v>
      </c>
      <c r="E90" s="4">
        <f>IF(ISNUMBER(SEARCH("营",'17.01'!M90)),(-$Y90+50*IF('17.01'!$AK90="是",'17.01'!$AY$4,'17.01'!$AY$3)),(VLOOKUP('17.01'!M90,'17.01'!$AM$4:$AO$55,2,FALSE))*IF('17.01'!$AK90="是",'17.01'!$AY$4,'17.01'!$AY$3))</f>
        <v>0</v>
      </c>
      <c r="F90" s="4">
        <f>IF(ISNUMBER(SEARCH("营",'17.01'!N90)),(-$Y90+50*IF('17.01'!$AK90="是",'17.01'!$AY$4,'17.01'!$AY$3)),(VLOOKUP('17.01'!N90,'17.01'!$AM$4:$AO$55,2,FALSE))*IF('17.01'!$AK90="是",'17.01'!$AY$4,'17.01'!$AY$3))</f>
        <v>0</v>
      </c>
      <c r="G90" s="4">
        <f>IF(ISNUMBER(SEARCH("营",'17.01'!O90)),(-$Y90+50*IF('17.01'!$AK90="是",'17.01'!$AY$4,'17.01'!$AY$3)),(VLOOKUP('17.01'!O90,'17.01'!$AM$4:$AO$55,2,FALSE))*IF('17.01'!$AK90="是",'17.01'!$AY$4,'17.01'!$AY$3))</f>
        <v>0</v>
      </c>
      <c r="H90" s="4">
        <f>IF(ISNUMBER(SEARCH("营",'17.01'!P90)),(-$Y90+50*IF('17.01'!$AK90="是",'17.01'!$AY$4,'17.01'!$AY$3)),(VLOOKUP('17.01'!P90,'17.01'!$AM$4:$AO$55,2,FALSE))*IF('17.01'!$AK90="是",'17.01'!$AY$4,'17.01'!$AY$3))</f>
        <v>0</v>
      </c>
      <c r="I90" s="4">
        <f>IF(ISNUMBER(SEARCH("营",'17.01'!Q90)),(-$Y90+50*IF('17.01'!$AK90="是",'17.01'!$AY$4,'17.01'!$AY$3)),(VLOOKUP('17.01'!Q90,'17.01'!$AM$4:$AO$55,2,FALSE))*IF('17.01'!$AK90="是",'17.01'!$AY$4,'17.01'!$AY$3))</f>
        <v>0</v>
      </c>
      <c r="J90" s="4">
        <f>IF(ISNUMBER(SEARCH("营",'17.01'!R90)),(-$Y90+50*IF('17.01'!$AK90="是",'17.01'!$AY$4,'17.01'!$AY$3)),(VLOOKUP('17.01'!R90,'17.01'!$AM$4:$AO$55,2,FALSE))*IF('17.01'!$AK90="是",'17.01'!$AY$4,'17.01'!$AY$3))</f>
        <v>0</v>
      </c>
      <c r="K90" s="4">
        <f>IF(ISNUMBER(SEARCH("营",'17.01'!S90)),(-$Y90+50*IF('17.01'!$AK90="是",'17.01'!$AY$4,'17.01'!$AY$3)),(VLOOKUP('17.01'!S90,'17.01'!$AM$4:$AO$55,2,FALSE))*IF('17.01'!$AK90="是",'17.01'!$AY$4,'17.01'!$AY$3))</f>
        <v>0</v>
      </c>
      <c r="L90" s="4">
        <f>IF(ISNUMBER(SEARCH("营",'17.01'!T90)),(-$Y90+50*IF('17.01'!$AK90="是",'17.01'!$AY$4,'17.01'!$AY$3)),(VLOOKUP('17.01'!T90,'17.01'!$AM$4:$AO$55,2,FALSE))*IF('17.01'!$AK90="是",'17.01'!$AY$4,'17.01'!$AY$3))</f>
        <v>0</v>
      </c>
      <c r="M90" s="4">
        <f>IF(ISNUMBER(SEARCH("营",'17.01'!U90)),(-$Y90+50*IF('17.01'!$AK90="是",'17.01'!$AY$4,'17.01'!$AY$3)),(VLOOKUP('17.01'!U90,'17.01'!$AM$4:$AO$55,2,FALSE))*IF('17.01'!$AK90="是",'17.01'!$AY$4,'17.01'!$AY$3))</f>
        <v>0</v>
      </c>
      <c r="N90" s="4">
        <f>IF(ISNUMBER(SEARCH("营",'17.01'!V90)),(-$Y90+50*IF('17.01'!$AK90="是",'17.01'!$AY$4,'17.01'!$AY$3)),(VLOOKUP('17.01'!V90,'17.01'!$AM$4:$AO$55,2,FALSE))*IF('17.01'!$AK90="是",'17.01'!$AY$4,'17.01'!$AY$3))</f>
        <v>0</v>
      </c>
      <c r="O90" s="4">
        <f>IF(ISNUMBER(SEARCH("营",'17.01'!W90)),(-$Y90+50*IF('17.01'!$AK90="是",'17.01'!$AY$4,'17.01'!$AY$3)),(VLOOKUP('17.01'!W90,'17.01'!$AM$4:$AO$55,2,FALSE))*IF('17.01'!$AK90="是",'17.01'!$AY$4,'17.01'!$AY$3))</f>
        <v>0</v>
      </c>
      <c r="P90" s="4">
        <f>IF(ISNUMBER(SEARCH("营",'17.01'!X90)),(-$Y90+50*IF('17.01'!$AK90="是",'17.01'!$AY$4,'17.01'!$AY$3)),(VLOOKUP('17.01'!X90,'17.01'!$AM$4:$AO$55,2,FALSE))*IF('17.01'!$AK90="是",'17.01'!$AY$4,'17.01'!$AY$3))</f>
        <v>0</v>
      </c>
      <c r="Q90" s="4">
        <f>IF(ISNUMBER(SEARCH("营",'17.01'!Y90)),(-$Y90+50*IF('17.01'!$AK90="是",'17.01'!$AY$4,'17.01'!$AY$3)),(VLOOKUP('17.01'!Y90,'17.01'!$AM$4:$AO$55,2,FALSE))*IF('17.01'!$AK90="是",'17.01'!$AY$4,'17.01'!$AY$3))</f>
        <v>0</v>
      </c>
      <c r="R90" s="4">
        <f>IF(ISNUMBER(SEARCH("营",'17.01'!Z90)),(-$Y90+50*IF('17.01'!$AK90="是",'17.01'!$AY$4,'17.01'!$AY$3)),(VLOOKUP('17.01'!Z90,'17.01'!$AM$4:$AO$55,2,FALSE))*IF('17.01'!$AK90="是",'17.01'!$AY$4,'17.01'!$AY$3))</f>
        <v>0</v>
      </c>
      <c r="S90" s="4">
        <f>IF(ISNUMBER(SEARCH("营",'17.01'!AA90)),(-$Y90+50*IF('17.01'!$AK90="是",'17.01'!$AY$4,'17.01'!$AY$3)),(VLOOKUP('17.01'!AA90,'17.01'!$AM$4:$AO$55,2,FALSE))*IF('17.01'!$AK90="是",'17.01'!$AY$4,'17.01'!$AY$3))</f>
        <v>0</v>
      </c>
      <c r="T90" s="4">
        <f>IF(ISNUMBER(SEARCH("营",'17.01'!AB90)),(-$Y90+50*IF('17.01'!$AK90="是",'17.01'!$AY$4,'17.01'!$AY$3)),(VLOOKUP('17.01'!AB90,'17.01'!$AM$4:$AO$55,2,FALSE))*IF('17.01'!$AK90="是",'17.01'!$AY$4,'17.01'!$AY$3))</f>
        <v>0</v>
      </c>
      <c r="U90" s="4">
        <f>IF(ISNUMBER(SEARCH("营",'17.01'!AC90)),(-$Y90+50*IF('17.01'!$AK90="是",'17.01'!$AY$4,'17.01'!$AY$3)),(VLOOKUP('17.01'!AC90,'17.01'!$AM$4:$AO$55,2,FALSE))*IF('17.01'!$AK90="是",'17.01'!$AY$4,'17.01'!$AY$3))</f>
        <v>0</v>
      </c>
      <c r="V90" s="4">
        <f>IF(ISNUMBER(SEARCH("营",'17.01'!AD90)),(-$Y90+50*IF('17.01'!$AK90="是",'17.01'!$AY$4,'17.01'!$AY$3)),(VLOOKUP('17.01'!AD90,'17.01'!$AM$4:$AO$55,2,FALSE))*IF('17.01'!$AK90="是",'17.01'!$AY$4,'17.01'!$AY$3))</f>
        <v>0</v>
      </c>
      <c r="W90" s="4">
        <f>IF(ISNUMBER(SEARCH("营",'17.01'!AE90)),(-$Y90+50*IF('17.01'!$AK90="是",'17.01'!$AY$4,'17.01'!$AY$3)),(VLOOKUP('17.01'!AE90,'17.01'!$AM$4:$AO$55,2,FALSE))*IF('17.01'!$AK90="是",'17.01'!$AY$4,'17.01'!$AY$3))</f>
        <v>0</v>
      </c>
      <c r="X90" s="4">
        <f>IF(ISNUMBER(SEARCH("营",'17.01'!AF90)),(-$Y90+50*IF('17.01'!$AK90="是",'17.01'!$AY$4,'17.01'!$AY$3)),(VLOOKUP('17.01'!AF90,'17.01'!$AM$4:$AO$55,2,FALSE))*IF('17.01'!$AK90="是",'17.01'!$AY$4,'17.01'!$AY$3))</f>
        <v>0</v>
      </c>
      <c r="Y90" s="90">
        <v>100</v>
      </c>
    </row>
    <row r="91" spans="1:25">
      <c r="A91" s="4">
        <f>IF(ISNUMBER(SEARCH("营",'17.01'!I91)),(-$Y91+50*IF('17.01'!$AK91="是",'17.01'!$AY$4,'17.01'!$AY$3)),(VLOOKUP('17.01'!I91,'17.01'!$AM$4:$AO$55,2,FALSE))*IF('17.01'!$AK91="是",'17.01'!$AY$4,'17.01'!$AY$3))</f>
        <v>128</v>
      </c>
      <c r="B91" s="4">
        <f>IF(ISNUMBER(SEARCH("营",'17.01'!J91)),(-$Y91+50*IF('17.01'!$AK91="是",'17.01'!$AY$4,'17.01'!$AY$3)),(VLOOKUP('17.01'!J91,'17.01'!$AM$4:$AO$55,2,FALSE))*IF('17.01'!$AK91="是",'17.01'!$AY$4,'17.01'!$AY$3))</f>
        <v>128</v>
      </c>
      <c r="C91" s="4">
        <f>IF(ISNUMBER(SEARCH("营",'17.01'!K91)),(-$Y91+50*IF('17.01'!$AK91="是",'17.01'!$AY$4,'17.01'!$AY$3)),(VLOOKUP('17.01'!K91,'17.01'!$AM$4:$AO$55,2,FALSE))*IF('17.01'!$AK91="是",'17.01'!$AY$4,'17.01'!$AY$3))</f>
        <v>128</v>
      </c>
      <c r="D91" s="4">
        <f>IF(ISNUMBER(SEARCH("营",'17.01'!L91)),(-$Y91+50*IF('17.01'!$AK91="是",'17.01'!$AY$4,'17.01'!$AY$3)),(VLOOKUP('17.01'!L91,'17.01'!$AM$4:$AO$55,2,FALSE))*IF('17.01'!$AK91="是",'17.01'!$AY$4,'17.01'!$AY$3))</f>
        <v>128</v>
      </c>
      <c r="E91" s="4">
        <f>IF(ISNUMBER(SEARCH("营",'17.01'!M91)),(-$Y91+50*IF('17.01'!$AK91="是",'17.01'!$AY$4,'17.01'!$AY$3)),(VLOOKUP('17.01'!M91,'17.01'!$AM$4:$AO$55,2,FALSE))*IF('17.01'!$AK91="是",'17.01'!$AY$4,'17.01'!$AY$3))</f>
        <v>128</v>
      </c>
      <c r="F91" s="4">
        <f>IF(ISNUMBER(SEARCH("营",'17.01'!N91)),(-$Y91+50*IF('17.01'!$AK91="是",'17.01'!$AY$4,'17.01'!$AY$3)),(VLOOKUP('17.01'!N91,'17.01'!$AM$4:$AO$55,2,FALSE))*IF('17.01'!$AK91="是",'17.01'!$AY$4,'17.01'!$AY$3))</f>
        <v>40</v>
      </c>
      <c r="G91" s="4">
        <f>IF(ISNUMBER(SEARCH("营",'17.01'!O91)),(-$Y91+50*IF('17.01'!$AK91="是",'17.01'!$AY$4,'17.01'!$AY$3)),(VLOOKUP('17.01'!O91,'17.01'!$AM$4:$AO$55,2,FALSE))*IF('17.01'!$AK91="是",'17.01'!$AY$4,'17.01'!$AY$3))</f>
        <v>0</v>
      </c>
      <c r="H91" s="4">
        <f>IF(ISNUMBER(SEARCH("营",'17.01'!P91)),(-$Y91+50*IF('17.01'!$AK91="是",'17.01'!$AY$4,'17.01'!$AY$3)),(VLOOKUP('17.01'!P91,'17.01'!$AM$4:$AO$55,2,FALSE))*IF('17.01'!$AK91="是",'17.01'!$AY$4,'17.01'!$AY$3))</f>
        <v>0</v>
      </c>
      <c r="I91" s="4">
        <f>IF(ISNUMBER(SEARCH("营",'17.01'!Q91)),(-$Y91+50*IF('17.01'!$AK91="是",'17.01'!$AY$4,'17.01'!$AY$3)),(VLOOKUP('17.01'!Q91,'17.01'!$AM$4:$AO$55,2,FALSE))*IF('17.01'!$AK91="是",'17.01'!$AY$4,'17.01'!$AY$3))</f>
        <v>128</v>
      </c>
      <c r="J91" s="4">
        <f>IF(ISNUMBER(SEARCH("营",'17.01'!R91)),(-$Y91+50*IF('17.01'!$AK91="是",'17.01'!$AY$4,'17.01'!$AY$3)),(VLOOKUP('17.01'!R91,'17.01'!$AM$4:$AO$55,2,FALSE))*IF('17.01'!$AK91="是",'17.01'!$AY$4,'17.01'!$AY$3))</f>
        <v>128</v>
      </c>
      <c r="K91" s="4">
        <f>IF(ISNUMBER(SEARCH("营",'17.01'!S91)),(-$Y91+50*IF('17.01'!$AK91="是",'17.01'!$AY$4,'17.01'!$AY$3)),(VLOOKUP('17.01'!S91,'17.01'!$AM$4:$AO$55,2,FALSE))*IF('17.01'!$AK91="是",'17.01'!$AY$4,'17.01'!$AY$3))</f>
        <v>128</v>
      </c>
      <c r="L91" s="4">
        <f>IF(ISNUMBER(SEARCH("营",'17.01'!T91)),(-$Y91+50*IF('17.01'!$AK91="是",'17.01'!$AY$4,'17.01'!$AY$3)),(VLOOKUP('17.01'!T91,'17.01'!$AM$4:$AO$55,2,FALSE))*IF('17.01'!$AK91="是",'17.01'!$AY$4,'17.01'!$AY$3))</f>
        <v>128</v>
      </c>
      <c r="M91" s="4">
        <f>IF(ISNUMBER(SEARCH("营",'17.01'!U91)),(-$Y91+50*IF('17.01'!$AK91="是",'17.01'!$AY$4,'17.01'!$AY$3)),(VLOOKUP('17.01'!U91,'17.01'!$AM$4:$AO$55,2,FALSE))*IF('17.01'!$AK91="是",'17.01'!$AY$4,'17.01'!$AY$3))</f>
        <v>40</v>
      </c>
      <c r="N91" s="4">
        <f>IF(ISNUMBER(SEARCH("营",'17.01'!V91)),(-$Y91+50*IF('17.01'!$AK91="是",'17.01'!$AY$4,'17.01'!$AY$3)),(VLOOKUP('17.01'!V91,'17.01'!$AM$4:$AO$55,2,FALSE))*IF('17.01'!$AK91="是",'17.01'!$AY$4,'17.01'!$AY$3))</f>
        <v>0</v>
      </c>
      <c r="O91" s="4">
        <f>IF(ISNUMBER(SEARCH("营",'17.01'!W91)),(-$Y91+50*IF('17.01'!$AK91="是",'17.01'!$AY$4,'17.01'!$AY$3)),(VLOOKUP('17.01'!W91,'17.01'!$AM$4:$AO$55,2,FALSE))*IF('17.01'!$AK91="是",'17.01'!$AY$4,'17.01'!$AY$3))</f>
        <v>0</v>
      </c>
      <c r="P91" s="4">
        <f>IF(ISNUMBER(SEARCH("营",'17.01'!X91)),(-$Y91+50*IF('17.01'!$AK91="是",'17.01'!$AY$4,'17.01'!$AY$3)),(VLOOKUP('17.01'!X91,'17.01'!$AM$4:$AO$55,2,FALSE))*IF('17.01'!$AK91="是",'17.01'!$AY$4,'17.01'!$AY$3))</f>
        <v>0</v>
      </c>
      <c r="Q91" s="4">
        <f>IF(ISNUMBER(SEARCH("营",'17.01'!Y91)),(-$Y91+50*IF('17.01'!$AK91="是",'17.01'!$AY$4,'17.01'!$AY$3)),(VLOOKUP('17.01'!Y91,'17.01'!$AM$4:$AO$55,2,FALSE))*IF('17.01'!$AK91="是",'17.01'!$AY$4,'17.01'!$AY$3))</f>
        <v>128</v>
      </c>
      <c r="R91" s="4">
        <f>IF(ISNUMBER(SEARCH("营",'17.01'!Z91)),(-$Y91+50*IF('17.01'!$AK91="是",'17.01'!$AY$4,'17.01'!$AY$3)),(VLOOKUP('17.01'!Z91,'17.01'!$AM$4:$AO$55,2,FALSE))*IF('17.01'!$AK91="是",'17.01'!$AY$4,'17.01'!$AY$3))</f>
        <v>40</v>
      </c>
      <c r="S91" s="4">
        <f>IF(ISNUMBER(SEARCH("营",'17.01'!AA91)),(-$Y91+50*IF('17.01'!$AK91="是",'17.01'!$AY$4,'17.01'!$AY$3)),(VLOOKUP('17.01'!AA91,'17.01'!$AM$4:$AO$55,2,FALSE))*IF('17.01'!$AK91="是",'17.01'!$AY$4,'17.01'!$AY$3))</f>
        <v>128</v>
      </c>
      <c r="T91" s="4">
        <f>IF(ISNUMBER(SEARCH("营",'17.01'!AB91)),(-$Y91+50*IF('17.01'!$AK91="是",'17.01'!$AY$4,'17.01'!$AY$3)),(VLOOKUP('17.01'!AB91,'17.01'!$AM$4:$AO$55,2,FALSE))*IF('17.01'!$AK91="是",'17.01'!$AY$4,'17.01'!$AY$3))</f>
        <v>120</v>
      </c>
      <c r="U91" s="4">
        <f>IF(ISNUMBER(SEARCH("营",'17.01'!AC91)),(-$Y91+50*IF('17.01'!$AK91="是",'17.01'!$AY$4,'17.01'!$AY$3)),(VLOOKUP('17.01'!AC91,'17.01'!$AM$4:$AO$55,2,FALSE))*IF('17.01'!$AK91="是",'17.01'!$AY$4,'17.01'!$AY$3))</f>
        <v>128</v>
      </c>
      <c r="V91" s="4">
        <f>IF(ISNUMBER(SEARCH("营",'17.01'!AD91)),(-$Y91+50*IF('17.01'!$AK91="是",'17.01'!$AY$4,'17.01'!$AY$3)),(VLOOKUP('17.01'!AD91,'17.01'!$AM$4:$AO$55,2,FALSE))*IF('17.01'!$AK91="是",'17.01'!$AY$4,'17.01'!$AY$3))</f>
        <v>0</v>
      </c>
      <c r="W91" s="4">
        <f>IF(ISNUMBER(SEARCH("营",'17.01'!AE91)),(-$Y91+50*IF('17.01'!$AK91="是",'17.01'!$AY$4,'17.01'!$AY$3)),(VLOOKUP('17.01'!AE91,'17.01'!$AM$4:$AO$55,2,FALSE))*IF('17.01'!$AK91="是",'17.01'!$AY$4,'17.01'!$AY$3))</f>
        <v>0</v>
      </c>
      <c r="X91" s="4">
        <f>IF(ISNUMBER(SEARCH("营",'17.01'!AF91)),(-$Y91+50*IF('17.01'!$AK91="是",'17.01'!$AY$4,'17.01'!$AY$3)),(VLOOKUP('17.01'!AF91,'17.01'!$AM$4:$AO$55,2,FALSE))*IF('17.01'!$AK91="是",'17.01'!$AY$4,'17.01'!$AY$3))</f>
        <v>0</v>
      </c>
      <c r="Y91" s="90">
        <v>100</v>
      </c>
    </row>
    <row r="92" spans="1:25">
      <c r="A92" s="4">
        <f>IF(ISNUMBER(SEARCH("营",'17.01'!I92)),(-$Y92+50*IF('17.01'!$AK92="是",'17.01'!$AY$4,'17.01'!$AY$3)),(VLOOKUP('17.01'!I92,'17.01'!$AM$4:$AO$55,2,FALSE))*IF('17.01'!$AK92="是",'17.01'!$AY$4,'17.01'!$AY$3))</f>
        <v>128</v>
      </c>
      <c r="B92" s="4">
        <f>IF(ISNUMBER(SEARCH("营",'17.01'!J92)),(-$Y92+50*IF('17.01'!$AK92="是",'17.01'!$AY$4,'17.01'!$AY$3)),(VLOOKUP('17.01'!J92,'17.01'!$AM$4:$AO$55,2,FALSE))*IF('17.01'!$AK92="是",'17.01'!$AY$4,'17.01'!$AY$3))</f>
        <v>128</v>
      </c>
      <c r="C92" s="4">
        <f>IF(ISNUMBER(SEARCH("营",'17.01'!K92)),(-$Y92+50*IF('17.01'!$AK92="是",'17.01'!$AY$4,'17.01'!$AY$3)),(VLOOKUP('17.01'!K92,'17.01'!$AM$4:$AO$55,2,FALSE))*IF('17.01'!$AK92="是",'17.01'!$AY$4,'17.01'!$AY$3))</f>
        <v>120</v>
      </c>
      <c r="D92" s="4">
        <f>IF(ISNUMBER(SEARCH("营",'17.01'!L92)),(-$Y92+50*IF('17.01'!$AK92="是",'17.01'!$AY$4,'17.01'!$AY$3)),(VLOOKUP('17.01'!L92,'17.01'!$AM$4:$AO$55,2,FALSE))*IF('17.01'!$AK92="是",'17.01'!$AY$4,'17.01'!$AY$3))</f>
        <v>128</v>
      </c>
      <c r="E92" s="4">
        <f>IF(ISNUMBER(SEARCH("营",'17.01'!M92)),(-$Y92+50*IF('17.01'!$AK92="是",'17.01'!$AY$4,'17.01'!$AY$3)),(VLOOKUP('17.01'!M92,'17.01'!$AM$4:$AO$55,2,FALSE))*IF('17.01'!$AK92="是",'17.01'!$AY$4,'17.01'!$AY$3))</f>
        <v>128</v>
      </c>
      <c r="F92" s="4">
        <f>IF(ISNUMBER(SEARCH("营",'17.01'!N92)),(-$Y92+50*IF('17.01'!$AK92="是",'17.01'!$AY$4,'17.01'!$AY$3)),(VLOOKUP('17.01'!N92,'17.01'!$AM$4:$AO$55,2,FALSE))*IF('17.01'!$AK92="是",'17.01'!$AY$4,'17.01'!$AY$3))</f>
        <v>40</v>
      </c>
      <c r="G92" s="4">
        <f>IF(ISNUMBER(SEARCH("营",'17.01'!O92)),(-$Y92+50*IF('17.01'!$AK92="是",'17.01'!$AY$4,'17.01'!$AY$3)),(VLOOKUP('17.01'!O92,'17.01'!$AM$4:$AO$55,2,FALSE))*IF('17.01'!$AK92="是",'17.01'!$AY$4,'17.01'!$AY$3))</f>
        <v>0</v>
      </c>
      <c r="H92" s="4">
        <f>IF(ISNUMBER(SEARCH("营",'17.01'!P92)),(-$Y92+50*IF('17.01'!$AK92="是",'17.01'!$AY$4,'17.01'!$AY$3)),(VLOOKUP('17.01'!P92,'17.01'!$AM$4:$AO$55,2,FALSE))*IF('17.01'!$AK92="是",'17.01'!$AY$4,'17.01'!$AY$3))</f>
        <v>0</v>
      </c>
      <c r="I92" s="4">
        <f>IF(ISNUMBER(SEARCH("营",'17.01'!Q92)),(-$Y92+50*IF('17.01'!$AK92="是",'17.01'!$AY$4,'17.01'!$AY$3)),(VLOOKUP('17.01'!Q92,'17.01'!$AM$4:$AO$55,2,FALSE))*IF('17.01'!$AK92="是",'17.01'!$AY$4,'17.01'!$AY$3))</f>
        <v>0</v>
      </c>
      <c r="J92" s="4">
        <f>IF(ISNUMBER(SEARCH("营",'17.01'!R92)),(-$Y92+50*IF('17.01'!$AK92="是",'17.01'!$AY$4,'17.01'!$AY$3)),(VLOOKUP('17.01'!R92,'17.01'!$AM$4:$AO$55,2,FALSE))*IF('17.01'!$AK92="是",'17.01'!$AY$4,'17.01'!$AY$3))</f>
        <v>0</v>
      </c>
      <c r="K92" s="4">
        <f>IF(ISNUMBER(SEARCH("营",'17.01'!S92)),(-$Y92+50*IF('17.01'!$AK92="是",'17.01'!$AY$4,'17.01'!$AY$3)),(VLOOKUP('17.01'!S92,'17.01'!$AM$4:$AO$55,2,FALSE))*IF('17.01'!$AK92="是",'17.01'!$AY$4,'17.01'!$AY$3))</f>
        <v>0</v>
      </c>
      <c r="L92" s="4">
        <f>IF(ISNUMBER(SEARCH("营",'17.01'!T92)),(-$Y92+50*IF('17.01'!$AK92="是",'17.01'!$AY$4,'17.01'!$AY$3)),(VLOOKUP('17.01'!T92,'17.01'!$AM$4:$AO$55,2,FALSE))*IF('17.01'!$AK92="是",'17.01'!$AY$4,'17.01'!$AY$3))</f>
        <v>0</v>
      </c>
      <c r="M92" s="4">
        <f>IF(ISNUMBER(SEARCH("营",'17.01'!U92)),(-$Y92+50*IF('17.01'!$AK92="是",'17.01'!$AY$4,'17.01'!$AY$3)),(VLOOKUP('17.01'!U92,'17.01'!$AM$4:$AO$55,2,FALSE))*IF('17.01'!$AK92="是",'17.01'!$AY$4,'17.01'!$AY$3))</f>
        <v>0</v>
      </c>
      <c r="N92" s="4">
        <f>IF(ISNUMBER(SEARCH("营",'17.01'!V92)),(-$Y92+50*IF('17.01'!$AK92="是",'17.01'!$AY$4,'17.01'!$AY$3)),(VLOOKUP('17.01'!V92,'17.01'!$AM$4:$AO$55,2,FALSE))*IF('17.01'!$AK92="是",'17.01'!$AY$4,'17.01'!$AY$3))</f>
        <v>0</v>
      </c>
      <c r="O92" s="4">
        <f>IF(ISNUMBER(SEARCH("营",'17.01'!W92)),(-$Y92+50*IF('17.01'!$AK92="是",'17.01'!$AY$4,'17.01'!$AY$3)),(VLOOKUP('17.01'!W92,'17.01'!$AM$4:$AO$55,2,FALSE))*IF('17.01'!$AK92="是",'17.01'!$AY$4,'17.01'!$AY$3))</f>
        <v>0</v>
      </c>
      <c r="P92" s="4">
        <f>IF(ISNUMBER(SEARCH("营",'17.01'!X92)),(-$Y92+50*IF('17.01'!$AK92="是",'17.01'!$AY$4,'17.01'!$AY$3)),(VLOOKUP('17.01'!X92,'17.01'!$AM$4:$AO$55,2,FALSE))*IF('17.01'!$AK92="是",'17.01'!$AY$4,'17.01'!$AY$3))</f>
        <v>0</v>
      </c>
      <c r="Q92" s="4">
        <f>IF(ISNUMBER(SEARCH("营",'17.01'!Y92)),(-$Y92+50*IF('17.01'!$AK92="是",'17.01'!$AY$4,'17.01'!$AY$3)),(VLOOKUP('17.01'!Y92,'17.01'!$AM$4:$AO$55,2,FALSE))*IF('17.01'!$AK92="是",'17.01'!$AY$4,'17.01'!$AY$3))</f>
        <v>0</v>
      </c>
      <c r="R92" s="4">
        <f>IF(ISNUMBER(SEARCH("营",'17.01'!Z92)),(-$Y92+50*IF('17.01'!$AK92="是",'17.01'!$AY$4,'17.01'!$AY$3)),(VLOOKUP('17.01'!Z92,'17.01'!$AM$4:$AO$55,2,FALSE))*IF('17.01'!$AK92="是",'17.01'!$AY$4,'17.01'!$AY$3))</f>
        <v>0</v>
      </c>
      <c r="S92" s="4">
        <f>IF(ISNUMBER(SEARCH("营",'17.01'!AA92)),(-$Y92+50*IF('17.01'!$AK92="是",'17.01'!$AY$4,'17.01'!$AY$3)),(VLOOKUP('17.01'!AA92,'17.01'!$AM$4:$AO$55,2,FALSE))*IF('17.01'!$AK92="是",'17.01'!$AY$4,'17.01'!$AY$3))</f>
        <v>0</v>
      </c>
      <c r="T92" s="4">
        <f>IF(ISNUMBER(SEARCH("营",'17.01'!AB92)),(-$Y92+50*IF('17.01'!$AK92="是",'17.01'!$AY$4,'17.01'!$AY$3)),(VLOOKUP('17.01'!AB92,'17.01'!$AM$4:$AO$55,2,FALSE))*IF('17.01'!$AK92="是",'17.01'!$AY$4,'17.01'!$AY$3))</f>
        <v>0</v>
      </c>
      <c r="U92" s="4">
        <f>IF(ISNUMBER(SEARCH("营",'17.01'!AC92)),(-$Y92+50*IF('17.01'!$AK92="是",'17.01'!$AY$4,'17.01'!$AY$3)),(VLOOKUP('17.01'!AC92,'17.01'!$AM$4:$AO$55,2,FALSE))*IF('17.01'!$AK92="是",'17.01'!$AY$4,'17.01'!$AY$3))</f>
        <v>0</v>
      </c>
      <c r="V92" s="4">
        <f>IF(ISNUMBER(SEARCH("营",'17.01'!AD92)),(-$Y92+50*IF('17.01'!$AK92="是",'17.01'!$AY$4,'17.01'!$AY$3)),(VLOOKUP('17.01'!AD92,'17.01'!$AM$4:$AO$55,2,FALSE))*IF('17.01'!$AK92="是",'17.01'!$AY$4,'17.01'!$AY$3))</f>
        <v>0</v>
      </c>
      <c r="W92" s="4">
        <f>IF(ISNUMBER(SEARCH("营",'17.01'!AE92)),(-$Y92+50*IF('17.01'!$AK92="是",'17.01'!$AY$4,'17.01'!$AY$3)),(VLOOKUP('17.01'!AE92,'17.01'!$AM$4:$AO$55,2,FALSE))*IF('17.01'!$AK92="是",'17.01'!$AY$4,'17.01'!$AY$3))</f>
        <v>0</v>
      </c>
      <c r="X92" s="4">
        <f>IF(ISNUMBER(SEARCH("营",'17.01'!AF92)),(-$Y92+50*IF('17.01'!$AK92="是",'17.01'!$AY$4,'17.01'!$AY$3)),(VLOOKUP('17.01'!AF92,'17.01'!$AM$4:$AO$55,2,FALSE))*IF('17.01'!$AK92="是",'17.01'!$AY$4,'17.01'!$AY$3))</f>
        <v>0</v>
      </c>
      <c r="Y92" s="90">
        <v>100</v>
      </c>
    </row>
    <row r="93" spans="1:25">
      <c r="A93" s="4">
        <f>IF(ISNUMBER(SEARCH("营",'17.01'!I93)),(-$Y93+50*IF('17.01'!$AK93="是",'17.01'!$AY$4,'17.01'!$AY$3)),(VLOOKUP('17.01'!I93,'17.01'!$AM$4:$AO$55,2,FALSE))*IF('17.01'!$AK93="是",'17.01'!$AY$4,'17.01'!$AY$3))</f>
        <v>0</v>
      </c>
      <c r="B93" s="4">
        <f>IF(ISNUMBER(SEARCH("营",'17.01'!J93)),(-$Y93+50*IF('17.01'!$AK93="是",'17.01'!$AY$4,'17.01'!$AY$3)),(VLOOKUP('17.01'!J93,'17.01'!$AM$4:$AO$55,2,FALSE))*IF('17.01'!$AK93="是",'17.01'!$AY$4,'17.01'!$AY$3))</f>
        <v>0</v>
      </c>
      <c r="C93" s="4">
        <f>IF(ISNUMBER(SEARCH("营",'17.01'!K93)),(-$Y93+50*IF('17.01'!$AK93="是",'17.01'!$AY$4,'17.01'!$AY$3)),(VLOOKUP('17.01'!K93,'17.01'!$AM$4:$AO$55,2,FALSE))*IF('17.01'!$AK93="是",'17.01'!$AY$4,'17.01'!$AY$3))</f>
        <v>0</v>
      </c>
      <c r="D93" s="4">
        <f>IF(ISNUMBER(SEARCH("营",'17.01'!L93)),(-$Y93+50*IF('17.01'!$AK93="是",'17.01'!$AY$4,'17.01'!$AY$3)),(VLOOKUP('17.01'!L93,'17.01'!$AM$4:$AO$55,2,FALSE))*IF('17.01'!$AK93="是",'17.01'!$AY$4,'17.01'!$AY$3))</f>
        <v>0</v>
      </c>
      <c r="E93" s="4">
        <f>IF(ISNUMBER(SEARCH("营",'17.01'!M93)),(-$Y93+50*IF('17.01'!$AK93="是",'17.01'!$AY$4,'17.01'!$AY$3)),(VLOOKUP('17.01'!M93,'17.01'!$AM$4:$AO$55,2,FALSE))*IF('17.01'!$AK93="是",'17.01'!$AY$4,'17.01'!$AY$3))</f>
        <v>0</v>
      </c>
      <c r="F93" s="4">
        <f>IF(ISNUMBER(SEARCH("营",'17.01'!N93)),(-$Y93+50*IF('17.01'!$AK93="是",'17.01'!$AY$4,'17.01'!$AY$3)),(VLOOKUP('17.01'!N93,'17.01'!$AM$4:$AO$55,2,FALSE))*IF('17.01'!$AK93="是",'17.01'!$AY$4,'17.01'!$AY$3))</f>
        <v>0</v>
      </c>
      <c r="G93" s="4">
        <f>IF(ISNUMBER(SEARCH("营",'17.01'!O93)),(-$Y93+50*IF('17.01'!$AK93="是",'17.01'!$AY$4,'17.01'!$AY$3)),(VLOOKUP('17.01'!O93,'17.01'!$AM$4:$AO$55,2,FALSE))*IF('17.01'!$AK93="是",'17.01'!$AY$4,'17.01'!$AY$3))</f>
        <v>0</v>
      </c>
      <c r="H93" s="4">
        <f>IF(ISNUMBER(SEARCH("营",'17.01'!P93)),(-$Y93+50*IF('17.01'!$AK93="是",'17.01'!$AY$4,'17.01'!$AY$3)),(VLOOKUP('17.01'!P93,'17.01'!$AM$4:$AO$55,2,FALSE))*IF('17.01'!$AK93="是",'17.01'!$AY$4,'17.01'!$AY$3))</f>
        <v>0</v>
      </c>
      <c r="I93" s="4">
        <f>IF(ISNUMBER(SEARCH("营",'17.01'!Q93)),(-$Y93+50*IF('17.01'!$AK93="是",'17.01'!$AY$4,'17.01'!$AY$3)),(VLOOKUP('17.01'!Q93,'17.01'!$AM$4:$AO$55,2,FALSE))*IF('17.01'!$AK93="是",'17.01'!$AY$4,'17.01'!$AY$3))</f>
        <v>0</v>
      </c>
      <c r="J93" s="4">
        <f>IF(ISNUMBER(SEARCH("营",'17.01'!R93)),(-$Y93+50*IF('17.01'!$AK93="是",'17.01'!$AY$4,'17.01'!$AY$3)),(VLOOKUP('17.01'!R93,'17.01'!$AM$4:$AO$55,2,FALSE))*IF('17.01'!$AK93="是",'17.01'!$AY$4,'17.01'!$AY$3))</f>
        <v>0</v>
      </c>
      <c r="K93" s="4">
        <f>IF(ISNUMBER(SEARCH("营",'17.01'!S93)),(-$Y93+50*IF('17.01'!$AK93="是",'17.01'!$AY$4,'17.01'!$AY$3)),(VLOOKUP('17.01'!S93,'17.01'!$AM$4:$AO$55,2,FALSE))*IF('17.01'!$AK93="是",'17.01'!$AY$4,'17.01'!$AY$3))</f>
        <v>0</v>
      </c>
      <c r="L93" s="4">
        <f>IF(ISNUMBER(SEARCH("营",'17.01'!T93)),(-$Y93+50*IF('17.01'!$AK93="是",'17.01'!$AY$4,'17.01'!$AY$3)),(VLOOKUP('17.01'!T93,'17.01'!$AM$4:$AO$55,2,FALSE))*IF('17.01'!$AK93="是",'17.01'!$AY$4,'17.01'!$AY$3))</f>
        <v>0</v>
      </c>
      <c r="M93" s="4">
        <f>IF(ISNUMBER(SEARCH("营",'17.01'!U93)),(-$Y93+50*IF('17.01'!$AK93="是",'17.01'!$AY$4,'17.01'!$AY$3)),(VLOOKUP('17.01'!U93,'17.01'!$AM$4:$AO$55,2,FALSE))*IF('17.01'!$AK93="是",'17.01'!$AY$4,'17.01'!$AY$3))</f>
        <v>0</v>
      </c>
      <c r="N93" s="4">
        <f>IF(ISNUMBER(SEARCH("营",'17.01'!V93)),(-$Y93+50*IF('17.01'!$AK93="是",'17.01'!$AY$4,'17.01'!$AY$3)),(VLOOKUP('17.01'!V93,'17.01'!$AM$4:$AO$55,2,FALSE))*IF('17.01'!$AK93="是",'17.01'!$AY$4,'17.01'!$AY$3))</f>
        <v>0</v>
      </c>
      <c r="O93" s="4">
        <f>IF(ISNUMBER(SEARCH("营",'17.01'!W93)),(-$Y93+50*IF('17.01'!$AK93="是",'17.01'!$AY$4,'17.01'!$AY$3)),(VLOOKUP('17.01'!W93,'17.01'!$AM$4:$AO$55,2,FALSE))*IF('17.01'!$AK93="是",'17.01'!$AY$4,'17.01'!$AY$3))</f>
        <v>0</v>
      </c>
      <c r="P93" s="4">
        <f>IF(ISNUMBER(SEARCH("营",'17.01'!X93)),(-$Y93+50*IF('17.01'!$AK93="是",'17.01'!$AY$4,'17.01'!$AY$3)),(VLOOKUP('17.01'!X93,'17.01'!$AM$4:$AO$55,2,FALSE))*IF('17.01'!$AK93="是",'17.01'!$AY$4,'17.01'!$AY$3))</f>
        <v>0</v>
      </c>
      <c r="Q93" s="4">
        <f>IF(ISNUMBER(SEARCH("营",'17.01'!Y93)),(-$Y93+50*IF('17.01'!$AK93="是",'17.01'!$AY$4,'17.01'!$AY$3)),(VLOOKUP('17.01'!Y93,'17.01'!$AM$4:$AO$55,2,FALSE))*IF('17.01'!$AK93="是",'17.01'!$AY$4,'17.01'!$AY$3))</f>
        <v>0</v>
      </c>
      <c r="R93" s="4">
        <f>IF(ISNUMBER(SEARCH("营",'17.01'!Z93)),(-$Y93+50*IF('17.01'!$AK93="是",'17.01'!$AY$4,'17.01'!$AY$3)),(VLOOKUP('17.01'!Z93,'17.01'!$AM$4:$AO$55,2,FALSE))*IF('17.01'!$AK93="是",'17.01'!$AY$4,'17.01'!$AY$3))</f>
        <v>0</v>
      </c>
      <c r="S93" s="4">
        <f>IF(ISNUMBER(SEARCH("营",'17.01'!AA93)),(-$Y93+50*IF('17.01'!$AK93="是",'17.01'!$AY$4,'17.01'!$AY$3)),(VLOOKUP('17.01'!AA93,'17.01'!$AM$4:$AO$55,2,FALSE))*IF('17.01'!$AK93="是",'17.01'!$AY$4,'17.01'!$AY$3))</f>
        <v>0</v>
      </c>
      <c r="T93" s="4">
        <f>IF(ISNUMBER(SEARCH("营",'17.01'!AB93)),(-$Y93+50*IF('17.01'!$AK93="是",'17.01'!$AY$4,'17.01'!$AY$3)),(VLOOKUP('17.01'!AB93,'17.01'!$AM$4:$AO$55,2,FALSE))*IF('17.01'!$AK93="是",'17.01'!$AY$4,'17.01'!$AY$3))</f>
        <v>0</v>
      </c>
      <c r="U93" s="4">
        <f>IF(ISNUMBER(SEARCH("营",'17.01'!AC93)),(-$Y93+50*IF('17.01'!$AK93="是",'17.01'!$AY$4,'17.01'!$AY$3)),(VLOOKUP('17.01'!AC93,'17.01'!$AM$4:$AO$55,2,FALSE))*IF('17.01'!$AK93="是",'17.01'!$AY$4,'17.01'!$AY$3))</f>
        <v>0</v>
      </c>
      <c r="V93" s="4">
        <f>IF(ISNUMBER(SEARCH("营",'17.01'!AD93)),(-$Y93+50*IF('17.01'!$AK93="是",'17.01'!$AY$4,'17.01'!$AY$3)),(VLOOKUP('17.01'!AD93,'17.01'!$AM$4:$AO$55,2,FALSE))*IF('17.01'!$AK93="是",'17.01'!$AY$4,'17.01'!$AY$3))</f>
        <v>0</v>
      </c>
      <c r="W93" s="4">
        <f>IF(ISNUMBER(SEARCH("营",'17.01'!AE93)),(-$Y93+50*IF('17.01'!$AK93="是",'17.01'!$AY$4,'17.01'!$AY$3)),(VLOOKUP('17.01'!AE93,'17.01'!$AM$4:$AO$55,2,FALSE))*IF('17.01'!$AK93="是",'17.01'!$AY$4,'17.01'!$AY$3))</f>
        <v>0</v>
      </c>
      <c r="X93" s="4">
        <f>IF(ISNUMBER(SEARCH("营",'17.01'!AF93)),(-$Y93+50*IF('17.01'!$AK93="是",'17.01'!$AY$4,'17.01'!$AY$3)),(VLOOKUP('17.01'!AF93,'17.01'!$AM$4:$AO$55,2,FALSE))*IF('17.01'!$AK93="是",'17.01'!$AY$4,'17.01'!$AY$3))</f>
        <v>0</v>
      </c>
      <c r="Y93" s="90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3" t="s">
        <v>59</v>
      </c>
      <c r="B2" s="144"/>
      <c r="C2" s="1" t="s">
        <v>4</v>
      </c>
      <c r="D2" s="1">
        <f>COUNTIF(A4:H94,"&lt;&gt;空")</f>
        <v>728</v>
      </c>
      <c r="E2" s="144" t="s">
        <v>5</v>
      </c>
      <c r="F2" s="144"/>
      <c r="G2" s="144"/>
      <c r="H2" s="145"/>
      <c r="I2" s="146" t="s">
        <v>6</v>
      </c>
      <c r="J2" s="147"/>
      <c r="K2" s="6" t="s">
        <v>4</v>
      </c>
      <c r="L2" s="6">
        <f>COUNTIF(I4:P94,"&lt;&gt;空")</f>
        <v>728</v>
      </c>
      <c r="M2" s="147" t="s">
        <v>5</v>
      </c>
      <c r="N2" s="147"/>
      <c r="O2" s="147"/>
      <c r="P2" s="148"/>
      <c r="Q2" s="149" t="s">
        <v>7</v>
      </c>
      <c r="R2" s="141"/>
      <c r="S2" s="10" t="s">
        <v>8</v>
      </c>
      <c r="T2" s="9">
        <f>COUNTIF(Q4:X94,"&lt;&gt;空")</f>
        <v>728</v>
      </c>
      <c r="U2" s="141" t="s">
        <v>5</v>
      </c>
      <c r="V2" s="141"/>
      <c r="W2" s="141"/>
      <c r="X2" s="14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(VLOOKUP('17.01'!I4,'17.01'!$AM$4:$AO$55,3,FALSE))</f>
        <v>35</v>
      </c>
      <c r="B4" s="4">
        <f>(VLOOKUP('17.01'!J4,'17.01'!$AM$4:$AO$55,3,FALSE))</f>
        <v>35</v>
      </c>
      <c r="C4" s="4">
        <f>(VLOOKUP('17.01'!K4,'17.01'!$AM$4:$AO$55,3,FALSE))</f>
        <v>35</v>
      </c>
      <c r="D4" s="4">
        <f>(VLOOKUP('17.01'!L4,'17.01'!$AM$4:$AO$55,3,FALSE))</f>
        <v>0</v>
      </c>
      <c r="E4" s="4">
        <f>(VLOOKUP('17.01'!M4,'17.01'!$AM$4:$AO$55,3,FALSE))</f>
        <v>0</v>
      </c>
      <c r="F4" s="4">
        <f>(VLOOKUP('17.01'!N4,'17.01'!$AM$4:$AO$55,3,FALSE))</f>
        <v>0</v>
      </c>
      <c r="G4" s="5">
        <f>(VLOOKUP('17.01'!O4,'17.01'!$AM$4:$AO$55,3,FALSE))</f>
        <v>0</v>
      </c>
      <c r="H4" s="5">
        <f>(VLOOKUP('17.01'!P4,'17.01'!$AM$4:$AO$55,3,FALSE))</f>
        <v>0</v>
      </c>
      <c r="I4" s="4">
        <f>(VLOOKUP('17.01'!Q4,'17.01'!$AM$4:$AO$55,3,FALSE))</f>
        <v>35</v>
      </c>
      <c r="J4" s="4">
        <f>(VLOOKUP('17.01'!R4,'17.01'!$AM$4:$AO$55,3,FALSE))</f>
        <v>35</v>
      </c>
      <c r="K4" s="4">
        <f>(VLOOKUP('17.01'!S4,'17.01'!$AM$4:$AO$55,3,FALSE))</f>
        <v>30</v>
      </c>
      <c r="L4" s="4">
        <f>(VLOOKUP('17.01'!T4,'17.01'!$AM$4:$AO$55,3,FALSE))</f>
        <v>35</v>
      </c>
      <c r="M4" s="4">
        <f>(VLOOKUP('17.01'!U4,'17.01'!$AM$4:$AO$55,3,FALSE))</f>
        <v>35</v>
      </c>
      <c r="N4" s="4">
        <f>(VLOOKUP('17.01'!V4,'17.01'!$AM$4:$AO$55,3,FALSE))</f>
        <v>35</v>
      </c>
      <c r="O4" s="5">
        <f>(VLOOKUP('17.01'!W4,'17.01'!$AM$4:$AO$55,3,FALSE))</f>
        <v>0</v>
      </c>
      <c r="P4" s="5">
        <f>(VLOOKUP('17.01'!X4,'17.01'!$AM$4:$AO$55,3,FALSE))</f>
        <v>0</v>
      </c>
      <c r="Q4" s="4">
        <f>(VLOOKUP('17.01'!Y4,'17.01'!$AM$4:$AO$55,3,FALSE))</f>
        <v>35</v>
      </c>
      <c r="R4" s="4">
        <f>(VLOOKUP('17.01'!Z4,'17.01'!$AM$4:$AO$55,3,FALSE))</f>
        <v>35</v>
      </c>
      <c r="S4" s="4">
        <f>(VLOOKUP('17.01'!AA4,'17.01'!$AM$4:$AO$55,3,FALSE))</f>
        <v>35</v>
      </c>
      <c r="T4" s="4">
        <f>(VLOOKUP('17.01'!AB4,'17.01'!$AM$4:$AO$55,3,FALSE))</f>
        <v>35</v>
      </c>
      <c r="U4" s="4">
        <f>(VLOOKUP('17.01'!AC4,'17.01'!$AM$4:$AO$55,3,FALSE))</f>
        <v>35</v>
      </c>
      <c r="V4" s="4">
        <f>(VLOOKUP('17.01'!AD4,'17.01'!$AM$4:$AO$55,3,FALSE))</f>
        <v>0</v>
      </c>
      <c r="W4" s="5">
        <f>(VLOOKUP('17.01'!AE4,'17.01'!$AM$4:$AO$55,3,FALSE))</f>
        <v>0</v>
      </c>
      <c r="X4" s="5">
        <f>(VLOOKUP('17.01'!AF4,'17.01'!$AM$4:$AO$55,3,FALSE))</f>
        <v>0</v>
      </c>
    </row>
    <row r="5" spans="1:24">
      <c r="A5" s="4">
        <f>(VLOOKUP('17.01'!I5,'17.01'!$AM$4:$AO$55,3,FALSE))</f>
        <v>0</v>
      </c>
      <c r="B5" s="4">
        <f>(VLOOKUP('17.01'!J5,'17.01'!$AM$4:$AO$55,3,FALSE))</f>
        <v>0</v>
      </c>
      <c r="C5" s="4">
        <f>(VLOOKUP('17.01'!K5,'17.01'!$AM$4:$AO$55,3,FALSE))</f>
        <v>0</v>
      </c>
      <c r="D5" s="4">
        <f>(VLOOKUP('17.01'!L5,'17.01'!$AM$4:$AO$55,3,FALSE))</f>
        <v>0</v>
      </c>
      <c r="E5" s="4">
        <f>(VLOOKUP('17.01'!M5,'17.01'!$AM$4:$AO$55,3,FALSE))</f>
        <v>0</v>
      </c>
      <c r="F5" s="4">
        <f>(VLOOKUP('17.01'!N5,'17.01'!$AM$4:$AO$55,3,FALSE))</f>
        <v>0</v>
      </c>
      <c r="G5" s="5">
        <f>(VLOOKUP('17.01'!O5,'17.01'!$AM$4:$AO$55,3,FALSE))</f>
        <v>0</v>
      </c>
      <c r="H5" s="5">
        <f>(VLOOKUP('17.01'!P5,'17.01'!$AM$4:$AO$55,3,FALSE))</f>
        <v>0</v>
      </c>
      <c r="I5" s="4">
        <f>(VLOOKUP('17.01'!Q5,'17.01'!$AM$4:$AO$55,3,FALSE))</f>
        <v>35</v>
      </c>
      <c r="J5" s="4">
        <f>(VLOOKUP('17.01'!R5,'17.01'!$AM$4:$AO$55,3,FALSE))</f>
        <v>30</v>
      </c>
      <c r="K5" s="4">
        <f>(VLOOKUP('17.01'!S5,'17.01'!$AM$4:$AO$55,3,FALSE))</f>
        <v>0</v>
      </c>
      <c r="L5" s="4">
        <f>(VLOOKUP('17.01'!T5,'17.01'!$AM$4:$AO$55,3,FALSE))</f>
        <v>0</v>
      </c>
      <c r="M5" s="4">
        <f>(VLOOKUP('17.01'!U5,'17.01'!$AM$4:$AO$55,3,FALSE))</f>
        <v>0</v>
      </c>
      <c r="N5" s="4">
        <f>(VLOOKUP('17.01'!V5,'17.01'!$AM$4:$AO$55,3,FALSE))</f>
        <v>0</v>
      </c>
      <c r="O5" s="5">
        <f>(VLOOKUP('17.01'!W5,'17.01'!$AM$4:$AO$55,3,FALSE))</f>
        <v>0</v>
      </c>
      <c r="P5" s="5">
        <f>(VLOOKUP('17.01'!X5,'17.01'!$AM$4:$AO$55,3,FALSE))</f>
        <v>0</v>
      </c>
      <c r="Q5" s="4">
        <f>(VLOOKUP('17.01'!Y5,'17.01'!$AM$4:$AO$55,3,FALSE))</f>
        <v>30</v>
      </c>
      <c r="R5" s="4">
        <f>(VLOOKUP('17.01'!Z5,'17.01'!$AM$4:$AO$55,3,FALSE))</f>
        <v>35</v>
      </c>
      <c r="S5" s="4">
        <f>(VLOOKUP('17.01'!AA5,'17.01'!$AM$4:$AO$55,3,FALSE))</f>
        <v>35</v>
      </c>
      <c r="T5" s="4">
        <f>(VLOOKUP('17.01'!AB5,'17.01'!$AM$4:$AO$55,3,FALSE))</f>
        <v>35</v>
      </c>
      <c r="U5" s="4">
        <f>(VLOOKUP('17.01'!AC5,'17.01'!$AM$4:$AO$55,3,FALSE))</f>
        <v>35</v>
      </c>
      <c r="V5" s="4">
        <f>(VLOOKUP('17.01'!AD5,'17.01'!$AM$4:$AO$55,3,FALSE))</f>
        <v>35</v>
      </c>
      <c r="W5" s="5">
        <f>(VLOOKUP('17.01'!AE5,'17.01'!$AM$4:$AO$55,3,FALSE))</f>
        <v>35</v>
      </c>
      <c r="X5" s="5">
        <f>(VLOOKUP('17.01'!AF5,'17.01'!$AM$4:$AO$55,3,FALSE))</f>
        <v>0</v>
      </c>
    </row>
    <row r="6" spans="1:24">
      <c r="A6" s="4">
        <f>(VLOOKUP('17.01'!I6,'17.01'!$AM$4:$AO$55,3,FALSE))</f>
        <v>0</v>
      </c>
      <c r="B6" s="4">
        <f>(VLOOKUP('17.01'!J6,'17.01'!$AM$4:$AO$55,3,FALSE))</f>
        <v>0</v>
      </c>
      <c r="C6" s="4">
        <f>(VLOOKUP('17.01'!K6,'17.01'!$AM$4:$AO$55,3,FALSE))</f>
        <v>0</v>
      </c>
      <c r="D6" s="4">
        <f>(VLOOKUP('17.01'!L6,'17.01'!$AM$4:$AO$55,3,FALSE))</f>
        <v>0</v>
      </c>
      <c r="E6" s="4">
        <f>(VLOOKUP('17.01'!M6,'17.01'!$AM$4:$AO$55,3,FALSE))</f>
        <v>0</v>
      </c>
      <c r="F6" s="4">
        <f>(VLOOKUP('17.01'!N6,'17.01'!$AM$4:$AO$55,3,FALSE))</f>
        <v>0</v>
      </c>
      <c r="G6" s="5">
        <f>(VLOOKUP('17.01'!O6,'17.01'!$AM$4:$AO$55,3,FALSE))</f>
        <v>0</v>
      </c>
      <c r="H6" s="5">
        <f>(VLOOKUP('17.01'!P6,'17.01'!$AM$4:$AO$55,3,FALSE))</f>
        <v>0</v>
      </c>
      <c r="I6" s="4">
        <f>(VLOOKUP('17.01'!Q6,'17.01'!$AM$4:$AO$55,3,FALSE))</f>
        <v>45</v>
      </c>
      <c r="J6" s="4">
        <f>(VLOOKUP('17.01'!R6,'17.01'!$AM$4:$AO$55,3,FALSE))</f>
        <v>45</v>
      </c>
      <c r="K6" s="4">
        <f>(VLOOKUP('17.01'!S6,'17.01'!$AM$4:$AO$55,3,FALSE))</f>
        <v>45</v>
      </c>
      <c r="L6" s="4">
        <f>(VLOOKUP('17.01'!T6,'17.01'!$AM$4:$AO$55,3,FALSE))</f>
        <v>45</v>
      </c>
      <c r="M6" s="4">
        <f>(VLOOKUP('17.01'!U6,'17.01'!$AM$4:$AO$55,3,FALSE))</f>
        <v>45</v>
      </c>
      <c r="N6" s="4">
        <f>(VLOOKUP('17.01'!V6,'17.01'!$AM$4:$AO$55,3,FALSE))</f>
        <v>45</v>
      </c>
      <c r="O6" s="5">
        <f>(VLOOKUP('17.01'!W6,'17.01'!$AM$4:$AO$55,3,FALSE))</f>
        <v>45</v>
      </c>
      <c r="P6" s="5">
        <f>(VLOOKUP('17.01'!X6,'17.01'!$AM$4:$AO$55,3,FALSE))</f>
        <v>45</v>
      </c>
      <c r="Q6" s="4">
        <f>(VLOOKUP('17.01'!Y6,'17.01'!$AM$4:$AO$55,3,FALSE))</f>
        <v>30</v>
      </c>
      <c r="R6" s="4">
        <f>(VLOOKUP('17.01'!Z6,'17.01'!$AM$4:$AO$55,3,FALSE))</f>
        <v>35</v>
      </c>
      <c r="S6" s="4">
        <f>(VLOOKUP('17.01'!AA6,'17.01'!$AM$4:$AO$55,3,FALSE))</f>
        <v>35</v>
      </c>
      <c r="T6" s="4">
        <f>(VLOOKUP('17.01'!AB6,'17.01'!$AM$4:$AO$55,3,FALSE))</f>
        <v>45</v>
      </c>
      <c r="U6" s="4">
        <f>(VLOOKUP('17.01'!AC6,'17.01'!$AM$4:$AO$55,3,FALSE))</f>
        <v>45</v>
      </c>
      <c r="V6" s="4">
        <f>(VLOOKUP('17.01'!AD6,'17.01'!$AM$4:$AO$55,3,FALSE))</f>
        <v>45</v>
      </c>
      <c r="W6" s="5">
        <f>(VLOOKUP('17.01'!AE6,'17.01'!$AM$4:$AO$55,3,FALSE))</f>
        <v>0</v>
      </c>
      <c r="X6" s="5">
        <f>(VLOOKUP('17.01'!AF6,'17.01'!$AM$4:$AO$55,3,FALSE))</f>
        <v>0</v>
      </c>
    </row>
    <row r="7" spans="1:24">
      <c r="A7" s="4">
        <f>(VLOOKUP('17.01'!I7,'17.01'!$AM$4:$AO$55,3,FALSE))</f>
        <v>0</v>
      </c>
      <c r="B7" s="4">
        <f>(VLOOKUP('17.01'!J7,'17.01'!$AM$4:$AO$55,3,FALSE))</f>
        <v>0</v>
      </c>
      <c r="C7" s="4">
        <f>(VLOOKUP('17.01'!K7,'17.01'!$AM$4:$AO$55,3,FALSE))</f>
        <v>0</v>
      </c>
      <c r="D7" s="4">
        <f>(VLOOKUP('17.01'!L7,'17.01'!$AM$4:$AO$55,3,FALSE))</f>
        <v>0</v>
      </c>
      <c r="E7" s="4">
        <f>(VLOOKUP('17.01'!M7,'17.01'!$AM$4:$AO$55,3,FALSE))</f>
        <v>0</v>
      </c>
      <c r="F7" s="4">
        <f>(VLOOKUP('17.01'!N7,'17.01'!$AM$4:$AO$55,3,FALSE))</f>
        <v>0</v>
      </c>
      <c r="G7" s="5">
        <f>(VLOOKUP('17.01'!O7,'17.01'!$AM$4:$AO$55,3,FALSE))</f>
        <v>0</v>
      </c>
      <c r="H7" s="5">
        <f>(VLOOKUP('17.01'!P7,'17.01'!$AM$4:$AO$55,3,FALSE))</f>
        <v>0</v>
      </c>
      <c r="I7" s="4">
        <f>(VLOOKUP('17.01'!Q7,'17.01'!$AM$4:$AO$55,3,FALSE))</f>
        <v>45</v>
      </c>
      <c r="J7" s="4">
        <f>(VLOOKUP('17.01'!R7,'17.01'!$AM$4:$AO$55,3,FALSE))</f>
        <v>45</v>
      </c>
      <c r="K7" s="4">
        <f>(VLOOKUP('17.01'!S7,'17.01'!$AM$4:$AO$55,3,FALSE))</f>
        <v>45</v>
      </c>
      <c r="L7" s="4">
        <f>(VLOOKUP('17.01'!T7,'17.01'!$AM$4:$AO$55,3,FALSE))</f>
        <v>45</v>
      </c>
      <c r="M7" s="4">
        <f>(VLOOKUP('17.01'!U7,'17.01'!$AM$4:$AO$55,3,FALSE))</f>
        <v>300</v>
      </c>
      <c r="N7" s="4">
        <f>(VLOOKUP('17.01'!V7,'17.01'!$AM$4:$AO$55,3,FALSE))</f>
        <v>45</v>
      </c>
      <c r="O7" s="5">
        <f>(VLOOKUP('17.01'!W7,'17.01'!$AM$4:$AO$55,3,FALSE))</f>
        <v>45</v>
      </c>
      <c r="P7" s="5">
        <f>(VLOOKUP('17.01'!X7,'17.01'!$AM$4:$AO$55,3,FALSE))</f>
        <v>45</v>
      </c>
      <c r="Q7" s="4">
        <f>(VLOOKUP('17.01'!Y7,'17.01'!$AM$4:$AO$55,3,FALSE))</f>
        <v>45</v>
      </c>
      <c r="R7" s="4">
        <f>(VLOOKUP('17.01'!Z7,'17.01'!$AM$4:$AO$55,3,FALSE))</f>
        <v>30</v>
      </c>
      <c r="S7" s="4">
        <f>(VLOOKUP('17.01'!AA7,'17.01'!$AM$4:$AO$55,3,FALSE))</f>
        <v>45</v>
      </c>
      <c r="T7" s="4">
        <f>(VLOOKUP('17.01'!AB7,'17.01'!$AM$4:$AO$55,3,FALSE))</f>
        <v>45</v>
      </c>
      <c r="U7" s="4">
        <f>(VLOOKUP('17.01'!AC7,'17.01'!$AM$4:$AO$55,3,FALSE))</f>
        <v>45</v>
      </c>
      <c r="V7" s="4">
        <f>(VLOOKUP('17.01'!AD7,'17.01'!$AM$4:$AO$55,3,FALSE))</f>
        <v>45</v>
      </c>
      <c r="W7" s="5">
        <f>(VLOOKUP('17.01'!AE7,'17.01'!$AM$4:$AO$55,3,FALSE))</f>
        <v>0</v>
      </c>
      <c r="X7" s="5">
        <f>(VLOOKUP('17.01'!AF7,'17.01'!$AM$4:$AO$55,3,FALSE))</f>
        <v>0</v>
      </c>
    </row>
    <row r="8" spans="1:24">
      <c r="A8" s="4">
        <f>(VLOOKUP('17.01'!I8,'17.01'!$AM$4:$AO$55,3,FALSE))</f>
        <v>0</v>
      </c>
      <c r="B8" s="4">
        <f>(VLOOKUP('17.01'!J8,'17.01'!$AM$4:$AO$55,3,FALSE))</f>
        <v>0</v>
      </c>
      <c r="C8" s="4">
        <f>(VLOOKUP('17.01'!K8,'17.01'!$AM$4:$AO$55,3,FALSE))</f>
        <v>0</v>
      </c>
      <c r="D8" s="4">
        <f>(VLOOKUP('17.01'!L8,'17.01'!$AM$4:$AO$55,3,FALSE))</f>
        <v>0</v>
      </c>
      <c r="E8" s="4">
        <f>(VLOOKUP('17.01'!M8,'17.01'!$AM$4:$AO$55,3,FALSE))</f>
        <v>0</v>
      </c>
      <c r="F8" s="4">
        <f>(VLOOKUP('17.01'!N8,'17.01'!$AM$4:$AO$55,3,FALSE))</f>
        <v>0</v>
      </c>
      <c r="G8" s="5">
        <f>(VLOOKUP('17.01'!O8,'17.01'!$AM$4:$AO$55,3,FALSE))</f>
        <v>0</v>
      </c>
      <c r="H8" s="5">
        <f>(VLOOKUP('17.01'!P8,'17.01'!$AM$4:$AO$55,3,FALSE))</f>
        <v>0</v>
      </c>
      <c r="I8" s="4">
        <f>(VLOOKUP('17.01'!Q8,'17.01'!$AM$4:$AO$55,3,FALSE))</f>
        <v>45</v>
      </c>
      <c r="J8" s="4">
        <f>(VLOOKUP('17.01'!R8,'17.01'!$AM$4:$AO$55,3,FALSE))</f>
        <v>45</v>
      </c>
      <c r="K8" s="4">
        <f>(VLOOKUP('17.01'!S8,'17.01'!$AM$4:$AO$55,3,FALSE))</f>
        <v>45</v>
      </c>
      <c r="L8" s="4">
        <f>(VLOOKUP('17.01'!T8,'17.01'!$AM$4:$AO$55,3,FALSE))</f>
        <v>30</v>
      </c>
      <c r="M8" s="4">
        <f>(VLOOKUP('17.01'!U8,'17.01'!$AM$4:$AO$55,3,FALSE))</f>
        <v>45</v>
      </c>
      <c r="N8" s="4">
        <f>(VLOOKUP('17.01'!V8,'17.01'!$AM$4:$AO$55,3,FALSE))</f>
        <v>45</v>
      </c>
      <c r="O8" s="5">
        <f>(VLOOKUP('17.01'!W8,'17.01'!$AM$4:$AO$55,3,FALSE))</f>
        <v>0</v>
      </c>
      <c r="P8" s="5">
        <f>(VLOOKUP('17.01'!X8,'17.01'!$AM$4:$AO$55,3,FALSE))</f>
        <v>0</v>
      </c>
      <c r="Q8" s="4">
        <f>(VLOOKUP('17.01'!Y8,'17.01'!$AM$4:$AO$55,3,FALSE))</f>
        <v>45</v>
      </c>
      <c r="R8" s="4">
        <f>(VLOOKUP('17.01'!Z8,'17.01'!$AM$4:$AO$55,3,FALSE))</f>
        <v>45</v>
      </c>
      <c r="S8" s="4">
        <f>(VLOOKUP('17.01'!AA8,'17.01'!$AM$4:$AO$55,3,FALSE))</f>
        <v>45</v>
      </c>
      <c r="T8" s="4">
        <f>(VLOOKUP('17.01'!AB8,'17.01'!$AM$4:$AO$55,3,FALSE))</f>
        <v>300</v>
      </c>
      <c r="U8" s="4">
        <f>(VLOOKUP('17.01'!AC8,'17.01'!$AM$4:$AO$55,3,FALSE))</f>
        <v>45</v>
      </c>
      <c r="V8" s="4">
        <f>(VLOOKUP('17.01'!AD8,'17.01'!$AM$4:$AO$55,3,FALSE))</f>
        <v>0</v>
      </c>
      <c r="W8" s="5">
        <f>(VLOOKUP('17.01'!AE8,'17.01'!$AM$4:$AO$55,3,FALSE))</f>
        <v>0</v>
      </c>
      <c r="X8" s="5">
        <f>(VLOOKUP('17.01'!AF8,'17.01'!$AM$4:$AO$55,3,FALSE))</f>
        <v>0</v>
      </c>
    </row>
    <row r="9" spans="1:24">
      <c r="A9" s="4">
        <f>(VLOOKUP('17.01'!I9,'17.01'!$AM$4:$AO$55,3,FALSE))</f>
        <v>0</v>
      </c>
      <c r="B9" s="4">
        <f>(VLOOKUP('17.01'!J9,'17.01'!$AM$4:$AO$55,3,FALSE))</f>
        <v>0</v>
      </c>
      <c r="C9" s="4">
        <f>(VLOOKUP('17.01'!K9,'17.01'!$AM$4:$AO$55,3,FALSE))</f>
        <v>0</v>
      </c>
      <c r="D9" s="4">
        <f>(VLOOKUP('17.01'!L9,'17.01'!$AM$4:$AO$55,3,FALSE))</f>
        <v>0</v>
      </c>
      <c r="E9" s="4">
        <f>(VLOOKUP('17.01'!M9,'17.01'!$AM$4:$AO$55,3,FALSE))</f>
        <v>0</v>
      </c>
      <c r="F9" s="4">
        <f>(VLOOKUP('17.01'!N9,'17.01'!$AM$4:$AO$55,3,FALSE))</f>
        <v>0</v>
      </c>
      <c r="G9" s="5">
        <f>(VLOOKUP('17.01'!O9,'17.01'!$AM$4:$AO$55,3,FALSE))</f>
        <v>0</v>
      </c>
      <c r="H9" s="5">
        <f>(VLOOKUP('17.01'!P9,'17.01'!$AM$4:$AO$55,3,FALSE))</f>
        <v>0</v>
      </c>
      <c r="I9" s="4">
        <f>(VLOOKUP('17.01'!Q9,'17.01'!$AM$4:$AO$55,3,FALSE))</f>
        <v>45</v>
      </c>
      <c r="J9" s="4">
        <f>(VLOOKUP('17.01'!R9,'17.01'!$AM$4:$AO$55,3,FALSE))</f>
        <v>50</v>
      </c>
      <c r="K9" s="4">
        <f>(VLOOKUP('17.01'!S9,'17.01'!$AM$4:$AO$55,3,FALSE))</f>
        <v>50</v>
      </c>
      <c r="L9" s="4">
        <f>(VLOOKUP('17.01'!T9,'17.01'!$AM$4:$AO$55,3,FALSE))</f>
        <v>50</v>
      </c>
      <c r="M9" s="4">
        <f>(VLOOKUP('17.01'!U9,'17.01'!$AM$4:$AO$55,3,FALSE))</f>
        <v>50</v>
      </c>
      <c r="N9" s="4">
        <f>(VLOOKUP('17.01'!V9,'17.01'!$AM$4:$AO$55,3,FALSE))</f>
        <v>50</v>
      </c>
      <c r="O9" s="5">
        <f>(VLOOKUP('17.01'!W9,'17.01'!$AM$4:$AO$55,3,FALSE))</f>
        <v>0</v>
      </c>
      <c r="P9" s="5">
        <f>(VLOOKUP('17.01'!X9,'17.01'!$AM$4:$AO$55,3,FALSE))</f>
        <v>0</v>
      </c>
      <c r="Q9" s="4">
        <f>(VLOOKUP('17.01'!Y9,'17.01'!$AM$4:$AO$55,3,FALSE))</f>
        <v>45</v>
      </c>
      <c r="R9" s="4">
        <f>(VLOOKUP('17.01'!Z9,'17.01'!$AM$4:$AO$55,3,FALSE))</f>
        <v>45</v>
      </c>
      <c r="S9" s="4">
        <f>(VLOOKUP('17.01'!AA9,'17.01'!$AM$4:$AO$55,3,FALSE))</f>
        <v>45</v>
      </c>
      <c r="T9" s="4">
        <f>(VLOOKUP('17.01'!AB9,'17.01'!$AM$4:$AO$55,3,FALSE))</f>
        <v>45</v>
      </c>
      <c r="U9" s="4">
        <f>(VLOOKUP('17.01'!AC9,'17.01'!$AM$4:$AO$55,3,FALSE))</f>
        <v>30</v>
      </c>
      <c r="V9" s="4">
        <f>(VLOOKUP('17.01'!AD9,'17.01'!$AM$4:$AO$55,3,FALSE))</f>
        <v>45</v>
      </c>
      <c r="W9" s="5">
        <f>(VLOOKUP('17.01'!AE9,'17.01'!$AM$4:$AO$55,3,FALSE))</f>
        <v>0</v>
      </c>
      <c r="X9" s="5">
        <f>(VLOOKUP('17.01'!AF9,'17.01'!$AM$4:$AO$55,3,FALSE))</f>
        <v>0</v>
      </c>
    </row>
    <row r="10" spans="1:24">
      <c r="A10" s="4">
        <f>(VLOOKUP('17.01'!I10,'17.01'!$AM$4:$AO$55,3,FALSE))</f>
        <v>0</v>
      </c>
      <c r="B10" s="4">
        <f>(VLOOKUP('17.01'!J10,'17.01'!$AM$4:$AO$55,3,FALSE))</f>
        <v>0</v>
      </c>
      <c r="C10" s="4">
        <f>(VLOOKUP('17.01'!K10,'17.01'!$AM$4:$AO$55,3,FALSE))</f>
        <v>0</v>
      </c>
      <c r="D10" s="4">
        <f>(VLOOKUP('17.01'!L10,'17.01'!$AM$4:$AO$55,3,FALSE))</f>
        <v>0</v>
      </c>
      <c r="E10" s="4">
        <f>(VLOOKUP('17.01'!M10,'17.01'!$AM$4:$AO$55,3,FALSE))</f>
        <v>0</v>
      </c>
      <c r="F10" s="4">
        <f>(VLOOKUP('17.01'!N10,'17.01'!$AM$4:$AO$55,3,FALSE))</f>
        <v>0</v>
      </c>
      <c r="G10" s="5">
        <f>(VLOOKUP('17.01'!O10,'17.01'!$AM$4:$AO$55,3,FALSE))</f>
        <v>0</v>
      </c>
      <c r="H10" s="5">
        <f>(VLOOKUP('17.01'!P10,'17.01'!$AM$4:$AO$55,3,FALSE))</f>
        <v>0</v>
      </c>
      <c r="I10" s="4">
        <f>(VLOOKUP('17.01'!Q10,'17.01'!$AM$4:$AO$55,3,FALSE))</f>
        <v>50</v>
      </c>
      <c r="J10" s="4">
        <f>(VLOOKUP('17.01'!R10,'17.01'!$AM$4:$AO$55,3,FALSE))</f>
        <v>50</v>
      </c>
      <c r="K10" s="4">
        <f>(VLOOKUP('17.01'!S10,'17.01'!$AM$4:$AO$55,3,FALSE))</f>
        <v>50</v>
      </c>
      <c r="L10" s="4">
        <f>(VLOOKUP('17.01'!T10,'17.01'!$AM$4:$AO$55,3,FALSE))</f>
        <v>45</v>
      </c>
      <c r="M10" s="4">
        <f>(VLOOKUP('17.01'!U10,'17.01'!$AM$4:$AO$55,3,FALSE))</f>
        <v>45</v>
      </c>
      <c r="N10" s="4">
        <f>(VLOOKUP('17.01'!V10,'17.01'!$AM$4:$AO$55,3,FALSE))</f>
        <v>45</v>
      </c>
      <c r="O10" s="5">
        <f>(VLOOKUP('17.01'!W10,'17.01'!$AM$4:$AO$55,3,FALSE))</f>
        <v>0</v>
      </c>
      <c r="P10" s="5">
        <f>(VLOOKUP('17.01'!X10,'17.01'!$AM$4:$AO$55,3,FALSE))</f>
        <v>0</v>
      </c>
      <c r="Q10" s="4">
        <f>(VLOOKUP('17.01'!Y10,'17.01'!$AM$4:$AO$55,3,FALSE))</f>
        <v>45</v>
      </c>
      <c r="R10" s="4">
        <f>(VLOOKUP('17.01'!Z10,'17.01'!$AM$4:$AO$55,3,FALSE))</f>
        <v>45</v>
      </c>
      <c r="S10" s="4">
        <f>(VLOOKUP('17.01'!AA10,'17.01'!$AM$4:$AO$55,3,FALSE))</f>
        <v>45</v>
      </c>
      <c r="T10" s="4">
        <f>(VLOOKUP('17.01'!AB10,'17.01'!$AM$4:$AO$55,3,FALSE))</f>
        <v>45</v>
      </c>
      <c r="U10" s="4">
        <f>(VLOOKUP('17.01'!AC10,'17.01'!$AM$4:$AO$55,3,FALSE))</f>
        <v>45</v>
      </c>
      <c r="V10" s="4">
        <f>(VLOOKUP('17.01'!AD10,'17.01'!$AM$4:$AO$55,3,FALSE))</f>
        <v>45</v>
      </c>
      <c r="W10" s="5">
        <f>(VLOOKUP('17.01'!AE10,'17.01'!$AM$4:$AO$55,3,FALSE))</f>
        <v>0</v>
      </c>
      <c r="X10" s="5">
        <f>(VLOOKUP('17.01'!AF10,'17.01'!$AM$4:$AO$55,3,FALSE))</f>
        <v>0</v>
      </c>
    </row>
    <row r="11" spans="1:24">
      <c r="A11" s="4">
        <f>(VLOOKUP('17.01'!I11,'17.01'!$AM$4:$AO$55,3,FALSE))</f>
        <v>0</v>
      </c>
      <c r="B11" s="4">
        <f>(VLOOKUP('17.01'!J11,'17.01'!$AM$4:$AO$55,3,FALSE))</f>
        <v>0</v>
      </c>
      <c r="C11" s="4">
        <f>(VLOOKUP('17.01'!K11,'17.01'!$AM$4:$AO$55,3,FALSE))</f>
        <v>0</v>
      </c>
      <c r="D11" s="4">
        <f>(VLOOKUP('17.01'!L11,'17.01'!$AM$4:$AO$55,3,FALSE))</f>
        <v>0</v>
      </c>
      <c r="E11" s="4">
        <f>(VLOOKUP('17.01'!M11,'17.01'!$AM$4:$AO$55,3,FALSE))</f>
        <v>0</v>
      </c>
      <c r="F11" s="4">
        <f>(VLOOKUP('17.01'!N11,'17.01'!$AM$4:$AO$55,3,FALSE))</f>
        <v>0</v>
      </c>
      <c r="G11" s="5">
        <f>(VLOOKUP('17.01'!O11,'17.01'!$AM$4:$AO$55,3,FALSE))</f>
        <v>0</v>
      </c>
      <c r="H11" s="5">
        <f>(VLOOKUP('17.01'!P11,'17.01'!$AM$4:$AO$55,3,FALSE))</f>
        <v>0</v>
      </c>
      <c r="I11" s="4">
        <f>(VLOOKUP('17.01'!Q11,'17.01'!$AM$4:$AO$55,3,FALSE))</f>
        <v>45</v>
      </c>
      <c r="J11" s="4">
        <f>(VLOOKUP('17.01'!R11,'17.01'!$AM$4:$AO$55,3,FALSE))</f>
        <v>45</v>
      </c>
      <c r="K11" s="4">
        <f>(VLOOKUP('17.01'!S11,'17.01'!$AM$4:$AO$55,3,FALSE))</f>
        <v>35</v>
      </c>
      <c r="L11" s="4">
        <f>(VLOOKUP('17.01'!T11,'17.01'!$AM$4:$AO$55,3,FALSE))</f>
        <v>45</v>
      </c>
      <c r="M11" s="4">
        <f>(VLOOKUP('17.01'!U11,'17.01'!$AM$4:$AO$55,3,FALSE))</f>
        <v>0</v>
      </c>
      <c r="N11" s="4">
        <f>(VLOOKUP('17.01'!V11,'17.01'!$AM$4:$AO$55,3,FALSE))</f>
        <v>45</v>
      </c>
      <c r="O11" s="5">
        <f>(VLOOKUP('17.01'!W11,'17.01'!$AM$4:$AO$55,3,FALSE))</f>
        <v>45</v>
      </c>
      <c r="P11" s="5">
        <f>(VLOOKUP('17.01'!X11,'17.01'!$AM$4:$AO$55,3,FALSE))</f>
        <v>45</v>
      </c>
      <c r="Q11" s="4">
        <f>(VLOOKUP('17.01'!Y11,'17.01'!$AM$4:$AO$55,3,FALSE))</f>
        <v>45</v>
      </c>
      <c r="R11" s="4">
        <f>(VLOOKUP('17.01'!Z11,'17.01'!$AM$4:$AO$55,3,FALSE))</f>
        <v>45</v>
      </c>
      <c r="S11" s="4">
        <f>(VLOOKUP('17.01'!AA11,'17.01'!$AM$4:$AO$55,3,FALSE))</f>
        <v>45</v>
      </c>
      <c r="T11" s="4">
        <f>(VLOOKUP('17.01'!AB11,'17.01'!$AM$4:$AO$55,3,FALSE))</f>
        <v>45</v>
      </c>
      <c r="U11" s="4">
        <f>(VLOOKUP('17.01'!AC11,'17.01'!$AM$4:$AO$55,3,FALSE))</f>
        <v>45</v>
      </c>
      <c r="V11" s="4">
        <f>(VLOOKUP('17.01'!AD11,'17.01'!$AM$4:$AO$55,3,FALSE))</f>
        <v>45</v>
      </c>
      <c r="W11" s="5">
        <f>(VLOOKUP('17.01'!AE11,'17.01'!$AM$4:$AO$55,3,FALSE))</f>
        <v>0</v>
      </c>
      <c r="X11" s="5">
        <f>(VLOOKUP('17.01'!AF11,'17.01'!$AM$4:$AO$55,3,FALSE))</f>
        <v>0</v>
      </c>
    </row>
    <row r="12" spans="1:24">
      <c r="A12" s="4">
        <f>(VLOOKUP('17.01'!I12,'17.01'!$AM$4:$AO$55,3,FALSE))</f>
        <v>0</v>
      </c>
      <c r="B12" s="4">
        <f>(VLOOKUP('17.01'!J12,'17.01'!$AM$4:$AO$55,3,FALSE))</f>
        <v>0</v>
      </c>
      <c r="C12" s="4">
        <f>(VLOOKUP('17.01'!K12,'17.01'!$AM$4:$AO$55,3,FALSE))</f>
        <v>0</v>
      </c>
      <c r="D12" s="4">
        <f>(VLOOKUP('17.01'!L12,'17.01'!$AM$4:$AO$55,3,FALSE))</f>
        <v>0</v>
      </c>
      <c r="E12" s="4">
        <f>(VLOOKUP('17.01'!M12,'17.01'!$AM$4:$AO$55,3,FALSE))</f>
        <v>0</v>
      </c>
      <c r="F12" s="4">
        <f>(VLOOKUP('17.01'!N12,'17.01'!$AM$4:$AO$55,3,FALSE))</f>
        <v>0</v>
      </c>
      <c r="G12" s="5">
        <f>(VLOOKUP('17.01'!O12,'17.01'!$AM$4:$AO$55,3,FALSE))</f>
        <v>0</v>
      </c>
      <c r="H12" s="5">
        <f>(VLOOKUP('17.01'!P12,'17.01'!$AM$4:$AO$55,3,FALSE))</f>
        <v>0</v>
      </c>
      <c r="I12" s="4">
        <f>(VLOOKUP('17.01'!Q12,'17.01'!$AM$4:$AO$55,3,FALSE))</f>
        <v>45</v>
      </c>
      <c r="J12" s="4">
        <f>(VLOOKUP('17.01'!R12,'17.01'!$AM$4:$AO$55,3,FALSE))</f>
        <v>45</v>
      </c>
      <c r="K12" s="4">
        <f>(VLOOKUP('17.01'!S12,'17.01'!$AM$4:$AO$55,3,FALSE))</f>
        <v>45</v>
      </c>
      <c r="L12" s="4">
        <f>(VLOOKUP('17.01'!T12,'17.01'!$AM$4:$AO$55,3,FALSE))</f>
        <v>45</v>
      </c>
      <c r="M12" s="4">
        <f>(VLOOKUP('17.01'!U12,'17.01'!$AM$4:$AO$55,3,FALSE))</f>
        <v>45</v>
      </c>
      <c r="N12" s="4">
        <f>(VLOOKUP('17.01'!V12,'17.01'!$AM$4:$AO$55,3,FALSE))</f>
        <v>45</v>
      </c>
      <c r="O12" s="5">
        <f>(VLOOKUP('17.01'!W12,'17.01'!$AM$4:$AO$55,3,FALSE))</f>
        <v>0</v>
      </c>
      <c r="P12" s="5">
        <f>(VLOOKUP('17.01'!X12,'17.01'!$AM$4:$AO$55,3,FALSE))</f>
        <v>0</v>
      </c>
      <c r="Q12" s="4">
        <f>(VLOOKUP('17.01'!Y12,'17.01'!$AM$4:$AO$55,3,FALSE))</f>
        <v>45</v>
      </c>
      <c r="R12" s="4">
        <f>(VLOOKUP('17.01'!Z12,'17.01'!$AM$4:$AO$55,3,FALSE))</f>
        <v>30</v>
      </c>
      <c r="S12" s="4">
        <f>(VLOOKUP('17.01'!AA12,'17.01'!$AM$4:$AO$55,3,FALSE))</f>
        <v>45</v>
      </c>
      <c r="T12" s="4">
        <f>(VLOOKUP('17.01'!AB12,'17.01'!$AM$4:$AO$55,3,FALSE))</f>
        <v>45</v>
      </c>
      <c r="U12" s="4">
        <f>(VLOOKUP('17.01'!AC12,'17.01'!$AM$4:$AO$55,3,FALSE))</f>
        <v>45</v>
      </c>
      <c r="V12" s="4">
        <f>(VLOOKUP('17.01'!AD12,'17.01'!$AM$4:$AO$55,3,FALSE))</f>
        <v>45</v>
      </c>
      <c r="W12" s="5">
        <f>(VLOOKUP('17.01'!AE12,'17.01'!$AM$4:$AO$55,3,FALSE))</f>
        <v>0</v>
      </c>
      <c r="X12" s="5">
        <f>(VLOOKUP('17.01'!AF12,'17.01'!$AM$4:$AO$55,3,FALSE))</f>
        <v>0</v>
      </c>
    </row>
    <row r="13" spans="1:24">
      <c r="A13" s="4">
        <f>(VLOOKUP('17.01'!I13,'17.01'!$AM$4:$AO$55,3,FALSE))</f>
        <v>0</v>
      </c>
      <c r="B13" s="4">
        <f>(VLOOKUP('17.01'!J13,'17.01'!$AM$4:$AO$55,3,FALSE))</f>
        <v>0</v>
      </c>
      <c r="C13" s="4">
        <f>(VLOOKUP('17.01'!K13,'17.01'!$AM$4:$AO$55,3,FALSE))</f>
        <v>0</v>
      </c>
      <c r="D13" s="4">
        <f>(VLOOKUP('17.01'!L13,'17.01'!$AM$4:$AO$55,3,FALSE))</f>
        <v>0</v>
      </c>
      <c r="E13" s="4">
        <f>(VLOOKUP('17.01'!M13,'17.01'!$AM$4:$AO$55,3,FALSE))</f>
        <v>0</v>
      </c>
      <c r="F13" s="4">
        <f>(VLOOKUP('17.01'!N13,'17.01'!$AM$4:$AO$55,3,FALSE))</f>
        <v>0</v>
      </c>
      <c r="G13" s="5">
        <f>(VLOOKUP('17.01'!O13,'17.01'!$AM$4:$AO$55,3,FALSE))</f>
        <v>0</v>
      </c>
      <c r="H13" s="5">
        <f>(VLOOKUP('17.01'!P13,'17.01'!$AM$4:$AO$55,3,FALSE))</f>
        <v>0</v>
      </c>
      <c r="I13" s="4">
        <f>(VLOOKUP('17.01'!Q13,'17.01'!$AM$4:$AO$55,3,FALSE))</f>
        <v>50</v>
      </c>
      <c r="J13" s="4">
        <f>(VLOOKUP('17.01'!R13,'17.01'!$AM$4:$AO$55,3,FALSE))</f>
        <v>30</v>
      </c>
      <c r="K13" s="4">
        <f>(VLOOKUP('17.01'!S13,'17.01'!$AM$4:$AO$55,3,FALSE))</f>
        <v>50</v>
      </c>
      <c r="L13" s="4">
        <f>(VLOOKUP('17.01'!T13,'17.01'!$AM$4:$AO$55,3,FALSE))</f>
        <v>50</v>
      </c>
      <c r="M13" s="4">
        <f>(VLOOKUP('17.01'!U13,'17.01'!$AM$4:$AO$55,3,FALSE))</f>
        <v>50</v>
      </c>
      <c r="N13" s="4">
        <f>(VLOOKUP('17.01'!V13,'17.01'!$AM$4:$AO$55,3,FALSE))</f>
        <v>50</v>
      </c>
      <c r="O13" s="5">
        <f>(VLOOKUP('17.01'!W13,'17.01'!$AM$4:$AO$55,3,FALSE))</f>
        <v>0</v>
      </c>
      <c r="P13" s="5">
        <f>(VLOOKUP('17.01'!X13,'17.01'!$AM$4:$AO$55,3,FALSE))</f>
        <v>0</v>
      </c>
      <c r="Q13" s="4">
        <f>(VLOOKUP('17.01'!Y13,'17.01'!$AM$4:$AO$55,3,FALSE))</f>
        <v>300</v>
      </c>
      <c r="R13" s="4">
        <f>(VLOOKUP('17.01'!Z13,'17.01'!$AM$4:$AO$55,3,FALSE))</f>
        <v>0</v>
      </c>
      <c r="S13" s="4">
        <f>(VLOOKUP('17.01'!AA13,'17.01'!$AM$4:$AO$55,3,FALSE))</f>
        <v>0</v>
      </c>
      <c r="T13" s="4">
        <f>(VLOOKUP('17.01'!AB13,'17.01'!$AM$4:$AO$55,3,FALSE))</f>
        <v>0</v>
      </c>
      <c r="U13" s="4">
        <f>(VLOOKUP('17.01'!AC13,'17.01'!$AM$4:$AO$55,3,FALSE))</f>
        <v>0</v>
      </c>
      <c r="V13" s="4">
        <f>(VLOOKUP('17.01'!AD13,'17.01'!$AM$4:$AO$55,3,FALSE))</f>
        <v>0</v>
      </c>
      <c r="W13" s="5">
        <f>(VLOOKUP('17.01'!AE13,'17.01'!$AM$4:$AO$55,3,FALSE))</f>
        <v>0</v>
      </c>
      <c r="X13" s="5">
        <f>(VLOOKUP('17.01'!AF13,'17.01'!$AM$4:$AO$55,3,FALSE))</f>
        <v>0</v>
      </c>
    </row>
    <row r="14" spans="1:24">
      <c r="A14" s="4">
        <f>(VLOOKUP('17.01'!I14,'17.01'!$AM$4:$AO$55,3,FALSE))</f>
        <v>0</v>
      </c>
      <c r="B14" s="4">
        <f>(VLOOKUP('17.01'!J14,'17.01'!$AM$4:$AO$55,3,FALSE))</f>
        <v>0</v>
      </c>
      <c r="C14" s="4">
        <f>(VLOOKUP('17.01'!K14,'17.01'!$AM$4:$AO$55,3,FALSE))</f>
        <v>0</v>
      </c>
      <c r="D14" s="4">
        <f>(VLOOKUP('17.01'!L14,'17.01'!$AM$4:$AO$55,3,FALSE))</f>
        <v>0</v>
      </c>
      <c r="E14" s="4">
        <f>(VLOOKUP('17.01'!M14,'17.01'!$AM$4:$AO$55,3,FALSE))</f>
        <v>0</v>
      </c>
      <c r="F14" s="4">
        <f>(VLOOKUP('17.01'!N14,'17.01'!$AM$4:$AO$55,3,FALSE))</f>
        <v>0</v>
      </c>
      <c r="G14" s="5">
        <f>(VLOOKUP('17.01'!O14,'17.01'!$AM$4:$AO$55,3,FALSE))</f>
        <v>0</v>
      </c>
      <c r="H14" s="5">
        <f>(VLOOKUP('17.01'!P14,'17.01'!$AM$4:$AO$55,3,FALSE))</f>
        <v>0</v>
      </c>
      <c r="I14" s="4">
        <f>(VLOOKUP('17.01'!Q14,'17.01'!$AM$4:$AO$55,3,FALSE))</f>
        <v>50</v>
      </c>
      <c r="J14" s="4">
        <f>(VLOOKUP('17.01'!R14,'17.01'!$AM$4:$AO$55,3,FALSE))</f>
        <v>50</v>
      </c>
      <c r="K14" s="4">
        <f>(VLOOKUP('17.01'!S14,'17.01'!$AM$4:$AO$55,3,FALSE))</f>
        <v>50</v>
      </c>
      <c r="L14" s="4">
        <f>(VLOOKUP('17.01'!T14,'17.01'!$AM$4:$AO$55,3,FALSE))</f>
        <v>50</v>
      </c>
      <c r="M14" s="4">
        <f>(VLOOKUP('17.01'!U14,'17.01'!$AM$4:$AO$55,3,FALSE))</f>
        <v>50</v>
      </c>
      <c r="N14" s="4">
        <f>(VLOOKUP('17.01'!V14,'17.01'!$AM$4:$AO$55,3,FALSE))</f>
        <v>30</v>
      </c>
      <c r="O14" s="5">
        <f>(VLOOKUP('17.01'!W14,'17.01'!$AM$4:$AO$55,3,FALSE))</f>
        <v>0</v>
      </c>
      <c r="P14" s="5">
        <f>(VLOOKUP('17.01'!X14,'17.01'!$AM$4:$AO$55,3,FALSE))</f>
        <v>0</v>
      </c>
      <c r="Q14" s="4">
        <f>(VLOOKUP('17.01'!Y14,'17.01'!$AM$4:$AO$55,3,FALSE))</f>
        <v>45</v>
      </c>
      <c r="R14" s="4">
        <f>(VLOOKUP('17.01'!Z14,'17.01'!$AM$4:$AO$55,3,FALSE))</f>
        <v>45</v>
      </c>
      <c r="S14" s="4">
        <f>(VLOOKUP('17.01'!AA14,'17.01'!$AM$4:$AO$55,3,FALSE))</f>
        <v>45</v>
      </c>
      <c r="T14" s="4">
        <f>(VLOOKUP('17.01'!AB14,'17.01'!$AM$4:$AO$55,3,FALSE))</f>
        <v>45</v>
      </c>
      <c r="U14" s="4">
        <f>(VLOOKUP('17.01'!AC14,'17.01'!$AM$4:$AO$55,3,FALSE))</f>
        <v>45</v>
      </c>
      <c r="V14" s="4">
        <f>(VLOOKUP('17.01'!AD14,'17.01'!$AM$4:$AO$55,3,FALSE))</f>
        <v>45</v>
      </c>
      <c r="W14" s="5">
        <f>(VLOOKUP('17.01'!AE14,'17.01'!$AM$4:$AO$55,3,FALSE))</f>
        <v>0</v>
      </c>
      <c r="X14" s="5">
        <f>(VLOOKUP('17.01'!AF14,'17.01'!$AM$4:$AO$55,3,FALSE))</f>
        <v>0</v>
      </c>
    </row>
    <row r="15" spans="1:24">
      <c r="A15" s="4">
        <f>(VLOOKUP('17.01'!I15,'17.01'!$AM$4:$AO$55,3,FALSE))</f>
        <v>0</v>
      </c>
      <c r="B15" s="4">
        <f>(VLOOKUP('17.01'!J15,'17.01'!$AM$4:$AO$55,3,FALSE))</f>
        <v>0</v>
      </c>
      <c r="C15" s="4">
        <f>(VLOOKUP('17.01'!K15,'17.01'!$AM$4:$AO$55,3,FALSE))</f>
        <v>0</v>
      </c>
      <c r="D15" s="4">
        <f>(VLOOKUP('17.01'!L15,'17.01'!$AM$4:$AO$55,3,FALSE))</f>
        <v>0</v>
      </c>
      <c r="E15" s="4">
        <f>(VLOOKUP('17.01'!M15,'17.01'!$AM$4:$AO$55,3,FALSE))</f>
        <v>0</v>
      </c>
      <c r="F15" s="4">
        <f>(VLOOKUP('17.01'!N15,'17.01'!$AM$4:$AO$55,3,FALSE))</f>
        <v>0</v>
      </c>
      <c r="G15" s="5">
        <f>(VLOOKUP('17.01'!O15,'17.01'!$AM$4:$AO$55,3,FALSE))</f>
        <v>0</v>
      </c>
      <c r="H15" s="5">
        <f>(VLOOKUP('17.01'!P15,'17.01'!$AM$4:$AO$55,3,FALSE))</f>
        <v>0</v>
      </c>
      <c r="I15" s="4">
        <f>(VLOOKUP('17.01'!Q15,'17.01'!$AM$4:$AO$55,3,FALSE))</f>
        <v>50</v>
      </c>
      <c r="J15" s="4">
        <f>(VLOOKUP('17.01'!R15,'17.01'!$AM$4:$AO$55,3,FALSE))</f>
        <v>45</v>
      </c>
      <c r="K15" s="4">
        <f>(VLOOKUP('17.01'!S15,'17.01'!$AM$4:$AO$55,3,FALSE))</f>
        <v>45</v>
      </c>
      <c r="L15" s="4">
        <f>(VLOOKUP('17.01'!T15,'17.01'!$AM$4:$AO$55,3,FALSE))</f>
        <v>45</v>
      </c>
      <c r="M15" s="4">
        <f>(VLOOKUP('17.01'!U15,'17.01'!$AM$4:$AO$55,3,FALSE))</f>
        <v>45</v>
      </c>
      <c r="N15" s="4">
        <f>(VLOOKUP('17.01'!V15,'17.01'!$AM$4:$AO$55,3,FALSE))</f>
        <v>45</v>
      </c>
      <c r="O15" s="5">
        <f>(VLOOKUP('17.01'!W15,'17.01'!$AM$4:$AO$55,3,FALSE))</f>
        <v>0</v>
      </c>
      <c r="P15" s="5">
        <f>(VLOOKUP('17.01'!X15,'17.01'!$AM$4:$AO$55,3,FALSE))</f>
        <v>0</v>
      </c>
      <c r="Q15" s="4">
        <f>(VLOOKUP('17.01'!Y15,'17.01'!$AM$4:$AO$55,3,FALSE))</f>
        <v>45</v>
      </c>
      <c r="R15" s="4">
        <f>(VLOOKUP('17.01'!Z15,'17.01'!$AM$4:$AO$55,3,FALSE))</f>
        <v>45</v>
      </c>
      <c r="S15" s="4">
        <f>(VLOOKUP('17.01'!AA15,'17.01'!$AM$4:$AO$55,3,FALSE))</f>
        <v>45</v>
      </c>
      <c r="T15" s="4">
        <f>(VLOOKUP('17.01'!AB15,'17.01'!$AM$4:$AO$55,3,FALSE))</f>
        <v>45</v>
      </c>
      <c r="U15" s="4">
        <f>(VLOOKUP('17.01'!AC15,'17.01'!$AM$4:$AO$55,3,FALSE))</f>
        <v>30</v>
      </c>
      <c r="V15" s="4">
        <f>(VLOOKUP('17.01'!AD15,'17.01'!$AM$4:$AO$55,3,FALSE))</f>
        <v>45</v>
      </c>
      <c r="W15" s="5">
        <f>(VLOOKUP('17.01'!AE15,'17.01'!$AM$4:$AO$55,3,FALSE))</f>
        <v>0</v>
      </c>
      <c r="X15" s="5">
        <f>(VLOOKUP('17.01'!AF15,'17.01'!$AM$4:$AO$55,3,FALSE))</f>
        <v>0</v>
      </c>
    </row>
    <row r="16" spans="1:24">
      <c r="A16" s="4">
        <f>(VLOOKUP('17.01'!I16,'17.01'!$AM$4:$AO$55,3,FALSE))</f>
        <v>0</v>
      </c>
      <c r="B16" s="4">
        <f>(VLOOKUP('17.01'!J16,'17.01'!$AM$4:$AO$55,3,FALSE))</f>
        <v>0</v>
      </c>
      <c r="C16" s="4">
        <f>(VLOOKUP('17.01'!K16,'17.01'!$AM$4:$AO$55,3,FALSE))</f>
        <v>0</v>
      </c>
      <c r="D16" s="4">
        <f>(VLOOKUP('17.01'!L16,'17.01'!$AM$4:$AO$55,3,FALSE))</f>
        <v>0</v>
      </c>
      <c r="E16" s="4">
        <f>(VLOOKUP('17.01'!M16,'17.01'!$AM$4:$AO$55,3,FALSE))</f>
        <v>0</v>
      </c>
      <c r="F16" s="4">
        <f>(VLOOKUP('17.01'!N16,'17.01'!$AM$4:$AO$55,3,FALSE))</f>
        <v>0</v>
      </c>
      <c r="G16" s="5">
        <f>(VLOOKUP('17.01'!O16,'17.01'!$AM$4:$AO$55,3,FALSE))</f>
        <v>0</v>
      </c>
      <c r="H16" s="5">
        <f>(VLOOKUP('17.01'!P16,'17.01'!$AM$4:$AO$55,3,FALSE))</f>
        <v>0</v>
      </c>
      <c r="I16" s="4">
        <f>(VLOOKUP('17.01'!Q16,'17.01'!$AM$4:$AO$55,3,FALSE))</f>
        <v>45</v>
      </c>
      <c r="J16" s="4">
        <f>(VLOOKUP('17.01'!R16,'17.01'!$AM$4:$AO$55,3,FALSE))</f>
        <v>45</v>
      </c>
      <c r="K16" s="4">
        <f>(VLOOKUP('17.01'!S16,'17.01'!$AM$4:$AO$55,3,FALSE))</f>
        <v>45</v>
      </c>
      <c r="L16" s="4">
        <f>(VLOOKUP('17.01'!T16,'17.01'!$AM$4:$AO$55,3,FALSE))</f>
        <v>45</v>
      </c>
      <c r="M16" s="4">
        <f>(VLOOKUP('17.01'!U16,'17.01'!$AM$4:$AO$55,3,FALSE))</f>
        <v>30</v>
      </c>
      <c r="N16" s="4">
        <f>(VLOOKUP('17.01'!V16,'17.01'!$AM$4:$AO$55,3,FALSE))</f>
        <v>45</v>
      </c>
      <c r="O16" s="5">
        <f>(VLOOKUP('17.01'!W16,'17.01'!$AM$4:$AO$55,3,FALSE))</f>
        <v>0</v>
      </c>
      <c r="P16" s="5">
        <f>(VLOOKUP('17.01'!X16,'17.01'!$AM$4:$AO$55,3,FALSE))</f>
        <v>0</v>
      </c>
      <c r="Q16" s="4">
        <f>(VLOOKUP('17.01'!Y16,'17.01'!$AM$4:$AO$55,3,FALSE))</f>
        <v>45</v>
      </c>
      <c r="R16" s="4">
        <f>(VLOOKUP('17.01'!Z16,'17.01'!$AM$4:$AO$55,3,FALSE))</f>
        <v>45</v>
      </c>
      <c r="S16" s="4">
        <f>(VLOOKUP('17.01'!AA16,'17.01'!$AM$4:$AO$55,3,FALSE))</f>
        <v>45</v>
      </c>
      <c r="T16" s="4">
        <f>(VLOOKUP('17.01'!AB16,'17.01'!$AM$4:$AO$55,3,FALSE))</f>
        <v>0</v>
      </c>
      <c r="U16" s="4">
        <f>(VLOOKUP('17.01'!AC16,'17.01'!$AM$4:$AO$55,3,FALSE))</f>
        <v>45</v>
      </c>
      <c r="V16" s="4">
        <f>(VLOOKUP('17.01'!AD16,'17.01'!$AM$4:$AO$55,3,FALSE))</f>
        <v>45</v>
      </c>
      <c r="W16" s="5">
        <f>(VLOOKUP('17.01'!AE16,'17.01'!$AM$4:$AO$55,3,FALSE))</f>
        <v>40</v>
      </c>
      <c r="X16" s="5">
        <f>(VLOOKUP('17.01'!AF16,'17.01'!$AM$4:$AO$55,3,FALSE))</f>
        <v>40</v>
      </c>
    </row>
    <row r="17" spans="1:24">
      <c r="A17" s="4">
        <f>(VLOOKUP('17.01'!I17,'17.01'!$AM$4:$AO$55,3,FALSE))</f>
        <v>0</v>
      </c>
      <c r="B17" s="4">
        <f>(VLOOKUP('17.01'!J17,'17.01'!$AM$4:$AO$55,3,FALSE))</f>
        <v>0</v>
      </c>
      <c r="C17" s="4">
        <f>(VLOOKUP('17.01'!K17,'17.01'!$AM$4:$AO$55,3,FALSE))</f>
        <v>0</v>
      </c>
      <c r="D17" s="4">
        <f>(VLOOKUP('17.01'!L17,'17.01'!$AM$4:$AO$55,3,FALSE))</f>
        <v>0</v>
      </c>
      <c r="E17" s="4">
        <f>(VLOOKUP('17.01'!M17,'17.01'!$AM$4:$AO$55,3,FALSE))</f>
        <v>0</v>
      </c>
      <c r="F17" s="4">
        <f>(VLOOKUP('17.01'!N17,'17.01'!$AM$4:$AO$55,3,FALSE))</f>
        <v>0</v>
      </c>
      <c r="G17" s="5">
        <f>(VLOOKUP('17.01'!O17,'17.01'!$AM$4:$AO$55,3,FALSE))</f>
        <v>0</v>
      </c>
      <c r="H17" s="5">
        <f>(VLOOKUP('17.01'!P17,'17.01'!$AM$4:$AO$55,3,FALSE))</f>
        <v>0</v>
      </c>
      <c r="I17" s="4">
        <f>(VLOOKUP('17.01'!Q17,'17.01'!$AM$4:$AO$55,3,FALSE))</f>
        <v>45</v>
      </c>
      <c r="J17" s="4">
        <f>(VLOOKUP('17.01'!R17,'17.01'!$AM$4:$AO$55,3,FALSE))</f>
        <v>45</v>
      </c>
      <c r="K17" s="4">
        <f>(VLOOKUP('17.01'!S17,'17.01'!$AM$4:$AO$55,3,FALSE))</f>
        <v>45</v>
      </c>
      <c r="L17" s="4">
        <f>(VLOOKUP('17.01'!T17,'17.01'!$AM$4:$AO$55,3,FALSE))</f>
        <v>45</v>
      </c>
      <c r="M17" s="4">
        <f>(VLOOKUP('17.01'!U17,'17.01'!$AM$4:$AO$55,3,FALSE))</f>
        <v>45</v>
      </c>
      <c r="N17" s="4">
        <f>(VLOOKUP('17.01'!V17,'17.01'!$AM$4:$AO$55,3,FALSE))</f>
        <v>30</v>
      </c>
      <c r="O17" s="5">
        <f>(VLOOKUP('17.01'!W17,'17.01'!$AM$4:$AO$55,3,FALSE))</f>
        <v>0</v>
      </c>
      <c r="P17" s="5">
        <f>(VLOOKUP('17.01'!X17,'17.01'!$AM$4:$AO$55,3,FALSE))</f>
        <v>0</v>
      </c>
      <c r="Q17" s="4">
        <f>(VLOOKUP('17.01'!Y17,'17.01'!$AM$4:$AO$55,3,FALSE))</f>
        <v>40</v>
      </c>
      <c r="R17" s="4">
        <f>(VLOOKUP('17.01'!Z17,'17.01'!$AM$4:$AO$55,3,FALSE))</f>
        <v>40</v>
      </c>
      <c r="S17" s="4">
        <f>(VLOOKUP('17.01'!AA17,'17.01'!$AM$4:$AO$55,3,FALSE))</f>
        <v>30</v>
      </c>
      <c r="T17" s="4">
        <f>(VLOOKUP('17.01'!AB17,'17.01'!$AM$4:$AO$55,3,FALSE))</f>
        <v>40</v>
      </c>
      <c r="U17" s="4">
        <f>(VLOOKUP('17.01'!AC17,'17.01'!$AM$4:$AO$55,3,FALSE))</f>
        <v>40</v>
      </c>
      <c r="V17" s="4">
        <f>(VLOOKUP('17.01'!AD17,'17.01'!$AM$4:$AO$55,3,FALSE))</f>
        <v>40</v>
      </c>
      <c r="W17" s="5">
        <f>(VLOOKUP('17.01'!AE17,'17.01'!$AM$4:$AO$55,3,FALSE))</f>
        <v>0</v>
      </c>
      <c r="X17" s="5">
        <f>(VLOOKUP('17.01'!AF17,'17.01'!$AM$4:$AO$55,3,FALSE))</f>
        <v>0</v>
      </c>
    </row>
    <row r="18" spans="1:24">
      <c r="A18" s="4">
        <f>(VLOOKUP('17.01'!I18,'17.01'!$AM$4:$AO$55,3,FALSE))</f>
        <v>0</v>
      </c>
      <c r="B18" s="4">
        <f>(VLOOKUP('17.01'!J18,'17.01'!$AM$4:$AO$55,3,FALSE))</f>
        <v>0</v>
      </c>
      <c r="C18" s="4">
        <f>(VLOOKUP('17.01'!K18,'17.01'!$AM$4:$AO$55,3,FALSE))</f>
        <v>0</v>
      </c>
      <c r="D18" s="4">
        <f>(VLOOKUP('17.01'!L18,'17.01'!$AM$4:$AO$55,3,FALSE))</f>
        <v>0</v>
      </c>
      <c r="E18" s="4">
        <f>(VLOOKUP('17.01'!M18,'17.01'!$AM$4:$AO$55,3,FALSE))</f>
        <v>0</v>
      </c>
      <c r="F18" s="4">
        <f>(VLOOKUP('17.01'!N18,'17.01'!$AM$4:$AO$55,3,FALSE))</f>
        <v>0</v>
      </c>
      <c r="G18" s="5">
        <f>(VLOOKUP('17.01'!O18,'17.01'!$AM$4:$AO$55,3,FALSE))</f>
        <v>0</v>
      </c>
      <c r="H18" s="5">
        <f>(VLOOKUP('17.01'!P18,'17.01'!$AM$4:$AO$55,3,FALSE))</f>
        <v>0</v>
      </c>
      <c r="I18" s="4">
        <f>(VLOOKUP('17.01'!Q18,'17.01'!$AM$4:$AO$55,3,FALSE))</f>
        <v>45</v>
      </c>
      <c r="J18" s="4">
        <f>(VLOOKUP('17.01'!R18,'17.01'!$AM$4:$AO$55,3,FALSE))</f>
        <v>45</v>
      </c>
      <c r="K18" s="4">
        <f>(VLOOKUP('17.01'!S18,'17.01'!$AM$4:$AO$55,3,FALSE))</f>
        <v>45</v>
      </c>
      <c r="L18" s="4">
        <f>(VLOOKUP('17.01'!T18,'17.01'!$AM$4:$AO$55,3,FALSE))</f>
        <v>45</v>
      </c>
      <c r="M18" s="4">
        <f>(VLOOKUP('17.01'!U18,'17.01'!$AM$4:$AO$55,3,FALSE))</f>
        <v>45</v>
      </c>
      <c r="N18" s="4">
        <f>(VLOOKUP('17.01'!V18,'17.01'!$AM$4:$AO$55,3,FALSE))</f>
        <v>45</v>
      </c>
      <c r="O18" s="5">
        <f>(VLOOKUP('17.01'!W18,'17.01'!$AM$4:$AO$55,3,FALSE))</f>
        <v>0</v>
      </c>
      <c r="P18" s="5">
        <f>(VLOOKUP('17.01'!X18,'17.01'!$AM$4:$AO$55,3,FALSE))</f>
        <v>0</v>
      </c>
      <c r="Q18" s="4">
        <f>(VLOOKUP('17.01'!Y18,'17.01'!$AM$4:$AO$55,3,FALSE))</f>
        <v>40</v>
      </c>
      <c r="R18" s="4">
        <f>(VLOOKUP('17.01'!Z18,'17.01'!$AM$4:$AO$55,3,FALSE))</f>
        <v>40</v>
      </c>
      <c r="S18" s="4">
        <f>(VLOOKUP('17.01'!AA18,'17.01'!$AM$4:$AO$55,3,FALSE))</f>
        <v>40</v>
      </c>
      <c r="T18" s="4">
        <f>(VLOOKUP('17.01'!AB18,'17.01'!$AM$4:$AO$55,3,FALSE))</f>
        <v>40</v>
      </c>
      <c r="U18" s="4">
        <f>(VLOOKUP('17.01'!AC18,'17.01'!$AM$4:$AO$55,3,FALSE))</f>
        <v>40</v>
      </c>
      <c r="V18" s="4">
        <f>(VLOOKUP('17.01'!AD18,'17.01'!$AM$4:$AO$55,3,FALSE))</f>
        <v>40</v>
      </c>
      <c r="W18" s="5">
        <f>(VLOOKUP('17.01'!AE18,'17.01'!$AM$4:$AO$55,3,FALSE))</f>
        <v>0</v>
      </c>
      <c r="X18" s="5">
        <f>(VLOOKUP('17.01'!AF18,'17.01'!$AM$4:$AO$55,3,FALSE))</f>
        <v>30</v>
      </c>
    </row>
    <row r="19" spans="1:24">
      <c r="A19" s="4">
        <f>(VLOOKUP('17.01'!I19,'17.01'!$AM$4:$AO$55,3,FALSE))</f>
        <v>0</v>
      </c>
      <c r="B19" s="4">
        <f>(VLOOKUP('17.01'!J19,'17.01'!$AM$4:$AO$55,3,FALSE))</f>
        <v>0</v>
      </c>
      <c r="C19" s="4">
        <f>(VLOOKUP('17.01'!K19,'17.01'!$AM$4:$AO$55,3,FALSE))</f>
        <v>0</v>
      </c>
      <c r="D19" s="4">
        <f>(VLOOKUP('17.01'!L19,'17.01'!$AM$4:$AO$55,3,FALSE))</f>
        <v>0</v>
      </c>
      <c r="E19" s="4">
        <f>(VLOOKUP('17.01'!M19,'17.01'!$AM$4:$AO$55,3,FALSE))</f>
        <v>0</v>
      </c>
      <c r="F19" s="4">
        <f>(VLOOKUP('17.01'!N19,'17.01'!$AM$4:$AO$55,3,FALSE))</f>
        <v>0</v>
      </c>
      <c r="G19" s="5">
        <f>(VLOOKUP('17.01'!O19,'17.01'!$AM$4:$AO$55,3,FALSE))</f>
        <v>0</v>
      </c>
      <c r="H19" s="5">
        <f>(VLOOKUP('17.01'!P19,'17.01'!$AM$4:$AO$55,3,FALSE))</f>
        <v>0</v>
      </c>
      <c r="I19" s="4">
        <f>(VLOOKUP('17.01'!Q19,'17.01'!$AM$4:$AO$55,3,FALSE))</f>
        <v>45</v>
      </c>
      <c r="J19" s="4">
        <f>(VLOOKUP('17.01'!R19,'17.01'!$AM$4:$AO$55,3,FALSE))</f>
        <v>45</v>
      </c>
      <c r="K19" s="4">
        <f>(VLOOKUP('17.01'!S19,'17.01'!$AM$4:$AO$55,3,FALSE))</f>
        <v>45</v>
      </c>
      <c r="L19" s="4">
        <f>(VLOOKUP('17.01'!T19,'17.01'!$AM$4:$AO$55,3,FALSE))</f>
        <v>45</v>
      </c>
      <c r="M19" s="4">
        <f>(VLOOKUP('17.01'!U19,'17.01'!$AM$4:$AO$55,3,FALSE))</f>
        <v>45</v>
      </c>
      <c r="N19" s="4">
        <f>(VLOOKUP('17.01'!V19,'17.01'!$AM$4:$AO$55,3,FALSE))</f>
        <v>45</v>
      </c>
      <c r="O19" s="5">
        <f>(VLOOKUP('17.01'!W19,'17.01'!$AM$4:$AO$55,3,FALSE))</f>
        <v>0</v>
      </c>
      <c r="P19" s="5">
        <f>(VLOOKUP('17.01'!X19,'17.01'!$AM$4:$AO$55,3,FALSE))</f>
        <v>0</v>
      </c>
      <c r="Q19" s="4">
        <f>(VLOOKUP('17.01'!Y19,'17.01'!$AM$4:$AO$55,3,FALSE))</f>
        <v>0</v>
      </c>
      <c r="R19" s="4">
        <f>(VLOOKUP('17.01'!Z19,'17.01'!$AM$4:$AO$55,3,FALSE))</f>
        <v>0</v>
      </c>
      <c r="S19" s="4">
        <f>(VLOOKUP('17.01'!AA19,'17.01'!$AM$4:$AO$55,3,FALSE))</f>
        <v>0</v>
      </c>
      <c r="T19" s="4">
        <f>(VLOOKUP('17.01'!AB19,'17.01'!$AM$4:$AO$55,3,FALSE))</f>
        <v>0</v>
      </c>
      <c r="U19" s="4">
        <f>(VLOOKUP('17.01'!AC19,'17.01'!$AM$4:$AO$55,3,FALSE))</f>
        <v>0</v>
      </c>
      <c r="V19" s="4">
        <f>(VLOOKUP('17.01'!AD19,'17.01'!$AM$4:$AO$55,3,FALSE))</f>
        <v>0</v>
      </c>
      <c r="W19" s="5">
        <f>(VLOOKUP('17.01'!AE19,'17.01'!$AM$4:$AO$55,3,FALSE))</f>
        <v>0</v>
      </c>
      <c r="X19" s="5">
        <f>(VLOOKUP('17.01'!AF19,'17.01'!$AM$4:$AO$55,3,FALSE))</f>
        <v>0</v>
      </c>
    </row>
    <row r="20" spans="1:24">
      <c r="A20" s="4">
        <f>(VLOOKUP('17.01'!I20,'17.01'!$AM$4:$AO$55,3,FALSE))</f>
        <v>0</v>
      </c>
      <c r="B20" s="4">
        <f>(VLOOKUP('17.01'!J20,'17.01'!$AM$4:$AO$55,3,FALSE))</f>
        <v>0</v>
      </c>
      <c r="C20" s="4">
        <f>(VLOOKUP('17.01'!K20,'17.01'!$AM$4:$AO$55,3,FALSE))</f>
        <v>0</v>
      </c>
      <c r="D20" s="4">
        <f>(VLOOKUP('17.01'!L20,'17.01'!$AM$4:$AO$55,3,FALSE))</f>
        <v>0</v>
      </c>
      <c r="E20" s="4">
        <f>(VLOOKUP('17.01'!M20,'17.01'!$AM$4:$AO$55,3,FALSE))</f>
        <v>0</v>
      </c>
      <c r="F20" s="4">
        <f>(VLOOKUP('17.01'!N20,'17.01'!$AM$4:$AO$55,3,FALSE))</f>
        <v>0</v>
      </c>
      <c r="G20" s="5">
        <f>(VLOOKUP('17.01'!O20,'17.01'!$AM$4:$AO$55,3,FALSE))</f>
        <v>0</v>
      </c>
      <c r="H20" s="5">
        <f>(VLOOKUP('17.01'!P20,'17.01'!$AM$4:$AO$55,3,FALSE))</f>
        <v>0</v>
      </c>
      <c r="I20" s="4">
        <f>(VLOOKUP('17.01'!Q20,'17.01'!$AM$4:$AO$55,3,FALSE))</f>
        <v>45</v>
      </c>
      <c r="J20" s="4">
        <f>(VLOOKUP('17.01'!R20,'17.01'!$AM$4:$AO$55,3,FALSE))</f>
        <v>60</v>
      </c>
      <c r="K20" s="4">
        <f>(VLOOKUP('17.01'!S20,'17.01'!$AM$4:$AO$55,3,FALSE))</f>
        <v>60</v>
      </c>
      <c r="L20" s="4">
        <f>(VLOOKUP('17.01'!T20,'17.01'!$AM$4:$AO$55,3,FALSE))</f>
        <v>60</v>
      </c>
      <c r="M20" s="4">
        <f>(VLOOKUP('17.01'!U20,'17.01'!$AM$4:$AO$55,3,FALSE))</f>
        <v>60</v>
      </c>
      <c r="N20" s="4">
        <f>(VLOOKUP('17.01'!V20,'17.01'!$AM$4:$AO$55,3,FALSE))</f>
        <v>60</v>
      </c>
      <c r="O20" s="5">
        <f>(VLOOKUP('17.01'!W20,'17.01'!$AM$4:$AO$55,3,FALSE))</f>
        <v>0</v>
      </c>
      <c r="P20" s="5">
        <f>(VLOOKUP('17.01'!X20,'17.01'!$AM$4:$AO$55,3,FALSE))</f>
        <v>0</v>
      </c>
      <c r="Q20" s="4">
        <f>(VLOOKUP('17.01'!Y20,'17.01'!$AM$4:$AO$55,3,FALSE))</f>
        <v>0</v>
      </c>
      <c r="R20" s="4">
        <f>(VLOOKUP('17.01'!Z20,'17.01'!$AM$4:$AO$55,3,FALSE))</f>
        <v>0</v>
      </c>
      <c r="S20" s="4">
        <f>(VLOOKUP('17.01'!AA20,'17.01'!$AM$4:$AO$55,3,FALSE))</f>
        <v>0</v>
      </c>
      <c r="T20" s="4">
        <f>(VLOOKUP('17.01'!AB20,'17.01'!$AM$4:$AO$55,3,FALSE))</f>
        <v>0</v>
      </c>
      <c r="U20" s="4">
        <f>(VLOOKUP('17.01'!AC20,'17.01'!$AM$4:$AO$55,3,FALSE))</f>
        <v>0</v>
      </c>
      <c r="V20" s="4">
        <f>(VLOOKUP('17.01'!AD20,'17.01'!$AM$4:$AO$55,3,FALSE))</f>
        <v>0</v>
      </c>
      <c r="W20" s="5">
        <f>(VLOOKUP('17.01'!AE20,'17.01'!$AM$4:$AO$55,3,FALSE))</f>
        <v>0</v>
      </c>
      <c r="X20" s="5">
        <f>(VLOOKUP('17.01'!AF20,'17.01'!$AM$4:$AO$55,3,FALSE))</f>
        <v>0</v>
      </c>
    </row>
    <row r="21" spans="1:24">
      <c r="A21" s="4">
        <f>(VLOOKUP('17.01'!I21,'17.01'!$AM$4:$AO$55,3,FALSE))</f>
        <v>0</v>
      </c>
      <c r="B21" s="4">
        <f>(VLOOKUP('17.01'!J21,'17.01'!$AM$4:$AO$55,3,FALSE))</f>
        <v>0</v>
      </c>
      <c r="C21" s="4">
        <f>(VLOOKUP('17.01'!K21,'17.01'!$AM$4:$AO$55,3,FALSE))</f>
        <v>0</v>
      </c>
      <c r="D21" s="4">
        <f>(VLOOKUP('17.01'!L21,'17.01'!$AM$4:$AO$55,3,FALSE))</f>
        <v>0</v>
      </c>
      <c r="E21" s="4">
        <f>(VLOOKUP('17.01'!M21,'17.01'!$AM$4:$AO$55,3,FALSE))</f>
        <v>0</v>
      </c>
      <c r="F21" s="4">
        <f>(VLOOKUP('17.01'!N21,'17.01'!$AM$4:$AO$55,3,FALSE))</f>
        <v>0</v>
      </c>
      <c r="G21" s="5">
        <f>(VLOOKUP('17.01'!O21,'17.01'!$AM$4:$AO$55,3,FALSE))</f>
        <v>0</v>
      </c>
      <c r="H21" s="5">
        <f>(VLOOKUP('17.01'!P21,'17.01'!$AM$4:$AO$55,3,FALSE))</f>
        <v>0</v>
      </c>
      <c r="I21" s="4">
        <f>(VLOOKUP('17.01'!Q21,'17.01'!$AM$4:$AO$55,3,FALSE))</f>
        <v>60</v>
      </c>
      <c r="J21" s="4">
        <f>(VLOOKUP('17.01'!R21,'17.01'!$AM$4:$AO$55,3,FALSE))</f>
        <v>60</v>
      </c>
      <c r="K21" s="4">
        <f>(VLOOKUP('17.01'!S21,'17.01'!$AM$4:$AO$55,3,FALSE))</f>
        <v>60</v>
      </c>
      <c r="L21" s="4">
        <f>(VLOOKUP('17.01'!T21,'17.01'!$AM$4:$AO$55,3,FALSE))</f>
        <v>60</v>
      </c>
      <c r="M21" s="4">
        <f>(VLOOKUP('17.01'!U21,'17.01'!$AM$4:$AO$55,3,FALSE))</f>
        <v>60</v>
      </c>
      <c r="N21" s="4">
        <f>(VLOOKUP('17.01'!V21,'17.01'!$AM$4:$AO$55,3,FALSE))</f>
        <v>60</v>
      </c>
      <c r="O21" s="5">
        <f>(VLOOKUP('17.01'!W21,'17.01'!$AM$4:$AO$55,3,FALSE))</f>
        <v>0</v>
      </c>
      <c r="P21" s="5">
        <f>(VLOOKUP('17.01'!X21,'17.01'!$AM$4:$AO$55,3,FALSE))</f>
        <v>0</v>
      </c>
      <c r="Q21" s="4">
        <f>(VLOOKUP('17.01'!Y21,'17.01'!$AM$4:$AO$55,3,FALSE))</f>
        <v>0</v>
      </c>
      <c r="R21" s="4">
        <f>(VLOOKUP('17.01'!Z21,'17.01'!$AM$4:$AO$55,3,FALSE))</f>
        <v>0</v>
      </c>
      <c r="S21" s="4">
        <f>(VLOOKUP('17.01'!AA21,'17.01'!$AM$4:$AO$55,3,FALSE))</f>
        <v>0</v>
      </c>
      <c r="T21" s="4">
        <f>(VLOOKUP('17.01'!AB21,'17.01'!$AM$4:$AO$55,3,FALSE))</f>
        <v>0</v>
      </c>
      <c r="U21" s="4">
        <f>(VLOOKUP('17.01'!AC21,'17.01'!$AM$4:$AO$55,3,FALSE))</f>
        <v>0</v>
      </c>
      <c r="V21" s="4">
        <f>(VLOOKUP('17.01'!AD21,'17.01'!$AM$4:$AO$55,3,FALSE))</f>
        <v>0</v>
      </c>
      <c r="W21" s="5">
        <f>(VLOOKUP('17.01'!AE21,'17.01'!$AM$4:$AO$55,3,FALSE))</f>
        <v>0</v>
      </c>
      <c r="X21" s="5">
        <f>(VLOOKUP('17.01'!AF21,'17.01'!$AM$4:$AO$55,3,FALSE))</f>
        <v>0</v>
      </c>
    </row>
    <row r="22" spans="1:24">
      <c r="A22" s="4">
        <f>(VLOOKUP('17.01'!I22,'17.01'!$AM$4:$AO$55,3,FALSE))</f>
        <v>0</v>
      </c>
      <c r="B22" s="4">
        <f>(VLOOKUP('17.01'!J22,'17.01'!$AM$4:$AO$55,3,FALSE))</f>
        <v>0</v>
      </c>
      <c r="C22" s="4">
        <f>(VLOOKUP('17.01'!K22,'17.01'!$AM$4:$AO$55,3,FALSE))</f>
        <v>0</v>
      </c>
      <c r="D22" s="4">
        <f>(VLOOKUP('17.01'!L22,'17.01'!$AM$4:$AO$55,3,FALSE))</f>
        <v>0</v>
      </c>
      <c r="E22" s="4">
        <f>(VLOOKUP('17.01'!M22,'17.01'!$AM$4:$AO$55,3,FALSE))</f>
        <v>0</v>
      </c>
      <c r="F22" s="4">
        <f>(VLOOKUP('17.01'!N22,'17.01'!$AM$4:$AO$55,3,FALSE))</f>
        <v>0</v>
      </c>
      <c r="G22" s="5">
        <f>(VLOOKUP('17.01'!O22,'17.01'!$AM$4:$AO$55,3,FALSE))</f>
        <v>0</v>
      </c>
      <c r="H22" s="5">
        <f>(VLOOKUP('17.01'!P22,'17.01'!$AM$4:$AO$55,3,FALSE))</f>
        <v>0</v>
      </c>
      <c r="I22" s="4">
        <f>(VLOOKUP('17.01'!Q22,'17.01'!$AM$4:$AO$55,3,FALSE))</f>
        <v>60</v>
      </c>
      <c r="J22" s="4">
        <f>(VLOOKUP('17.01'!R22,'17.01'!$AM$4:$AO$55,3,FALSE))</f>
        <v>60</v>
      </c>
      <c r="K22" s="4">
        <f>(VLOOKUP('17.01'!S22,'17.01'!$AM$4:$AO$55,3,FALSE))</f>
        <v>60</v>
      </c>
      <c r="L22" s="4">
        <f>(VLOOKUP('17.01'!T22,'17.01'!$AM$4:$AO$55,3,FALSE))</f>
        <v>60</v>
      </c>
      <c r="M22" s="4">
        <f>(VLOOKUP('17.01'!U22,'17.01'!$AM$4:$AO$55,3,FALSE))</f>
        <v>60</v>
      </c>
      <c r="N22" s="4">
        <f>(VLOOKUP('17.01'!V22,'17.01'!$AM$4:$AO$55,3,FALSE))</f>
        <v>60</v>
      </c>
      <c r="O22" s="5">
        <f>(VLOOKUP('17.01'!W22,'17.01'!$AM$4:$AO$55,3,FALSE))</f>
        <v>0</v>
      </c>
      <c r="P22" s="5">
        <f>(VLOOKUP('17.01'!X22,'17.01'!$AM$4:$AO$55,3,FALSE))</f>
        <v>0</v>
      </c>
      <c r="Q22" s="4">
        <f>(VLOOKUP('17.01'!Y22,'17.01'!$AM$4:$AO$55,3,FALSE))</f>
        <v>0</v>
      </c>
      <c r="R22" s="4">
        <f>(VLOOKUP('17.01'!Z22,'17.01'!$AM$4:$AO$55,3,FALSE))</f>
        <v>0</v>
      </c>
      <c r="S22" s="4">
        <f>(VLOOKUP('17.01'!AA22,'17.01'!$AM$4:$AO$55,3,FALSE))</f>
        <v>0</v>
      </c>
      <c r="T22" s="4">
        <f>(VLOOKUP('17.01'!AB22,'17.01'!$AM$4:$AO$55,3,FALSE))</f>
        <v>0</v>
      </c>
      <c r="U22" s="4">
        <f>(VLOOKUP('17.01'!AC22,'17.01'!$AM$4:$AO$55,3,FALSE))</f>
        <v>0</v>
      </c>
      <c r="V22" s="4">
        <f>(VLOOKUP('17.01'!AD22,'17.01'!$AM$4:$AO$55,3,FALSE))</f>
        <v>0</v>
      </c>
      <c r="W22" s="5">
        <f>(VLOOKUP('17.01'!AE22,'17.01'!$AM$4:$AO$55,3,FALSE))</f>
        <v>0</v>
      </c>
      <c r="X22" s="5">
        <f>(VLOOKUP('17.01'!AF22,'17.01'!$AM$4:$AO$55,3,FALSE))</f>
        <v>0</v>
      </c>
    </row>
    <row r="23" spans="1:24">
      <c r="A23" s="4">
        <f>(VLOOKUP('17.01'!I23,'17.01'!$AM$4:$AO$55,3,FALSE))</f>
        <v>0</v>
      </c>
      <c r="B23" s="4">
        <f>(VLOOKUP('17.01'!J23,'17.01'!$AM$4:$AO$55,3,FALSE))</f>
        <v>0</v>
      </c>
      <c r="C23" s="4">
        <f>(VLOOKUP('17.01'!K23,'17.01'!$AM$4:$AO$55,3,FALSE))</f>
        <v>0</v>
      </c>
      <c r="D23" s="4">
        <f>(VLOOKUP('17.01'!L23,'17.01'!$AM$4:$AO$55,3,FALSE))</f>
        <v>0</v>
      </c>
      <c r="E23" s="4">
        <f>(VLOOKUP('17.01'!M23,'17.01'!$AM$4:$AO$55,3,FALSE))</f>
        <v>0</v>
      </c>
      <c r="F23" s="4">
        <f>(VLOOKUP('17.01'!N23,'17.01'!$AM$4:$AO$55,3,FALSE))</f>
        <v>0</v>
      </c>
      <c r="G23" s="5">
        <f>(VLOOKUP('17.01'!O23,'17.01'!$AM$4:$AO$55,3,FALSE))</f>
        <v>0</v>
      </c>
      <c r="H23" s="5">
        <f>(VLOOKUP('17.01'!P23,'17.01'!$AM$4:$AO$55,3,FALSE))</f>
        <v>0</v>
      </c>
      <c r="I23" s="4">
        <f>(VLOOKUP('17.01'!Q23,'17.01'!$AM$4:$AO$55,3,FALSE))</f>
        <v>45</v>
      </c>
      <c r="J23" s="4">
        <f>(VLOOKUP('17.01'!R23,'17.01'!$AM$4:$AO$55,3,FALSE))</f>
        <v>45</v>
      </c>
      <c r="K23" s="4">
        <f>(VLOOKUP('17.01'!S23,'17.01'!$AM$4:$AO$55,3,FALSE))</f>
        <v>30</v>
      </c>
      <c r="L23" s="4">
        <f>(VLOOKUP('17.01'!T23,'17.01'!$AM$4:$AO$55,3,FALSE))</f>
        <v>45</v>
      </c>
      <c r="M23" s="4">
        <f>(VLOOKUP('17.01'!U23,'17.01'!$AM$4:$AO$55,3,FALSE))</f>
        <v>45</v>
      </c>
      <c r="N23" s="4">
        <f>(VLOOKUP('17.01'!V23,'17.01'!$AM$4:$AO$55,3,FALSE))</f>
        <v>0</v>
      </c>
      <c r="O23" s="5">
        <f>(VLOOKUP('17.01'!W23,'17.01'!$AM$4:$AO$55,3,FALSE))</f>
        <v>60</v>
      </c>
      <c r="P23" s="5">
        <f>(VLOOKUP('17.01'!X23,'17.01'!$AM$4:$AO$55,3,FALSE))</f>
        <v>60</v>
      </c>
      <c r="Q23" s="4">
        <f>(VLOOKUP('17.01'!Y23,'17.01'!$AM$4:$AO$55,3,FALSE))</f>
        <v>0</v>
      </c>
      <c r="R23" s="4">
        <f>(VLOOKUP('17.01'!Z23,'17.01'!$AM$4:$AO$55,3,FALSE))</f>
        <v>0</v>
      </c>
      <c r="S23" s="4">
        <f>(VLOOKUP('17.01'!AA23,'17.01'!$AM$4:$AO$55,3,FALSE))</f>
        <v>0</v>
      </c>
      <c r="T23" s="4">
        <f>(VLOOKUP('17.01'!AB23,'17.01'!$AM$4:$AO$55,3,FALSE))</f>
        <v>0</v>
      </c>
      <c r="U23" s="4">
        <f>(VLOOKUP('17.01'!AC23,'17.01'!$AM$4:$AO$55,3,FALSE))</f>
        <v>0</v>
      </c>
      <c r="V23" s="4">
        <f>(VLOOKUP('17.01'!AD23,'17.01'!$AM$4:$AO$55,3,FALSE))</f>
        <v>0</v>
      </c>
      <c r="W23" s="5">
        <f>(VLOOKUP('17.01'!AE23,'17.01'!$AM$4:$AO$55,3,FALSE))</f>
        <v>0</v>
      </c>
      <c r="X23" s="5">
        <f>(VLOOKUP('17.01'!AF23,'17.01'!$AM$4:$AO$55,3,FALSE))</f>
        <v>0</v>
      </c>
    </row>
    <row r="24" spans="1:24">
      <c r="A24" s="4">
        <f>(VLOOKUP('17.01'!I24,'17.01'!$AM$4:$AO$55,3,FALSE))</f>
        <v>0</v>
      </c>
      <c r="B24" s="4">
        <f>(VLOOKUP('17.01'!J24,'17.01'!$AM$4:$AO$55,3,FALSE))</f>
        <v>0</v>
      </c>
      <c r="C24" s="4">
        <f>(VLOOKUP('17.01'!K24,'17.01'!$AM$4:$AO$55,3,FALSE))</f>
        <v>0</v>
      </c>
      <c r="D24" s="4">
        <f>(VLOOKUP('17.01'!L24,'17.01'!$AM$4:$AO$55,3,FALSE))</f>
        <v>0</v>
      </c>
      <c r="E24" s="4">
        <f>(VLOOKUP('17.01'!M24,'17.01'!$AM$4:$AO$55,3,FALSE))</f>
        <v>0</v>
      </c>
      <c r="F24" s="4">
        <f>(VLOOKUP('17.01'!N24,'17.01'!$AM$4:$AO$55,3,FALSE))</f>
        <v>0</v>
      </c>
      <c r="G24" s="5">
        <f>(VLOOKUP('17.01'!O24,'17.01'!$AM$4:$AO$55,3,FALSE))</f>
        <v>0</v>
      </c>
      <c r="H24" s="5">
        <f>(VLOOKUP('17.01'!P24,'17.01'!$AM$4:$AO$55,3,FALSE))</f>
        <v>0</v>
      </c>
      <c r="I24" s="4">
        <f>(VLOOKUP('17.01'!Q24,'17.01'!$AM$4:$AO$55,3,FALSE))</f>
        <v>60</v>
      </c>
      <c r="J24" s="4">
        <f>(VLOOKUP('17.01'!R24,'17.01'!$AM$4:$AO$55,3,FALSE))</f>
        <v>60</v>
      </c>
      <c r="K24" s="4">
        <f>(VLOOKUP('17.01'!S24,'17.01'!$AM$4:$AO$55,3,FALSE))</f>
        <v>60</v>
      </c>
      <c r="L24" s="4">
        <f>(VLOOKUP('17.01'!T24,'17.01'!$AM$4:$AO$55,3,FALSE))</f>
        <v>60</v>
      </c>
      <c r="M24" s="4">
        <f>(VLOOKUP('17.01'!U24,'17.01'!$AM$4:$AO$55,3,FALSE))</f>
        <v>60</v>
      </c>
      <c r="N24" s="4">
        <f>(VLOOKUP('17.01'!V24,'17.01'!$AM$4:$AO$55,3,FALSE))</f>
        <v>60</v>
      </c>
      <c r="O24" s="5">
        <f>(VLOOKUP('17.01'!W24,'17.01'!$AM$4:$AO$55,3,FALSE))</f>
        <v>0</v>
      </c>
      <c r="P24" s="5">
        <f>(VLOOKUP('17.01'!X24,'17.01'!$AM$4:$AO$55,3,FALSE))</f>
        <v>0</v>
      </c>
      <c r="Q24" s="4">
        <f>(VLOOKUP('17.01'!Y24,'17.01'!$AM$4:$AO$55,3,FALSE))</f>
        <v>0</v>
      </c>
      <c r="R24" s="4">
        <f>(VLOOKUP('17.01'!Z24,'17.01'!$AM$4:$AO$55,3,FALSE))</f>
        <v>0</v>
      </c>
      <c r="S24" s="4">
        <f>(VLOOKUP('17.01'!AA24,'17.01'!$AM$4:$AO$55,3,FALSE))</f>
        <v>0</v>
      </c>
      <c r="T24" s="4">
        <f>(VLOOKUP('17.01'!AB24,'17.01'!$AM$4:$AO$55,3,FALSE))</f>
        <v>0</v>
      </c>
      <c r="U24" s="4">
        <f>(VLOOKUP('17.01'!AC24,'17.01'!$AM$4:$AO$55,3,FALSE))</f>
        <v>0</v>
      </c>
      <c r="V24" s="4">
        <f>(VLOOKUP('17.01'!AD24,'17.01'!$AM$4:$AO$55,3,FALSE))</f>
        <v>0</v>
      </c>
      <c r="W24" s="5">
        <f>(VLOOKUP('17.01'!AE24,'17.01'!$AM$4:$AO$55,3,FALSE))</f>
        <v>0</v>
      </c>
      <c r="X24" s="5">
        <f>(VLOOKUP('17.01'!AF24,'17.01'!$AM$4:$AO$55,3,FALSE))</f>
        <v>0</v>
      </c>
    </row>
    <row r="25" spans="1:24">
      <c r="A25" s="4">
        <f>(VLOOKUP('17.01'!I25,'17.01'!$AM$4:$AO$55,3,FALSE))</f>
        <v>0</v>
      </c>
      <c r="B25" s="4">
        <f>(VLOOKUP('17.01'!J25,'17.01'!$AM$4:$AO$55,3,FALSE))</f>
        <v>0</v>
      </c>
      <c r="C25" s="4">
        <f>(VLOOKUP('17.01'!K25,'17.01'!$AM$4:$AO$55,3,FALSE))</f>
        <v>0</v>
      </c>
      <c r="D25" s="4">
        <f>(VLOOKUP('17.01'!L25,'17.01'!$AM$4:$AO$55,3,FALSE))</f>
        <v>0</v>
      </c>
      <c r="E25" s="4">
        <f>(VLOOKUP('17.01'!M25,'17.01'!$AM$4:$AO$55,3,FALSE))</f>
        <v>0</v>
      </c>
      <c r="F25" s="4">
        <f>(VLOOKUP('17.01'!N25,'17.01'!$AM$4:$AO$55,3,FALSE))</f>
        <v>0</v>
      </c>
      <c r="G25" s="5">
        <f>(VLOOKUP('17.01'!O25,'17.01'!$AM$4:$AO$55,3,FALSE))</f>
        <v>0</v>
      </c>
      <c r="H25" s="5">
        <f>(VLOOKUP('17.01'!P25,'17.01'!$AM$4:$AO$55,3,FALSE))</f>
        <v>0</v>
      </c>
      <c r="I25" s="4">
        <f>(VLOOKUP('17.01'!Q25,'17.01'!$AM$4:$AO$55,3,FALSE))</f>
        <v>1000</v>
      </c>
      <c r="J25" s="4">
        <f>(VLOOKUP('17.01'!R25,'17.01'!$AM$4:$AO$55,3,FALSE))</f>
        <v>60</v>
      </c>
      <c r="K25" s="4">
        <f>(VLOOKUP('17.01'!S25,'17.01'!$AM$4:$AO$55,3,FALSE))</f>
        <v>60</v>
      </c>
      <c r="L25" s="4">
        <f>(VLOOKUP('17.01'!T25,'17.01'!$AM$4:$AO$55,3,FALSE))</f>
        <v>60</v>
      </c>
      <c r="M25" s="4">
        <f>(VLOOKUP('17.01'!U25,'17.01'!$AM$4:$AO$55,3,FALSE))</f>
        <v>60</v>
      </c>
      <c r="N25" s="4">
        <f>(VLOOKUP('17.01'!V25,'17.01'!$AM$4:$AO$55,3,FALSE))</f>
        <v>60</v>
      </c>
      <c r="O25" s="5">
        <f>(VLOOKUP('17.01'!W25,'17.01'!$AM$4:$AO$55,3,FALSE))</f>
        <v>0</v>
      </c>
      <c r="P25" s="5">
        <f>(VLOOKUP('17.01'!X25,'17.01'!$AM$4:$AO$55,3,FALSE))</f>
        <v>0</v>
      </c>
      <c r="Q25" s="4">
        <f>(VLOOKUP('17.01'!Y25,'17.01'!$AM$4:$AO$55,3,FALSE))</f>
        <v>0</v>
      </c>
      <c r="R25" s="4">
        <f>(VLOOKUP('17.01'!Z25,'17.01'!$AM$4:$AO$55,3,FALSE))</f>
        <v>0</v>
      </c>
      <c r="S25" s="4">
        <f>(VLOOKUP('17.01'!AA25,'17.01'!$AM$4:$AO$55,3,FALSE))</f>
        <v>0</v>
      </c>
      <c r="T25" s="4">
        <f>(VLOOKUP('17.01'!AB25,'17.01'!$AM$4:$AO$55,3,FALSE))</f>
        <v>0</v>
      </c>
      <c r="U25" s="4">
        <f>(VLOOKUP('17.01'!AC25,'17.01'!$AM$4:$AO$55,3,FALSE))</f>
        <v>0</v>
      </c>
      <c r="V25" s="4">
        <f>(VLOOKUP('17.01'!AD25,'17.01'!$AM$4:$AO$55,3,FALSE))</f>
        <v>0</v>
      </c>
      <c r="W25" s="5">
        <f>(VLOOKUP('17.01'!AE25,'17.01'!$AM$4:$AO$55,3,FALSE))</f>
        <v>0</v>
      </c>
      <c r="X25" s="5">
        <f>(VLOOKUP('17.01'!AF25,'17.01'!$AM$4:$AO$55,3,FALSE))</f>
        <v>0</v>
      </c>
    </row>
    <row r="26" spans="1:24">
      <c r="A26" s="4">
        <f>(VLOOKUP('17.01'!I26,'17.01'!$AM$4:$AO$55,3,FALSE))</f>
        <v>0</v>
      </c>
      <c r="B26" s="4">
        <f>(VLOOKUP('17.01'!J26,'17.01'!$AM$4:$AO$55,3,FALSE))</f>
        <v>0</v>
      </c>
      <c r="C26" s="4">
        <f>(VLOOKUP('17.01'!K26,'17.01'!$AM$4:$AO$55,3,FALSE))</f>
        <v>0</v>
      </c>
      <c r="D26" s="4">
        <f>(VLOOKUP('17.01'!L26,'17.01'!$AM$4:$AO$55,3,FALSE))</f>
        <v>0</v>
      </c>
      <c r="E26" s="4">
        <f>(VLOOKUP('17.01'!M26,'17.01'!$AM$4:$AO$55,3,FALSE))</f>
        <v>0</v>
      </c>
      <c r="F26" s="4">
        <f>(VLOOKUP('17.01'!N26,'17.01'!$AM$4:$AO$55,3,FALSE))</f>
        <v>0</v>
      </c>
      <c r="G26" s="5">
        <f>(VLOOKUP('17.01'!O26,'17.01'!$AM$4:$AO$55,3,FALSE))</f>
        <v>0</v>
      </c>
      <c r="H26" s="5">
        <f>(VLOOKUP('17.01'!P26,'17.01'!$AM$4:$AO$55,3,FALSE))</f>
        <v>0</v>
      </c>
      <c r="I26" s="4">
        <f>(VLOOKUP('17.01'!Q26,'17.01'!$AM$4:$AO$55,3,FALSE))</f>
        <v>60</v>
      </c>
      <c r="J26" s="4">
        <f>(VLOOKUP('17.01'!R26,'17.01'!$AM$4:$AO$55,3,FALSE))</f>
        <v>60</v>
      </c>
      <c r="K26" s="4">
        <f>(VLOOKUP('17.01'!S26,'17.01'!$AM$4:$AO$55,3,FALSE))</f>
        <v>60</v>
      </c>
      <c r="L26" s="4">
        <f>(VLOOKUP('17.01'!T26,'17.01'!$AM$4:$AO$55,3,FALSE))</f>
        <v>60</v>
      </c>
      <c r="M26" s="4">
        <f>(VLOOKUP('17.01'!U26,'17.01'!$AM$4:$AO$55,3,FALSE))</f>
        <v>60</v>
      </c>
      <c r="N26" s="4">
        <f>(VLOOKUP('17.01'!V26,'17.01'!$AM$4:$AO$55,3,FALSE))</f>
        <v>60</v>
      </c>
      <c r="O26" s="5">
        <f>(VLOOKUP('17.01'!W26,'17.01'!$AM$4:$AO$55,3,FALSE))</f>
        <v>0</v>
      </c>
      <c r="P26" s="5">
        <f>(VLOOKUP('17.01'!X26,'17.01'!$AM$4:$AO$55,3,FALSE))</f>
        <v>0</v>
      </c>
      <c r="Q26" s="4">
        <f>(VLOOKUP('17.01'!Y26,'17.01'!$AM$4:$AO$55,3,FALSE))</f>
        <v>0</v>
      </c>
      <c r="R26" s="4">
        <f>(VLOOKUP('17.01'!Z26,'17.01'!$AM$4:$AO$55,3,FALSE))</f>
        <v>0</v>
      </c>
      <c r="S26" s="4">
        <f>(VLOOKUP('17.01'!AA26,'17.01'!$AM$4:$AO$55,3,FALSE))</f>
        <v>0</v>
      </c>
      <c r="T26" s="4">
        <f>(VLOOKUP('17.01'!AB26,'17.01'!$AM$4:$AO$55,3,FALSE))</f>
        <v>0</v>
      </c>
      <c r="U26" s="4">
        <f>(VLOOKUP('17.01'!AC26,'17.01'!$AM$4:$AO$55,3,FALSE))</f>
        <v>0</v>
      </c>
      <c r="V26" s="4">
        <f>(VLOOKUP('17.01'!AD26,'17.01'!$AM$4:$AO$55,3,FALSE))</f>
        <v>0</v>
      </c>
      <c r="W26" s="5">
        <f>(VLOOKUP('17.01'!AE26,'17.01'!$AM$4:$AO$55,3,FALSE))</f>
        <v>0</v>
      </c>
      <c r="X26" s="5">
        <f>(VLOOKUP('17.01'!AF26,'17.01'!$AM$4:$AO$55,3,FALSE))</f>
        <v>0</v>
      </c>
    </row>
    <row r="27" spans="1:24">
      <c r="A27" s="4">
        <f>(VLOOKUP('17.01'!I27,'17.01'!$AM$4:$AO$55,3,FALSE))</f>
        <v>0</v>
      </c>
      <c r="B27" s="4">
        <f>(VLOOKUP('17.01'!J27,'17.01'!$AM$4:$AO$55,3,FALSE))</f>
        <v>0</v>
      </c>
      <c r="C27" s="4">
        <f>(VLOOKUP('17.01'!K27,'17.01'!$AM$4:$AO$55,3,FALSE))</f>
        <v>0</v>
      </c>
      <c r="D27" s="4">
        <f>(VLOOKUP('17.01'!L27,'17.01'!$AM$4:$AO$55,3,FALSE))</f>
        <v>0</v>
      </c>
      <c r="E27" s="4">
        <f>(VLOOKUP('17.01'!M27,'17.01'!$AM$4:$AO$55,3,FALSE))</f>
        <v>0</v>
      </c>
      <c r="F27" s="4">
        <f>(VLOOKUP('17.01'!N27,'17.01'!$AM$4:$AO$55,3,FALSE))</f>
        <v>0</v>
      </c>
      <c r="G27" s="5">
        <f>(VLOOKUP('17.01'!O27,'17.01'!$AM$4:$AO$55,3,FALSE))</f>
        <v>0</v>
      </c>
      <c r="H27" s="5">
        <f>(VLOOKUP('17.01'!P27,'17.01'!$AM$4:$AO$55,3,FALSE))</f>
        <v>0</v>
      </c>
      <c r="I27" s="4">
        <f>(VLOOKUP('17.01'!Q27,'17.01'!$AM$4:$AO$55,3,FALSE))</f>
        <v>60</v>
      </c>
      <c r="J27" s="4">
        <f>(VLOOKUP('17.01'!R27,'17.01'!$AM$4:$AO$55,3,FALSE))</f>
        <v>30</v>
      </c>
      <c r="K27" s="4">
        <f>(VLOOKUP('17.01'!S27,'17.01'!$AM$4:$AO$55,3,FALSE))</f>
        <v>60</v>
      </c>
      <c r="L27" s="4">
        <f>(VLOOKUP('17.01'!T27,'17.01'!$AM$4:$AO$55,3,FALSE))</f>
        <v>60</v>
      </c>
      <c r="M27" s="4">
        <f>(VLOOKUP('17.01'!U27,'17.01'!$AM$4:$AO$55,3,FALSE))</f>
        <v>60</v>
      </c>
      <c r="N27" s="4">
        <f>(VLOOKUP('17.01'!V27,'17.01'!$AM$4:$AO$55,3,FALSE))</f>
        <v>60</v>
      </c>
      <c r="O27" s="5">
        <f>(VLOOKUP('17.01'!W27,'17.01'!$AM$4:$AO$55,3,FALSE))</f>
        <v>0</v>
      </c>
      <c r="P27" s="5">
        <f>(VLOOKUP('17.01'!X27,'17.01'!$AM$4:$AO$55,3,FALSE))</f>
        <v>0</v>
      </c>
      <c r="Q27" s="4">
        <f>(VLOOKUP('17.01'!Y27,'17.01'!$AM$4:$AO$55,3,FALSE))</f>
        <v>0</v>
      </c>
      <c r="R27" s="4">
        <f>(VLOOKUP('17.01'!Z27,'17.01'!$AM$4:$AO$55,3,FALSE))</f>
        <v>0</v>
      </c>
      <c r="S27" s="4">
        <f>(VLOOKUP('17.01'!AA27,'17.01'!$AM$4:$AO$55,3,FALSE))</f>
        <v>0</v>
      </c>
      <c r="T27" s="4">
        <f>(VLOOKUP('17.01'!AB27,'17.01'!$AM$4:$AO$55,3,FALSE))</f>
        <v>0</v>
      </c>
      <c r="U27" s="4">
        <f>(VLOOKUP('17.01'!AC27,'17.01'!$AM$4:$AO$55,3,FALSE))</f>
        <v>0</v>
      </c>
      <c r="V27" s="4">
        <f>(VLOOKUP('17.01'!AD27,'17.01'!$AM$4:$AO$55,3,FALSE))</f>
        <v>0</v>
      </c>
      <c r="W27" s="5">
        <f>(VLOOKUP('17.01'!AE27,'17.01'!$AM$4:$AO$55,3,FALSE))</f>
        <v>0</v>
      </c>
      <c r="X27" s="5">
        <f>(VLOOKUP('17.01'!AF27,'17.01'!$AM$4:$AO$55,3,FALSE))</f>
        <v>0</v>
      </c>
    </row>
    <row r="28" spans="1:24">
      <c r="A28" s="4">
        <f>(VLOOKUP('17.01'!I28,'17.01'!$AM$4:$AO$55,3,FALSE))</f>
        <v>0</v>
      </c>
      <c r="B28" s="4">
        <f>(VLOOKUP('17.01'!J28,'17.01'!$AM$4:$AO$55,3,FALSE))</f>
        <v>0</v>
      </c>
      <c r="C28" s="4">
        <f>(VLOOKUP('17.01'!K28,'17.01'!$AM$4:$AO$55,3,FALSE))</f>
        <v>0</v>
      </c>
      <c r="D28" s="4">
        <f>(VLOOKUP('17.01'!L28,'17.01'!$AM$4:$AO$55,3,FALSE))</f>
        <v>0</v>
      </c>
      <c r="E28" s="4">
        <f>(VLOOKUP('17.01'!M28,'17.01'!$AM$4:$AO$55,3,FALSE))</f>
        <v>0</v>
      </c>
      <c r="F28" s="4">
        <f>(VLOOKUP('17.01'!N28,'17.01'!$AM$4:$AO$55,3,FALSE))</f>
        <v>0</v>
      </c>
      <c r="G28" s="5">
        <f>(VLOOKUP('17.01'!O28,'17.01'!$AM$4:$AO$55,3,FALSE))</f>
        <v>0</v>
      </c>
      <c r="H28" s="5">
        <f>(VLOOKUP('17.01'!P28,'17.01'!$AM$4:$AO$55,3,FALSE))</f>
        <v>0</v>
      </c>
      <c r="I28" s="4">
        <f>(VLOOKUP('17.01'!Q28,'17.01'!$AM$4:$AO$55,3,FALSE))</f>
        <v>60</v>
      </c>
      <c r="J28" s="4">
        <f>(VLOOKUP('17.01'!R28,'17.01'!$AM$4:$AO$55,3,FALSE))</f>
        <v>60</v>
      </c>
      <c r="K28" s="4">
        <f>(VLOOKUP('17.01'!S28,'17.01'!$AM$4:$AO$55,3,FALSE))</f>
        <v>60</v>
      </c>
      <c r="L28" s="4">
        <f>(VLOOKUP('17.01'!T28,'17.01'!$AM$4:$AO$55,3,FALSE))</f>
        <v>0</v>
      </c>
      <c r="M28" s="4">
        <f>(VLOOKUP('17.01'!U28,'17.01'!$AM$4:$AO$55,3,FALSE))</f>
        <v>60</v>
      </c>
      <c r="N28" s="4">
        <f>(VLOOKUP('17.01'!V28,'17.01'!$AM$4:$AO$55,3,FALSE))</f>
        <v>60</v>
      </c>
      <c r="O28" s="5">
        <f>(VLOOKUP('17.01'!W28,'17.01'!$AM$4:$AO$55,3,FALSE))</f>
        <v>60</v>
      </c>
      <c r="P28" s="5">
        <f>(VLOOKUP('17.01'!X28,'17.01'!$AM$4:$AO$55,3,FALSE))</f>
        <v>60</v>
      </c>
      <c r="Q28" s="4">
        <f>(VLOOKUP('17.01'!Y28,'17.01'!$AM$4:$AO$55,3,FALSE))</f>
        <v>0</v>
      </c>
      <c r="R28" s="4">
        <f>(VLOOKUP('17.01'!Z28,'17.01'!$AM$4:$AO$55,3,FALSE))</f>
        <v>0</v>
      </c>
      <c r="S28" s="4">
        <f>(VLOOKUP('17.01'!AA28,'17.01'!$AM$4:$AO$55,3,FALSE))</f>
        <v>0</v>
      </c>
      <c r="T28" s="4">
        <f>(VLOOKUP('17.01'!AB28,'17.01'!$AM$4:$AO$55,3,FALSE))</f>
        <v>0</v>
      </c>
      <c r="U28" s="4">
        <f>(VLOOKUP('17.01'!AC28,'17.01'!$AM$4:$AO$55,3,FALSE))</f>
        <v>0</v>
      </c>
      <c r="V28" s="4">
        <f>(VLOOKUP('17.01'!AD28,'17.01'!$AM$4:$AO$55,3,FALSE))</f>
        <v>0</v>
      </c>
      <c r="W28" s="5">
        <f>(VLOOKUP('17.01'!AE28,'17.01'!$AM$4:$AO$55,3,FALSE))</f>
        <v>0</v>
      </c>
      <c r="X28" s="5">
        <f>(VLOOKUP('17.01'!AF28,'17.01'!$AM$4:$AO$55,3,FALSE))</f>
        <v>0</v>
      </c>
    </row>
    <row r="29" spans="1:24">
      <c r="A29" s="4">
        <f>(VLOOKUP('17.01'!I29,'17.01'!$AM$4:$AO$55,3,FALSE))</f>
        <v>0</v>
      </c>
      <c r="B29" s="4">
        <f>(VLOOKUP('17.01'!J29,'17.01'!$AM$4:$AO$55,3,FALSE))</f>
        <v>0</v>
      </c>
      <c r="C29" s="4">
        <f>(VLOOKUP('17.01'!K29,'17.01'!$AM$4:$AO$55,3,FALSE))</f>
        <v>0</v>
      </c>
      <c r="D29" s="4">
        <f>(VLOOKUP('17.01'!L29,'17.01'!$AM$4:$AO$55,3,FALSE))</f>
        <v>0</v>
      </c>
      <c r="E29" s="4">
        <f>(VLOOKUP('17.01'!M29,'17.01'!$AM$4:$AO$55,3,FALSE))</f>
        <v>0</v>
      </c>
      <c r="F29" s="4">
        <f>(VLOOKUP('17.01'!N29,'17.01'!$AM$4:$AO$55,3,FALSE))</f>
        <v>0</v>
      </c>
      <c r="G29" s="5">
        <f>(VLOOKUP('17.01'!O29,'17.01'!$AM$4:$AO$55,3,FALSE))</f>
        <v>0</v>
      </c>
      <c r="H29" s="5">
        <f>(VLOOKUP('17.01'!P29,'17.01'!$AM$4:$AO$55,3,FALSE))</f>
        <v>0</v>
      </c>
      <c r="I29" s="4">
        <f>(VLOOKUP('17.01'!Q29,'17.01'!$AM$4:$AO$55,3,FALSE))</f>
        <v>60</v>
      </c>
      <c r="J29" s="4">
        <f>(VLOOKUP('17.01'!R29,'17.01'!$AM$4:$AO$55,3,FALSE))</f>
        <v>60</v>
      </c>
      <c r="K29" s="4">
        <f>(VLOOKUP('17.01'!S29,'17.01'!$AM$4:$AO$55,3,FALSE))</f>
        <v>60</v>
      </c>
      <c r="L29" s="4">
        <f>(VLOOKUP('17.01'!T29,'17.01'!$AM$4:$AO$55,3,FALSE))</f>
        <v>60</v>
      </c>
      <c r="M29" s="4">
        <f>(VLOOKUP('17.01'!U29,'17.01'!$AM$4:$AO$55,3,FALSE))</f>
        <v>60</v>
      </c>
      <c r="N29" s="4">
        <f>(VLOOKUP('17.01'!V29,'17.01'!$AM$4:$AO$55,3,FALSE))</f>
        <v>40</v>
      </c>
      <c r="O29" s="5">
        <f>(VLOOKUP('17.01'!W29,'17.01'!$AM$4:$AO$55,3,FALSE))</f>
        <v>0</v>
      </c>
      <c r="P29" s="5">
        <f>(VLOOKUP('17.01'!X29,'17.01'!$AM$4:$AO$55,3,FALSE))</f>
        <v>0</v>
      </c>
      <c r="Q29" s="4">
        <f>(VLOOKUP('17.01'!Y29,'17.01'!$AM$4:$AO$55,3,FALSE))</f>
        <v>0</v>
      </c>
      <c r="R29" s="4">
        <f>(VLOOKUP('17.01'!Z29,'17.01'!$AM$4:$AO$55,3,FALSE))</f>
        <v>0</v>
      </c>
      <c r="S29" s="4">
        <f>(VLOOKUP('17.01'!AA29,'17.01'!$AM$4:$AO$55,3,FALSE))</f>
        <v>0</v>
      </c>
      <c r="T29" s="4">
        <f>(VLOOKUP('17.01'!AB29,'17.01'!$AM$4:$AO$55,3,FALSE))</f>
        <v>0</v>
      </c>
      <c r="U29" s="4">
        <f>(VLOOKUP('17.01'!AC29,'17.01'!$AM$4:$AO$55,3,FALSE))</f>
        <v>0</v>
      </c>
      <c r="V29" s="4">
        <f>(VLOOKUP('17.01'!AD29,'17.01'!$AM$4:$AO$55,3,FALSE))</f>
        <v>0</v>
      </c>
      <c r="W29" s="5">
        <f>(VLOOKUP('17.01'!AE29,'17.01'!$AM$4:$AO$55,3,FALSE))</f>
        <v>0</v>
      </c>
      <c r="X29" s="5">
        <f>(VLOOKUP('17.01'!AF29,'17.01'!$AM$4:$AO$55,3,FALSE))</f>
        <v>0</v>
      </c>
    </row>
    <row r="30" spans="1:24">
      <c r="A30" s="4">
        <f>(VLOOKUP('17.01'!I30,'17.01'!$AM$4:$AO$55,3,FALSE))</f>
        <v>0</v>
      </c>
      <c r="B30" s="4">
        <f>(VLOOKUP('17.01'!J30,'17.01'!$AM$4:$AO$55,3,FALSE))</f>
        <v>0</v>
      </c>
      <c r="C30" s="4">
        <f>(VLOOKUP('17.01'!K30,'17.01'!$AM$4:$AO$55,3,FALSE))</f>
        <v>0</v>
      </c>
      <c r="D30" s="4">
        <f>(VLOOKUP('17.01'!L30,'17.01'!$AM$4:$AO$55,3,FALSE))</f>
        <v>0</v>
      </c>
      <c r="E30" s="4">
        <f>(VLOOKUP('17.01'!M30,'17.01'!$AM$4:$AO$55,3,FALSE))</f>
        <v>0</v>
      </c>
      <c r="F30" s="4">
        <f>(VLOOKUP('17.01'!N30,'17.01'!$AM$4:$AO$55,3,FALSE))</f>
        <v>0</v>
      </c>
      <c r="G30" s="5">
        <f>(VLOOKUP('17.01'!O30,'17.01'!$AM$4:$AO$55,3,FALSE))</f>
        <v>0</v>
      </c>
      <c r="H30" s="5">
        <f>(VLOOKUP('17.01'!P30,'17.01'!$AM$4:$AO$55,3,FALSE))</f>
        <v>0</v>
      </c>
      <c r="I30" s="4">
        <f>(VLOOKUP('17.01'!Q30,'17.01'!$AM$4:$AO$55,3,FALSE))</f>
        <v>35</v>
      </c>
      <c r="J30" s="4">
        <f>(VLOOKUP('17.01'!R30,'17.01'!$AM$4:$AO$55,3,FALSE))</f>
        <v>40</v>
      </c>
      <c r="K30" s="4">
        <f>(VLOOKUP('17.01'!S30,'17.01'!$AM$4:$AO$55,3,FALSE))</f>
        <v>520</v>
      </c>
      <c r="L30" s="4">
        <f>(VLOOKUP('17.01'!T30,'17.01'!$AM$4:$AO$55,3,FALSE))</f>
        <v>40</v>
      </c>
      <c r="M30" s="4">
        <f>(VLOOKUP('17.01'!U30,'17.01'!$AM$4:$AO$55,3,FALSE))</f>
        <v>30</v>
      </c>
      <c r="N30" s="4">
        <f>(VLOOKUP('17.01'!V30,'17.01'!$AM$4:$AO$55,3,FALSE))</f>
        <v>40</v>
      </c>
      <c r="O30" s="5">
        <f>(VLOOKUP('17.01'!W30,'17.01'!$AM$4:$AO$55,3,FALSE))</f>
        <v>55</v>
      </c>
      <c r="P30" s="5">
        <f>(VLOOKUP('17.01'!X30,'17.01'!$AM$4:$AO$55,3,FALSE))</f>
        <v>0</v>
      </c>
      <c r="Q30" s="4">
        <f>(VLOOKUP('17.01'!Y30,'17.01'!$AM$4:$AO$55,3,FALSE))</f>
        <v>0</v>
      </c>
      <c r="R30" s="4">
        <f>(VLOOKUP('17.01'!Z30,'17.01'!$AM$4:$AO$55,3,FALSE))</f>
        <v>0</v>
      </c>
      <c r="S30" s="4">
        <f>(VLOOKUP('17.01'!AA30,'17.01'!$AM$4:$AO$55,3,FALSE))</f>
        <v>0</v>
      </c>
      <c r="T30" s="4">
        <f>(VLOOKUP('17.01'!AB30,'17.01'!$AM$4:$AO$55,3,FALSE))</f>
        <v>0</v>
      </c>
      <c r="U30" s="4">
        <f>(VLOOKUP('17.01'!AC30,'17.01'!$AM$4:$AO$55,3,FALSE))</f>
        <v>0</v>
      </c>
      <c r="V30" s="4">
        <f>(VLOOKUP('17.01'!AD30,'17.01'!$AM$4:$AO$55,3,FALSE))</f>
        <v>0</v>
      </c>
      <c r="W30" s="5">
        <f>(VLOOKUP('17.01'!AE30,'17.01'!$AM$4:$AO$55,3,FALSE))</f>
        <v>0</v>
      </c>
      <c r="X30" s="5">
        <f>(VLOOKUP('17.01'!AF30,'17.01'!$AM$4:$AO$55,3,FALSE))</f>
        <v>0</v>
      </c>
    </row>
    <row r="31" spans="1:24">
      <c r="A31" s="4">
        <f>(VLOOKUP('17.01'!I31,'17.01'!$AM$4:$AO$55,3,FALSE))</f>
        <v>35</v>
      </c>
      <c r="B31" s="4">
        <f>(VLOOKUP('17.01'!J31,'17.01'!$AM$4:$AO$55,3,FALSE))</f>
        <v>35</v>
      </c>
      <c r="C31" s="4">
        <f>(VLOOKUP('17.01'!K31,'17.01'!$AM$4:$AO$55,3,FALSE))</f>
        <v>30</v>
      </c>
      <c r="D31" s="4">
        <f>(VLOOKUP('17.01'!L31,'17.01'!$AM$4:$AO$55,3,FALSE))</f>
        <v>35</v>
      </c>
      <c r="E31" s="4">
        <f>(VLOOKUP('17.01'!M31,'17.01'!$AM$4:$AO$55,3,FALSE))</f>
        <v>35</v>
      </c>
      <c r="F31" s="4">
        <f>(VLOOKUP('17.01'!N31,'17.01'!$AM$4:$AO$55,3,FALSE))</f>
        <v>35</v>
      </c>
      <c r="G31" s="5">
        <f>(VLOOKUP('17.01'!O31,'17.01'!$AM$4:$AO$55,3,FALSE))</f>
        <v>30</v>
      </c>
      <c r="H31" s="5">
        <f>(VLOOKUP('17.01'!P31,'17.01'!$AM$4:$AO$55,3,FALSE))</f>
        <v>0</v>
      </c>
      <c r="I31" s="4">
        <f>(VLOOKUP('17.01'!Q31,'17.01'!$AM$4:$AO$55,3,FALSE))</f>
        <v>55</v>
      </c>
      <c r="J31" s="4">
        <f>(VLOOKUP('17.01'!R31,'17.01'!$AM$4:$AO$55,3,FALSE))</f>
        <v>55</v>
      </c>
      <c r="K31" s="4">
        <f>(VLOOKUP('17.01'!S31,'17.01'!$AM$4:$AO$55,3,FALSE))</f>
        <v>55</v>
      </c>
      <c r="L31" s="4">
        <f>(VLOOKUP('17.01'!T31,'17.01'!$AM$4:$AO$55,3,FALSE))</f>
        <v>50</v>
      </c>
      <c r="M31" s="4">
        <f>(VLOOKUP('17.01'!U31,'17.01'!$AM$4:$AO$55,3,FALSE))</f>
        <v>50</v>
      </c>
      <c r="N31" s="4">
        <f>(VLOOKUP('17.01'!V31,'17.01'!$AM$4:$AO$55,3,FALSE))</f>
        <v>50</v>
      </c>
      <c r="O31" s="5">
        <f>(VLOOKUP('17.01'!W31,'17.01'!$AM$4:$AO$55,3,FALSE))</f>
        <v>0</v>
      </c>
      <c r="P31" s="5">
        <f>(VLOOKUP('17.01'!X31,'17.01'!$AM$4:$AO$55,3,FALSE))</f>
        <v>0</v>
      </c>
      <c r="Q31" s="4">
        <f>(VLOOKUP('17.01'!Y31,'17.01'!$AM$4:$AO$55,3,FALSE))</f>
        <v>0</v>
      </c>
      <c r="R31" s="4">
        <f>(VLOOKUP('17.01'!Z31,'17.01'!$AM$4:$AO$55,3,FALSE))</f>
        <v>0</v>
      </c>
      <c r="S31" s="4">
        <f>(VLOOKUP('17.01'!AA31,'17.01'!$AM$4:$AO$55,3,FALSE))</f>
        <v>0</v>
      </c>
      <c r="T31" s="4">
        <f>(VLOOKUP('17.01'!AB31,'17.01'!$AM$4:$AO$55,3,FALSE))</f>
        <v>0</v>
      </c>
      <c r="U31" s="4">
        <f>(VLOOKUP('17.01'!AC31,'17.01'!$AM$4:$AO$55,3,FALSE))</f>
        <v>0</v>
      </c>
      <c r="V31" s="4">
        <f>(VLOOKUP('17.01'!AD31,'17.01'!$AM$4:$AO$55,3,FALSE))</f>
        <v>0</v>
      </c>
      <c r="W31" s="5">
        <f>(VLOOKUP('17.01'!AE31,'17.01'!$AM$4:$AO$55,3,FALSE))</f>
        <v>0</v>
      </c>
      <c r="X31" s="5">
        <f>(VLOOKUP('17.01'!AF31,'17.01'!$AM$4:$AO$55,3,FALSE))</f>
        <v>0</v>
      </c>
    </row>
    <row r="32" spans="1:24">
      <c r="A32" s="4">
        <f>(VLOOKUP('17.01'!I32,'17.01'!$AM$4:$AO$55,3,FALSE))</f>
        <v>40</v>
      </c>
      <c r="B32" s="4">
        <f>(VLOOKUP('17.01'!J32,'17.01'!$AM$4:$AO$55,3,FALSE))</f>
        <v>40</v>
      </c>
      <c r="C32" s="4">
        <f>(VLOOKUP('17.01'!K32,'17.01'!$AM$4:$AO$55,3,FALSE))</f>
        <v>40</v>
      </c>
      <c r="D32" s="4">
        <f>(VLOOKUP('17.01'!L32,'17.01'!$AM$4:$AO$55,3,FALSE))</f>
        <v>30</v>
      </c>
      <c r="E32" s="4">
        <f>(VLOOKUP('17.01'!M32,'17.01'!$AM$4:$AO$55,3,FALSE))</f>
        <v>40</v>
      </c>
      <c r="F32" s="4">
        <f>(VLOOKUP('17.01'!N32,'17.01'!$AM$4:$AO$55,3,FALSE))</f>
        <v>40</v>
      </c>
      <c r="G32" s="5">
        <f>(VLOOKUP('17.01'!O32,'17.01'!$AM$4:$AO$55,3,FALSE))</f>
        <v>0</v>
      </c>
      <c r="H32" s="5">
        <f>(VLOOKUP('17.01'!P32,'17.01'!$AM$4:$AO$55,3,FALSE))</f>
        <v>0</v>
      </c>
      <c r="I32" s="4">
        <f>(VLOOKUP('17.01'!Q32,'17.01'!$AM$4:$AO$55,3,FALSE))</f>
        <v>50</v>
      </c>
      <c r="J32" s="4">
        <f>(VLOOKUP('17.01'!R32,'17.01'!$AM$4:$AO$55,3,FALSE))</f>
        <v>0</v>
      </c>
      <c r="K32" s="4">
        <f>(VLOOKUP('17.01'!S32,'17.01'!$AM$4:$AO$55,3,FALSE))</f>
        <v>50</v>
      </c>
      <c r="L32" s="4">
        <f>(VLOOKUP('17.01'!T32,'17.01'!$AM$4:$AO$55,3,FALSE))</f>
        <v>50</v>
      </c>
      <c r="M32" s="4">
        <f>(VLOOKUP('17.01'!U32,'17.01'!$AM$4:$AO$55,3,FALSE))</f>
        <v>50</v>
      </c>
      <c r="N32" s="4">
        <f>(VLOOKUP('17.01'!V32,'17.01'!$AM$4:$AO$55,3,FALSE))</f>
        <v>50</v>
      </c>
      <c r="O32" s="5">
        <f>(VLOOKUP('17.01'!W32,'17.01'!$AM$4:$AO$55,3,FALSE))</f>
        <v>50</v>
      </c>
      <c r="P32" s="5">
        <f>(VLOOKUP('17.01'!X32,'17.01'!$AM$4:$AO$55,3,FALSE))</f>
        <v>55</v>
      </c>
      <c r="Q32" s="4">
        <f>(VLOOKUP('17.01'!Y32,'17.01'!$AM$4:$AO$55,3,FALSE))</f>
        <v>0</v>
      </c>
      <c r="R32" s="4">
        <f>(VLOOKUP('17.01'!Z32,'17.01'!$AM$4:$AO$55,3,FALSE))</f>
        <v>0</v>
      </c>
      <c r="S32" s="4">
        <f>(VLOOKUP('17.01'!AA32,'17.01'!$AM$4:$AO$55,3,FALSE))</f>
        <v>0</v>
      </c>
      <c r="T32" s="4">
        <f>(VLOOKUP('17.01'!AB32,'17.01'!$AM$4:$AO$55,3,FALSE))</f>
        <v>0</v>
      </c>
      <c r="U32" s="4">
        <f>(VLOOKUP('17.01'!AC32,'17.01'!$AM$4:$AO$55,3,FALSE))</f>
        <v>0</v>
      </c>
      <c r="V32" s="4">
        <f>(VLOOKUP('17.01'!AD32,'17.01'!$AM$4:$AO$55,3,FALSE))</f>
        <v>0</v>
      </c>
      <c r="W32" s="5">
        <f>(VLOOKUP('17.01'!AE32,'17.01'!$AM$4:$AO$55,3,FALSE))</f>
        <v>0</v>
      </c>
      <c r="X32" s="5">
        <f>(VLOOKUP('17.01'!AF32,'17.01'!$AM$4:$AO$55,3,FALSE))</f>
        <v>0</v>
      </c>
    </row>
    <row r="33" spans="1:24">
      <c r="A33" s="4">
        <f>(VLOOKUP('17.01'!I33,'17.01'!$AM$4:$AO$55,3,FALSE))</f>
        <v>0</v>
      </c>
      <c r="B33" s="4">
        <f>(VLOOKUP('17.01'!J33,'17.01'!$AM$4:$AO$55,3,FALSE))</f>
        <v>0</v>
      </c>
      <c r="C33" s="4">
        <f>(VLOOKUP('17.01'!K33,'17.01'!$AM$4:$AO$55,3,FALSE))</f>
        <v>0</v>
      </c>
      <c r="D33" s="4">
        <f>(VLOOKUP('17.01'!L33,'17.01'!$AM$4:$AO$55,3,FALSE))</f>
        <v>0</v>
      </c>
      <c r="E33" s="4">
        <f>(VLOOKUP('17.01'!M33,'17.01'!$AM$4:$AO$55,3,FALSE))</f>
        <v>0</v>
      </c>
      <c r="F33" s="4">
        <f>(VLOOKUP('17.01'!N33,'17.01'!$AM$4:$AO$55,3,FALSE))</f>
        <v>0</v>
      </c>
      <c r="G33" s="5">
        <f>(VLOOKUP('17.01'!O33,'17.01'!$AM$4:$AO$55,3,FALSE))</f>
        <v>0</v>
      </c>
      <c r="H33" s="5">
        <f>(VLOOKUP('17.01'!P33,'17.01'!$AM$4:$AO$55,3,FALSE))</f>
        <v>0</v>
      </c>
      <c r="I33" s="4">
        <f>(VLOOKUP('17.01'!Q33,'17.01'!$AM$4:$AO$55,3,FALSE))</f>
        <v>55</v>
      </c>
      <c r="J33" s="4">
        <f>(VLOOKUP('17.01'!R33,'17.01'!$AM$4:$AO$55,3,FALSE))</f>
        <v>0</v>
      </c>
      <c r="K33" s="4">
        <f>(VLOOKUP('17.01'!S33,'17.01'!$AM$4:$AO$55,3,FALSE))</f>
        <v>55</v>
      </c>
      <c r="L33" s="4">
        <f>(VLOOKUP('17.01'!T33,'17.01'!$AM$4:$AO$55,3,FALSE))</f>
        <v>55</v>
      </c>
      <c r="M33" s="4">
        <f>(VLOOKUP('17.01'!U33,'17.01'!$AM$4:$AO$55,3,FALSE))</f>
        <v>55</v>
      </c>
      <c r="N33" s="4">
        <f>(VLOOKUP('17.01'!V33,'17.01'!$AM$4:$AO$55,3,FALSE))</f>
        <v>55</v>
      </c>
      <c r="O33" s="5">
        <f>(VLOOKUP('17.01'!W33,'17.01'!$AM$4:$AO$55,3,FALSE))</f>
        <v>60</v>
      </c>
      <c r="P33" s="5">
        <f>(VLOOKUP('17.01'!X33,'17.01'!$AM$4:$AO$55,3,FALSE))</f>
        <v>0</v>
      </c>
      <c r="Q33" s="4">
        <f>(VLOOKUP('17.01'!Y33,'17.01'!$AM$4:$AO$55,3,FALSE))</f>
        <v>0</v>
      </c>
      <c r="R33" s="4">
        <f>(VLOOKUP('17.01'!Z33,'17.01'!$AM$4:$AO$55,3,FALSE))</f>
        <v>0</v>
      </c>
      <c r="S33" s="4">
        <f>(VLOOKUP('17.01'!AA33,'17.01'!$AM$4:$AO$55,3,FALSE))</f>
        <v>0</v>
      </c>
      <c r="T33" s="4">
        <f>(VLOOKUP('17.01'!AB33,'17.01'!$AM$4:$AO$55,3,FALSE))</f>
        <v>0</v>
      </c>
      <c r="U33" s="4">
        <f>(VLOOKUP('17.01'!AC33,'17.01'!$AM$4:$AO$55,3,FALSE))</f>
        <v>0</v>
      </c>
      <c r="V33" s="4">
        <f>(VLOOKUP('17.01'!AD33,'17.01'!$AM$4:$AO$55,3,FALSE))</f>
        <v>0</v>
      </c>
      <c r="W33" s="5">
        <f>(VLOOKUP('17.01'!AE33,'17.01'!$AM$4:$AO$55,3,FALSE))</f>
        <v>0</v>
      </c>
      <c r="X33" s="5">
        <f>(VLOOKUP('17.01'!AF33,'17.01'!$AM$4:$AO$55,3,FALSE))</f>
        <v>0</v>
      </c>
    </row>
    <row r="34" spans="1:24">
      <c r="A34" s="4">
        <f>(VLOOKUP('17.01'!I34,'17.01'!$AM$4:$AO$55,3,FALSE))</f>
        <v>0</v>
      </c>
      <c r="B34" s="4">
        <f>(VLOOKUP('17.01'!J34,'17.01'!$AM$4:$AO$55,3,FALSE))</f>
        <v>0</v>
      </c>
      <c r="C34" s="4">
        <f>(VLOOKUP('17.01'!K34,'17.01'!$AM$4:$AO$55,3,FALSE))</f>
        <v>0</v>
      </c>
      <c r="D34" s="4">
        <f>(VLOOKUP('17.01'!L34,'17.01'!$AM$4:$AO$55,3,FALSE))</f>
        <v>0</v>
      </c>
      <c r="E34" s="4">
        <f>(VLOOKUP('17.01'!M34,'17.01'!$AM$4:$AO$55,3,FALSE))</f>
        <v>0</v>
      </c>
      <c r="F34" s="4">
        <f>(VLOOKUP('17.01'!N34,'17.01'!$AM$4:$AO$55,3,FALSE))</f>
        <v>0</v>
      </c>
      <c r="G34" s="5">
        <f>(VLOOKUP('17.01'!O34,'17.01'!$AM$4:$AO$55,3,FALSE))</f>
        <v>0</v>
      </c>
      <c r="H34" s="5">
        <f>(VLOOKUP('17.01'!P34,'17.01'!$AM$4:$AO$55,3,FALSE))</f>
        <v>0</v>
      </c>
      <c r="I34" s="4">
        <f>(VLOOKUP('17.01'!Q34,'17.01'!$AM$4:$AO$55,3,FALSE))</f>
        <v>0</v>
      </c>
      <c r="J34" s="4">
        <f>(VLOOKUP('17.01'!R34,'17.01'!$AM$4:$AO$55,3,FALSE))</f>
        <v>0</v>
      </c>
      <c r="K34" s="4">
        <f>(VLOOKUP('17.01'!S34,'17.01'!$AM$4:$AO$55,3,FALSE))</f>
        <v>0</v>
      </c>
      <c r="L34" s="4">
        <f>(VLOOKUP('17.01'!T34,'17.01'!$AM$4:$AO$55,3,FALSE))</f>
        <v>0</v>
      </c>
      <c r="M34" s="4">
        <f>(VLOOKUP('17.01'!U34,'17.01'!$AM$4:$AO$55,3,FALSE))</f>
        <v>0</v>
      </c>
      <c r="N34" s="4">
        <f>(VLOOKUP('17.01'!V34,'17.01'!$AM$4:$AO$55,3,FALSE))</f>
        <v>0</v>
      </c>
      <c r="O34" s="5">
        <f>(VLOOKUP('17.01'!W34,'17.01'!$AM$4:$AO$55,3,FALSE))</f>
        <v>0</v>
      </c>
      <c r="P34" s="5">
        <f>(VLOOKUP('17.01'!X34,'17.01'!$AM$4:$AO$55,3,FALSE))</f>
        <v>0</v>
      </c>
      <c r="Q34" s="4">
        <f>(VLOOKUP('17.01'!Y34,'17.01'!$AM$4:$AO$55,3,FALSE))</f>
        <v>0</v>
      </c>
      <c r="R34" s="4">
        <f>(VLOOKUP('17.01'!Z34,'17.01'!$AM$4:$AO$55,3,FALSE))</f>
        <v>0</v>
      </c>
      <c r="S34" s="4">
        <f>(VLOOKUP('17.01'!AA34,'17.01'!$AM$4:$AO$55,3,FALSE))</f>
        <v>0</v>
      </c>
      <c r="T34" s="4">
        <f>(VLOOKUP('17.01'!AB34,'17.01'!$AM$4:$AO$55,3,FALSE))</f>
        <v>0</v>
      </c>
      <c r="U34" s="4">
        <f>(VLOOKUP('17.01'!AC34,'17.01'!$AM$4:$AO$55,3,FALSE))</f>
        <v>0</v>
      </c>
      <c r="V34" s="4">
        <f>(VLOOKUP('17.01'!AD34,'17.01'!$AM$4:$AO$55,3,FALSE))</f>
        <v>0</v>
      </c>
      <c r="W34" s="5">
        <f>(VLOOKUP('17.01'!AE34,'17.01'!$AM$4:$AO$55,3,FALSE))</f>
        <v>0</v>
      </c>
      <c r="X34" s="5">
        <f>(VLOOKUP('17.01'!AF34,'17.01'!$AM$4:$AO$55,3,FALSE))</f>
        <v>0</v>
      </c>
    </row>
    <row r="35" spans="1:24">
      <c r="A35" s="4">
        <f>(VLOOKUP('17.01'!I35,'17.01'!$AM$4:$AO$55,3,FALSE))</f>
        <v>0</v>
      </c>
      <c r="B35" s="4">
        <f>(VLOOKUP('17.01'!J35,'17.01'!$AM$4:$AO$55,3,FALSE))</f>
        <v>0</v>
      </c>
      <c r="C35" s="4">
        <f>(VLOOKUP('17.01'!K35,'17.01'!$AM$4:$AO$55,3,FALSE))</f>
        <v>0</v>
      </c>
      <c r="D35" s="4">
        <f>(VLOOKUP('17.01'!L35,'17.01'!$AM$4:$AO$55,3,FALSE))</f>
        <v>0</v>
      </c>
      <c r="E35" s="4">
        <f>(VLOOKUP('17.01'!M35,'17.01'!$AM$4:$AO$55,3,FALSE))</f>
        <v>0</v>
      </c>
      <c r="F35" s="4">
        <f>(VLOOKUP('17.01'!N35,'17.01'!$AM$4:$AO$55,3,FALSE))</f>
        <v>0</v>
      </c>
      <c r="G35" s="5">
        <f>(VLOOKUP('17.01'!O35,'17.01'!$AM$4:$AO$55,3,FALSE))</f>
        <v>0</v>
      </c>
      <c r="H35" s="5">
        <f>(VLOOKUP('17.01'!P35,'17.01'!$AM$4:$AO$55,3,FALSE))</f>
        <v>0</v>
      </c>
      <c r="I35" s="4">
        <f>(VLOOKUP('17.01'!Q35,'17.01'!$AM$4:$AO$55,3,FALSE))</f>
        <v>0</v>
      </c>
      <c r="J35" s="4">
        <f>(VLOOKUP('17.01'!R35,'17.01'!$AM$4:$AO$55,3,FALSE))</f>
        <v>0</v>
      </c>
      <c r="K35" s="4">
        <f>(VLOOKUP('17.01'!S35,'17.01'!$AM$4:$AO$55,3,FALSE))</f>
        <v>0</v>
      </c>
      <c r="L35" s="4">
        <f>(VLOOKUP('17.01'!T35,'17.01'!$AM$4:$AO$55,3,FALSE))</f>
        <v>0</v>
      </c>
      <c r="M35" s="4">
        <f>(VLOOKUP('17.01'!U35,'17.01'!$AM$4:$AO$55,3,FALSE))</f>
        <v>0</v>
      </c>
      <c r="N35" s="4">
        <f>(VLOOKUP('17.01'!V35,'17.01'!$AM$4:$AO$55,3,FALSE))</f>
        <v>0</v>
      </c>
      <c r="O35" s="5">
        <f>(VLOOKUP('17.01'!W35,'17.01'!$AM$4:$AO$55,3,FALSE))</f>
        <v>0</v>
      </c>
      <c r="P35" s="5">
        <f>(VLOOKUP('17.01'!X35,'17.01'!$AM$4:$AO$55,3,FALSE))</f>
        <v>0</v>
      </c>
      <c r="Q35" s="4">
        <f>(VLOOKUP('17.01'!Y35,'17.01'!$AM$4:$AO$55,3,FALSE))</f>
        <v>0</v>
      </c>
      <c r="R35" s="4">
        <f>(VLOOKUP('17.01'!Z35,'17.01'!$AM$4:$AO$55,3,FALSE))</f>
        <v>0</v>
      </c>
      <c r="S35" s="4">
        <f>(VLOOKUP('17.01'!AA35,'17.01'!$AM$4:$AO$55,3,FALSE))</f>
        <v>0</v>
      </c>
      <c r="T35" s="4">
        <f>(VLOOKUP('17.01'!AB35,'17.01'!$AM$4:$AO$55,3,FALSE))</f>
        <v>0</v>
      </c>
      <c r="U35" s="4">
        <f>(VLOOKUP('17.01'!AC35,'17.01'!$AM$4:$AO$55,3,FALSE))</f>
        <v>0</v>
      </c>
      <c r="V35" s="4">
        <f>(VLOOKUP('17.01'!AD35,'17.01'!$AM$4:$AO$55,3,FALSE))</f>
        <v>0</v>
      </c>
      <c r="W35" s="5">
        <f>(VLOOKUP('17.01'!AE35,'17.01'!$AM$4:$AO$55,3,FALSE))</f>
        <v>0</v>
      </c>
      <c r="X35" s="5">
        <f>(VLOOKUP('17.01'!AF35,'17.01'!$AM$4:$AO$55,3,FALSE))</f>
        <v>0</v>
      </c>
    </row>
    <row r="36" spans="1:24">
      <c r="A36" s="4">
        <f>(VLOOKUP('17.01'!I36,'17.01'!$AM$4:$AO$55,3,FALSE))</f>
        <v>0</v>
      </c>
      <c r="B36" s="4">
        <f>(VLOOKUP('17.01'!J36,'17.01'!$AM$4:$AO$55,3,FALSE))</f>
        <v>0</v>
      </c>
      <c r="C36" s="4">
        <f>(VLOOKUP('17.01'!K36,'17.01'!$AM$4:$AO$55,3,FALSE))</f>
        <v>0</v>
      </c>
      <c r="D36" s="4">
        <f>(VLOOKUP('17.01'!L36,'17.01'!$AM$4:$AO$55,3,FALSE))</f>
        <v>0</v>
      </c>
      <c r="E36" s="4">
        <f>(VLOOKUP('17.01'!M36,'17.01'!$AM$4:$AO$55,3,FALSE))</f>
        <v>0</v>
      </c>
      <c r="F36" s="4">
        <f>(VLOOKUP('17.01'!N36,'17.01'!$AM$4:$AO$55,3,FALSE))</f>
        <v>0</v>
      </c>
      <c r="G36" s="5">
        <f>(VLOOKUP('17.01'!O36,'17.01'!$AM$4:$AO$55,3,FALSE))</f>
        <v>0</v>
      </c>
      <c r="H36" s="5">
        <f>(VLOOKUP('17.01'!P36,'17.01'!$AM$4:$AO$55,3,FALSE))</f>
        <v>0</v>
      </c>
      <c r="I36" s="4">
        <f>(VLOOKUP('17.01'!Q36,'17.01'!$AM$4:$AO$55,3,FALSE))</f>
        <v>0</v>
      </c>
      <c r="J36" s="4">
        <f>(VLOOKUP('17.01'!R36,'17.01'!$AM$4:$AO$55,3,FALSE))</f>
        <v>0</v>
      </c>
      <c r="K36" s="4">
        <f>(VLOOKUP('17.01'!S36,'17.01'!$AM$4:$AO$55,3,FALSE))</f>
        <v>0</v>
      </c>
      <c r="L36" s="4">
        <f>(VLOOKUP('17.01'!T36,'17.01'!$AM$4:$AO$55,3,FALSE))</f>
        <v>0</v>
      </c>
      <c r="M36" s="4">
        <f>(VLOOKUP('17.01'!U36,'17.01'!$AM$4:$AO$55,3,FALSE))</f>
        <v>0</v>
      </c>
      <c r="N36" s="4">
        <f>(VLOOKUP('17.01'!V36,'17.01'!$AM$4:$AO$55,3,FALSE))</f>
        <v>0</v>
      </c>
      <c r="O36" s="5">
        <f>(VLOOKUP('17.01'!W36,'17.01'!$AM$4:$AO$55,3,FALSE))</f>
        <v>0</v>
      </c>
      <c r="P36" s="5">
        <f>(VLOOKUP('17.01'!X36,'17.01'!$AM$4:$AO$55,3,FALSE))</f>
        <v>0</v>
      </c>
      <c r="Q36" s="4">
        <f>(VLOOKUP('17.01'!Y36,'17.01'!$AM$4:$AO$55,3,FALSE))</f>
        <v>0</v>
      </c>
      <c r="R36" s="4">
        <f>(VLOOKUP('17.01'!Z36,'17.01'!$AM$4:$AO$55,3,FALSE))</f>
        <v>0</v>
      </c>
      <c r="S36" s="4">
        <f>(VLOOKUP('17.01'!AA36,'17.01'!$AM$4:$AO$55,3,FALSE))</f>
        <v>0</v>
      </c>
      <c r="T36" s="4">
        <f>(VLOOKUP('17.01'!AB36,'17.01'!$AM$4:$AO$55,3,FALSE))</f>
        <v>0</v>
      </c>
      <c r="U36" s="4">
        <f>(VLOOKUP('17.01'!AC36,'17.01'!$AM$4:$AO$55,3,FALSE))</f>
        <v>0</v>
      </c>
      <c r="V36" s="4">
        <f>(VLOOKUP('17.01'!AD36,'17.01'!$AM$4:$AO$55,3,FALSE))</f>
        <v>0</v>
      </c>
      <c r="W36" s="5">
        <f>(VLOOKUP('17.01'!AE36,'17.01'!$AM$4:$AO$55,3,FALSE))</f>
        <v>0</v>
      </c>
      <c r="X36" s="5">
        <f>(VLOOKUP('17.01'!AF36,'17.01'!$AM$4:$AO$55,3,FALSE))</f>
        <v>0</v>
      </c>
    </row>
    <row r="37" spans="1:24">
      <c r="A37" s="4">
        <f>(VLOOKUP('17.01'!I37,'17.01'!$AM$4:$AO$55,3,FALSE))</f>
        <v>0</v>
      </c>
      <c r="B37" s="4">
        <f>(VLOOKUP('17.01'!J37,'17.01'!$AM$4:$AO$55,3,FALSE))</f>
        <v>0</v>
      </c>
      <c r="C37" s="4">
        <f>(VLOOKUP('17.01'!K37,'17.01'!$AM$4:$AO$55,3,FALSE))</f>
        <v>0</v>
      </c>
      <c r="D37" s="4">
        <f>(VLOOKUP('17.01'!L37,'17.01'!$AM$4:$AO$55,3,FALSE))</f>
        <v>0</v>
      </c>
      <c r="E37" s="4">
        <f>(VLOOKUP('17.01'!M37,'17.01'!$AM$4:$AO$55,3,FALSE))</f>
        <v>0</v>
      </c>
      <c r="F37" s="4">
        <f>(VLOOKUP('17.01'!N37,'17.01'!$AM$4:$AO$55,3,FALSE))</f>
        <v>0</v>
      </c>
      <c r="G37" s="5">
        <f>(VLOOKUP('17.01'!O37,'17.01'!$AM$4:$AO$55,3,FALSE))</f>
        <v>0</v>
      </c>
      <c r="H37" s="5">
        <f>(VLOOKUP('17.01'!P37,'17.01'!$AM$4:$AO$55,3,FALSE))</f>
        <v>0</v>
      </c>
      <c r="I37" s="4">
        <f>(VLOOKUP('17.01'!Q37,'17.01'!$AM$4:$AO$55,3,FALSE))</f>
        <v>0</v>
      </c>
      <c r="J37" s="4">
        <f>(VLOOKUP('17.01'!R37,'17.01'!$AM$4:$AO$55,3,FALSE))</f>
        <v>0</v>
      </c>
      <c r="K37" s="4">
        <f>(VLOOKUP('17.01'!S37,'17.01'!$AM$4:$AO$55,3,FALSE))</f>
        <v>0</v>
      </c>
      <c r="L37" s="4">
        <f>(VLOOKUP('17.01'!T37,'17.01'!$AM$4:$AO$55,3,FALSE))</f>
        <v>0</v>
      </c>
      <c r="M37" s="4">
        <f>(VLOOKUP('17.01'!U37,'17.01'!$AM$4:$AO$55,3,FALSE))</f>
        <v>0</v>
      </c>
      <c r="N37" s="4">
        <f>(VLOOKUP('17.01'!V37,'17.01'!$AM$4:$AO$55,3,FALSE))</f>
        <v>0</v>
      </c>
      <c r="O37" s="5">
        <f>(VLOOKUP('17.01'!W37,'17.01'!$AM$4:$AO$55,3,FALSE))</f>
        <v>0</v>
      </c>
      <c r="P37" s="5">
        <f>(VLOOKUP('17.01'!X37,'17.01'!$AM$4:$AO$55,3,FALSE))</f>
        <v>0</v>
      </c>
      <c r="Q37" s="4">
        <f>(VLOOKUP('17.01'!Y37,'17.01'!$AM$4:$AO$55,3,FALSE))</f>
        <v>0</v>
      </c>
      <c r="R37" s="4">
        <f>(VLOOKUP('17.01'!Z37,'17.01'!$AM$4:$AO$55,3,FALSE))</f>
        <v>0</v>
      </c>
      <c r="S37" s="4">
        <f>(VLOOKUP('17.01'!AA37,'17.01'!$AM$4:$AO$55,3,FALSE))</f>
        <v>0</v>
      </c>
      <c r="T37" s="4">
        <f>(VLOOKUP('17.01'!AB37,'17.01'!$AM$4:$AO$55,3,FALSE))</f>
        <v>0</v>
      </c>
      <c r="U37" s="4">
        <f>(VLOOKUP('17.01'!AC37,'17.01'!$AM$4:$AO$55,3,FALSE))</f>
        <v>0</v>
      </c>
      <c r="V37" s="4">
        <f>(VLOOKUP('17.01'!AD37,'17.01'!$AM$4:$AO$55,3,FALSE))</f>
        <v>0</v>
      </c>
      <c r="W37" s="5">
        <f>(VLOOKUP('17.01'!AE37,'17.01'!$AM$4:$AO$55,3,FALSE))</f>
        <v>0</v>
      </c>
      <c r="X37" s="5">
        <f>(VLOOKUP('17.01'!AF37,'17.01'!$AM$4:$AO$55,3,FALSE))</f>
        <v>0</v>
      </c>
    </row>
    <row r="38" spans="1:24">
      <c r="A38" s="4">
        <f>(VLOOKUP('17.01'!I38,'17.01'!$AM$4:$AO$55,3,FALSE))</f>
        <v>0</v>
      </c>
      <c r="B38" s="4">
        <f>(VLOOKUP('17.01'!J38,'17.01'!$AM$4:$AO$55,3,FALSE))</f>
        <v>0</v>
      </c>
      <c r="C38" s="4">
        <f>(VLOOKUP('17.01'!K38,'17.01'!$AM$4:$AO$55,3,FALSE))</f>
        <v>0</v>
      </c>
      <c r="D38" s="4">
        <f>(VLOOKUP('17.01'!L38,'17.01'!$AM$4:$AO$55,3,FALSE))</f>
        <v>0</v>
      </c>
      <c r="E38" s="4">
        <f>(VLOOKUP('17.01'!M38,'17.01'!$AM$4:$AO$55,3,FALSE))</f>
        <v>0</v>
      </c>
      <c r="F38" s="4">
        <f>(VLOOKUP('17.01'!N38,'17.01'!$AM$4:$AO$55,3,FALSE))</f>
        <v>0</v>
      </c>
      <c r="G38" s="5">
        <f>(VLOOKUP('17.01'!O38,'17.01'!$AM$4:$AO$55,3,FALSE))</f>
        <v>0</v>
      </c>
      <c r="H38" s="5">
        <f>(VLOOKUP('17.01'!P38,'17.01'!$AM$4:$AO$55,3,FALSE))</f>
        <v>0</v>
      </c>
      <c r="I38" s="4">
        <f>(VLOOKUP('17.01'!Q38,'17.01'!$AM$4:$AO$55,3,FALSE))</f>
        <v>0</v>
      </c>
      <c r="J38" s="4">
        <f>(VLOOKUP('17.01'!R38,'17.01'!$AM$4:$AO$55,3,FALSE))</f>
        <v>0</v>
      </c>
      <c r="K38" s="4">
        <f>(VLOOKUP('17.01'!S38,'17.01'!$AM$4:$AO$55,3,FALSE))</f>
        <v>0</v>
      </c>
      <c r="L38" s="4">
        <f>(VLOOKUP('17.01'!T38,'17.01'!$AM$4:$AO$55,3,FALSE))</f>
        <v>0</v>
      </c>
      <c r="M38" s="4">
        <f>(VLOOKUP('17.01'!U38,'17.01'!$AM$4:$AO$55,3,FALSE))</f>
        <v>0</v>
      </c>
      <c r="N38" s="4">
        <f>(VLOOKUP('17.01'!V38,'17.01'!$AM$4:$AO$55,3,FALSE))</f>
        <v>0</v>
      </c>
      <c r="O38" s="5">
        <f>(VLOOKUP('17.01'!W38,'17.01'!$AM$4:$AO$55,3,FALSE))</f>
        <v>0</v>
      </c>
      <c r="P38" s="5">
        <f>(VLOOKUP('17.01'!X38,'17.01'!$AM$4:$AO$55,3,FALSE))</f>
        <v>0</v>
      </c>
      <c r="Q38" s="4">
        <f>(VLOOKUP('17.01'!Y38,'17.01'!$AM$4:$AO$55,3,FALSE))</f>
        <v>0</v>
      </c>
      <c r="R38" s="4">
        <f>(VLOOKUP('17.01'!Z38,'17.01'!$AM$4:$AO$55,3,FALSE))</f>
        <v>0</v>
      </c>
      <c r="S38" s="4">
        <f>(VLOOKUP('17.01'!AA38,'17.01'!$AM$4:$AO$55,3,FALSE))</f>
        <v>0</v>
      </c>
      <c r="T38" s="4">
        <f>(VLOOKUP('17.01'!AB38,'17.01'!$AM$4:$AO$55,3,FALSE))</f>
        <v>0</v>
      </c>
      <c r="U38" s="4">
        <f>(VLOOKUP('17.01'!AC38,'17.01'!$AM$4:$AO$55,3,FALSE))</f>
        <v>0</v>
      </c>
      <c r="V38" s="4">
        <f>(VLOOKUP('17.01'!AD38,'17.01'!$AM$4:$AO$55,3,FALSE))</f>
        <v>0</v>
      </c>
      <c r="W38" s="5">
        <f>(VLOOKUP('17.01'!AE38,'17.01'!$AM$4:$AO$55,3,FALSE))</f>
        <v>0</v>
      </c>
      <c r="X38" s="5">
        <f>(VLOOKUP('17.01'!AF38,'17.01'!$AM$4:$AO$55,3,FALSE))</f>
        <v>0</v>
      </c>
    </row>
    <row r="39" spans="1:24">
      <c r="A39" s="4">
        <f>(VLOOKUP('17.01'!I39,'17.01'!$AM$4:$AO$55,3,FALSE))</f>
        <v>0</v>
      </c>
      <c r="B39" s="4">
        <f>(VLOOKUP('17.01'!J39,'17.01'!$AM$4:$AO$55,3,FALSE))</f>
        <v>0</v>
      </c>
      <c r="C39" s="4">
        <f>(VLOOKUP('17.01'!K39,'17.01'!$AM$4:$AO$55,3,FALSE))</f>
        <v>0</v>
      </c>
      <c r="D39" s="4">
        <f>(VLOOKUP('17.01'!L39,'17.01'!$AM$4:$AO$55,3,FALSE))</f>
        <v>0</v>
      </c>
      <c r="E39" s="4">
        <f>(VLOOKUP('17.01'!M39,'17.01'!$AM$4:$AO$55,3,FALSE))</f>
        <v>0</v>
      </c>
      <c r="F39" s="4">
        <f>(VLOOKUP('17.01'!N39,'17.01'!$AM$4:$AO$55,3,FALSE))</f>
        <v>0</v>
      </c>
      <c r="G39" s="5">
        <f>(VLOOKUP('17.01'!O39,'17.01'!$AM$4:$AO$55,3,FALSE))</f>
        <v>0</v>
      </c>
      <c r="H39" s="5">
        <f>(VLOOKUP('17.01'!P39,'17.01'!$AM$4:$AO$55,3,FALSE))</f>
        <v>0</v>
      </c>
      <c r="I39" s="4">
        <f>(VLOOKUP('17.01'!Q39,'17.01'!$AM$4:$AO$55,3,FALSE))</f>
        <v>0</v>
      </c>
      <c r="J39" s="4">
        <f>(VLOOKUP('17.01'!R39,'17.01'!$AM$4:$AO$55,3,FALSE))</f>
        <v>0</v>
      </c>
      <c r="K39" s="4">
        <f>(VLOOKUP('17.01'!S39,'17.01'!$AM$4:$AO$55,3,FALSE))</f>
        <v>0</v>
      </c>
      <c r="L39" s="4">
        <f>(VLOOKUP('17.01'!T39,'17.01'!$AM$4:$AO$55,3,FALSE))</f>
        <v>0</v>
      </c>
      <c r="M39" s="4">
        <f>(VLOOKUP('17.01'!U39,'17.01'!$AM$4:$AO$55,3,FALSE))</f>
        <v>0</v>
      </c>
      <c r="N39" s="4">
        <f>(VLOOKUP('17.01'!V39,'17.01'!$AM$4:$AO$55,3,FALSE))</f>
        <v>0</v>
      </c>
      <c r="O39" s="5">
        <f>(VLOOKUP('17.01'!W39,'17.01'!$AM$4:$AO$55,3,FALSE))</f>
        <v>0</v>
      </c>
      <c r="P39" s="5">
        <f>(VLOOKUP('17.01'!X39,'17.01'!$AM$4:$AO$55,3,FALSE))</f>
        <v>0</v>
      </c>
      <c r="Q39" s="4">
        <f>(VLOOKUP('17.01'!Y39,'17.01'!$AM$4:$AO$55,3,FALSE))</f>
        <v>0</v>
      </c>
      <c r="R39" s="4">
        <f>(VLOOKUP('17.01'!Z39,'17.01'!$AM$4:$AO$55,3,FALSE))</f>
        <v>0</v>
      </c>
      <c r="S39" s="4">
        <f>(VLOOKUP('17.01'!AA39,'17.01'!$AM$4:$AO$55,3,FALSE))</f>
        <v>0</v>
      </c>
      <c r="T39" s="4">
        <f>(VLOOKUP('17.01'!AB39,'17.01'!$AM$4:$AO$55,3,FALSE))</f>
        <v>0</v>
      </c>
      <c r="U39" s="4">
        <f>(VLOOKUP('17.01'!AC39,'17.01'!$AM$4:$AO$55,3,FALSE))</f>
        <v>0</v>
      </c>
      <c r="V39" s="4">
        <f>(VLOOKUP('17.01'!AD39,'17.01'!$AM$4:$AO$55,3,FALSE))</f>
        <v>0</v>
      </c>
      <c r="W39" s="5">
        <f>(VLOOKUP('17.01'!AE39,'17.01'!$AM$4:$AO$55,3,FALSE))</f>
        <v>0</v>
      </c>
      <c r="X39" s="5">
        <f>(VLOOKUP('17.01'!AF39,'17.01'!$AM$4:$AO$55,3,FALSE))</f>
        <v>0</v>
      </c>
    </row>
    <row r="40" spans="1:24">
      <c r="A40" s="4">
        <f>(VLOOKUP('17.01'!I40,'17.01'!$AM$4:$AO$55,3,FALSE))</f>
        <v>0</v>
      </c>
      <c r="B40" s="4">
        <f>(VLOOKUP('17.01'!J40,'17.01'!$AM$4:$AO$55,3,FALSE))</f>
        <v>0</v>
      </c>
      <c r="C40" s="4">
        <f>(VLOOKUP('17.01'!K40,'17.01'!$AM$4:$AO$55,3,FALSE))</f>
        <v>0</v>
      </c>
      <c r="D40" s="4">
        <f>(VLOOKUP('17.01'!L40,'17.01'!$AM$4:$AO$55,3,FALSE))</f>
        <v>0</v>
      </c>
      <c r="E40" s="4">
        <f>(VLOOKUP('17.01'!M40,'17.01'!$AM$4:$AO$55,3,FALSE))</f>
        <v>0</v>
      </c>
      <c r="F40" s="4">
        <f>(VLOOKUP('17.01'!N40,'17.01'!$AM$4:$AO$55,3,FALSE))</f>
        <v>0</v>
      </c>
      <c r="G40" s="5">
        <f>(VLOOKUP('17.01'!O40,'17.01'!$AM$4:$AO$55,3,FALSE))</f>
        <v>0</v>
      </c>
      <c r="H40" s="5">
        <f>(VLOOKUP('17.01'!P40,'17.01'!$AM$4:$AO$55,3,FALSE))</f>
        <v>0</v>
      </c>
      <c r="I40" s="4">
        <f>(VLOOKUP('17.01'!Q40,'17.01'!$AM$4:$AO$55,3,FALSE))</f>
        <v>0</v>
      </c>
      <c r="J40" s="4">
        <f>(VLOOKUP('17.01'!R40,'17.01'!$AM$4:$AO$55,3,FALSE))</f>
        <v>0</v>
      </c>
      <c r="K40" s="4">
        <f>(VLOOKUP('17.01'!S40,'17.01'!$AM$4:$AO$55,3,FALSE))</f>
        <v>0</v>
      </c>
      <c r="L40" s="4">
        <f>(VLOOKUP('17.01'!T40,'17.01'!$AM$4:$AO$55,3,FALSE))</f>
        <v>0</v>
      </c>
      <c r="M40" s="4">
        <f>(VLOOKUP('17.01'!U40,'17.01'!$AM$4:$AO$55,3,FALSE))</f>
        <v>0</v>
      </c>
      <c r="N40" s="4">
        <f>(VLOOKUP('17.01'!V40,'17.01'!$AM$4:$AO$55,3,FALSE))</f>
        <v>0</v>
      </c>
      <c r="O40" s="5">
        <f>(VLOOKUP('17.01'!W40,'17.01'!$AM$4:$AO$55,3,FALSE))</f>
        <v>0</v>
      </c>
      <c r="P40" s="5">
        <f>(VLOOKUP('17.01'!X40,'17.01'!$AM$4:$AO$55,3,FALSE))</f>
        <v>0</v>
      </c>
      <c r="Q40" s="4">
        <f>(VLOOKUP('17.01'!Y40,'17.01'!$AM$4:$AO$55,3,FALSE))</f>
        <v>0</v>
      </c>
      <c r="R40" s="4">
        <f>(VLOOKUP('17.01'!Z40,'17.01'!$AM$4:$AO$55,3,FALSE))</f>
        <v>0</v>
      </c>
      <c r="S40" s="4">
        <f>(VLOOKUP('17.01'!AA40,'17.01'!$AM$4:$AO$55,3,FALSE))</f>
        <v>0</v>
      </c>
      <c r="T40" s="4">
        <f>(VLOOKUP('17.01'!AB40,'17.01'!$AM$4:$AO$55,3,FALSE))</f>
        <v>0</v>
      </c>
      <c r="U40" s="4">
        <f>(VLOOKUP('17.01'!AC40,'17.01'!$AM$4:$AO$55,3,FALSE))</f>
        <v>0</v>
      </c>
      <c r="V40" s="4">
        <f>(VLOOKUP('17.01'!AD40,'17.01'!$AM$4:$AO$55,3,FALSE))</f>
        <v>0</v>
      </c>
      <c r="W40" s="5">
        <f>(VLOOKUP('17.01'!AE40,'17.01'!$AM$4:$AO$55,3,FALSE))</f>
        <v>0</v>
      </c>
      <c r="X40" s="5">
        <f>(VLOOKUP('17.01'!AF40,'17.01'!$AM$4:$AO$55,3,FALSE))</f>
        <v>0</v>
      </c>
    </row>
    <row r="41" spans="1:24">
      <c r="A41" s="4">
        <f>(VLOOKUP('17.01'!I41,'17.01'!$AM$4:$AO$55,3,FALSE))</f>
        <v>0</v>
      </c>
      <c r="B41" s="4">
        <f>(VLOOKUP('17.01'!J41,'17.01'!$AM$4:$AO$55,3,FALSE))</f>
        <v>0</v>
      </c>
      <c r="C41" s="4">
        <f>(VLOOKUP('17.01'!K41,'17.01'!$AM$4:$AO$55,3,FALSE))</f>
        <v>0</v>
      </c>
      <c r="D41" s="4">
        <f>(VLOOKUP('17.01'!L41,'17.01'!$AM$4:$AO$55,3,FALSE))</f>
        <v>0</v>
      </c>
      <c r="E41" s="4">
        <f>(VLOOKUP('17.01'!M41,'17.01'!$AM$4:$AO$55,3,FALSE))</f>
        <v>0</v>
      </c>
      <c r="F41" s="4">
        <f>(VLOOKUP('17.01'!N41,'17.01'!$AM$4:$AO$55,3,FALSE))</f>
        <v>0</v>
      </c>
      <c r="G41" s="5">
        <f>(VLOOKUP('17.01'!O41,'17.01'!$AM$4:$AO$55,3,FALSE))</f>
        <v>0</v>
      </c>
      <c r="H41" s="5">
        <f>(VLOOKUP('17.01'!P41,'17.01'!$AM$4:$AO$55,3,FALSE))</f>
        <v>0</v>
      </c>
      <c r="I41" s="4">
        <f>(VLOOKUP('17.01'!Q41,'17.01'!$AM$4:$AO$55,3,FALSE))</f>
        <v>0</v>
      </c>
      <c r="J41" s="4">
        <f>(VLOOKUP('17.01'!R41,'17.01'!$AM$4:$AO$55,3,FALSE))</f>
        <v>0</v>
      </c>
      <c r="K41" s="4">
        <f>(VLOOKUP('17.01'!S41,'17.01'!$AM$4:$AO$55,3,FALSE))</f>
        <v>0</v>
      </c>
      <c r="L41" s="4">
        <f>(VLOOKUP('17.01'!T41,'17.01'!$AM$4:$AO$55,3,FALSE))</f>
        <v>0</v>
      </c>
      <c r="M41" s="4">
        <f>(VLOOKUP('17.01'!U41,'17.01'!$AM$4:$AO$55,3,FALSE))</f>
        <v>0</v>
      </c>
      <c r="N41" s="4">
        <f>(VLOOKUP('17.01'!V41,'17.01'!$AM$4:$AO$55,3,FALSE))</f>
        <v>0</v>
      </c>
      <c r="O41" s="5">
        <f>(VLOOKUP('17.01'!W41,'17.01'!$AM$4:$AO$55,3,FALSE))</f>
        <v>0</v>
      </c>
      <c r="P41" s="5">
        <f>(VLOOKUP('17.01'!X41,'17.01'!$AM$4:$AO$55,3,FALSE))</f>
        <v>0</v>
      </c>
      <c r="Q41" s="4">
        <f>(VLOOKUP('17.01'!Y41,'17.01'!$AM$4:$AO$55,3,FALSE))</f>
        <v>0</v>
      </c>
      <c r="R41" s="4">
        <f>(VLOOKUP('17.01'!Z41,'17.01'!$AM$4:$AO$55,3,FALSE))</f>
        <v>0</v>
      </c>
      <c r="S41" s="4">
        <f>(VLOOKUP('17.01'!AA41,'17.01'!$AM$4:$AO$55,3,FALSE))</f>
        <v>0</v>
      </c>
      <c r="T41" s="4">
        <f>(VLOOKUP('17.01'!AB41,'17.01'!$AM$4:$AO$55,3,FALSE))</f>
        <v>0</v>
      </c>
      <c r="U41" s="4">
        <f>(VLOOKUP('17.01'!AC41,'17.01'!$AM$4:$AO$55,3,FALSE))</f>
        <v>0</v>
      </c>
      <c r="V41" s="4">
        <f>(VLOOKUP('17.01'!AD41,'17.01'!$AM$4:$AO$55,3,FALSE))</f>
        <v>0</v>
      </c>
      <c r="W41" s="5">
        <f>(VLOOKUP('17.01'!AE41,'17.01'!$AM$4:$AO$55,3,FALSE))</f>
        <v>0</v>
      </c>
      <c r="X41" s="5">
        <f>(VLOOKUP('17.01'!AF41,'17.01'!$AM$4:$AO$55,3,FALSE))</f>
        <v>0</v>
      </c>
    </row>
    <row r="42" spans="1:24">
      <c r="A42" s="4">
        <f>(VLOOKUP('17.01'!I42,'17.01'!$AM$4:$AO$55,3,FALSE))</f>
        <v>0</v>
      </c>
      <c r="B42" s="4">
        <f>(VLOOKUP('17.01'!J42,'17.01'!$AM$4:$AO$55,3,FALSE))</f>
        <v>0</v>
      </c>
      <c r="C42" s="4">
        <f>(VLOOKUP('17.01'!K42,'17.01'!$AM$4:$AO$55,3,FALSE))</f>
        <v>0</v>
      </c>
      <c r="D42" s="4">
        <f>(VLOOKUP('17.01'!L42,'17.01'!$AM$4:$AO$55,3,FALSE))</f>
        <v>0</v>
      </c>
      <c r="E42" s="4">
        <f>(VLOOKUP('17.01'!M42,'17.01'!$AM$4:$AO$55,3,FALSE))</f>
        <v>0</v>
      </c>
      <c r="F42" s="4">
        <f>(VLOOKUP('17.01'!N42,'17.01'!$AM$4:$AO$55,3,FALSE))</f>
        <v>0</v>
      </c>
      <c r="G42" s="5">
        <f>(VLOOKUP('17.01'!O42,'17.01'!$AM$4:$AO$55,3,FALSE))</f>
        <v>0</v>
      </c>
      <c r="H42" s="5">
        <f>(VLOOKUP('17.01'!P42,'17.01'!$AM$4:$AO$55,3,FALSE))</f>
        <v>0</v>
      </c>
      <c r="I42" s="4">
        <f>(VLOOKUP('17.01'!Q42,'17.01'!$AM$4:$AO$55,3,FALSE))</f>
        <v>0</v>
      </c>
      <c r="J42" s="4">
        <f>(VLOOKUP('17.01'!R42,'17.01'!$AM$4:$AO$55,3,FALSE))</f>
        <v>0</v>
      </c>
      <c r="K42" s="4">
        <f>(VLOOKUP('17.01'!S42,'17.01'!$AM$4:$AO$55,3,FALSE))</f>
        <v>0</v>
      </c>
      <c r="L42" s="4">
        <f>(VLOOKUP('17.01'!T42,'17.01'!$AM$4:$AO$55,3,FALSE))</f>
        <v>0</v>
      </c>
      <c r="M42" s="4">
        <f>(VLOOKUP('17.01'!U42,'17.01'!$AM$4:$AO$55,3,FALSE))</f>
        <v>0</v>
      </c>
      <c r="N42" s="4">
        <f>(VLOOKUP('17.01'!V42,'17.01'!$AM$4:$AO$55,3,FALSE))</f>
        <v>0</v>
      </c>
      <c r="O42" s="5">
        <f>(VLOOKUP('17.01'!W42,'17.01'!$AM$4:$AO$55,3,FALSE))</f>
        <v>0</v>
      </c>
      <c r="P42" s="5">
        <f>(VLOOKUP('17.01'!X42,'17.01'!$AM$4:$AO$55,3,FALSE))</f>
        <v>0</v>
      </c>
      <c r="Q42" s="4">
        <f>(VLOOKUP('17.01'!Y42,'17.01'!$AM$4:$AO$55,3,FALSE))</f>
        <v>0</v>
      </c>
      <c r="R42" s="4">
        <f>(VLOOKUP('17.01'!Z42,'17.01'!$AM$4:$AO$55,3,FALSE))</f>
        <v>0</v>
      </c>
      <c r="S42" s="4">
        <f>(VLOOKUP('17.01'!AA42,'17.01'!$AM$4:$AO$55,3,FALSE))</f>
        <v>0</v>
      </c>
      <c r="T42" s="4">
        <f>(VLOOKUP('17.01'!AB42,'17.01'!$AM$4:$AO$55,3,FALSE))</f>
        <v>0</v>
      </c>
      <c r="U42" s="4">
        <f>(VLOOKUP('17.01'!AC42,'17.01'!$AM$4:$AO$55,3,FALSE))</f>
        <v>0</v>
      </c>
      <c r="V42" s="4">
        <f>(VLOOKUP('17.01'!AD42,'17.01'!$AM$4:$AO$55,3,FALSE))</f>
        <v>0</v>
      </c>
      <c r="W42" s="5">
        <f>(VLOOKUP('17.01'!AE42,'17.01'!$AM$4:$AO$55,3,FALSE))</f>
        <v>0</v>
      </c>
      <c r="X42" s="5">
        <f>(VLOOKUP('17.01'!AF42,'17.01'!$AM$4:$AO$55,3,FALSE))</f>
        <v>0</v>
      </c>
    </row>
    <row r="43" spans="1:24">
      <c r="A43" s="4">
        <f>(VLOOKUP('17.01'!I43,'17.01'!$AM$4:$AO$55,3,FALSE))</f>
        <v>0</v>
      </c>
      <c r="B43" s="4">
        <f>(VLOOKUP('17.01'!J43,'17.01'!$AM$4:$AO$55,3,FALSE))</f>
        <v>0</v>
      </c>
      <c r="C43" s="4">
        <f>(VLOOKUP('17.01'!K43,'17.01'!$AM$4:$AO$55,3,FALSE))</f>
        <v>0</v>
      </c>
      <c r="D43" s="4">
        <f>(VLOOKUP('17.01'!L43,'17.01'!$AM$4:$AO$55,3,FALSE))</f>
        <v>0</v>
      </c>
      <c r="E43" s="4">
        <f>(VLOOKUP('17.01'!M43,'17.01'!$AM$4:$AO$55,3,FALSE))</f>
        <v>0</v>
      </c>
      <c r="F43" s="4">
        <f>(VLOOKUP('17.01'!N43,'17.01'!$AM$4:$AO$55,3,FALSE))</f>
        <v>0</v>
      </c>
      <c r="G43" s="5">
        <f>(VLOOKUP('17.01'!O43,'17.01'!$AM$4:$AO$55,3,FALSE))</f>
        <v>0</v>
      </c>
      <c r="H43" s="5">
        <f>(VLOOKUP('17.01'!P43,'17.01'!$AM$4:$AO$55,3,FALSE))</f>
        <v>0</v>
      </c>
      <c r="I43" s="4">
        <f>(VLOOKUP('17.01'!Q43,'17.01'!$AM$4:$AO$55,3,FALSE))</f>
        <v>0</v>
      </c>
      <c r="J43" s="4">
        <f>(VLOOKUP('17.01'!R43,'17.01'!$AM$4:$AO$55,3,FALSE))</f>
        <v>0</v>
      </c>
      <c r="K43" s="4">
        <f>(VLOOKUP('17.01'!S43,'17.01'!$AM$4:$AO$55,3,FALSE))</f>
        <v>0</v>
      </c>
      <c r="L43" s="4">
        <f>(VLOOKUP('17.01'!T43,'17.01'!$AM$4:$AO$55,3,FALSE))</f>
        <v>0</v>
      </c>
      <c r="M43" s="4">
        <f>(VLOOKUP('17.01'!U43,'17.01'!$AM$4:$AO$55,3,FALSE))</f>
        <v>0</v>
      </c>
      <c r="N43" s="4">
        <f>(VLOOKUP('17.01'!V43,'17.01'!$AM$4:$AO$55,3,FALSE))</f>
        <v>0</v>
      </c>
      <c r="O43" s="5">
        <f>(VLOOKUP('17.01'!W43,'17.01'!$AM$4:$AO$55,3,FALSE))</f>
        <v>0</v>
      </c>
      <c r="P43" s="5">
        <f>(VLOOKUP('17.01'!X43,'17.01'!$AM$4:$AO$55,3,FALSE))</f>
        <v>0</v>
      </c>
      <c r="Q43" s="4">
        <f>(VLOOKUP('17.01'!Y43,'17.01'!$AM$4:$AO$55,3,FALSE))</f>
        <v>0</v>
      </c>
      <c r="R43" s="4">
        <f>(VLOOKUP('17.01'!Z43,'17.01'!$AM$4:$AO$55,3,FALSE))</f>
        <v>0</v>
      </c>
      <c r="S43" s="4">
        <f>(VLOOKUP('17.01'!AA43,'17.01'!$AM$4:$AO$55,3,FALSE))</f>
        <v>0</v>
      </c>
      <c r="T43" s="4">
        <f>(VLOOKUP('17.01'!AB43,'17.01'!$AM$4:$AO$55,3,FALSE))</f>
        <v>0</v>
      </c>
      <c r="U43" s="4">
        <f>(VLOOKUP('17.01'!AC43,'17.01'!$AM$4:$AO$55,3,FALSE))</f>
        <v>0</v>
      </c>
      <c r="V43" s="4">
        <f>(VLOOKUP('17.01'!AD43,'17.01'!$AM$4:$AO$55,3,FALSE))</f>
        <v>0</v>
      </c>
      <c r="W43" s="5">
        <f>(VLOOKUP('17.01'!AE43,'17.01'!$AM$4:$AO$55,3,FALSE))</f>
        <v>0</v>
      </c>
      <c r="X43" s="5">
        <f>(VLOOKUP('17.01'!AF43,'17.01'!$AM$4:$AO$55,3,FALSE))</f>
        <v>0</v>
      </c>
    </row>
    <row r="44" spans="1:24">
      <c r="A44" s="4">
        <f>(VLOOKUP('17.01'!I44,'17.01'!$AM$4:$AO$55,3,FALSE))</f>
        <v>0</v>
      </c>
      <c r="B44" s="4">
        <f>(VLOOKUP('17.01'!J44,'17.01'!$AM$4:$AO$55,3,FALSE))</f>
        <v>0</v>
      </c>
      <c r="C44" s="4">
        <f>(VLOOKUP('17.01'!K44,'17.01'!$AM$4:$AO$55,3,FALSE))</f>
        <v>0</v>
      </c>
      <c r="D44" s="4">
        <f>(VLOOKUP('17.01'!L44,'17.01'!$AM$4:$AO$55,3,FALSE))</f>
        <v>0</v>
      </c>
      <c r="E44" s="4">
        <f>(VLOOKUP('17.01'!M44,'17.01'!$AM$4:$AO$55,3,FALSE))</f>
        <v>0</v>
      </c>
      <c r="F44" s="4">
        <f>(VLOOKUP('17.01'!N44,'17.01'!$AM$4:$AO$55,3,FALSE))</f>
        <v>0</v>
      </c>
      <c r="G44" s="5">
        <f>(VLOOKUP('17.01'!O44,'17.01'!$AM$4:$AO$55,3,FALSE))</f>
        <v>0</v>
      </c>
      <c r="H44" s="5">
        <f>(VLOOKUP('17.01'!P44,'17.01'!$AM$4:$AO$55,3,FALSE))</f>
        <v>0</v>
      </c>
      <c r="I44" s="4">
        <f>(VLOOKUP('17.01'!Q44,'17.01'!$AM$4:$AO$55,3,FALSE))</f>
        <v>0</v>
      </c>
      <c r="J44" s="4">
        <f>(VLOOKUP('17.01'!R44,'17.01'!$AM$4:$AO$55,3,FALSE))</f>
        <v>0</v>
      </c>
      <c r="K44" s="4">
        <f>(VLOOKUP('17.01'!S44,'17.01'!$AM$4:$AO$55,3,FALSE))</f>
        <v>0</v>
      </c>
      <c r="L44" s="4">
        <f>(VLOOKUP('17.01'!T44,'17.01'!$AM$4:$AO$55,3,FALSE))</f>
        <v>0</v>
      </c>
      <c r="M44" s="4">
        <f>(VLOOKUP('17.01'!U44,'17.01'!$AM$4:$AO$55,3,FALSE))</f>
        <v>0</v>
      </c>
      <c r="N44" s="4">
        <f>(VLOOKUP('17.01'!V44,'17.01'!$AM$4:$AO$55,3,FALSE))</f>
        <v>0</v>
      </c>
      <c r="O44" s="5">
        <f>(VLOOKUP('17.01'!W44,'17.01'!$AM$4:$AO$55,3,FALSE))</f>
        <v>0</v>
      </c>
      <c r="P44" s="5">
        <f>(VLOOKUP('17.01'!X44,'17.01'!$AM$4:$AO$55,3,FALSE))</f>
        <v>0</v>
      </c>
      <c r="Q44" s="4">
        <f>(VLOOKUP('17.01'!Y44,'17.01'!$AM$4:$AO$55,3,FALSE))</f>
        <v>0</v>
      </c>
      <c r="R44" s="4">
        <f>(VLOOKUP('17.01'!Z44,'17.01'!$AM$4:$AO$55,3,FALSE))</f>
        <v>0</v>
      </c>
      <c r="S44" s="4">
        <f>(VLOOKUP('17.01'!AA44,'17.01'!$AM$4:$AO$55,3,FALSE))</f>
        <v>0</v>
      </c>
      <c r="T44" s="4">
        <f>(VLOOKUP('17.01'!AB44,'17.01'!$AM$4:$AO$55,3,FALSE))</f>
        <v>0</v>
      </c>
      <c r="U44" s="4">
        <f>(VLOOKUP('17.01'!AC44,'17.01'!$AM$4:$AO$55,3,FALSE))</f>
        <v>0</v>
      </c>
      <c r="V44" s="4">
        <f>(VLOOKUP('17.01'!AD44,'17.01'!$AM$4:$AO$55,3,FALSE))</f>
        <v>0</v>
      </c>
      <c r="W44" s="5">
        <f>(VLOOKUP('17.01'!AE44,'17.01'!$AM$4:$AO$55,3,FALSE))</f>
        <v>0</v>
      </c>
      <c r="X44" s="5">
        <f>(VLOOKUP('17.01'!AF44,'17.01'!$AM$4:$AO$55,3,FALSE))</f>
        <v>0</v>
      </c>
    </row>
    <row r="45" spans="1:24">
      <c r="A45" s="4">
        <f>(VLOOKUP('17.01'!I45,'17.01'!$AM$4:$AO$55,3,FALSE))</f>
        <v>0</v>
      </c>
      <c r="B45" s="4">
        <f>(VLOOKUP('17.01'!J45,'17.01'!$AM$4:$AO$55,3,FALSE))</f>
        <v>0</v>
      </c>
      <c r="C45" s="4">
        <f>(VLOOKUP('17.01'!K45,'17.01'!$AM$4:$AO$55,3,FALSE))</f>
        <v>0</v>
      </c>
      <c r="D45" s="4">
        <f>(VLOOKUP('17.01'!L45,'17.01'!$AM$4:$AO$55,3,FALSE))</f>
        <v>0</v>
      </c>
      <c r="E45" s="4">
        <f>(VLOOKUP('17.01'!M45,'17.01'!$AM$4:$AO$55,3,FALSE))</f>
        <v>0</v>
      </c>
      <c r="F45" s="4">
        <f>(VLOOKUP('17.01'!N45,'17.01'!$AM$4:$AO$55,3,FALSE))</f>
        <v>0</v>
      </c>
      <c r="G45" s="5">
        <f>(VLOOKUP('17.01'!O45,'17.01'!$AM$4:$AO$55,3,FALSE))</f>
        <v>0</v>
      </c>
      <c r="H45" s="5">
        <f>(VLOOKUP('17.01'!P45,'17.01'!$AM$4:$AO$55,3,FALSE))</f>
        <v>0</v>
      </c>
      <c r="I45" s="4">
        <f>(VLOOKUP('17.01'!Q45,'17.01'!$AM$4:$AO$55,3,FALSE))</f>
        <v>0</v>
      </c>
      <c r="J45" s="4">
        <f>(VLOOKUP('17.01'!R45,'17.01'!$AM$4:$AO$55,3,FALSE))</f>
        <v>0</v>
      </c>
      <c r="K45" s="4">
        <f>(VLOOKUP('17.01'!S45,'17.01'!$AM$4:$AO$55,3,FALSE))</f>
        <v>0</v>
      </c>
      <c r="L45" s="4">
        <f>(VLOOKUP('17.01'!T45,'17.01'!$AM$4:$AO$55,3,FALSE))</f>
        <v>0</v>
      </c>
      <c r="M45" s="4">
        <f>(VLOOKUP('17.01'!U45,'17.01'!$AM$4:$AO$55,3,FALSE))</f>
        <v>0</v>
      </c>
      <c r="N45" s="4">
        <f>(VLOOKUP('17.01'!V45,'17.01'!$AM$4:$AO$55,3,FALSE))</f>
        <v>0</v>
      </c>
      <c r="O45" s="5">
        <f>(VLOOKUP('17.01'!W45,'17.01'!$AM$4:$AO$55,3,FALSE))</f>
        <v>0</v>
      </c>
      <c r="P45" s="5">
        <f>(VLOOKUP('17.01'!X45,'17.01'!$AM$4:$AO$55,3,FALSE))</f>
        <v>0</v>
      </c>
      <c r="Q45" s="4">
        <f>(VLOOKUP('17.01'!Y45,'17.01'!$AM$4:$AO$55,3,FALSE))</f>
        <v>0</v>
      </c>
      <c r="R45" s="4">
        <f>(VLOOKUP('17.01'!Z45,'17.01'!$AM$4:$AO$55,3,FALSE))</f>
        <v>0</v>
      </c>
      <c r="S45" s="4">
        <f>(VLOOKUP('17.01'!AA45,'17.01'!$AM$4:$AO$55,3,FALSE))</f>
        <v>0</v>
      </c>
      <c r="T45" s="4">
        <f>(VLOOKUP('17.01'!AB45,'17.01'!$AM$4:$AO$55,3,FALSE))</f>
        <v>0</v>
      </c>
      <c r="U45" s="4">
        <f>(VLOOKUP('17.01'!AC45,'17.01'!$AM$4:$AO$55,3,FALSE))</f>
        <v>0</v>
      </c>
      <c r="V45" s="4">
        <f>(VLOOKUP('17.01'!AD45,'17.01'!$AM$4:$AO$55,3,FALSE))</f>
        <v>0</v>
      </c>
      <c r="W45" s="5">
        <f>(VLOOKUP('17.01'!AE45,'17.01'!$AM$4:$AO$55,3,FALSE))</f>
        <v>0</v>
      </c>
      <c r="X45" s="5">
        <f>(VLOOKUP('17.01'!AF45,'17.01'!$AM$4:$AO$55,3,FALSE))</f>
        <v>0</v>
      </c>
    </row>
    <row r="46" spans="1:24">
      <c r="A46" s="4">
        <f>(VLOOKUP('17.01'!I46,'17.01'!$AM$4:$AO$55,3,FALSE))</f>
        <v>0</v>
      </c>
      <c r="B46" s="4">
        <f>(VLOOKUP('17.01'!J46,'17.01'!$AM$4:$AO$55,3,FALSE))</f>
        <v>0</v>
      </c>
      <c r="C46" s="4">
        <f>(VLOOKUP('17.01'!K46,'17.01'!$AM$4:$AO$55,3,FALSE))</f>
        <v>0</v>
      </c>
      <c r="D46" s="4">
        <f>(VLOOKUP('17.01'!L46,'17.01'!$AM$4:$AO$55,3,FALSE))</f>
        <v>0</v>
      </c>
      <c r="E46" s="4">
        <f>(VLOOKUP('17.01'!M46,'17.01'!$AM$4:$AO$55,3,FALSE))</f>
        <v>0</v>
      </c>
      <c r="F46" s="4">
        <f>(VLOOKUP('17.01'!N46,'17.01'!$AM$4:$AO$55,3,FALSE))</f>
        <v>0</v>
      </c>
      <c r="G46" s="5">
        <f>(VLOOKUP('17.01'!O46,'17.01'!$AM$4:$AO$55,3,FALSE))</f>
        <v>0</v>
      </c>
      <c r="H46" s="5">
        <f>(VLOOKUP('17.01'!P46,'17.01'!$AM$4:$AO$55,3,FALSE))</f>
        <v>0</v>
      </c>
      <c r="I46" s="4">
        <f>(VLOOKUP('17.01'!Q46,'17.01'!$AM$4:$AO$55,3,FALSE))</f>
        <v>0</v>
      </c>
      <c r="J46" s="4">
        <f>(VLOOKUP('17.01'!R46,'17.01'!$AM$4:$AO$55,3,FALSE))</f>
        <v>0</v>
      </c>
      <c r="K46" s="4">
        <f>(VLOOKUP('17.01'!S46,'17.01'!$AM$4:$AO$55,3,FALSE))</f>
        <v>0</v>
      </c>
      <c r="L46" s="4">
        <f>(VLOOKUP('17.01'!T46,'17.01'!$AM$4:$AO$55,3,FALSE))</f>
        <v>0</v>
      </c>
      <c r="M46" s="4">
        <f>(VLOOKUP('17.01'!U46,'17.01'!$AM$4:$AO$55,3,FALSE))</f>
        <v>0</v>
      </c>
      <c r="N46" s="4">
        <f>(VLOOKUP('17.01'!V46,'17.01'!$AM$4:$AO$55,3,FALSE))</f>
        <v>0</v>
      </c>
      <c r="O46" s="5">
        <f>(VLOOKUP('17.01'!W46,'17.01'!$AM$4:$AO$55,3,FALSE))</f>
        <v>0</v>
      </c>
      <c r="P46" s="5">
        <f>(VLOOKUP('17.01'!X46,'17.01'!$AM$4:$AO$55,3,FALSE))</f>
        <v>0</v>
      </c>
      <c r="Q46" s="4">
        <f>(VLOOKUP('17.01'!Y46,'17.01'!$AM$4:$AO$55,3,FALSE))</f>
        <v>0</v>
      </c>
      <c r="R46" s="4">
        <f>(VLOOKUP('17.01'!Z46,'17.01'!$AM$4:$AO$55,3,FALSE))</f>
        <v>0</v>
      </c>
      <c r="S46" s="4">
        <f>(VLOOKUP('17.01'!AA46,'17.01'!$AM$4:$AO$55,3,FALSE))</f>
        <v>0</v>
      </c>
      <c r="T46" s="4">
        <f>(VLOOKUP('17.01'!AB46,'17.01'!$AM$4:$AO$55,3,FALSE))</f>
        <v>0</v>
      </c>
      <c r="U46" s="4">
        <f>(VLOOKUP('17.01'!AC46,'17.01'!$AM$4:$AO$55,3,FALSE))</f>
        <v>0</v>
      </c>
      <c r="V46" s="4">
        <f>(VLOOKUP('17.01'!AD46,'17.01'!$AM$4:$AO$55,3,FALSE))</f>
        <v>0</v>
      </c>
      <c r="W46" s="5">
        <f>(VLOOKUP('17.01'!AE46,'17.01'!$AM$4:$AO$55,3,FALSE))</f>
        <v>0</v>
      </c>
      <c r="X46" s="5">
        <f>(VLOOKUP('17.01'!AF46,'17.01'!$AM$4:$AO$55,3,FALSE))</f>
        <v>0</v>
      </c>
    </row>
    <row r="47" spans="1:24">
      <c r="A47" s="4">
        <f>(VLOOKUP('17.01'!I47,'17.01'!$AM$4:$AO$55,3,FALSE))</f>
        <v>0</v>
      </c>
      <c r="B47" s="4">
        <f>(VLOOKUP('17.01'!J47,'17.01'!$AM$4:$AO$55,3,FALSE))</f>
        <v>0</v>
      </c>
      <c r="C47" s="4">
        <f>(VLOOKUP('17.01'!K47,'17.01'!$AM$4:$AO$55,3,FALSE))</f>
        <v>0</v>
      </c>
      <c r="D47" s="4">
        <f>(VLOOKUP('17.01'!L47,'17.01'!$AM$4:$AO$55,3,FALSE))</f>
        <v>0</v>
      </c>
      <c r="E47" s="4">
        <f>(VLOOKUP('17.01'!M47,'17.01'!$AM$4:$AO$55,3,FALSE))</f>
        <v>0</v>
      </c>
      <c r="F47" s="4">
        <f>(VLOOKUP('17.01'!N47,'17.01'!$AM$4:$AO$55,3,FALSE))</f>
        <v>0</v>
      </c>
      <c r="G47" s="5">
        <f>(VLOOKUP('17.01'!O47,'17.01'!$AM$4:$AO$55,3,FALSE))</f>
        <v>0</v>
      </c>
      <c r="H47" s="5">
        <f>(VLOOKUP('17.01'!P47,'17.01'!$AM$4:$AO$55,3,FALSE))</f>
        <v>0</v>
      </c>
      <c r="I47" s="4">
        <f>(VLOOKUP('17.01'!Q47,'17.01'!$AM$4:$AO$55,3,FALSE))</f>
        <v>0</v>
      </c>
      <c r="J47" s="4">
        <f>(VLOOKUP('17.01'!R47,'17.01'!$AM$4:$AO$55,3,FALSE))</f>
        <v>0</v>
      </c>
      <c r="K47" s="4">
        <f>(VLOOKUP('17.01'!S47,'17.01'!$AM$4:$AO$55,3,FALSE))</f>
        <v>0</v>
      </c>
      <c r="L47" s="4">
        <f>(VLOOKUP('17.01'!T47,'17.01'!$AM$4:$AO$55,3,FALSE))</f>
        <v>0</v>
      </c>
      <c r="M47" s="4">
        <f>(VLOOKUP('17.01'!U47,'17.01'!$AM$4:$AO$55,3,FALSE))</f>
        <v>0</v>
      </c>
      <c r="N47" s="4">
        <f>(VLOOKUP('17.01'!V47,'17.01'!$AM$4:$AO$55,3,FALSE))</f>
        <v>0</v>
      </c>
      <c r="O47" s="5">
        <f>(VLOOKUP('17.01'!W47,'17.01'!$AM$4:$AO$55,3,FALSE))</f>
        <v>0</v>
      </c>
      <c r="P47" s="5">
        <f>(VLOOKUP('17.01'!X47,'17.01'!$AM$4:$AO$55,3,FALSE))</f>
        <v>0</v>
      </c>
      <c r="Q47" s="4">
        <f>(VLOOKUP('17.01'!Y47,'17.01'!$AM$4:$AO$55,3,FALSE))</f>
        <v>0</v>
      </c>
      <c r="R47" s="4">
        <f>(VLOOKUP('17.01'!Z47,'17.01'!$AM$4:$AO$55,3,FALSE))</f>
        <v>0</v>
      </c>
      <c r="S47" s="4">
        <f>(VLOOKUP('17.01'!AA47,'17.01'!$AM$4:$AO$55,3,FALSE))</f>
        <v>0</v>
      </c>
      <c r="T47" s="4">
        <f>(VLOOKUP('17.01'!AB47,'17.01'!$AM$4:$AO$55,3,FALSE))</f>
        <v>0</v>
      </c>
      <c r="U47" s="4">
        <f>(VLOOKUP('17.01'!AC47,'17.01'!$AM$4:$AO$55,3,FALSE))</f>
        <v>0</v>
      </c>
      <c r="V47" s="4">
        <f>(VLOOKUP('17.01'!AD47,'17.01'!$AM$4:$AO$55,3,FALSE))</f>
        <v>0</v>
      </c>
      <c r="W47" s="5">
        <f>(VLOOKUP('17.01'!AE47,'17.01'!$AM$4:$AO$55,3,FALSE))</f>
        <v>0</v>
      </c>
      <c r="X47" s="5">
        <f>(VLOOKUP('17.01'!AF47,'17.01'!$AM$4:$AO$55,3,FALSE))</f>
        <v>0</v>
      </c>
    </row>
    <row r="48" spans="1:24">
      <c r="A48" s="4">
        <f>(VLOOKUP('17.01'!I48,'17.01'!$AM$4:$AO$55,3,FALSE))</f>
        <v>0</v>
      </c>
      <c r="B48" s="4">
        <f>(VLOOKUP('17.01'!J48,'17.01'!$AM$4:$AO$55,3,FALSE))</f>
        <v>0</v>
      </c>
      <c r="C48" s="4">
        <f>(VLOOKUP('17.01'!K48,'17.01'!$AM$4:$AO$55,3,FALSE))</f>
        <v>0</v>
      </c>
      <c r="D48" s="4">
        <f>(VLOOKUP('17.01'!L48,'17.01'!$AM$4:$AO$55,3,FALSE))</f>
        <v>0</v>
      </c>
      <c r="E48" s="4">
        <f>(VLOOKUP('17.01'!M48,'17.01'!$AM$4:$AO$55,3,FALSE))</f>
        <v>0</v>
      </c>
      <c r="F48" s="4">
        <f>(VLOOKUP('17.01'!N48,'17.01'!$AM$4:$AO$55,3,FALSE))</f>
        <v>0</v>
      </c>
      <c r="G48" s="5">
        <f>(VLOOKUP('17.01'!O48,'17.01'!$AM$4:$AO$55,3,FALSE))</f>
        <v>0</v>
      </c>
      <c r="H48" s="5">
        <f>(VLOOKUP('17.01'!P48,'17.01'!$AM$4:$AO$55,3,FALSE))</f>
        <v>0</v>
      </c>
      <c r="I48" s="4">
        <f>(VLOOKUP('17.01'!Q48,'17.01'!$AM$4:$AO$55,3,FALSE))</f>
        <v>0</v>
      </c>
      <c r="J48" s="4">
        <f>(VLOOKUP('17.01'!R48,'17.01'!$AM$4:$AO$55,3,FALSE))</f>
        <v>0</v>
      </c>
      <c r="K48" s="4">
        <f>(VLOOKUP('17.01'!S48,'17.01'!$AM$4:$AO$55,3,FALSE))</f>
        <v>0</v>
      </c>
      <c r="L48" s="4">
        <f>(VLOOKUP('17.01'!T48,'17.01'!$AM$4:$AO$55,3,FALSE))</f>
        <v>0</v>
      </c>
      <c r="M48" s="4">
        <f>(VLOOKUP('17.01'!U48,'17.01'!$AM$4:$AO$55,3,FALSE))</f>
        <v>0</v>
      </c>
      <c r="N48" s="4">
        <f>(VLOOKUP('17.01'!V48,'17.01'!$AM$4:$AO$55,3,FALSE))</f>
        <v>0</v>
      </c>
      <c r="O48" s="5">
        <f>(VLOOKUP('17.01'!W48,'17.01'!$AM$4:$AO$55,3,FALSE))</f>
        <v>0</v>
      </c>
      <c r="P48" s="5">
        <f>(VLOOKUP('17.01'!X48,'17.01'!$AM$4:$AO$55,3,FALSE))</f>
        <v>0</v>
      </c>
      <c r="Q48" s="4">
        <f>(VLOOKUP('17.01'!Y48,'17.01'!$AM$4:$AO$55,3,FALSE))</f>
        <v>0</v>
      </c>
      <c r="R48" s="4">
        <f>(VLOOKUP('17.01'!Z48,'17.01'!$AM$4:$AO$55,3,FALSE))</f>
        <v>0</v>
      </c>
      <c r="S48" s="4">
        <f>(VLOOKUP('17.01'!AA48,'17.01'!$AM$4:$AO$55,3,FALSE))</f>
        <v>0</v>
      </c>
      <c r="T48" s="4">
        <f>(VLOOKUP('17.01'!AB48,'17.01'!$AM$4:$AO$55,3,FALSE))</f>
        <v>0</v>
      </c>
      <c r="U48" s="4">
        <f>(VLOOKUP('17.01'!AC48,'17.01'!$AM$4:$AO$55,3,FALSE))</f>
        <v>0</v>
      </c>
      <c r="V48" s="4">
        <f>(VLOOKUP('17.01'!AD48,'17.01'!$AM$4:$AO$55,3,FALSE))</f>
        <v>0</v>
      </c>
      <c r="W48" s="5">
        <f>(VLOOKUP('17.01'!AE48,'17.01'!$AM$4:$AO$55,3,FALSE))</f>
        <v>0</v>
      </c>
      <c r="X48" s="5">
        <f>(VLOOKUP('17.01'!AF48,'17.01'!$AM$4:$AO$55,3,FALSE))</f>
        <v>0</v>
      </c>
    </row>
    <row r="49" spans="1:24">
      <c r="A49" s="4">
        <f>(VLOOKUP('17.01'!I49,'17.01'!$AM$4:$AO$55,3,FALSE))</f>
        <v>0</v>
      </c>
      <c r="B49" s="4">
        <f>(VLOOKUP('17.01'!J49,'17.01'!$AM$4:$AO$55,3,FALSE))</f>
        <v>0</v>
      </c>
      <c r="C49" s="4">
        <f>(VLOOKUP('17.01'!K49,'17.01'!$AM$4:$AO$55,3,FALSE))</f>
        <v>0</v>
      </c>
      <c r="D49" s="4">
        <f>(VLOOKUP('17.01'!L49,'17.01'!$AM$4:$AO$55,3,FALSE))</f>
        <v>0</v>
      </c>
      <c r="E49" s="4">
        <f>(VLOOKUP('17.01'!M49,'17.01'!$AM$4:$AO$55,3,FALSE))</f>
        <v>0</v>
      </c>
      <c r="F49" s="4">
        <f>(VLOOKUP('17.01'!N49,'17.01'!$AM$4:$AO$55,3,FALSE))</f>
        <v>0</v>
      </c>
      <c r="G49" s="5">
        <f>(VLOOKUP('17.01'!O49,'17.01'!$AM$4:$AO$55,3,FALSE))</f>
        <v>0</v>
      </c>
      <c r="H49" s="5">
        <f>(VLOOKUP('17.01'!P49,'17.01'!$AM$4:$AO$55,3,FALSE))</f>
        <v>0</v>
      </c>
      <c r="I49" s="4">
        <f>(VLOOKUP('17.01'!Q49,'17.01'!$AM$4:$AO$55,3,FALSE))</f>
        <v>0</v>
      </c>
      <c r="J49" s="4">
        <f>(VLOOKUP('17.01'!R49,'17.01'!$AM$4:$AO$55,3,FALSE))</f>
        <v>0</v>
      </c>
      <c r="K49" s="4">
        <f>(VLOOKUP('17.01'!S49,'17.01'!$AM$4:$AO$55,3,FALSE))</f>
        <v>0</v>
      </c>
      <c r="L49" s="4">
        <f>(VLOOKUP('17.01'!T49,'17.01'!$AM$4:$AO$55,3,FALSE))</f>
        <v>0</v>
      </c>
      <c r="M49" s="4">
        <f>(VLOOKUP('17.01'!U49,'17.01'!$AM$4:$AO$55,3,FALSE))</f>
        <v>0</v>
      </c>
      <c r="N49" s="4">
        <f>(VLOOKUP('17.01'!V49,'17.01'!$AM$4:$AO$55,3,FALSE))</f>
        <v>0</v>
      </c>
      <c r="O49" s="5">
        <f>(VLOOKUP('17.01'!W49,'17.01'!$AM$4:$AO$55,3,FALSE))</f>
        <v>0</v>
      </c>
      <c r="P49" s="5">
        <f>(VLOOKUP('17.01'!X49,'17.01'!$AM$4:$AO$55,3,FALSE))</f>
        <v>0</v>
      </c>
      <c r="Q49" s="4">
        <f>(VLOOKUP('17.01'!Y49,'17.01'!$AM$4:$AO$55,3,FALSE))</f>
        <v>0</v>
      </c>
      <c r="R49" s="4">
        <f>(VLOOKUP('17.01'!Z49,'17.01'!$AM$4:$AO$55,3,FALSE))</f>
        <v>0</v>
      </c>
      <c r="S49" s="4">
        <f>(VLOOKUP('17.01'!AA49,'17.01'!$AM$4:$AO$55,3,FALSE))</f>
        <v>0</v>
      </c>
      <c r="T49" s="4">
        <f>(VLOOKUP('17.01'!AB49,'17.01'!$AM$4:$AO$55,3,FALSE))</f>
        <v>0</v>
      </c>
      <c r="U49" s="4">
        <f>(VLOOKUP('17.01'!AC49,'17.01'!$AM$4:$AO$55,3,FALSE))</f>
        <v>0</v>
      </c>
      <c r="V49" s="4">
        <f>(VLOOKUP('17.01'!AD49,'17.01'!$AM$4:$AO$55,3,FALSE))</f>
        <v>0</v>
      </c>
      <c r="W49" s="5">
        <f>(VLOOKUP('17.01'!AE49,'17.01'!$AM$4:$AO$55,3,FALSE))</f>
        <v>0</v>
      </c>
      <c r="X49" s="5">
        <f>(VLOOKUP('17.01'!AF49,'17.01'!$AM$4:$AO$55,3,FALSE))</f>
        <v>0</v>
      </c>
    </row>
    <row r="50" spans="1:24">
      <c r="A50" s="4">
        <f>(VLOOKUP('17.01'!I50,'17.01'!$AM$4:$AO$55,3,FALSE))</f>
        <v>0</v>
      </c>
      <c r="B50" s="4">
        <f>(VLOOKUP('17.01'!J50,'17.01'!$AM$4:$AO$55,3,FALSE))</f>
        <v>0</v>
      </c>
      <c r="C50" s="4">
        <f>(VLOOKUP('17.01'!K50,'17.01'!$AM$4:$AO$55,3,FALSE))</f>
        <v>0</v>
      </c>
      <c r="D50" s="4">
        <f>(VLOOKUP('17.01'!L50,'17.01'!$AM$4:$AO$55,3,FALSE))</f>
        <v>0</v>
      </c>
      <c r="E50" s="4">
        <f>(VLOOKUP('17.01'!M50,'17.01'!$AM$4:$AO$55,3,FALSE))</f>
        <v>0</v>
      </c>
      <c r="F50" s="4">
        <f>(VLOOKUP('17.01'!N50,'17.01'!$AM$4:$AO$55,3,FALSE))</f>
        <v>0</v>
      </c>
      <c r="G50" s="5">
        <f>(VLOOKUP('17.01'!O50,'17.01'!$AM$4:$AO$55,3,FALSE))</f>
        <v>0</v>
      </c>
      <c r="H50" s="5">
        <f>(VLOOKUP('17.01'!P50,'17.01'!$AM$4:$AO$55,3,FALSE))</f>
        <v>0</v>
      </c>
      <c r="I50" s="4">
        <f>(VLOOKUP('17.01'!Q50,'17.01'!$AM$4:$AO$55,3,FALSE))</f>
        <v>0</v>
      </c>
      <c r="J50" s="4">
        <f>(VLOOKUP('17.01'!R50,'17.01'!$AM$4:$AO$55,3,FALSE))</f>
        <v>0</v>
      </c>
      <c r="K50" s="4">
        <f>(VLOOKUP('17.01'!S50,'17.01'!$AM$4:$AO$55,3,FALSE))</f>
        <v>0</v>
      </c>
      <c r="L50" s="4">
        <f>(VLOOKUP('17.01'!T50,'17.01'!$AM$4:$AO$55,3,FALSE))</f>
        <v>0</v>
      </c>
      <c r="M50" s="4">
        <f>(VLOOKUP('17.01'!U50,'17.01'!$AM$4:$AO$55,3,FALSE))</f>
        <v>0</v>
      </c>
      <c r="N50" s="4">
        <f>(VLOOKUP('17.01'!V50,'17.01'!$AM$4:$AO$55,3,FALSE))</f>
        <v>0</v>
      </c>
      <c r="O50" s="5">
        <f>(VLOOKUP('17.01'!W50,'17.01'!$AM$4:$AO$55,3,FALSE))</f>
        <v>0</v>
      </c>
      <c r="P50" s="5">
        <f>(VLOOKUP('17.01'!X50,'17.01'!$AM$4:$AO$55,3,FALSE))</f>
        <v>0</v>
      </c>
      <c r="Q50" s="4">
        <f>(VLOOKUP('17.01'!Y50,'17.01'!$AM$4:$AO$55,3,FALSE))</f>
        <v>0</v>
      </c>
      <c r="R50" s="4">
        <f>(VLOOKUP('17.01'!Z50,'17.01'!$AM$4:$AO$55,3,FALSE))</f>
        <v>0</v>
      </c>
      <c r="S50" s="4">
        <f>(VLOOKUP('17.01'!AA50,'17.01'!$AM$4:$AO$55,3,FALSE))</f>
        <v>0</v>
      </c>
      <c r="T50" s="4">
        <f>(VLOOKUP('17.01'!AB50,'17.01'!$AM$4:$AO$55,3,FALSE))</f>
        <v>0</v>
      </c>
      <c r="U50" s="4">
        <f>(VLOOKUP('17.01'!AC50,'17.01'!$AM$4:$AO$55,3,FALSE))</f>
        <v>0</v>
      </c>
      <c r="V50" s="4">
        <f>(VLOOKUP('17.01'!AD50,'17.01'!$AM$4:$AO$55,3,FALSE))</f>
        <v>0</v>
      </c>
      <c r="W50" s="5">
        <f>(VLOOKUP('17.01'!AE50,'17.01'!$AM$4:$AO$55,3,FALSE))</f>
        <v>0</v>
      </c>
      <c r="X50" s="5">
        <f>(VLOOKUP('17.01'!AF50,'17.01'!$AM$4:$AO$55,3,FALSE))</f>
        <v>0</v>
      </c>
    </row>
    <row r="51" spans="1:24">
      <c r="A51" s="4">
        <f>(VLOOKUP('17.01'!I51,'17.01'!$AM$4:$AO$55,3,FALSE))</f>
        <v>0</v>
      </c>
      <c r="B51" s="4">
        <f>(VLOOKUP('17.01'!J51,'17.01'!$AM$4:$AO$55,3,FALSE))</f>
        <v>0</v>
      </c>
      <c r="C51" s="4">
        <f>(VLOOKUP('17.01'!K51,'17.01'!$AM$4:$AO$55,3,FALSE))</f>
        <v>0</v>
      </c>
      <c r="D51" s="4">
        <f>(VLOOKUP('17.01'!L51,'17.01'!$AM$4:$AO$55,3,FALSE))</f>
        <v>0</v>
      </c>
      <c r="E51" s="4">
        <f>(VLOOKUP('17.01'!M51,'17.01'!$AM$4:$AO$55,3,FALSE))</f>
        <v>0</v>
      </c>
      <c r="F51" s="4">
        <f>(VLOOKUP('17.01'!N51,'17.01'!$AM$4:$AO$55,3,FALSE))</f>
        <v>0</v>
      </c>
      <c r="G51" s="5">
        <f>(VLOOKUP('17.01'!O51,'17.01'!$AM$4:$AO$55,3,FALSE))</f>
        <v>0</v>
      </c>
      <c r="H51" s="5">
        <f>(VLOOKUP('17.01'!P51,'17.01'!$AM$4:$AO$55,3,FALSE))</f>
        <v>0</v>
      </c>
      <c r="I51" s="4">
        <f>(VLOOKUP('17.01'!Q51,'17.01'!$AM$4:$AO$55,3,FALSE))</f>
        <v>0</v>
      </c>
      <c r="J51" s="4">
        <f>(VLOOKUP('17.01'!R51,'17.01'!$AM$4:$AO$55,3,FALSE))</f>
        <v>0</v>
      </c>
      <c r="K51" s="4">
        <f>(VLOOKUP('17.01'!S51,'17.01'!$AM$4:$AO$55,3,FALSE))</f>
        <v>0</v>
      </c>
      <c r="L51" s="4">
        <f>(VLOOKUP('17.01'!T51,'17.01'!$AM$4:$AO$55,3,FALSE))</f>
        <v>0</v>
      </c>
      <c r="M51" s="4">
        <f>(VLOOKUP('17.01'!U51,'17.01'!$AM$4:$AO$55,3,FALSE))</f>
        <v>0</v>
      </c>
      <c r="N51" s="4">
        <f>(VLOOKUP('17.01'!V51,'17.01'!$AM$4:$AO$55,3,FALSE))</f>
        <v>0</v>
      </c>
      <c r="O51" s="5">
        <f>(VLOOKUP('17.01'!W51,'17.01'!$AM$4:$AO$55,3,FALSE))</f>
        <v>0</v>
      </c>
      <c r="P51" s="5">
        <f>(VLOOKUP('17.01'!X51,'17.01'!$AM$4:$AO$55,3,FALSE))</f>
        <v>0</v>
      </c>
      <c r="Q51" s="4">
        <f>(VLOOKUP('17.01'!Y51,'17.01'!$AM$4:$AO$55,3,FALSE))</f>
        <v>0</v>
      </c>
      <c r="R51" s="4">
        <f>(VLOOKUP('17.01'!Z51,'17.01'!$AM$4:$AO$55,3,FALSE))</f>
        <v>0</v>
      </c>
      <c r="S51" s="4">
        <f>(VLOOKUP('17.01'!AA51,'17.01'!$AM$4:$AO$55,3,FALSE))</f>
        <v>0</v>
      </c>
      <c r="T51" s="4">
        <f>(VLOOKUP('17.01'!AB51,'17.01'!$AM$4:$AO$55,3,FALSE))</f>
        <v>0</v>
      </c>
      <c r="U51" s="4">
        <f>(VLOOKUP('17.01'!AC51,'17.01'!$AM$4:$AO$55,3,FALSE))</f>
        <v>0</v>
      </c>
      <c r="V51" s="4">
        <f>(VLOOKUP('17.01'!AD51,'17.01'!$AM$4:$AO$55,3,FALSE))</f>
        <v>0</v>
      </c>
      <c r="W51" s="5">
        <f>(VLOOKUP('17.01'!AE51,'17.01'!$AM$4:$AO$55,3,FALSE))</f>
        <v>0</v>
      </c>
      <c r="X51" s="5">
        <f>(VLOOKUP('17.01'!AF51,'17.01'!$AM$4:$AO$55,3,FALSE))</f>
        <v>0</v>
      </c>
    </row>
    <row r="52" spans="1:24">
      <c r="A52" s="4">
        <f>(VLOOKUP('17.01'!I52,'17.01'!$AM$4:$AO$55,3,FALSE))</f>
        <v>0</v>
      </c>
      <c r="B52" s="4">
        <f>(VLOOKUP('17.01'!J52,'17.01'!$AM$4:$AO$55,3,FALSE))</f>
        <v>0</v>
      </c>
      <c r="C52" s="4">
        <f>(VLOOKUP('17.01'!K52,'17.01'!$AM$4:$AO$55,3,FALSE))</f>
        <v>0</v>
      </c>
      <c r="D52" s="4">
        <f>(VLOOKUP('17.01'!L52,'17.01'!$AM$4:$AO$55,3,FALSE))</f>
        <v>0</v>
      </c>
      <c r="E52" s="4">
        <f>(VLOOKUP('17.01'!M52,'17.01'!$AM$4:$AO$55,3,FALSE))</f>
        <v>0</v>
      </c>
      <c r="F52" s="4">
        <f>(VLOOKUP('17.01'!N52,'17.01'!$AM$4:$AO$55,3,FALSE))</f>
        <v>0</v>
      </c>
      <c r="G52" s="5">
        <f>(VLOOKUP('17.01'!O52,'17.01'!$AM$4:$AO$55,3,FALSE))</f>
        <v>0</v>
      </c>
      <c r="H52" s="5">
        <f>(VLOOKUP('17.01'!P52,'17.01'!$AM$4:$AO$55,3,FALSE))</f>
        <v>0</v>
      </c>
      <c r="I52" s="4">
        <f>(VLOOKUP('17.01'!Q52,'17.01'!$AM$4:$AO$55,3,FALSE))</f>
        <v>0</v>
      </c>
      <c r="J52" s="4">
        <f>(VLOOKUP('17.01'!R52,'17.01'!$AM$4:$AO$55,3,FALSE))</f>
        <v>0</v>
      </c>
      <c r="K52" s="4">
        <f>(VLOOKUP('17.01'!S52,'17.01'!$AM$4:$AO$55,3,FALSE))</f>
        <v>0</v>
      </c>
      <c r="L52" s="4">
        <f>(VLOOKUP('17.01'!T52,'17.01'!$AM$4:$AO$55,3,FALSE))</f>
        <v>0</v>
      </c>
      <c r="M52" s="4">
        <f>(VLOOKUP('17.01'!U52,'17.01'!$AM$4:$AO$55,3,FALSE))</f>
        <v>0</v>
      </c>
      <c r="N52" s="4">
        <f>(VLOOKUP('17.01'!V52,'17.01'!$AM$4:$AO$55,3,FALSE))</f>
        <v>0</v>
      </c>
      <c r="O52" s="5">
        <f>(VLOOKUP('17.01'!W52,'17.01'!$AM$4:$AO$55,3,FALSE))</f>
        <v>0</v>
      </c>
      <c r="P52" s="5">
        <f>(VLOOKUP('17.01'!X52,'17.01'!$AM$4:$AO$55,3,FALSE))</f>
        <v>0</v>
      </c>
      <c r="Q52" s="4">
        <f>(VLOOKUP('17.01'!Y52,'17.01'!$AM$4:$AO$55,3,FALSE))</f>
        <v>0</v>
      </c>
      <c r="R52" s="4">
        <f>(VLOOKUP('17.01'!Z52,'17.01'!$AM$4:$AO$55,3,FALSE))</f>
        <v>0</v>
      </c>
      <c r="S52" s="4">
        <f>(VLOOKUP('17.01'!AA52,'17.01'!$AM$4:$AO$55,3,FALSE))</f>
        <v>0</v>
      </c>
      <c r="T52" s="4">
        <f>(VLOOKUP('17.01'!AB52,'17.01'!$AM$4:$AO$55,3,FALSE))</f>
        <v>0</v>
      </c>
      <c r="U52" s="4">
        <f>(VLOOKUP('17.01'!AC52,'17.01'!$AM$4:$AO$55,3,FALSE))</f>
        <v>0</v>
      </c>
      <c r="V52" s="4">
        <f>(VLOOKUP('17.01'!AD52,'17.01'!$AM$4:$AO$55,3,FALSE))</f>
        <v>0</v>
      </c>
      <c r="W52" s="5">
        <f>(VLOOKUP('17.01'!AE52,'17.01'!$AM$4:$AO$55,3,FALSE))</f>
        <v>0</v>
      </c>
      <c r="X52" s="5">
        <f>(VLOOKUP('17.01'!AF52,'17.01'!$AM$4:$AO$55,3,FALSE))</f>
        <v>0</v>
      </c>
    </row>
    <row r="53" spans="1:24">
      <c r="A53" s="4">
        <f>(VLOOKUP('17.01'!I53,'17.01'!$AM$4:$AO$55,3,FALSE))</f>
        <v>0</v>
      </c>
      <c r="B53" s="4">
        <f>(VLOOKUP('17.01'!J53,'17.01'!$AM$4:$AO$55,3,FALSE))</f>
        <v>0</v>
      </c>
      <c r="C53" s="4">
        <f>(VLOOKUP('17.01'!K53,'17.01'!$AM$4:$AO$55,3,FALSE))</f>
        <v>0</v>
      </c>
      <c r="D53" s="4">
        <f>(VLOOKUP('17.01'!L53,'17.01'!$AM$4:$AO$55,3,FALSE))</f>
        <v>0</v>
      </c>
      <c r="E53" s="4">
        <f>(VLOOKUP('17.01'!M53,'17.01'!$AM$4:$AO$55,3,FALSE))</f>
        <v>0</v>
      </c>
      <c r="F53" s="4">
        <f>(VLOOKUP('17.01'!N53,'17.01'!$AM$4:$AO$55,3,FALSE))</f>
        <v>0</v>
      </c>
      <c r="G53" s="5">
        <f>(VLOOKUP('17.01'!O53,'17.01'!$AM$4:$AO$55,3,FALSE))</f>
        <v>0</v>
      </c>
      <c r="H53" s="5">
        <f>(VLOOKUP('17.01'!P53,'17.01'!$AM$4:$AO$55,3,FALSE))</f>
        <v>0</v>
      </c>
      <c r="I53" s="4">
        <f>(VLOOKUP('17.01'!Q53,'17.01'!$AM$4:$AO$55,3,FALSE))</f>
        <v>0</v>
      </c>
      <c r="J53" s="4">
        <f>(VLOOKUP('17.01'!R53,'17.01'!$AM$4:$AO$55,3,FALSE))</f>
        <v>0</v>
      </c>
      <c r="K53" s="4">
        <f>(VLOOKUP('17.01'!S53,'17.01'!$AM$4:$AO$55,3,FALSE))</f>
        <v>0</v>
      </c>
      <c r="L53" s="4">
        <f>(VLOOKUP('17.01'!T53,'17.01'!$AM$4:$AO$55,3,FALSE))</f>
        <v>0</v>
      </c>
      <c r="M53" s="4">
        <f>(VLOOKUP('17.01'!U53,'17.01'!$AM$4:$AO$55,3,FALSE))</f>
        <v>0</v>
      </c>
      <c r="N53" s="4">
        <f>(VLOOKUP('17.01'!V53,'17.01'!$AM$4:$AO$55,3,FALSE))</f>
        <v>0</v>
      </c>
      <c r="O53" s="5">
        <f>(VLOOKUP('17.01'!W53,'17.01'!$AM$4:$AO$55,3,FALSE))</f>
        <v>0</v>
      </c>
      <c r="P53" s="5">
        <f>(VLOOKUP('17.01'!X53,'17.01'!$AM$4:$AO$55,3,FALSE))</f>
        <v>0</v>
      </c>
      <c r="Q53" s="4">
        <f>(VLOOKUP('17.01'!Y53,'17.01'!$AM$4:$AO$55,3,FALSE))</f>
        <v>0</v>
      </c>
      <c r="R53" s="4">
        <f>(VLOOKUP('17.01'!Z53,'17.01'!$AM$4:$AO$55,3,FALSE))</f>
        <v>0</v>
      </c>
      <c r="S53" s="4">
        <f>(VLOOKUP('17.01'!AA53,'17.01'!$AM$4:$AO$55,3,FALSE))</f>
        <v>0</v>
      </c>
      <c r="T53" s="4">
        <f>(VLOOKUP('17.01'!AB53,'17.01'!$AM$4:$AO$55,3,FALSE))</f>
        <v>0</v>
      </c>
      <c r="U53" s="4">
        <f>(VLOOKUP('17.01'!AC53,'17.01'!$AM$4:$AO$55,3,FALSE))</f>
        <v>0</v>
      </c>
      <c r="V53" s="4">
        <f>(VLOOKUP('17.01'!AD53,'17.01'!$AM$4:$AO$55,3,FALSE))</f>
        <v>0</v>
      </c>
      <c r="W53" s="5">
        <f>(VLOOKUP('17.01'!AE53,'17.01'!$AM$4:$AO$55,3,FALSE))</f>
        <v>0</v>
      </c>
      <c r="X53" s="5">
        <f>(VLOOKUP('17.01'!AF53,'17.01'!$AM$4:$AO$55,3,FALSE))</f>
        <v>0</v>
      </c>
    </row>
    <row r="54" spans="1:24">
      <c r="A54" s="4">
        <f>(VLOOKUP('17.01'!I54,'17.01'!$AM$4:$AO$55,3,FALSE))</f>
        <v>0</v>
      </c>
      <c r="B54" s="4">
        <f>(VLOOKUP('17.01'!J54,'17.01'!$AM$4:$AO$55,3,FALSE))</f>
        <v>0</v>
      </c>
      <c r="C54" s="4">
        <f>(VLOOKUP('17.01'!K54,'17.01'!$AM$4:$AO$55,3,FALSE))</f>
        <v>0</v>
      </c>
      <c r="D54" s="4">
        <f>(VLOOKUP('17.01'!L54,'17.01'!$AM$4:$AO$55,3,FALSE))</f>
        <v>0</v>
      </c>
      <c r="E54" s="4">
        <f>(VLOOKUP('17.01'!M54,'17.01'!$AM$4:$AO$55,3,FALSE))</f>
        <v>0</v>
      </c>
      <c r="F54" s="4">
        <f>(VLOOKUP('17.01'!N54,'17.01'!$AM$4:$AO$55,3,FALSE))</f>
        <v>0</v>
      </c>
      <c r="G54" s="5">
        <f>(VLOOKUP('17.01'!O54,'17.01'!$AM$4:$AO$55,3,FALSE))</f>
        <v>0</v>
      </c>
      <c r="H54" s="5">
        <f>(VLOOKUP('17.01'!P54,'17.01'!$AM$4:$AO$55,3,FALSE))</f>
        <v>0</v>
      </c>
      <c r="I54" s="4">
        <f>(VLOOKUP('17.01'!Q54,'17.01'!$AM$4:$AO$55,3,FALSE))</f>
        <v>0</v>
      </c>
      <c r="J54" s="4">
        <f>(VLOOKUP('17.01'!R54,'17.01'!$AM$4:$AO$55,3,FALSE))</f>
        <v>0</v>
      </c>
      <c r="K54" s="4">
        <f>(VLOOKUP('17.01'!S54,'17.01'!$AM$4:$AO$55,3,FALSE))</f>
        <v>0</v>
      </c>
      <c r="L54" s="4">
        <f>(VLOOKUP('17.01'!T54,'17.01'!$AM$4:$AO$55,3,FALSE))</f>
        <v>0</v>
      </c>
      <c r="M54" s="4">
        <f>(VLOOKUP('17.01'!U54,'17.01'!$AM$4:$AO$55,3,FALSE))</f>
        <v>0</v>
      </c>
      <c r="N54" s="4">
        <f>(VLOOKUP('17.01'!V54,'17.01'!$AM$4:$AO$55,3,FALSE))</f>
        <v>0</v>
      </c>
      <c r="O54" s="5">
        <f>(VLOOKUP('17.01'!W54,'17.01'!$AM$4:$AO$55,3,FALSE))</f>
        <v>0</v>
      </c>
      <c r="P54" s="5">
        <f>(VLOOKUP('17.01'!X54,'17.01'!$AM$4:$AO$55,3,FALSE))</f>
        <v>0</v>
      </c>
      <c r="Q54" s="4">
        <f>(VLOOKUP('17.01'!Y54,'17.01'!$AM$4:$AO$55,3,FALSE))</f>
        <v>0</v>
      </c>
      <c r="R54" s="4">
        <f>(VLOOKUP('17.01'!Z54,'17.01'!$AM$4:$AO$55,3,FALSE))</f>
        <v>0</v>
      </c>
      <c r="S54" s="4">
        <f>(VLOOKUP('17.01'!AA54,'17.01'!$AM$4:$AO$55,3,FALSE))</f>
        <v>0</v>
      </c>
      <c r="T54" s="4">
        <f>(VLOOKUP('17.01'!AB54,'17.01'!$AM$4:$AO$55,3,FALSE))</f>
        <v>0</v>
      </c>
      <c r="U54" s="4">
        <f>(VLOOKUP('17.01'!AC54,'17.01'!$AM$4:$AO$55,3,FALSE))</f>
        <v>0</v>
      </c>
      <c r="V54" s="4">
        <f>(VLOOKUP('17.01'!AD54,'17.01'!$AM$4:$AO$55,3,FALSE))</f>
        <v>0</v>
      </c>
      <c r="W54" s="5">
        <f>(VLOOKUP('17.01'!AE54,'17.01'!$AM$4:$AO$55,3,FALSE))</f>
        <v>0</v>
      </c>
      <c r="X54" s="5">
        <f>(VLOOKUP('17.01'!AF54,'17.01'!$AM$4:$AO$55,3,FALSE))</f>
        <v>0</v>
      </c>
    </row>
    <row r="55" spans="1:24">
      <c r="A55" s="4">
        <f>(VLOOKUP('17.01'!I55,'17.01'!$AM$4:$AO$55,3,FALSE))</f>
        <v>0</v>
      </c>
      <c r="B55" s="4">
        <f>(VLOOKUP('17.01'!J55,'17.01'!$AM$4:$AO$55,3,FALSE))</f>
        <v>0</v>
      </c>
      <c r="C55" s="4">
        <f>(VLOOKUP('17.01'!K55,'17.01'!$AM$4:$AO$55,3,FALSE))</f>
        <v>0</v>
      </c>
      <c r="D55" s="4">
        <f>(VLOOKUP('17.01'!L55,'17.01'!$AM$4:$AO$55,3,FALSE))</f>
        <v>0</v>
      </c>
      <c r="E55" s="4">
        <f>(VLOOKUP('17.01'!M55,'17.01'!$AM$4:$AO$55,3,FALSE))</f>
        <v>0</v>
      </c>
      <c r="F55" s="4">
        <f>(VLOOKUP('17.01'!N55,'17.01'!$AM$4:$AO$55,3,FALSE))</f>
        <v>0</v>
      </c>
      <c r="G55" s="5">
        <f>(VLOOKUP('17.01'!O55,'17.01'!$AM$4:$AO$55,3,FALSE))</f>
        <v>0</v>
      </c>
      <c r="H55" s="5">
        <f>(VLOOKUP('17.01'!P55,'17.01'!$AM$4:$AO$55,3,FALSE))</f>
        <v>0</v>
      </c>
      <c r="I55" s="4">
        <f>(VLOOKUP('17.01'!Q55,'17.01'!$AM$4:$AO$55,3,FALSE))</f>
        <v>0</v>
      </c>
      <c r="J55" s="4">
        <f>(VLOOKUP('17.01'!R55,'17.01'!$AM$4:$AO$55,3,FALSE))</f>
        <v>0</v>
      </c>
      <c r="K55" s="4">
        <f>(VLOOKUP('17.01'!S55,'17.01'!$AM$4:$AO$55,3,FALSE))</f>
        <v>0</v>
      </c>
      <c r="L55" s="4">
        <f>(VLOOKUP('17.01'!T55,'17.01'!$AM$4:$AO$55,3,FALSE))</f>
        <v>0</v>
      </c>
      <c r="M55" s="4">
        <f>(VLOOKUP('17.01'!U55,'17.01'!$AM$4:$AO$55,3,FALSE))</f>
        <v>0</v>
      </c>
      <c r="N55" s="4">
        <f>(VLOOKUP('17.01'!V55,'17.01'!$AM$4:$AO$55,3,FALSE))</f>
        <v>0</v>
      </c>
      <c r="O55" s="5">
        <f>(VLOOKUP('17.01'!W55,'17.01'!$AM$4:$AO$55,3,FALSE))</f>
        <v>0</v>
      </c>
      <c r="P55" s="5">
        <f>(VLOOKUP('17.01'!X55,'17.01'!$AM$4:$AO$55,3,FALSE))</f>
        <v>0</v>
      </c>
      <c r="Q55" s="4">
        <f>(VLOOKUP('17.01'!Y55,'17.01'!$AM$4:$AO$55,3,FALSE))</f>
        <v>0</v>
      </c>
      <c r="R55" s="4">
        <f>(VLOOKUP('17.01'!Z55,'17.01'!$AM$4:$AO$55,3,FALSE))</f>
        <v>0</v>
      </c>
      <c r="S55" s="4">
        <f>(VLOOKUP('17.01'!AA55,'17.01'!$AM$4:$AO$55,3,FALSE))</f>
        <v>0</v>
      </c>
      <c r="T55" s="4">
        <f>(VLOOKUP('17.01'!AB55,'17.01'!$AM$4:$AO$55,3,FALSE))</f>
        <v>0</v>
      </c>
      <c r="U55" s="4">
        <f>(VLOOKUP('17.01'!AC55,'17.01'!$AM$4:$AO$55,3,FALSE))</f>
        <v>0</v>
      </c>
      <c r="V55" s="4">
        <f>(VLOOKUP('17.01'!AD55,'17.01'!$AM$4:$AO$55,3,FALSE))</f>
        <v>0</v>
      </c>
      <c r="W55" s="5">
        <f>(VLOOKUP('17.01'!AE55,'17.01'!$AM$4:$AO$55,3,FALSE))</f>
        <v>0</v>
      </c>
      <c r="X55" s="5">
        <f>(VLOOKUP('17.01'!AF55,'17.01'!$AM$4:$AO$55,3,FALSE))</f>
        <v>0</v>
      </c>
    </row>
    <row r="56" spans="1:24">
      <c r="A56" s="4">
        <f>(VLOOKUP('17.01'!I56,'17.01'!$AM$4:$AO$55,3,FALSE))</f>
        <v>0</v>
      </c>
      <c r="B56" s="4">
        <f>(VLOOKUP('17.01'!J56,'17.01'!$AM$4:$AO$55,3,FALSE))</f>
        <v>0</v>
      </c>
      <c r="C56" s="4">
        <f>(VLOOKUP('17.01'!K56,'17.01'!$AM$4:$AO$55,3,FALSE))</f>
        <v>0</v>
      </c>
      <c r="D56" s="4">
        <f>(VLOOKUP('17.01'!L56,'17.01'!$AM$4:$AO$55,3,FALSE))</f>
        <v>0</v>
      </c>
      <c r="E56" s="4">
        <f>(VLOOKUP('17.01'!M56,'17.01'!$AM$4:$AO$55,3,FALSE))</f>
        <v>0</v>
      </c>
      <c r="F56" s="4">
        <f>(VLOOKUP('17.01'!N56,'17.01'!$AM$4:$AO$55,3,FALSE))</f>
        <v>0</v>
      </c>
      <c r="G56" s="5">
        <f>(VLOOKUP('17.01'!O56,'17.01'!$AM$4:$AO$55,3,FALSE))</f>
        <v>0</v>
      </c>
      <c r="H56" s="5">
        <f>(VLOOKUP('17.01'!P56,'17.01'!$AM$4:$AO$55,3,FALSE))</f>
        <v>0</v>
      </c>
      <c r="I56" s="4">
        <f>(VLOOKUP('17.01'!Q56,'17.01'!$AM$4:$AO$55,3,FALSE))</f>
        <v>0</v>
      </c>
      <c r="J56" s="4">
        <f>(VLOOKUP('17.01'!R56,'17.01'!$AM$4:$AO$55,3,FALSE))</f>
        <v>0</v>
      </c>
      <c r="K56" s="4">
        <f>(VLOOKUP('17.01'!S56,'17.01'!$AM$4:$AO$55,3,FALSE))</f>
        <v>0</v>
      </c>
      <c r="L56" s="4">
        <f>(VLOOKUP('17.01'!T56,'17.01'!$AM$4:$AO$55,3,FALSE))</f>
        <v>0</v>
      </c>
      <c r="M56" s="4">
        <f>(VLOOKUP('17.01'!U56,'17.01'!$AM$4:$AO$55,3,FALSE))</f>
        <v>0</v>
      </c>
      <c r="N56" s="4">
        <f>(VLOOKUP('17.01'!V56,'17.01'!$AM$4:$AO$55,3,FALSE))</f>
        <v>0</v>
      </c>
      <c r="O56" s="5">
        <f>(VLOOKUP('17.01'!W56,'17.01'!$AM$4:$AO$55,3,FALSE))</f>
        <v>0</v>
      </c>
      <c r="P56" s="5">
        <f>(VLOOKUP('17.01'!X56,'17.01'!$AM$4:$AO$55,3,FALSE))</f>
        <v>0</v>
      </c>
      <c r="Q56" s="4">
        <f>(VLOOKUP('17.01'!Y56,'17.01'!$AM$4:$AO$55,3,FALSE))</f>
        <v>0</v>
      </c>
      <c r="R56" s="4">
        <f>(VLOOKUP('17.01'!Z56,'17.01'!$AM$4:$AO$55,3,FALSE))</f>
        <v>0</v>
      </c>
      <c r="S56" s="4">
        <f>(VLOOKUP('17.01'!AA56,'17.01'!$AM$4:$AO$55,3,FALSE))</f>
        <v>0</v>
      </c>
      <c r="T56" s="4">
        <f>(VLOOKUP('17.01'!AB56,'17.01'!$AM$4:$AO$55,3,FALSE))</f>
        <v>0</v>
      </c>
      <c r="U56" s="4">
        <f>(VLOOKUP('17.01'!AC56,'17.01'!$AM$4:$AO$55,3,FALSE))</f>
        <v>0</v>
      </c>
      <c r="V56" s="4">
        <f>(VLOOKUP('17.01'!AD56,'17.01'!$AM$4:$AO$55,3,FALSE))</f>
        <v>0</v>
      </c>
      <c r="W56" s="5">
        <f>(VLOOKUP('17.01'!AE56,'17.01'!$AM$4:$AO$55,3,FALSE))</f>
        <v>0</v>
      </c>
      <c r="X56" s="5">
        <f>(VLOOKUP('17.01'!AF56,'17.01'!$AM$4:$AO$55,3,FALSE))</f>
        <v>0</v>
      </c>
    </row>
    <row r="57" spans="1:24">
      <c r="A57" s="4">
        <f>(VLOOKUP('17.01'!I57,'17.01'!$AM$4:$AO$55,3,FALSE))</f>
        <v>0</v>
      </c>
      <c r="B57" s="4">
        <f>(VLOOKUP('17.01'!J57,'17.01'!$AM$4:$AO$55,3,FALSE))</f>
        <v>0</v>
      </c>
      <c r="C57" s="4">
        <f>(VLOOKUP('17.01'!K57,'17.01'!$AM$4:$AO$55,3,FALSE))</f>
        <v>0</v>
      </c>
      <c r="D57" s="4">
        <f>(VLOOKUP('17.01'!L57,'17.01'!$AM$4:$AO$55,3,FALSE))</f>
        <v>0</v>
      </c>
      <c r="E57" s="4">
        <f>(VLOOKUP('17.01'!M57,'17.01'!$AM$4:$AO$55,3,FALSE))</f>
        <v>0</v>
      </c>
      <c r="F57" s="4">
        <f>(VLOOKUP('17.01'!N57,'17.01'!$AM$4:$AO$55,3,FALSE))</f>
        <v>0</v>
      </c>
      <c r="G57" s="5">
        <f>(VLOOKUP('17.01'!O57,'17.01'!$AM$4:$AO$55,3,FALSE))</f>
        <v>0</v>
      </c>
      <c r="H57" s="5">
        <f>(VLOOKUP('17.01'!P57,'17.01'!$AM$4:$AO$55,3,FALSE))</f>
        <v>0</v>
      </c>
      <c r="I57" s="4">
        <f>(VLOOKUP('17.01'!Q57,'17.01'!$AM$4:$AO$55,3,FALSE))</f>
        <v>0</v>
      </c>
      <c r="J57" s="4">
        <f>(VLOOKUP('17.01'!R57,'17.01'!$AM$4:$AO$55,3,FALSE))</f>
        <v>0</v>
      </c>
      <c r="K57" s="4">
        <f>(VLOOKUP('17.01'!S57,'17.01'!$AM$4:$AO$55,3,FALSE))</f>
        <v>0</v>
      </c>
      <c r="L57" s="4">
        <f>(VLOOKUP('17.01'!T57,'17.01'!$AM$4:$AO$55,3,FALSE))</f>
        <v>0</v>
      </c>
      <c r="M57" s="4">
        <f>(VLOOKUP('17.01'!U57,'17.01'!$AM$4:$AO$55,3,FALSE))</f>
        <v>0</v>
      </c>
      <c r="N57" s="4">
        <f>(VLOOKUP('17.01'!V57,'17.01'!$AM$4:$AO$55,3,FALSE))</f>
        <v>0</v>
      </c>
      <c r="O57" s="5">
        <f>(VLOOKUP('17.01'!W57,'17.01'!$AM$4:$AO$55,3,FALSE))</f>
        <v>0</v>
      </c>
      <c r="P57" s="5">
        <f>(VLOOKUP('17.01'!X57,'17.01'!$AM$4:$AO$55,3,FALSE))</f>
        <v>0</v>
      </c>
      <c r="Q57" s="4">
        <f>(VLOOKUP('17.01'!Y57,'17.01'!$AM$4:$AO$55,3,FALSE))</f>
        <v>0</v>
      </c>
      <c r="R57" s="4">
        <f>(VLOOKUP('17.01'!Z57,'17.01'!$AM$4:$AO$55,3,FALSE))</f>
        <v>0</v>
      </c>
      <c r="S57" s="4">
        <f>(VLOOKUP('17.01'!AA57,'17.01'!$AM$4:$AO$55,3,FALSE))</f>
        <v>0</v>
      </c>
      <c r="T57" s="4">
        <f>(VLOOKUP('17.01'!AB57,'17.01'!$AM$4:$AO$55,3,FALSE))</f>
        <v>0</v>
      </c>
      <c r="U57" s="4">
        <f>(VLOOKUP('17.01'!AC57,'17.01'!$AM$4:$AO$55,3,FALSE))</f>
        <v>0</v>
      </c>
      <c r="V57" s="4">
        <f>(VLOOKUP('17.01'!AD57,'17.01'!$AM$4:$AO$55,3,FALSE))</f>
        <v>0</v>
      </c>
      <c r="W57" s="5">
        <f>(VLOOKUP('17.01'!AE57,'17.01'!$AM$4:$AO$55,3,FALSE))</f>
        <v>0</v>
      </c>
      <c r="X57" s="5">
        <f>(VLOOKUP('17.01'!AF57,'17.01'!$AM$4:$AO$55,3,FALSE))</f>
        <v>0</v>
      </c>
    </row>
    <row r="58" spans="1:24">
      <c r="A58" s="4">
        <f>(VLOOKUP('17.01'!I58,'17.01'!$AM$4:$AO$55,3,FALSE))</f>
        <v>0</v>
      </c>
      <c r="B58" s="4">
        <f>(VLOOKUP('17.01'!J58,'17.01'!$AM$4:$AO$55,3,FALSE))</f>
        <v>0</v>
      </c>
      <c r="C58" s="4">
        <f>(VLOOKUP('17.01'!K58,'17.01'!$AM$4:$AO$55,3,FALSE))</f>
        <v>0</v>
      </c>
      <c r="D58" s="4">
        <f>(VLOOKUP('17.01'!L58,'17.01'!$AM$4:$AO$55,3,FALSE))</f>
        <v>0</v>
      </c>
      <c r="E58" s="4">
        <f>(VLOOKUP('17.01'!M58,'17.01'!$AM$4:$AO$55,3,FALSE))</f>
        <v>0</v>
      </c>
      <c r="F58" s="4">
        <f>(VLOOKUP('17.01'!N58,'17.01'!$AM$4:$AO$55,3,FALSE))</f>
        <v>0</v>
      </c>
      <c r="G58" s="5">
        <f>(VLOOKUP('17.01'!O58,'17.01'!$AM$4:$AO$55,3,FALSE))</f>
        <v>0</v>
      </c>
      <c r="H58" s="5">
        <f>(VLOOKUP('17.01'!P58,'17.01'!$AM$4:$AO$55,3,FALSE))</f>
        <v>0</v>
      </c>
      <c r="I58" s="4">
        <f>(VLOOKUP('17.01'!Q58,'17.01'!$AM$4:$AO$55,3,FALSE))</f>
        <v>0</v>
      </c>
      <c r="J58" s="4">
        <f>(VLOOKUP('17.01'!R58,'17.01'!$AM$4:$AO$55,3,FALSE))</f>
        <v>0</v>
      </c>
      <c r="K58" s="4">
        <f>(VLOOKUP('17.01'!S58,'17.01'!$AM$4:$AO$55,3,FALSE))</f>
        <v>0</v>
      </c>
      <c r="L58" s="4">
        <f>(VLOOKUP('17.01'!T58,'17.01'!$AM$4:$AO$55,3,FALSE))</f>
        <v>0</v>
      </c>
      <c r="M58" s="4">
        <f>(VLOOKUP('17.01'!U58,'17.01'!$AM$4:$AO$55,3,FALSE))</f>
        <v>0</v>
      </c>
      <c r="N58" s="4">
        <f>(VLOOKUP('17.01'!V58,'17.01'!$AM$4:$AO$55,3,FALSE))</f>
        <v>0</v>
      </c>
      <c r="O58" s="5">
        <f>(VLOOKUP('17.01'!W58,'17.01'!$AM$4:$AO$55,3,FALSE))</f>
        <v>0</v>
      </c>
      <c r="P58" s="5">
        <f>(VLOOKUP('17.01'!X58,'17.01'!$AM$4:$AO$55,3,FALSE))</f>
        <v>0</v>
      </c>
      <c r="Q58" s="4">
        <f>(VLOOKUP('17.01'!Y58,'17.01'!$AM$4:$AO$55,3,FALSE))</f>
        <v>0</v>
      </c>
      <c r="R58" s="4">
        <f>(VLOOKUP('17.01'!Z58,'17.01'!$AM$4:$AO$55,3,FALSE))</f>
        <v>0</v>
      </c>
      <c r="S58" s="4">
        <f>(VLOOKUP('17.01'!AA58,'17.01'!$AM$4:$AO$55,3,FALSE))</f>
        <v>0</v>
      </c>
      <c r="T58" s="4">
        <f>(VLOOKUP('17.01'!AB58,'17.01'!$AM$4:$AO$55,3,FALSE))</f>
        <v>0</v>
      </c>
      <c r="U58" s="4">
        <f>(VLOOKUP('17.01'!AC58,'17.01'!$AM$4:$AO$55,3,FALSE))</f>
        <v>0</v>
      </c>
      <c r="V58" s="4">
        <f>(VLOOKUP('17.01'!AD58,'17.01'!$AM$4:$AO$55,3,FALSE))</f>
        <v>0</v>
      </c>
      <c r="W58" s="5">
        <f>(VLOOKUP('17.01'!AE58,'17.01'!$AM$4:$AO$55,3,FALSE))</f>
        <v>0</v>
      </c>
      <c r="X58" s="5">
        <f>(VLOOKUP('17.01'!AF58,'17.01'!$AM$4:$AO$55,3,FALSE))</f>
        <v>0</v>
      </c>
    </row>
    <row r="59" spans="1:24">
      <c r="A59" s="4">
        <f>(VLOOKUP('17.01'!I59,'17.01'!$AM$4:$AO$55,3,FALSE))</f>
        <v>0</v>
      </c>
      <c r="B59" s="4">
        <f>(VLOOKUP('17.01'!J59,'17.01'!$AM$4:$AO$55,3,FALSE))</f>
        <v>0</v>
      </c>
      <c r="C59" s="4">
        <f>(VLOOKUP('17.01'!K59,'17.01'!$AM$4:$AO$55,3,FALSE))</f>
        <v>0</v>
      </c>
      <c r="D59" s="4">
        <f>(VLOOKUP('17.01'!L59,'17.01'!$AM$4:$AO$55,3,FALSE))</f>
        <v>0</v>
      </c>
      <c r="E59" s="4">
        <f>(VLOOKUP('17.01'!M59,'17.01'!$AM$4:$AO$55,3,FALSE))</f>
        <v>0</v>
      </c>
      <c r="F59" s="4">
        <f>(VLOOKUP('17.01'!N59,'17.01'!$AM$4:$AO$55,3,FALSE))</f>
        <v>0</v>
      </c>
      <c r="G59" s="5">
        <f>(VLOOKUP('17.01'!O59,'17.01'!$AM$4:$AO$55,3,FALSE))</f>
        <v>0</v>
      </c>
      <c r="H59" s="5">
        <f>(VLOOKUP('17.01'!P59,'17.01'!$AM$4:$AO$55,3,FALSE))</f>
        <v>0</v>
      </c>
      <c r="I59" s="4">
        <f>(VLOOKUP('17.01'!Q59,'17.01'!$AM$4:$AO$55,3,FALSE))</f>
        <v>0</v>
      </c>
      <c r="J59" s="4">
        <f>(VLOOKUP('17.01'!R59,'17.01'!$AM$4:$AO$55,3,FALSE))</f>
        <v>0</v>
      </c>
      <c r="K59" s="4">
        <f>(VLOOKUP('17.01'!S59,'17.01'!$AM$4:$AO$55,3,FALSE))</f>
        <v>0</v>
      </c>
      <c r="L59" s="4">
        <f>(VLOOKUP('17.01'!T59,'17.01'!$AM$4:$AO$55,3,FALSE))</f>
        <v>0</v>
      </c>
      <c r="M59" s="4">
        <f>(VLOOKUP('17.01'!U59,'17.01'!$AM$4:$AO$55,3,FALSE))</f>
        <v>0</v>
      </c>
      <c r="N59" s="4">
        <f>(VLOOKUP('17.01'!V59,'17.01'!$AM$4:$AO$55,3,FALSE))</f>
        <v>0</v>
      </c>
      <c r="O59" s="5">
        <f>(VLOOKUP('17.01'!W59,'17.01'!$AM$4:$AO$55,3,FALSE))</f>
        <v>0</v>
      </c>
      <c r="P59" s="5">
        <f>(VLOOKUP('17.01'!X59,'17.01'!$AM$4:$AO$55,3,FALSE))</f>
        <v>0</v>
      </c>
      <c r="Q59" s="4">
        <f>(VLOOKUP('17.01'!Y59,'17.01'!$AM$4:$AO$55,3,FALSE))</f>
        <v>0</v>
      </c>
      <c r="R59" s="4">
        <f>(VLOOKUP('17.01'!Z59,'17.01'!$AM$4:$AO$55,3,FALSE))</f>
        <v>0</v>
      </c>
      <c r="S59" s="4">
        <f>(VLOOKUP('17.01'!AA59,'17.01'!$AM$4:$AO$55,3,FALSE))</f>
        <v>0</v>
      </c>
      <c r="T59" s="4">
        <f>(VLOOKUP('17.01'!AB59,'17.01'!$AM$4:$AO$55,3,FALSE))</f>
        <v>0</v>
      </c>
      <c r="U59" s="4">
        <f>(VLOOKUP('17.01'!AC59,'17.01'!$AM$4:$AO$55,3,FALSE))</f>
        <v>0</v>
      </c>
      <c r="V59" s="4">
        <f>(VLOOKUP('17.01'!AD59,'17.01'!$AM$4:$AO$55,3,FALSE))</f>
        <v>0</v>
      </c>
      <c r="W59" s="5">
        <f>(VLOOKUP('17.01'!AE59,'17.01'!$AM$4:$AO$55,3,FALSE))</f>
        <v>0</v>
      </c>
      <c r="X59" s="5">
        <f>(VLOOKUP('17.01'!AF59,'17.01'!$AM$4:$AO$55,3,FALSE))</f>
        <v>0</v>
      </c>
    </row>
    <row r="60" spans="1:24">
      <c r="A60" s="4">
        <f>(VLOOKUP('17.01'!I60,'17.01'!$AM$4:$AO$55,3,FALSE))</f>
        <v>0</v>
      </c>
      <c r="B60" s="4">
        <f>(VLOOKUP('17.01'!J60,'17.01'!$AM$4:$AO$55,3,FALSE))</f>
        <v>0</v>
      </c>
      <c r="C60" s="4">
        <f>(VLOOKUP('17.01'!K60,'17.01'!$AM$4:$AO$55,3,FALSE))</f>
        <v>0</v>
      </c>
      <c r="D60" s="4">
        <f>(VLOOKUP('17.01'!L60,'17.01'!$AM$4:$AO$55,3,FALSE))</f>
        <v>0</v>
      </c>
      <c r="E60" s="4">
        <f>(VLOOKUP('17.01'!M60,'17.01'!$AM$4:$AO$55,3,FALSE))</f>
        <v>0</v>
      </c>
      <c r="F60" s="4">
        <f>(VLOOKUP('17.01'!N60,'17.01'!$AM$4:$AO$55,3,FALSE))</f>
        <v>0</v>
      </c>
      <c r="G60" s="5">
        <f>(VLOOKUP('17.01'!O60,'17.01'!$AM$4:$AO$55,3,FALSE))</f>
        <v>0</v>
      </c>
      <c r="H60" s="5">
        <f>(VLOOKUP('17.01'!P60,'17.01'!$AM$4:$AO$55,3,FALSE))</f>
        <v>0</v>
      </c>
      <c r="I60" s="4">
        <f>(VLOOKUP('17.01'!Q60,'17.01'!$AM$4:$AO$55,3,FALSE))</f>
        <v>0</v>
      </c>
      <c r="J60" s="4">
        <f>(VLOOKUP('17.01'!R60,'17.01'!$AM$4:$AO$55,3,FALSE))</f>
        <v>0</v>
      </c>
      <c r="K60" s="4">
        <f>(VLOOKUP('17.01'!S60,'17.01'!$AM$4:$AO$55,3,FALSE))</f>
        <v>0</v>
      </c>
      <c r="L60" s="4">
        <f>(VLOOKUP('17.01'!T60,'17.01'!$AM$4:$AO$55,3,FALSE))</f>
        <v>0</v>
      </c>
      <c r="M60" s="4">
        <f>(VLOOKUP('17.01'!U60,'17.01'!$AM$4:$AO$55,3,FALSE))</f>
        <v>0</v>
      </c>
      <c r="N60" s="4">
        <f>(VLOOKUP('17.01'!V60,'17.01'!$AM$4:$AO$55,3,FALSE))</f>
        <v>0</v>
      </c>
      <c r="O60" s="5">
        <f>(VLOOKUP('17.01'!W60,'17.01'!$AM$4:$AO$55,3,FALSE))</f>
        <v>0</v>
      </c>
      <c r="P60" s="5">
        <f>(VLOOKUP('17.01'!X60,'17.01'!$AM$4:$AO$55,3,FALSE))</f>
        <v>0</v>
      </c>
      <c r="Q60" s="4">
        <f>(VLOOKUP('17.01'!Y60,'17.01'!$AM$4:$AO$55,3,FALSE))</f>
        <v>0</v>
      </c>
      <c r="R60" s="4">
        <f>(VLOOKUP('17.01'!Z60,'17.01'!$AM$4:$AO$55,3,FALSE))</f>
        <v>0</v>
      </c>
      <c r="S60" s="4">
        <f>(VLOOKUP('17.01'!AA60,'17.01'!$AM$4:$AO$55,3,FALSE))</f>
        <v>0</v>
      </c>
      <c r="T60" s="4">
        <f>(VLOOKUP('17.01'!AB60,'17.01'!$AM$4:$AO$55,3,FALSE))</f>
        <v>0</v>
      </c>
      <c r="U60" s="4">
        <f>(VLOOKUP('17.01'!AC60,'17.01'!$AM$4:$AO$55,3,FALSE))</f>
        <v>0</v>
      </c>
      <c r="V60" s="4">
        <f>(VLOOKUP('17.01'!AD60,'17.01'!$AM$4:$AO$55,3,FALSE))</f>
        <v>0</v>
      </c>
      <c r="W60" s="5">
        <f>(VLOOKUP('17.01'!AE60,'17.01'!$AM$4:$AO$55,3,FALSE))</f>
        <v>0</v>
      </c>
      <c r="X60" s="5">
        <f>(VLOOKUP('17.01'!AF60,'17.01'!$AM$4:$AO$55,3,FALSE))</f>
        <v>0</v>
      </c>
    </row>
    <row r="61" spans="1:24">
      <c r="A61" s="4">
        <f>(VLOOKUP('17.01'!I61,'17.01'!$AM$4:$AO$55,3,FALSE))</f>
        <v>0</v>
      </c>
      <c r="B61" s="4">
        <f>(VLOOKUP('17.01'!J61,'17.01'!$AM$4:$AO$55,3,FALSE))</f>
        <v>0</v>
      </c>
      <c r="C61" s="4">
        <f>(VLOOKUP('17.01'!K61,'17.01'!$AM$4:$AO$55,3,FALSE))</f>
        <v>0</v>
      </c>
      <c r="D61" s="4">
        <f>(VLOOKUP('17.01'!L61,'17.01'!$AM$4:$AO$55,3,FALSE))</f>
        <v>0</v>
      </c>
      <c r="E61" s="4">
        <f>(VLOOKUP('17.01'!M61,'17.01'!$AM$4:$AO$55,3,FALSE))</f>
        <v>0</v>
      </c>
      <c r="F61" s="4">
        <f>(VLOOKUP('17.01'!N61,'17.01'!$AM$4:$AO$55,3,FALSE))</f>
        <v>0</v>
      </c>
      <c r="G61" s="5">
        <f>(VLOOKUP('17.01'!O61,'17.01'!$AM$4:$AO$55,3,FALSE))</f>
        <v>0</v>
      </c>
      <c r="H61" s="5">
        <f>(VLOOKUP('17.01'!P61,'17.01'!$AM$4:$AO$55,3,FALSE))</f>
        <v>0</v>
      </c>
      <c r="I61" s="4">
        <f>(VLOOKUP('17.01'!Q61,'17.01'!$AM$4:$AO$55,3,FALSE))</f>
        <v>0</v>
      </c>
      <c r="J61" s="4">
        <f>(VLOOKUP('17.01'!R61,'17.01'!$AM$4:$AO$55,3,FALSE))</f>
        <v>0</v>
      </c>
      <c r="K61" s="4">
        <f>(VLOOKUP('17.01'!S61,'17.01'!$AM$4:$AO$55,3,FALSE))</f>
        <v>0</v>
      </c>
      <c r="L61" s="4">
        <f>(VLOOKUP('17.01'!T61,'17.01'!$AM$4:$AO$55,3,FALSE))</f>
        <v>0</v>
      </c>
      <c r="M61" s="4">
        <f>(VLOOKUP('17.01'!U61,'17.01'!$AM$4:$AO$55,3,FALSE))</f>
        <v>0</v>
      </c>
      <c r="N61" s="4">
        <f>(VLOOKUP('17.01'!V61,'17.01'!$AM$4:$AO$55,3,FALSE))</f>
        <v>0</v>
      </c>
      <c r="O61" s="5">
        <f>(VLOOKUP('17.01'!W61,'17.01'!$AM$4:$AO$55,3,FALSE))</f>
        <v>0</v>
      </c>
      <c r="P61" s="5">
        <f>(VLOOKUP('17.01'!X61,'17.01'!$AM$4:$AO$55,3,FALSE))</f>
        <v>0</v>
      </c>
      <c r="Q61" s="4">
        <f>(VLOOKUP('17.01'!Y61,'17.01'!$AM$4:$AO$55,3,FALSE))</f>
        <v>0</v>
      </c>
      <c r="R61" s="4">
        <f>(VLOOKUP('17.01'!Z61,'17.01'!$AM$4:$AO$55,3,FALSE))</f>
        <v>0</v>
      </c>
      <c r="S61" s="4">
        <f>(VLOOKUP('17.01'!AA61,'17.01'!$AM$4:$AO$55,3,FALSE))</f>
        <v>0</v>
      </c>
      <c r="T61" s="4">
        <f>(VLOOKUP('17.01'!AB61,'17.01'!$AM$4:$AO$55,3,FALSE))</f>
        <v>0</v>
      </c>
      <c r="U61" s="4">
        <f>(VLOOKUP('17.01'!AC61,'17.01'!$AM$4:$AO$55,3,FALSE))</f>
        <v>0</v>
      </c>
      <c r="V61" s="4">
        <f>(VLOOKUP('17.01'!AD61,'17.01'!$AM$4:$AO$55,3,FALSE))</f>
        <v>0</v>
      </c>
      <c r="W61" s="5">
        <f>(VLOOKUP('17.01'!AE61,'17.01'!$AM$4:$AO$55,3,FALSE))</f>
        <v>0</v>
      </c>
      <c r="X61" s="5">
        <f>(VLOOKUP('17.01'!AF61,'17.01'!$AM$4:$AO$55,3,FALSE))</f>
        <v>0</v>
      </c>
    </row>
    <row r="62" spans="1:24">
      <c r="A62" s="4">
        <f>(VLOOKUP('17.01'!I62,'17.01'!$AM$4:$AO$55,3,FALSE))</f>
        <v>0</v>
      </c>
      <c r="B62" s="4">
        <f>(VLOOKUP('17.01'!J62,'17.01'!$AM$4:$AO$55,3,FALSE))</f>
        <v>0</v>
      </c>
      <c r="C62" s="4">
        <f>(VLOOKUP('17.01'!K62,'17.01'!$AM$4:$AO$55,3,FALSE))</f>
        <v>0</v>
      </c>
      <c r="D62" s="4">
        <f>(VLOOKUP('17.01'!L62,'17.01'!$AM$4:$AO$55,3,FALSE))</f>
        <v>0</v>
      </c>
      <c r="E62" s="4">
        <f>(VLOOKUP('17.01'!M62,'17.01'!$AM$4:$AO$55,3,FALSE))</f>
        <v>0</v>
      </c>
      <c r="F62" s="4">
        <f>(VLOOKUP('17.01'!N62,'17.01'!$AM$4:$AO$55,3,FALSE))</f>
        <v>0</v>
      </c>
      <c r="G62" s="5">
        <f>(VLOOKUP('17.01'!O62,'17.01'!$AM$4:$AO$55,3,FALSE))</f>
        <v>0</v>
      </c>
      <c r="H62" s="5">
        <f>(VLOOKUP('17.01'!P62,'17.01'!$AM$4:$AO$55,3,FALSE))</f>
        <v>0</v>
      </c>
      <c r="I62" s="4">
        <f>(VLOOKUP('17.01'!Q62,'17.01'!$AM$4:$AO$55,3,FALSE))</f>
        <v>0</v>
      </c>
      <c r="J62" s="4">
        <f>(VLOOKUP('17.01'!R62,'17.01'!$AM$4:$AO$55,3,FALSE))</f>
        <v>0</v>
      </c>
      <c r="K62" s="4">
        <f>(VLOOKUP('17.01'!S62,'17.01'!$AM$4:$AO$55,3,FALSE))</f>
        <v>0</v>
      </c>
      <c r="L62" s="4">
        <f>(VLOOKUP('17.01'!T62,'17.01'!$AM$4:$AO$55,3,FALSE))</f>
        <v>0</v>
      </c>
      <c r="M62" s="4">
        <f>(VLOOKUP('17.01'!U62,'17.01'!$AM$4:$AO$55,3,FALSE))</f>
        <v>0</v>
      </c>
      <c r="N62" s="4">
        <f>(VLOOKUP('17.01'!V62,'17.01'!$AM$4:$AO$55,3,FALSE))</f>
        <v>0</v>
      </c>
      <c r="O62" s="5">
        <f>(VLOOKUP('17.01'!W62,'17.01'!$AM$4:$AO$55,3,FALSE))</f>
        <v>0</v>
      </c>
      <c r="P62" s="5">
        <f>(VLOOKUP('17.01'!X62,'17.01'!$AM$4:$AO$55,3,FALSE))</f>
        <v>0</v>
      </c>
      <c r="Q62" s="4">
        <f>(VLOOKUP('17.01'!Y62,'17.01'!$AM$4:$AO$55,3,FALSE))</f>
        <v>0</v>
      </c>
      <c r="R62" s="4">
        <f>(VLOOKUP('17.01'!Z62,'17.01'!$AM$4:$AO$55,3,FALSE))</f>
        <v>0</v>
      </c>
      <c r="S62" s="4">
        <f>(VLOOKUP('17.01'!AA62,'17.01'!$AM$4:$AO$55,3,FALSE))</f>
        <v>0</v>
      </c>
      <c r="T62" s="4">
        <f>(VLOOKUP('17.01'!AB62,'17.01'!$AM$4:$AO$55,3,FALSE))</f>
        <v>0</v>
      </c>
      <c r="U62" s="4">
        <f>(VLOOKUP('17.01'!AC62,'17.01'!$AM$4:$AO$55,3,FALSE))</f>
        <v>0</v>
      </c>
      <c r="V62" s="4">
        <f>(VLOOKUP('17.01'!AD62,'17.01'!$AM$4:$AO$55,3,FALSE))</f>
        <v>0</v>
      </c>
      <c r="W62" s="5">
        <f>(VLOOKUP('17.01'!AE62,'17.01'!$AM$4:$AO$55,3,FALSE))</f>
        <v>0</v>
      </c>
      <c r="X62" s="5">
        <f>(VLOOKUP('17.01'!AF62,'17.01'!$AM$4:$AO$55,3,FALSE))</f>
        <v>0</v>
      </c>
    </row>
    <row r="63" spans="1:24">
      <c r="A63" s="4">
        <f>(VLOOKUP('17.01'!I63,'17.01'!$AM$4:$AO$55,3,FALSE))</f>
        <v>0</v>
      </c>
      <c r="B63" s="4">
        <f>(VLOOKUP('17.01'!J63,'17.01'!$AM$4:$AO$55,3,FALSE))</f>
        <v>0</v>
      </c>
      <c r="C63" s="4">
        <f>(VLOOKUP('17.01'!K63,'17.01'!$AM$4:$AO$55,3,FALSE))</f>
        <v>0</v>
      </c>
      <c r="D63" s="4">
        <f>(VLOOKUP('17.01'!L63,'17.01'!$AM$4:$AO$55,3,FALSE))</f>
        <v>0</v>
      </c>
      <c r="E63" s="4">
        <f>(VLOOKUP('17.01'!M63,'17.01'!$AM$4:$AO$55,3,FALSE))</f>
        <v>0</v>
      </c>
      <c r="F63" s="4">
        <f>(VLOOKUP('17.01'!N63,'17.01'!$AM$4:$AO$55,3,FALSE))</f>
        <v>0</v>
      </c>
      <c r="G63" s="5">
        <f>(VLOOKUP('17.01'!O63,'17.01'!$AM$4:$AO$55,3,FALSE))</f>
        <v>0</v>
      </c>
      <c r="H63" s="5">
        <f>(VLOOKUP('17.01'!P63,'17.01'!$AM$4:$AO$55,3,FALSE))</f>
        <v>0</v>
      </c>
      <c r="I63" s="4">
        <f>(VLOOKUP('17.01'!Q63,'17.01'!$AM$4:$AO$55,3,FALSE))</f>
        <v>0</v>
      </c>
      <c r="J63" s="4">
        <f>(VLOOKUP('17.01'!R63,'17.01'!$AM$4:$AO$55,3,FALSE))</f>
        <v>0</v>
      </c>
      <c r="K63" s="4">
        <f>(VLOOKUP('17.01'!S63,'17.01'!$AM$4:$AO$55,3,FALSE))</f>
        <v>0</v>
      </c>
      <c r="L63" s="4">
        <f>(VLOOKUP('17.01'!T63,'17.01'!$AM$4:$AO$55,3,FALSE))</f>
        <v>0</v>
      </c>
      <c r="M63" s="4">
        <f>(VLOOKUP('17.01'!U63,'17.01'!$AM$4:$AO$55,3,FALSE))</f>
        <v>0</v>
      </c>
      <c r="N63" s="4">
        <f>(VLOOKUP('17.01'!V63,'17.01'!$AM$4:$AO$55,3,FALSE))</f>
        <v>0</v>
      </c>
      <c r="O63" s="5">
        <f>(VLOOKUP('17.01'!W63,'17.01'!$AM$4:$AO$55,3,FALSE))</f>
        <v>0</v>
      </c>
      <c r="P63" s="5">
        <f>(VLOOKUP('17.01'!X63,'17.01'!$AM$4:$AO$55,3,FALSE))</f>
        <v>0</v>
      </c>
      <c r="Q63" s="4">
        <f>(VLOOKUP('17.01'!Y63,'17.01'!$AM$4:$AO$55,3,FALSE))</f>
        <v>0</v>
      </c>
      <c r="R63" s="4">
        <f>(VLOOKUP('17.01'!Z63,'17.01'!$AM$4:$AO$55,3,FALSE))</f>
        <v>0</v>
      </c>
      <c r="S63" s="4">
        <f>(VLOOKUP('17.01'!AA63,'17.01'!$AM$4:$AO$55,3,FALSE))</f>
        <v>0</v>
      </c>
      <c r="T63" s="4">
        <f>(VLOOKUP('17.01'!AB63,'17.01'!$AM$4:$AO$55,3,FALSE))</f>
        <v>0</v>
      </c>
      <c r="U63" s="4">
        <f>(VLOOKUP('17.01'!AC63,'17.01'!$AM$4:$AO$55,3,FALSE))</f>
        <v>0</v>
      </c>
      <c r="V63" s="4">
        <f>(VLOOKUP('17.01'!AD63,'17.01'!$AM$4:$AO$55,3,FALSE))</f>
        <v>0</v>
      </c>
      <c r="W63" s="5">
        <f>(VLOOKUP('17.01'!AE63,'17.01'!$AM$4:$AO$55,3,FALSE))</f>
        <v>0</v>
      </c>
      <c r="X63" s="5">
        <f>(VLOOKUP('17.01'!AF63,'17.01'!$AM$4:$AO$55,3,FALSE))</f>
        <v>0</v>
      </c>
    </row>
    <row r="64" spans="1:24">
      <c r="A64" s="4">
        <f>(VLOOKUP('17.01'!I64,'17.01'!$AM$4:$AO$55,3,FALSE))</f>
        <v>0</v>
      </c>
      <c r="B64" s="4">
        <f>(VLOOKUP('17.01'!J64,'17.01'!$AM$4:$AO$55,3,FALSE))</f>
        <v>0</v>
      </c>
      <c r="C64" s="4">
        <f>(VLOOKUP('17.01'!K64,'17.01'!$AM$4:$AO$55,3,FALSE))</f>
        <v>0</v>
      </c>
      <c r="D64" s="4">
        <f>(VLOOKUP('17.01'!L64,'17.01'!$AM$4:$AO$55,3,FALSE))</f>
        <v>0</v>
      </c>
      <c r="E64" s="4">
        <f>(VLOOKUP('17.01'!M64,'17.01'!$AM$4:$AO$55,3,FALSE))</f>
        <v>0</v>
      </c>
      <c r="F64" s="4">
        <f>(VLOOKUP('17.01'!N64,'17.01'!$AM$4:$AO$55,3,FALSE))</f>
        <v>0</v>
      </c>
      <c r="G64" s="5">
        <f>(VLOOKUP('17.01'!O64,'17.01'!$AM$4:$AO$55,3,FALSE))</f>
        <v>0</v>
      </c>
      <c r="H64" s="5">
        <f>(VLOOKUP('17.01'!P64,'17.01'!$AM$4:$AO$55,3,FALSE))</f>
        <v>0</v>
      </c>
      <c r="I64" s="4">
        <f>(VLOOKUP('17.01'!Q64,'17.01'!$AM$4:$AO$55,3,FALSE))</f>
        <v>0</v>
      </c>
      <c r="J64" s="4">
        <f>(VLOOKUP('17.01'!R64,'17.01'!$AM$4:$AO$55,3,FALSE))</f>
        <v>0</v>
      </c>
      <c r="K64" s="4">
        <f>(VLOOKUP('17.01'!S64,'17.01'!$AM$4:$AO$55,3,FALSE))</f>
        <v>0</v>
      </c>
      <c r="L64" s="4">
        <f>(VLOOKUP('17.01'!T64,'17.01'!$AM$4:$AO$55,3,FALSE))</f>
        <v>0</v>
      </c>
      <c r="M64" s="4">
        <f>(VLOOKUP('17.01'!U64,'17.01'!$AM$4:$AO$55,3,FALSE))</f>
        <v>0</v>
      </c>
      <c r="N64" s="4">
        <f>(VLOOKUP('17.01'!V64,'17.01'!$AM$4:$AO$55,3,FALSE))</f>
        <v>0</v>
      </c>
      <c r="O64" s="5">
        <f>(VLOOKUP('17.01'!W64,'17.01'!$AM$4:$AO$55,3,FALSE))</f>
        <v>0</v>
      </c>
      <c r="P64" s="5">
        <f>(VLOOKUP('17.01'!X64,'17.01'!$AM$4:$AO$55,3,FALSE))</f>
        <v>0</v>
      </c>
      <c r="Q64" s="4">
        <f>(VLOOKUP('17.01'!Y64,'17.01'!$AM$4:$AO$55,3,FALSE))</f>
        <v>0</v>
      </c>
      <c r="R64" s="4">
        <f>(VLOOKUP('17.01'!Z64,'17.01'!$AM$4:$AO$55,3,FALSE))</f>
        <v>0</v>
      </c>
      <c r="S64" s="4">
        <f>(VLOOKUP('17.01'!AA64,'17.01'!$AM$4:$AO$55,3,FALSE))</f>
        <v>0</v>
      </c>
      <c r="T64" s="4">
        <f>(VLOOKUP('17.01'!AB64,'17.01'!$AM$4:$AO$55,3,FALSE))</f>
        <v>0</v>
      </c>
      <c r="U64" s="4">
        <f>(VLOOKUP('17.01'!AC64,'17.01'!$AM$4:$AO$55,3,FALSE))</f>
        <v>0</v>
      </c>
      <c r="V64" s="4">
        <f>(VLOOKUP('17.01'!AD64,'17.01'!$AM$4:$AO$55,3,FALSE))</f>
        <v>0</v>
      </c>
      <c r="W64" s="5">
        <f>(VLOOKUP('17.01'!AE64,'17.01'!$AM$4:$AO$55,3,FALSE))</f>
        <v>0</v>
      </c>
      <c r="X64" s="5">
        <f>(VLOOKUP('17.01'!AF64,'17.01'!$AM$4:$AO$55,3,FALSE))</f>
        <v>0</v>
      </c>
    </row>
    <row r="65" spans="1:24">
      <c r="A65" s="4">
        <f>(VLOOKUP('17.01'!I65,'17.01'!$AM$4:$AO$55,3,FALSE))</f>
        <v>0</v>
      </c>
      <c r="B65" s="4">
        <f>(VLOOKUP('17.01'!J65,'17.01'!$AM$4:$AO$55,3,FALSE))</f>
        <v>0</v>
      </c>
      <c r="C65" s="4">
        <f>(VLOOKUP('17.01'!K65,'17.01'!$AM$4:$AO$55,3,FALSE))</f>
        <v>0</v>
      </c>
      <c r="D65" s="4">
        <f>(VLOOKUP('17.01'!L65,'17.01'!$AM$4:$AO$55,3,FALSE))</f>
        <v>0</v>
      </c>
      <c r="E65" s="4">
        <f>(VLOOKUP('17.01'!M65,'17.01'!$AM$4:$AO$55,3,FALSE))</f>
        <v>0</v>
      </c>
      <c r="F65" s="4">
        <f>(VLOOKUP('17.01'!N65,'17.01'!$AM$4:$AO$55,3,FALSE))</f>
        <v>0</v>
      </c>
      <c r="G65" s="5">
        <f>(VLOOKUP('17.01'!O65,'17.01'!$AM$4:$AO$55,3,FALSE))</f>
        <v>0</v>
      </c>
      <c r="H65" s="5">
        <f>(VLOOKUP('17.01'!P65,'17.01'!$AM$4:$AO$55,3,FALSE))</f>
        <v>0</v>
      </c>
      <c r="I65" s="4">
        <f>(VLOOKUP('17.01'!Q65,'17.01'!$AM$4:$AO$55,3,FALSE))</f>
        <v>0</v>
      </c>
      <c r="J65" s="4">
        <f>(VLOOKUP('17.01'!R65,'17.01'!$AM$4:$AO$55,3,FALSE))</f>
        <v>0</v>
      </c>
      <c r="K65" s="4">
        <f>(VLOOKUP('17.01'!S65,'17.01'!$AM$4:$AO$55,3,FALSE))</f>
        <v>0</v>
      </c>
      <c r="L65" s="4">
        <f>(VLOOKUP('17.01'!T65,'17.01'!$AM$4:$AO$55,3,FALSE))</f>
        <v>0</v>
      </c>
      <c r="M65" s="4">
        <f>(VLOOKUP('17.01'!U65,'17.01'!$AM$4:$AO$55,3,FALSE))</f>
        <v>0</v>
      </c>
      <c r="N65" s="4">
        <f>(VLOOKUP('17.01'!V65,'17.01'!$AM$4:$AO$55,3,FALSE))</f>
        <v>0</v>
      </c>
      <c r="O65" s="5">
        <f>(VLOOKUP('17.01'!W65,'17.01'!$AM$4:$AO$55,3,FALSE))</f>
        <v>0</v>
      </c>
      <c r="P65" s="5">
        <f>(VLOOKUP('17.01'!X65,'17.01'!$AM$4:$AO$55,3,FALSE))</f>
        <v>0</v>
      </c>
      <c r="Q65" s="4">
        <f>(VLOOKUP('17.01'!Y65,'17.01'!$AM$4:$AO$55,3,FALSE))</f>
        <v>0</v>
      </c>
      <c r="R65" s="4">
        <f>(VLOOKUP('17.01'!Z65,'17.01'!$AM$4:$AO$55,3,FALSE))</f>
        <v>0</v>
      </c>
      <c r="S65" s="4">
        <f>(VLOOKUP('17.01'!AA65,'17.01'!$AM$4:$AO$55,3,FALSE))</f>
        <v>0</v>
      </c>
      <c r="T65" s="4">
        <f>(VLOOKUP('17.01'!AB65,'17.01'!$AM$4:$AO$55,3,FALSE))</f>
        <v>0</v>
      </c>
      <c r="U65" s="4">
        <f>(VLOOKUP('17.01'!AC65,'17.01'!$AM$4:$AO$55,3,FALSE))</f>
        <v>0</v>
      </c>
      <c r="V65" s="4">
        <f>(VLOOKUP('17.01'!AD65,'17.01'!$AM$4:$AO$55,3,FALSE))</f>
        <v>0</v>
      </c>
      <c r="W65" s="5">
        <f>(VLOOKUP('17.01'!AE65,'17.01'!$AM$4:$AO$55,3,FALSE))</f>
        <v>0</v>
      </c>
      <c r="X65" s="5">
        <f>(VLOOKUP('17.01'!AF65,'17.01'!$AM$4:$AO$55,3,FALSE))</f>
        <v>0</v>
      </c>
    </row>
    <row r="66" spans="1:24">
      <c r="A66" s="4">
        <f>(VLOOKUP('17.01'!I66,'17.01'!$AM$4:$AO$55,3,FALSE))</f>
        <v>0</v>
      </c>
      <c r="B66" s="4">
        <f>(VLOOKUP('17.01'!J66,'17.01'!$AM$4:$AO$55,3,FALSE))</f>
        <v>0</v>
      </c>
      <c r="C66" s="4">
        <f>(VLOOKUP('17.01'!K66,'17.01'!$AM$4:$AO$55,3,FALSE))</f>
        <v>0</v>
      </c>
      <c r="D66" s="4">
        <f>(VLOOKUP('17.01'!L66,'17.01'!$AM$4:$AO$55,3,FALSE))</f>
        <v>0</v>
      </c>
      <c r="E66" s="4">
        <f>(VLOOKUP('17.01'!M66,'17.01'!$AM$4:$AO$55,3,FALSE))</f>
        <v>0</v>
      </c>
      <c r="F66" s="4">
        <f>(VLOOKUP('17.01'!N66,'17.01'!$AM$4:$AO$55,3,FALSE))</f>
        <v>0</v>
      </c>
      <c r="G66" s="5">
        <f>(VLOOKUP('17.01'!O66,'17.01'!$AM$4:$AO$55,3,FALSE))</f>
        <v>0</v>
      </c>
      <c r="H66" s="5">
        <f>(VLOOKUP('17.01'!P66,'17.01'!$AM$4:$AO$55,3,FALSE))</f>
        <v>0</v>
      </c>
      <c r="I66" s="4">
        <f>(VLOOKUP('17.01'!Q66,'17.01'!$AM$4:$AO$55,3,FALSE))</f>
        <v>0</v>
      </c>
      <c r="J66" s="4">
        <f>(VLOOKUP('17.01'!R66,'17.01'!$AM$4:$AO$55,3,FALSE))</f>
        <v>0</v>
      </c>
      <c r="K66" s="4">
        <f>(VLOOKUP('17.01'!S66,'17.01'!$AM$4:$AO$55,3,FALSE))</f>
        <v>0</v>
      </c>
      <c r="L66" s="4">
        <f>(VLOOKUP('17.01'!T66,'17.01'!$AM$4:$AO$55,3,FALSE))</f>
        <v>0</v>
      </c>
      <c r="M66" s="4">
        <f>(VLOOKUP('17.01'!U66,'17.01'!$AM$4:$AO$55,3,FALSE))</f>
        <v>0</v>
      </c>
      <c r="N66" s="4">
        <f>(VLOOKUP('17.01'!V66,'17.01'!$AM$4:$AO$55,3,FALSE))</f>
        <v>0</v>
      </c>
      <c r="O66" s="5">
        <f>(VLOOKUP('17.01'!W66,'17.01'!$AM$4:$AO$55,3,FALSE))</f>
        <v>0</v>
      </c>
      <c r="P66" s="5">
        <f>(VLOOKUP('17.01'!X66,'17.01'!$AM$4:$AO$55,3,FALSE))</f>
        <v>0</v>
      </c>
      <c r="Q66" s="4">
        <f>(VLOOKUP('17.01'!Y66,'17.01'!$AM$4:$AO$55,3,FALSE))</f>
        <v>0</v>
      </c>
      <c r="R66" s="4">
        <f>(VLOOKUP('17.01'!Z66,'17.01'!$AM$4:$AO$55,3,FALSE))</f>
        <v>0</v>
      </c>
      <c r="S66" s="4">
        <f>(VLOOKUP('17.01'!AA66,'17.01'!$AM$4:$AO$55,3,FALSE))</f>
        <v>0</v>
      </c>
      <c r="T66" s="4">
        <f>(VLOOKUP('17.01'!AB66,'17.01'!$AM$4:$AO$55,3,FALSE))</f>
        <v>0</v>
      </c>
      <c r="U66" s="4">
        <f>(VLOOKUP('17.01'!AC66,'17.01'!$AM$4:$AO$55,3,FALSE))</f>
        <v>0</v>
      </c>
      <c r="V66" s="4">
        <f>(VLOOKUP('17.01'!AD66,'17.01'!$AM$4:$AO$55,3,FALSE))</f>
        <v>0</v>
      </c>
      <c r="W66" s="5">
        <f>(VLOOKUP('17.01'!AE66,'17.01'!$AM$4:$AO$55,3,FALSE))</f>
        <v>0</v>
      </c>
      <c r="X66" s="5">
        <f>(VLOOKUP('17.01'!AF66,'17.01'!$AM$4:$AO$55,3,FALSE))</f>
        <v>0</v>
      </c>
    </row>
    <row r="67" spans="1:24">
      <c r="A67" s="4">
        <f>(VLOOKUP('17.01'!I67,'17.01'!$AM$4:$AO$55,3,FALSE))</f>
        <v>0</v>
      </c>
      <c r="B67" s="4">
        <f>(VLOOKUP('17.01'!J67,'17.01'!$AM$4:$AO$55,3,FALSE))</f>
        <v>0</v>
      </c>
      <c r="C67" s="4">
        <f>(VLOOKUP('17.01'!K67,'17.01'!$AM$4:$AO$55,3,FALSE))</f>
        <v>0</v>
      </c>
      <c r="D67" s="4">
        <f>(VLOOKUP('17.01'!L67,'17.01'!$AM$4:$AO$55,3,FALSE))</f>
        <v>0</v>
      </c>
      <c r="E67" s="4">
        <f>(VLOOKUP('17.01'!M67,'17.01'!$AM$4:$AO$55,3,FALSE))</f>
        <v>0</v>
      </c>
      <c r="F67" s="4">
        <f>(VLOOKUP('17.01'!N67,'17.01'!$AM$4:$AO$55,3,FALSE))</f>
        <v>0</v>
      </c>
      <c r="G67" s="5">
        <f>(VLOOKUP('17.01'!O67,'17.01'!$AM$4:$AO$55,3,FALSE))</f>
        <v>0</v>
      </c>
      <c r="H67" s="5">
        <f>(VLOOKUP('17.01'!P67,'17.01'!$AM$4:$AO$55,3,FALSE))</f>
        <v>0</v>
      </c>
      <c r="I67" s="4">
        <f>(VLOOKUP('17.01'!Q67,'17.01'!$AM$4:$AO$55,3,FALSE))</f>
        <v>0</v>
      </c>
      <c r="J67" s="4">
        <f>(VLOOKUP('17.01'!R67,'17.01'!$AM$4:$AO$55,3,FALSE))</f>
        <v>0</v>
      </c>
      <c r="K67" s="4">
        <f>(VLOOKUP('17.01'!S67,'17.01'!$AM$4:$AO$55,3,FALSE))</f>
        <v>0</v>
      </c>
      <c r="L67" s="4">
        <f>(VLOOKUP('17.01'!T67,'17.01'!$AM$4:$AO$55,3,FALSE))</f>
        <v>0</v>
      </c>
      <c r="M67" s="4">
        <f>(VLOOKUP('17.01'!U67,'17.01'!$AM$4:$AO$55,3,FALSE))</f>
        <v>0</v>
      </c>
      <c r="N67" s="4">
        <f>(VLOOKUP('17.01'!V67,'17.01'!$AM$4:$AO$55,3,FALSE))</f>
        <v>0</v>
      </c>
      <c r="O67" s="5">
        <f>(VLOOKUP('17.01'!W67,'17.01'!$AM$4:$AO$55,3,FALSE))</f>
        <v>0</v>
      </c>
      <c r="P67" s="5">
        <f>(VLOOKUP('17.01'!X67,'17.01'!$AM$4:$AO$55,3,FALSE))</f>
        <v>0</v>
      </c>
      <c r="Q67" s="4">
        <f>(VLOOKUP('17.01'!Y67,'17.01'!$AM$4:$AO$55,3,FALSE))</f>
        <v>0</v>
      </c>
      <c r="R67" s="4">
        <f>(VLOOKUP('17.01'!Z67,'17.01'!$AM$4:$AO$55,3,FALSE))</f>
        <v>0</v>
      </c>
      <c r="S67" s="4">
        <f>(VLOOKUP('17.01'!AA67,'17.01'!$AM$4:$AO$55,3,FALSE))</f>
        <v>0</v>
      </c>
      <c r="T67" s="4">
        <f>(VLOOKUP('17.01'!AB67,'17.01'!$AM$4:$AO$55,3,FALSE))</f>
        <v>0</v>
      </c>
      <c r="U67" s="4">
        <f>(VLOOKUP('17.01'!AC67,'17.01'!$AM$4:$AO$55,3,FALSE))</f>
        <v>0</v>
      </c>
      <c r="V67" s="4">
        <f>(VLOOKUP('17.01'!AD67,'17.01'!$AM$4:$AO$55,3,FALSE))</f>
        <v>0</v>
      </c>
      <c r="W67" s="5">
        <f>(VLOOKUP('17.01'!AE67,'17.01'!$AM$4:$AO$55,3,FALSE))</f>
        <v>0</v>
      </c>
      <c r="X67" s="5">
        <f>(VLOOKUP('17.01'!AF67,'17.01'!$AM$4:$AO$55,3,FALSE))</f>
        <v>0</v>
      </c>
    </row>
    <row r="68" spans="1:24">
      <c r="A68" s="4">
        <f>(VLOOKUP('17.01'!I68,'17.01'!$AM$4:$AO$55,3,FALSE))</f>
        <v>0</v>
      </c>
      <c r="B68" s="4">
        <f>(VLOOKUP('17.01'!J68,'17.01'!$AM$4:$AO$55,3,FALSE))</f>
        <v>0</v>
      </c>
      <c r="C68" s="4">
        <f>(VLOOKUP('17.01'!K68,'17.01'!$AM$4:$AO$55,3,FALSE))</f>
        <v>0</v>
      </c>
      <c r="D68" s="4">
        <f>(VLOOKUP('17.01'!L68,'17.01'!$AM$4:$AO$55,3,FALSE))</f>
        <v>0</v>
      </c>
      <c r="E68" s="4">
        <f>(VLOOKUP('17.01'!M68,'17.01'!$AM$4:$AO$55,3,FALSE))</f>
        <v>0</v>
      </c>
      <c r="F68" s="4">
        <f>(VLOOKUP('17.01'!N68,'17.01'!$AM$4:$AO$55,3,FALSE))</f>
        <v>0</v>
      </c>
      <c r="G68" s="5">
        <f>(VLOOKUP('17.01'!O68,'17.01'!$AM$4:$AO$55,3,FALSE))</f>
        <v>0</v>
      </c>
      <c r="H68" s="5">
        <f>(VLOOKUP('17.01'!P68,'17.01'!$AM$4:$AO$55,3,FALSE))</f>
        <v>0</v>
      </c>
      <c r="I68" s="4">
        <f>(VLOOKUP('17.01'!Q68,'17.01'!$AM$4:$AO$55,3,FALSE))</f>
        <v>0</v>
      </c>
      <c r="J68" s="4">
        <f>(VLOOKUP('17.01'!R68,'17.01'!$AM$4:$AO$55,3,FALSE))</f>
        <v>0</v>
      </c>
      <c r="K68" s="4">
        <f>(VLOOKUP('17.01'!S68,'17.01'!$AM$4:$AO$55,3,FALSE))</f>
        <v>0</v>
      </c>
      <c r="L68" s="4">
        <f>(VLOOKUP('17.01'!T68,'17.01'!$AM$4:$AO$55,3,FALSE))</f>
        <v>0</v>
      </c>
      <c r="M68" s="4">
        <f>(VLOOKUP('17.01'!U68,'17.01'!$AM$4:$AO$55,3,FALSE))</f>
        <v>0</v>
      </c>
      <c r="N68" s="4">
        <f>(VLOOKUP('17.01'!V68,'17.01'!$AM$4:$AO$55,3,FALSE))</f>
        <v>0</v>
      </c>
      <c r="O68" s="5">
        <f>(VLOOKUP('17.01'!W68,'17.01'!$AM$4:$AO$55,3,FALSE))</f>
        <v>0</v>
      </c>
      <c r="P68" s="5">
        <f>(VLOOKUP('17.01'!X68,'17.01'!$AM$4:$AO$55,3,FALSE))</f>
        <v>0</v>
      </c>
      <c r="Q68" s="4">
        <f>(VLOOKUP('17.01'!Y68,'17.01'!$AM$4:$AO$55,3,FALSE))</f>
        <v>0</v>
      </c>
      <c r="R68" s="4">
        <f>(VLOOKUP('17.01'!Z68,'17.01'!$AM$4:$AO$55,3,FALSE))</f>
        <v>0</v>
      </c>
      <c r="S68" s="4">
        <f>(VLOOKUP('17.01'!AA68,'17.01'!$AM$4:$AO$55,3,FALSE))</f>
        <v>0</v>
      </c>
      <c r="T68" s="4">
        <f>(VLOOKUP('17.01'!AB68,'17.01'!$AM$4:$AO$55,3,FALSE))</f>
        <v>0</v>
      </c>
      <c r="U68" s="4">
        <f>(VLOOKUP('17.01'!AC68,'17.01'!$AM$4:$AO$55,3,FALSE))</f>
        <v>0</v>
      </c>
      <c r="V68" s="4">
        <f>(VLOOKUP('17.01'!AD68,'17.01'!$AM$4:$AO$55,3,FALSE))</f>
        <v>0</v>
      </c>
      <c r="W68" s="5">
        <f>(VLOOKUP('17.01'!AE68,'17.01'!$AM$4:$AO$55,3,FALSE))</f>
        <v>0</v>
      </c>
      <c r="X68" s="5">
        <f>(VLOOKUP('17.01'!AF68,'17.01'!$AM$4:$AO$55,3,FALSE))</f>
        <v>0</v>
      </c>
    </row>
    <row r="69" spans="1:24">
      <c r="A69" s="4">
        <f>(VLOOKUP('17.01'!I69,'17.01'!$AM$4:$AO$55,3,FALSE))</f>
        <v>0</v>
      </c>
      <c r="B69" s="4">
        <f>(VLOOKUP('17.01'!J69,'17.01'!$AM$4:$AO$55,3,FALSE))</f>
        <v>0</v>
      </c>
      <c r="C69" s="4">
        <f>(VLOOKUP('17.01'!K69,'17.01'!$AM$4:$AO$55,3,FALSE))</f>
        <v>0</v>
      </c>
      <c r="D69" s="4">
        <f>(VLOOKUP('17.01'!L69,'17.01'!$AM$4:$AO$55,3,FALSE))</f>
        <v>0</v>
      </c>
      <c r="E69" s="4">
        <f>(VLOOKUP('17.01'!M69,'17.01'!$AM$4:$AO$55,3,FALSE))</f>
        <v>0</v>
      </c>
      <c r="F69" s="4">
        <f>(VLOOKUP('17.01'!N69,'17.01'!$AM$4:$AO$55,3,FALSE))</f>
        <v>0</v>
      </c>
      <c r="G69" s="5">
        <f>(VLOOKUP('17.01'!O69,'17.01'!$AM$4:$AO$55,3,FALSE))</f>
        <v>0</v>
      </c>
      <c r="H69" s="5">
        <f>(VLOOKUP('17.01'!P69,'17.01'!$AM$4:$AO$55,3,FALSE))</f>
        <v>0</v>
      </c>
      <c r="I69" s="4">
        <f>(VLOOKUP('17.01'!Q69,'17.01'!$AM$4:$AO$55,3,FALSE))</f>
        <v>0</v>
      </c>
      <c r="J69" s="4">
        <f>(VLOOKUP('17.01'!R69,'17.01'!$AM$4:$AO$55,3,FALSE))</f>
        <v>0</v>
      </c>
      <c r="K69" s="4">
        <f>(VLOOKUP('17.01'!S69,'17.01'!$AM$4:$AO$55,3,FALSE))</f>
        <v>0</v>
      </c>
      <c r="L69" s="4">
        <f>(VLOOKUP('17.01'!T69,'17.01'!$AM$4:$AO$55,3,FALSE))</f>
        <v>0</v>
      </c>
      <c r="M69" s="4">
        <f>(VLOOKUP('17.01'!U69,'17.01'!$AM$4:$AO$55,3,FALSE))</f>
        <v>0</v>
      </c>
      <c r="N69" s="4">
        <f>(VLOOKUP('17.01'!V69,'17.01'!$AM$4:$AO$55,3,FALSE))</f>
        <v>0</v>
      </c>
      <c r="O69" s="5">
        <f>(VLOOKUP('17.01'!W69,'17.01'!$AM$4:$AO$55,3,FALSE))</f>
        <v>0</v>
      </c>
      <c r="P69" s="5">
        <f>(VLOOKUP('17.01'!X69,'17.01'!$AM$4:$AO$55,3,FALSE))</f>
        <v>0</v>
      </c>
      <c r="Q69" s="4">
        <f>(VLOOKUP('17.01'!Y69,'17.01'!$AM$4:$AO$55,3,FALSE))</f>
        <v>0</v>
      </c>
      <c r="R69" s="4">
        <f>(VLOOKUP('17.01'!Z69,'17.01'!$AM$4:$AO$55,3,FALSE))</f>
        <v>0</v>
      </c>
      <c r="S69" s="4">
        <f>(VLOOKUP('17.01'!AA69,'17.01'!$AM$4:$AO$55,3,FALSE))</f>
        <v>0</v>
      </c>
      <c r="T69" s="4">
        <f>(VLOOKUP('17.01'!AB69,'17.01'!$AM$4:$AO$55,3,FALSE))</f>
        <v>0</v>
      </c>
      <c r="U69" s="4">
        <f>(VLOOKUP('17.01'!AC69,'17.01'!$AM$4:$AO$55,3,FALSE))</f>
        <v>0</v>
      </c>
      <c r="V69" s="4">
        <f>(VLOOKUP('17.01'!AD69,'17.01'!$AM$4:$AO$55,3,FALSE))</f>
        <v>0</v>
      </c>
      <c r="W69" s="5">
        <f>(VLOOKUP('17.01'!AE69,'17.01'!$AM$4:$AO$55,3,FALSE))</f>
        <v>0</v>
      </c>
      <c r="X69" s="5">
        <f>(VLOOKUP('17.01'!AF69,'17.01'!$AM$4:$AO$55,3,FALSE))</f>
        <v>0</v>
      </c>
    </row>
    <row r="70" spans="1:24">
      <c r="A70" s="4">
        <f>(VLOOKUP('17.01'!I70,'17.01'!$AM$4:$AO$55,3,FALSE))</f>
        <v>0</v>
      </c>
      <c r="B70" s="4">
        <f>(VLOOKUP('17.01'!J70,'17.01'!$AM$4:$AO$55,3,FALSE))</f>
        <v>0</v>
      </c>
      <c r="C70" s="4">
        <f>(VLOOKUP('17.01'!K70,'17.01'!$AM$4:$AO$55,3,FALSE))</f>
        <v>0</v>
      </c>
      <c r="D70" s="4">
        <f>(VLOOKUP('17.01'!L70,'17.01'!$AM$4:$AO$55,3,FALSE))</f>
        <v>0</v>
      </c>
      <c r="E70" s="4">
        <f>(VLOOKUP('17.01'!M70,'17.01'!$AM$4:$AO$55,3,FALSE))</f>
        <v>0</v>
      </c>
      <c r="F70" s="4">
        <f>(VLOOKUP('17.01'!N70,'17.01'!$AM$4:$AO$55,3,FALSE))</f>
        <v>0</v>
      </c>
      <c r="G70" s="5">
        <f>(VLOOKUP('17.01'!O70,'17.01'!$AM$4:$AO$55,3,FALSE))</f>
        <v>0</v>
      </c>
      <c r="H70" s="5">
        <f>(VLOOKUP('17.01'!P70,'17.01'!$AM$4:$AO$55,3,FALSE))</f>
        <v>0</v>
      </c>
      <c r="I70" s="4">
        <f>(VLOOKUP('17.01'!Q70,'17.01'!$AM$4:$AO$55,3,FALSE))</f>
        <v>0</v>
      </c>
      <c r="J70" s="4">
        <f>(VLOOKUP('17.01'!R70,'17.01'!$AM$4:$AO$55,3,FALSE))</f>
        <v>0</v>
      </c>
      <c r="K70" s="4">
        <f>(VLOOKUP('17.01'!S70,'17.01'!$AM$4:$AO$55,3,FALSE))</f>
        <v>0</v>
      </c>
      <c r="L70" s="4">
        <f>(VLOOKUP('17.01'!T70,'17.01'!$AM$4:$AO$55,3,FALSE))</f>
        <v>0</v>
      </c>
      <c r="M70" s="4">
        <f>(VLOOKUP('17.01'!U70,'17.01'!$AM$4:$AO$55,3,FALSE))</f>
        <v>0</v>
      </c>
      <c r="N70" s="4">
        <f>(VLOOKUP('17.01'!V70,'17.01'!$AM$4:$AO$55,3,FALSE))</f>
        <v>0</v>
      </c>
      <c r="O70" s="5">
        <f>(VLOOKUP('17.01'!W70,'17.01'!$AM$4:$AO$55,3,FALSE))</f>
        <v>0</v>
      </c>
      <c r="P70" s="5">
        <f>(VLOOKUP('17.01'!X70,'17.01'!$AM$4:$AO$55,3,FALSE))</f>
        <v>0</v>
      </c>
      <c r="Q70" s="4">
        <f>(VLOOKUP('17.01'!Y70,'17.01'!$AM$4:$AO$55,3,FALSE))</f>
        <v>0</v>
      </c>
      <c r="R70" s="4">
        <f>(VLOOKUP('17.01'!Z70,'17.01'!$AM$4:$AO$55,3,FALSE))</f>
        <v>0</v>
      </c>
      <c r="S70" s="4">
        <f>(VLOOKUP('17.01'!AA70,'17.01'!$AM$4:$AO$55,3,FALSE))</f>
        <v>0</v>
      </c>
      <c r="T70" s="4">
        <f>(VLOOKUP('17.01'!AB70,'17.01'!$AM$4:$AO$55,3,FALSE))</f>
        <v>0</v>
      </c>
      <c r="U70" s="4">
        <f>(VLOOKUP('17.01'!AC70,'17.01'!$AM$4:$AO$55,3,FALSE))</f>
        <v>0</v>
      </c>
      <c r="V70" s="4">
        <f>(VLOOKUP('17.01'!AD70,'17.01'!$AM$4:$AO$55,3,FALSE))</f>
        <v>0</v>
      </c>
      <c r="W70" s="5">
        <f>(VLOOKUP('17.01'!AE70,'17.01'!$AM$4:$AO$55,3,FALSE))</f>
        <v>0</v>
      </c>
      <c r="X70" s="5">
        <f>(VLOOKUP('17.01'!AF70,'17.01'!$AM$4:$AO$55,3,FALSE))</f>
        <v>0</v>
      </c>
    </row>
    <row r="71" spans="1:24">
      <c r="A71" s="4">
        <f>(VLOOKUP('17.01'!I71,'17.01'!$AM$4:$AO$55,3,FALSE))</f>
        <v>0</v>
      </c>
      <c r="B71" s="4">
        <f>(VLOOKUP('17.01'!J71,'17.01'!$AM$4:$AO$55,3,FALSE))</f>
        <v>0</v>
      </c>
      <c r="C71" s="4">
        <f>(VLOOKUP('17.01'!K71,'17.01'!$AM$4:$AO$55,3,FALSE))</f>
        <v>0</v>
      </c>
      <c r="D71" s="4">
        <f>(VLOOKUP('17.01'!L71,'17.01'!$AM$4:$AO$55,3,FALSE))</f>
        <v>0</v>
      </c>
      <c r="E71" s="4">
        <f>(VLOOKUP('17.01'!M71,'17.01'!$AM$4:$AO$55,3,FALSE))</f>
        <v>0</v>
      </c>
      <c r="F71" s="4">
        <f>(VLOOKUP('17.01'!N71,'17.01'!$AM$4:$AO$55,3,FALSE))</f>
        <v>0</v>
      </c>
      <c r="G71" s="5">
        <f>(VLOOKUP('17.01'!O71,'17.01'!$AM$4:$AO$55,3,FALSE))</f>
        <v>0</v>
      </c>
      <c r="H71" s="5">
        <f>(VLOOKUP('17.01'!P71,'17.01'!$AM$4:$AO$55,3,FALSE))</f>
        <v>0</v>
      </c>
      <c r="I71" s="4">
        <f>(VLOOKUP('17.01'!Q71,'17.01'!$AM$4:$AO$55,3,FALSE))</f>
        <v>0</v>
      </c>
      <c r="J71" s="4">
        <f>(VLOOKUP('17.01'!R71,'17.01'!$AM$4:$AO$55,3,FALSE))</f>
        <v>0</v>
      </c>
      <c r="K71" s="4">
        <f>(VLOOKUP('17.01'!S71,'17.01'!$AM$4:$AO$55,3,FALSE))</f>
        <v>0</v>
      </c>
      <c r="L71" s="4">
        <f>(VLOOKUP('17.01'!T71,'17.01'!$AM$4:$AO$55,3,FALSE))</f>
        <v>0</v>
      </c>
      <c r="M71" s="4">
        <f>(VLOOKUP('17.01'!U71,'17.01'!$AM$4:$AO$55,3,FALSE))</f>
        <v>0</v>
      </c>
      <c r="N71" s="4">
        <f>(VLOOKUP('17.01'!V71,'17.01'!$AM$4:$AO$55,3,FALSE))</f>
        <v>0</v>
      </c>
      <c r="O71" s="5">
        <f>(VLOOKUP('17.01'!W71,'17.01'!$AM$4:$AO$55,3,FALSE))</f>
        <v>0</v>
      </c>
      <c r="P71" s="5">
        <f>(VLOOKUP('17.01'!X71,'17.01'!$AM$4:$AO$55,3,FALSE))</f>
        <v>0</v>
      </c>
      <c r="Q71" s="4">
        <f>(VLOOKUP('17.01'!Y71,'17.01'!$AM$4:$AO$55,3,FALSE))</f>
        <v>0</v>
      </c>
      <c r="R71" s="4">
        <f>(VLOOKUP('17.01'!Z71,'17.01'!$AM$4:$AO$55,3,FALSE))</f>
        <v>0</v>
      </c>
      <c r="S71" s="4">
        <f>(VLOOKUP('17.01'!AA71,'17.01'!$AM$4:$AO$55,3,FALSE))</f>
        <v>0</v>
      </c>
      <c r="T71" s="4">
        <f>(VLOOKUP('17.01'!AB71,'17.01'!$AM$4:$AO$55,3,FALSE))</f>
        <v>0</v>
      </c>
      <c r="U71" s="4">
        <f>(VLOOKUP('17.01'!AC71,'17.01'!$AM$4:$AO$55,3,FALSE))</f>
        <v>0</v>
      </c>
      <c r="V71" s="4">
        <f>(VLOOKUP('17.01'!AD71,'17.01'!$AM$4:$AO$55,3,FALSE))</f>
        <v>0</v>
      </c>
      <c r="W71" s="5">
        <f>(VLOOKUP('17.01'!AE71,'17.01'!$AM$4:$AO$55,3,FALSE))</f>
        <v>0</v>
      </c>
      <c r="X71" s="5">
        <f>(VLOOKUP('17.01'!AF71,'17.01'!$AM$4:$AO$55,3,FALSE))</f>
        <v>0</v>
      </c>
    </row>
    <row r="72" spans="1:24">
      <c r="A72" s="4">
        <f>(VLOOKUP('17.01'!I72,'17.01'!$AM$4:$AO$55,3,FALSE))</f>
        <v>0</v>
      </c>
      <c r="B72" s="4">
        <f>(VLOOKUP('17.01'!J72,'17.01'!$AM$4:$AO$55,3,FALSE))</f>
        <v>0</v>
      </c>
      <c r="C72" s="4">
        <f>(VLOOKUP('17.01'!K72,'17.01'!$AM$4:$AO$55,3,FALSE))</f>
        <v>0</v>
      </c>
      <c r="D72" s="4">
        <f>(VLOOKUP('17.01'!L72,'17.01'!$AM$4:$AO$55,3,FALSE))</f>
        <v>0</v>
      </c>
      <c r="E72" s="4">
        <f>(VLOOKUP('17.01'!M72,'17.01'!$AM$4:$AO$55,3,FALSE))</f>
        <v>0</v>
      </c>
      <c r="F72" s="4">
        <f>(VLOOKUP('17.01'!N72,'17.01'!$AM$4:$AO$55,3,FALSE))</f>
        <v>0</v>
      </c>
      <c r="G72" s="5">
        <f>(VLOOKUP('17.01'!O72,'17.01'!$AM$4:$AO$55,3,FALSE))</f>
        <v>0</v>
      </c>
      <c r="H72" s="5">
        <f>(VLOOKUP('17.01'!P72,'17.01'!$AM$4:$AO$55,3,FALSE))</f>
        <v>0</v>
      </c>
      <c r="I72" s="4">
        <f>(VLOOKUP('17.01'!Q72,'17.01'!$AM$4:$AO$55,3,FALSE))</f>
        <v>0</v>
      </c>
      <c r="J72" s="4">
        <f>(VLOOKUP('17.01'!R72,'17.01'!$AM$4:$AO$55,3,FALSE))</f>
        <v>0</v>
      </c>
      <c r="K72" s="4">
        <f>(VLOOKUP('17.01'!S72,'17.01'!$AM$4:$AO$55,3,FALSE))</f>
        <v>0</v>
      </c>
      <c r="L72" s="4">
        <f>(VLOOKUP('17.01'!T72,'17.01'!$AM$4:$AO$55,3,FALSE))</f>
        <v>0</v>
      </c>
      <c r="M72" s="4">
        <f>(VLOOKUP('17.01'!U72,'17.01'!$AM$4:$AO$55,3,FALSE))</f>
        <v>0</v>
      </c>
      <c r="N72" s="4">
        <f>(VLOOKUP('17.01'!V72,'17.01'!$AM$4:$AO$55,3,FALSE))</f>
        <v>0</v>
      </c>
      <c r="O72" s="5">
        <f>(VLOOKUP('17.01'!W72,'17.01'!$AM$4:$AO$55,3,FALSE))</f>
        <v>0</v>
      </c>
      <c r="P72" s="5">
        <f>(VLOOKUP('17.01'!X72,'17.01'!$AM$4:$AO$55,3,FALSE))</f>
        <v>0</v>
      </c>
      <c r="Q72" s="4">
        <f>(VLOOKUP('17.01'!Y72,'17.01'!$AM$4:$AO$55,3,FALSE))</f>
        <v>0</v>
      </c>
      <c r="R72" s="4">
        <f>(VLOOKUP('17.01'!Z72,'17.01'!$AM$4:$AO$55,3,FALSE))</f>
        <v>0</v>
      </c>
      <c r="S72" s="4">
        <f>(VLOOKUP('17.01'!AA72,'17.01'!$AM$4:$AO$55,3,FALSE))</f>
        <v>0</v>
      </c>
      <c r="T72" s="4">
        <f>(VLOOKUP('17.01'!AB72,'17.01'!$AM$4:$AO$55,3,FALSE))</f>
        <v>0</v>
      </c>
      <c r="U72" s="4">
        <f>(VLOOKUP('17.01'!AC72,'17.01'!$AM$4:$AO$55,3,FALSE))</f>
        <v>0</v>
      </c>
      <c r="V72" s="4">
        <f>(VLOOKUP('17.01'!AD72,'17.01'!$AM$4:$AO$55,3,FALSE))</f>
        <v>0</v>
      </c>
      <c r="W72" s="5">
        <f>(VLOOKUP('17.01'!AE72,'17.01'!$AM$4:$AO$55,3,FALSE))</f>
        <v>0</v>
      </c>
      <c r="X72" s="5">
        <f>(VLOOKUP('17.01'!AF72,'17.01'!$AM$4:$AO$55,3,FALSE))</f>
        <v>0</v>
      </c>
    </row>
    <row r="73" spans="1:24">
      <c r="A73" s="4">
        <f>(VLOOKUP('17.01'!I73,'17.01'!$AM$4:$AO$55,3,FALSE))</f>
        <v>0</v>
      </c>
      <c r="B73" s="4">
        <f>(VLOOKUP('17.01'!J73,'17.01'!$AM$4:$AO$55,3,FALSE))</f>
        <v>0</v>
      </c>
      <c r="C73" s="4">
        <f>(VLOOKUP('17.01'!K73,'17.01'!$AM$4:$AO$55,3,FALSE))</f>
        <v>0</v>
      </c>
      <c r="D73" s="4">
        <f>(VLOOKUP('17.01'!L73,'17.01'!$AM$4:$AO$55,3,FALSE))</f>
        <v>0</v>
      </c>
      <c r="E73" s="4">
        <f>(VLOOKUP('17.01'!M73,'17.01'!$AM$4:$AO$55,3,FALSE))</f>
        <v>0</v>
      </c>
      <c r="F73" s="4">
        <f>(VLOOKUP('17.01'!N73,'17.01'!$AM$4:$AO$55,3,FALSE))</f>
        <v>0</v>
      </c>
      <c r="G73" s="5">
        <f>(VLOOKUP('17.01'!O73,'17.01'!$AM$4:$AO$55,3,FALSE))</f>
        <v>0</v>
      </c>
      <c r="H73" s="5">
        <f>(VLOOKUP('17.01'!P73,'17.01'!$AM$4:$AO$55,3,FALSE))</f>
        <v>0</v>
      </c>
      <c r="I73" s="4">
        <f>(VLOOKUP('17.01'!Q73,'17.01'!$AM$4:$AO$55,3,FALSE))</f>
        <v>0</v>
      </c>
      <c r="J73" s="4">
        <f>(VLOOKUP('17.01'!R73,'17.01'!$AM$4:$AO$55,3,FALSE))</f>
        <v>0</v>
      </c>
      <c r="K73" s="4">
        <f>(VLOOKUP('17.01'!S73,'17.01'!$AM$4:$AO$55,3,FALSE))</f>
        <v>0</v>
      </c>
      <c r="L73" s="4">
        <f>(VLOOKUP('17.01'!T73,'17.01'!$AM$4:$AO$55,3,FALSE))</f>
        <v>0</v>
      </c>
      <c r="M73" s="4">
        <f>(VLOOKUP('17.01'!U73,'17.01'!$AM$4:$AO$55,3,FALSE))</f>
        <v>0</v>
      </c>
      <c r="N73" s="4">
        <f>(VLOOKUP('17.01'!V73,'17.01'!$AM$4:$AO$55,3,FALSE))</f>
        <v>0</v>
      </c>
      <c r="O73" s="5">
        <f>(VLOOKUP('17.01'!W73,'17.01'!$AM$4:$AO$55,3,FALSE))</f>
        <v>0</v>
      </c>
      <c r="P73" s="5">
        <f>(VLOOKUP('17.01'!X73,'17.01'!$AM$4:$AO$55,3,FALSE))</f>
        <v>0</v>
      </c>
      <c r="Q73" s="4">
        <f>(VLOOKUP('17.01'!Y73,'17.01'!$AM$4:$AO$55,3,FALSE))</f>
        <v>0</v>
      </c>
      <c r="R73" s="4">
        <f>(VLOOKUP('17.01'!Z73,'17.01'!$AM$4:$AO$55,3,FALSE))</f>
        <v>0</v>
      </c>
      <c r="S73" s="4">
        <f>(VLOOKUP('17.01'!AA73,'17.01'!$AM$4:$AO$55,3,FALSE))</f>
        <v>0</v>
      </c>
      <c r="T73" s="4">
        <f>(VLOOKUP('17.01'!AB73,'17.01'!$AM$4:$AO$55,3,FALSE))</f>
        <v>0</v>
      </c>
      <c r="U73" s="4">
        <f>(VLOOKUP('17.01'!AC73,'17.01'!$AM$4:$AO$55,3,FALSE))</f>
        <v>0</v>
      </c>
      <c r="V73" s="4">
        <f>(VLOOKUP('17.01'!AD73,'17.01'!$AM$4:$AO$55,3,FALSE))</f>
        <v>0</v>
      </c>
      <c r="W73" s="5">
        <f>(VLOOKUP('17.01'!AE73,'17.01'!$AM$4:$AO$55,3,FALSE))</f>
        <v>0</v>
      </c>
      <c r="X73" s="5">
        <f>(VLOOKUP('17.01'!AF73,'17.01'!$AM$4:$AO$55,3,FALSE))</f>
        <v>0</v>
      </c>
    </row>
    <row r="74" spans="1:24">
      <c r="A74" s="4">
        <f>(VLOOKUP('17.01'!I74,'17.01'!$AM$4:$AO$55,3,FALSE))</f>
        <v>0</v>
      </c>
      <c r="B74" s="4">
        <f>(VLOOKUP('17.01'!J74,'17.01'!$AM$4:$AO$55,3,FALSE))</f>
        <v>0</v>
      </c>
      <c r="C74" s="4">
        <f>(VLOOKUP('17.01'!K74,'17.01'!$AM$4:$AO$55,3,FALSE))</f>
        <v>0</v>
      </c>
      <c r="D74" s="4">
        <f>(VLOOKUP('17.01'!L74,'17.01'!$AM$4:$AO$55,3,FALSE))</f>
        <v>0</v>
      </c>
      <c r="E74" s="4">
        <f>(VLOOKUP('17.01'!M74,'17.01'!$AM$4:$AO$55,3,FALSE))</f>
        <v>0</v>
      </c>
      <c r="F74" s="4">
        <f>(VLOOKUP('17.01'!N74,'17.01'!$AM$4:$AO$55,3,FALSE))</f>
        <v>0</v>
      </c>
      <c r="G74" s="5">
        <f>(VLOOKUP('17.01'!O74,'17.01'!$AM$4:$AO$55,3,FALSE))</f>
        <v>0</v>
      </c>
      <c r="H74" s="5">
        <f>(VLOOKUP('17.01'!P74,'17.01'!$AM$4:$AO$55,3,FALSE))</f>
        <v>0</v>
      </c>
      <c r="I74" s="4">
        <f>(VLOOKUP('17.01'!Q74,'17.01'!$AM$4:$AO$55,3,FALSE))</f>
        <v>0</v>
      </c>
      <c r="J74" s="4">
        <f>(VLOOKUP('17.01'!R74,'17.01'!$AM$4:$AO$55,3,FALSE))</f>
        <v>0</v>
      </c>
      <c r="K74" s="4">
        <f>(VLOOKUP('17.01'!S74,'17.01'!$AM$4:$AO$55,3,FALSE))</f>
        <v>0</v>
      </c>
      <c r="L74" s="4">
        <f>(VLOOKUP('17.01'!T74,'17.01'!$AM$4:$AO$55,3,FALSE))</f>
        <v>0</v>
      </c>
      <c r="M74" s="4">
        <f>(VLOOKUP('17.01'!U74,'17.01'!$AM$4:$AO$55,3,FALSE))</f>
        <v>0</v>
      </c>
      <c r="N74" s="4">
        <f>(VLOOKUP('17.01'!V74,'17.01'!$AM$4:$AO$55,3,FALSE))</f>
        <v>0</v>
      </c>
      <c r="O74" s="5">
        <f>(VLOOKUP('17.01'!W74,'17.01'!$AM$4:$AO$55,3,FALSE))</f>
        <v>0</v>
      </c>
      <c r="P74" s="5">
        <f>(VLOOKUP('17.01'!X74,'17.01'!$AM$4:$AO$55,3,FALSE))</f>
        <v>0</v>
      </c>
      <c r="Q74" s="4">
        <f>(VLOOKUP('17.01'!Y74,'17.01'!$AM$4:$AO$55,3,FALSE))</f>
        <v>0</v>
      </c>
      <c r="R74" s="4">
        <f>(VLOOKUP('17.01'!Z74,'17.01'!$AM$4:$AO$55,3,FALSE))</f>
        <v>0</v>
      </c>
      <c r="S74" s="4">
        <f>(VLOOKUP('17.01'!AA74,'17.01'!$AM$4:$AO$55,3,FALSE))</f>
        <v>0</v>
      </c>
      <c r="T74" s="4">
        <f>(VLOOKUP('17.01'!AB74,'17.01'!$AM$4:$AO$55,3,FALSE))</f>
        <v>0</v>
      </c>
      <c r="U74" s="4">
        <f>(VLOOKUP('17.01'!AC74,'17.01'!$AM$4:$AO$55,3,FALSE))</f>
        <v>0</v>
      </c>
      <c r="V74" s="4">
        <f>(VLOOKUP('17.01'!AD74,'17.01'!$AM$4:$AO$55,3,FALSE))</f>
        <v>0</v>
      </c>
      <c r="W74" s="5">
        <f>(VLOOKUP('17.01'!AE74,'17.01'!$AM$4:$AO$55,3,FALSE))</f>
        <v>0</v>
      </c>
      <c r="X74" s="5">
        <f>(VLOOKUP('17.01'!AF74,'17.01'!$AM$4:$AO$55,3,FALSE))</f>
        <v>0</v>
      </c>
    </row>
    <row r="75" spans="1:24">
      <c r="A75" s="4">
        <f>(VLOOKUP('17.01'!I75,'17.01'!$AM$4:$AO$55,3,FALSE))</f>
        <v>0</v>
      </c>
      <c r="B75" s="4">
        <f>(VLOOKUP('17.01'!J75,'17.01'!$AM$4:$AO$55,3,FALSE))</f>
        <v>0</v>
      </c>
      <c r="C75" s="4">
        <f>(VLOOKUP('17.01'!K75,'17.01'!$AM$4:$AO$55,3,FALSE))</f>
        <v>0</v>
      </c>
      <c r="D75" s="4">
        <f>(VLOOKUP('17.01'!L75,'17.01'!$AM$4:$AO$55,3,FALSE))</f>
        <v>0</v>
      </c>
      <c r="E75" s="4">
        <f>(VLOOKUP('17.01'!M75,'17.01'!$AM$4:$AO$55,3,FALSE))</f>
        <v>0</v>
      </c>
      <c r="F75" s="4">
        <f>(VLOOKUP('17.01'!N75,'17.01'!$AM$4:$AO$55,3,FALSE))</f>
        <v>0</v>
      </c>
      <c r="G75" s="5">
        <f>(VLOOKUP('17.01'!O75,'17.01'!$AM$4:$AO$55,3,FALSE))</f>
        <v>0</v>
      </c>
      <c r="H75" s="5">
        <f>(VLOOKUP('17.01'!P75,'17.01'!$AM$4:$AO$55,3,FALSE))</f>
        <v>0</v>
      </c>
      <c r="I75" s="4">
        <f>(VLOOKUP('17.01'!Q75,'17.01'!$AM$4:$AO$55,3,FALSE))</f>
        <v>0</v>
      </c>
      <c r="J75" s="4">
        <f>(VLOOKUP('17.01'!R75,'17.01'!$AM$4:$AO$55,3,FALSE))</f>
        <v>0</v>
      </c>
      <c r="K75" s="4">
        <f>(VLOOKUP('17.01'!S75,'17.01'!$AM$4:$AO$55,3,FALSE))</f>
        <v>0</v>
      </c>
      <c r="L75" s="4">
        <f>(VLOOKUP('17.01'!T75,'17.01'!$AM$4:$AO$55,3,FALSE))</f>
        <v>0</v>
      </c>
      <c r="M75" s="4">
        <f>(VLOOKUP('17.01'!U75,'17.01'!$AM$4:$AO$55,3,FALSE))</f>
        <v>0</v>
      </c>
      <c r="N75" s="4">
        <f>(VLOOKUP('17.01'!V75,'17.01'!$AM$4:$AO$55,3,FALSE))</f>
        <v>0</v>
      </c>
      <c r="O75" s="5">
        <f>(VLOOKUP('17.01'!W75,'17.01'!$AM$4:$AO$55,3,FALSE))</f>
        <v>0</v>
      </c>
      <c r="P75" s="5">
        <f>(VLOOKUP('17.01'!X75,'17.01'!$AM$4:$AO$55,3,FALSE))</f>
        <v>0</v>
      </c>
      <c r="Q75" s="4">
        <f>(VLOOKUP('17.01'!Y75,'17.01'!$AM$4:$AO$55,3,FALSE))</f>
        <v>0</v>
      </c>
      <c r="R75" s="4">
        <f>(VLOOKUP('17.01'!Z75,'17.01'!$AM$4:$AO$55,3,FALSE))</f>
        <v>0</v>
      </c>
      <c r="S75" s="4">
        <f>(VLOOKUP('17.01'!AA75,'17.01'!$AM$4:$AO$55,3,FALSE))</f>
        <v>0</v>
      </c>
      <c r="T75" s="4">
        <f>(VLOOKUP('17.01'!AB75,'17.01'!$AM$4:$AO$55,3,FALSE))</f>
        <v>0</v>
      </c>
      <c r="U75" s="4">
        <f>(VLOOKUP('17.01'!AC75,'17.01'!$AM$4:$AO$55,3,FALSE))</f>
        <v>0</v>
      </c>
      <c r="V75" s="4">
        <f>(VLOOKUP('17.01'!AD75,'17.01'!$AM$4:$AO$55,3,FALSE))</f>
        <v>0</v>
      </c>
      <c r="W75" s="5">
        <f>(VLOOKUP('17.01'!AE75,'17.01'!$AM$4:$AO$55,3,FALSE))</f>
        <v>0</v>
      </c>
      <c r="X75" s="5">
        <f>(VLOOKUP('17.01'!AF75,'17.01'!$AM$4:$AO$55,3,FALSE))</f>
        <v>0</v>
      </c>
    </row>
    <row r="76" spans="1:24">
      <c r="A76" s="4">
        <f>(VLOOKUP('17.01'!I76,'17.01'!$AM$4:$AO$55,3,FALSE))</f>
        <v>0</v>
      </c>
      <c r="B76" s="4">
        <f>(VLOOKUP('17.01'!J76,'17.01'!$AM$4:$AO$55,3,FALSE))</f>
        <v>0</v>
      </c>
      <c r="C76" s="4">
        <f>(VLOOKUP('17.01'!K76,'17.01'!$AM$4:$AO$55,3,FALSE))</f>
        <v>0</v>
      </c>
      <c r="D76" s="4">
        <f>(VLOOKUP('17.01'!L76,'17.01'!$AM$4:$AO$55,3,FALSE))</f>
        <v>0</v>
      </c>
      <c r="E76" s="4">
        <f>(VLOOKUP('17.01'!M76,'17.01'!$AM$4:$AO$55,3,FALSE))</f>
        <v>0</v>
      </c>
      <c r="F76" s="4">
        <f>(VLOOKUP('17.01'!N76,'17.01'!$AM$4:$AO$55,3,FALSE))</f>
        <v>0</v>
      </c>
      <c r="G76" s="5">
        <f>(VLOOKUP('17.01'!O76,'17.01'!$AM$4:$AO$55,3,FALSE))</f>
        <v>0</v>
      </c>
      <c r="H76" s="5">
        <f>(VLOOKUP('17.01'!P76,'17.01'!$AM$4:$AO$55,3,FALSE))</f>
        <v>0</v>
      </c>
      <c r="I76" s="4">
        <f>(VLOOKUP('17.01'!Q76,'17.01'!$AM$4:$AO$55,3,FALSE))</f>
        <v>0</v>
      </c>
      <c r="J76" s="4">
        <f>(VLOOKUP('17.01'!R76,'17.01'!$AM$4:$AO$55,3,FALSE))</f>
        <v>0</v>
      </c>
      <c r="K76" s="4">
        <f>(VLOOKUP('17.01'!S76,'17.01'!$AM$4:$AO$55,3,FALSE))</f>
        <v>0</v>
      </c>
      <c r="L76" s="4">
        <f>(VLOOKUP('17.01'!T76,'17.01'!$AM$4:$AO$55,3,FALSE))</f>
        <v>0</v>
      </c>
      <c r="M76" s="4">
        <f>(VLOOKUP('17.01'!U76,'17.01'!$AM$4:$AO$55,3,FALSE))</f>
        <v>0</v>
      </c>
      <c r="N76" s="4">
        <f>(VLOOKUP('17.01'!V76,'17.01'!$AM$4:$AO$55,3,FALSE))</f>
        <v>0</v>
      </c>
      <c r="O76" s="5">
        <f>(VLOOKUP('17.01'!W76,'17.01'!$AM$4:$AO$55,3,FALSE))</f>
        <v>0</v>
      </c>
      <c r="P76" s="5">
        <f>(VLOOKUP('17.01'!X76,'17.01'!$AM$4:$AO$55,3,FALSE))</f>
        <v>0</v>
      </c>
      <c r="Q76" s="4">
        <f>(VLOOKUP('17.01'!Y76,'17.01'!$AM$4:$AO$55,3,FALSE))</f>
        <v>0</v>
      </c>
      <c r="R76" s="4">
        <f>(VLOOKUP('17.01'!Z76,'17.01'!$AM$4:$AO$55,3,FALSE))</f>
        <v>0</v>
      </c>
      <c r="S76" s="4">
        <f>(VLOOKUP('17.01'!AA76,'17.01'!$AM$4:$AO$55,3,FALSE))</f>
        <v>0</v>
      </c>
      <c r="T76" s="4">
        <f>(VLOOKUP('17.01'!AB76,'17.01'!$AM$4:$AO$55,3,FALSE))</f>
        <v>0</v>
      </c>
      <c r="U76" s="4">
        <f>(VLOOKUP('17.01'!AC76,'17.01'!$AM$4:$AO$55,3,FALSE))</f>
        <v>0</v>
      </c>
      <c r="V76" s="4">
        <f>(VLOOKUP('17.01'!AD76,'17.01'!$AM$4:$AO$55,3,FALSE))</f>
        <v>0</v>
      </c>
      <c r="W76" s="5">
        <f>(VLOOKUP('17.01'!AE76,'17.01'!$AM$4:$AO$55,3,FALSE))</f>
        <v>0</v>
      </c>
      <c r="X76" s="5">
        <f>(VLOOKUP('17.01'!AF76,'17.01'!$AM$4:$AO$55,3,FALSE))</f>
        <v>0</v>
      </c>
    </row>
    <row r="77" spans="1:24">
      <c r="A77" s="4">
        <f>(VLOOKUP('17.01'!I77,'17.01'!$AM$4:$AO$55,3,FALSE))</f>
        <v>0</v>
      </c>
      <c r="B77" s="4">
        <f>(VLOOKUP('17.01'!J77,'17.01'!$AM$4:$AO$55,3,FALSE))</f>
        <v>0</v>
      </c>
      <c r="C77" s="4">
        <f>(VLOOKUP('17.01'!K77,'17.01'!$AM$4:$AO$55,3,FALSE))</f>
        <v>0</v>
      </c>
      <c r="D77" s="4">
        <f>(VLOOKUP('17.01'!L77,'17.01'!$AM$4:$AO$55,3,FALSE))</f>
        <v>0</v>
      </c>
      <c r="E77" s="4">
        <f>(VLOOKUP('17.01'!M77,'17.01'!$AM$4:$AO$55,3,FALSE))</f>
        <v>0</v>
      </c>
      <c r="F77" s="4">
        <f>(VLOOKUP('17.01'!N77,'17.01'!$AM$4:$AO$55,3,FALSE))</f>
        <v>0</v>
      </c>
      <c r="G77" s="5">
        <f>(VLOOKUP('17.01'!O77,'17.01'!$AM$4:$AO$55,3,FALSE))</f>
        <v>0</v>
      </c>
      <c r="H77" s="5">
        <f>(VLOOKUP('17.01'!P77,'17.01'!$AM$4:$AO$55,3,FALSE))</f>
        <v>0</v>
      </c>
      <c r="I77" s="4">
        <f>(VLOOKUP('17.01'!Q77,'17.01'!$AM$4:$AO$55,3,FALSE))</f>
        <v>0</v>
      </c>
      <c r="J77" s="4">
        <f>(VLOOKUP('17.01'!R77,'17.01'!$AM$4:$AO$55,3,FALSE))</f>
        <v>0</v>
      </c>
      <c r="K77" s="4">
        <f>(VLOOKUP('17.01'!S77,'17.01'!$AM$4:$AO$55,3,FALSE))</f>
        <v>0</v>
      </c>
      <c r="L77" s="4">
        <f>(VLOOKUP('17.01'!T77,'17.01'!$AM$4:$AO$55,3,FALSE))</f>
        <v>0</v>
      </c>
      <c r="M77" s="4">
        <f>(VLOOKUP('17.01'!U77,'17.01'!$AM$4:$AO$55,3,FALSE))</f>
        <v>0</v>
      </c>
      <c r="N77" s="4">
        <f>(VLOOKUP('17.01'!V77,'17.01'!$AM$4:$AO$55,3,FALSE))</f>
        <v>0</v>
      </c>
      <c r="O77" s="5">
        <f>(VLOOKUP('17.01'!W77,'17.01'!$AM$4:$AO$55,3,FALSE))</f>
        <v>0</v>
      </c>
      <c r="P77" s="5">
        <f>(VLOOKUP('17.01'!X77,'17.01'!$AM$4:$AO$55,3,FALSE))</f>
        <v>0</v>
      </c>
      <c r="Q77" s="4">
        <f>(VLOOKUP('17.01'!Y77,'17.01'!$AM$4:$AO$55,3,FALSE))</f>
        <v>0</v>
      </c>
      <c r="R77" s="4">
        <f>(VLOOKUP('17.01'!Z77,'17.01'!$AM$4:$AO$55,3,FALSE))</f>
        <v>0</v>
      </c>
      <c r="S77" s="4">
        <f>(VLOOKUP('17.01'!AA77,'17.01'!$AM$4:$AO$55,3,FALSE))</f>
        <v>0</v>
      </c>
      <c r="T77" s="4">
        <f>(VLOOKUP('17.01'!AB77,'17.01'!$AM$4:$AO$55,3,FALSE))</f>
        <v>0</v>
      </c>
      <c r="U77" s="4">
        <f>(VLOOKUP('17.01'!AC77,'17.01'!$AM$4:$AO$55,3,FALSE))</f>
        <v>0</v>
      </c>
      <c r="V77" s="4">
        <f>(VLOOKUP('17.01'!AD77,'17.01'!$AM$4:$AO$55,3,FALSE))</f>
        <v>0</v>
      </c>
      <c r="W77" s="5">
        <f>(VLOOKUP('17.01'!AE77,'17.01'!$AM$4:$AO$55,3,FALSE))</f>
        <v>0</v>
      </c>
      <c r="X77" s="5">
        <f>(VLOOKUP('17.01'!AF77,'17.01'!$AM$4:$AO$55,3,FALSE))</f>
        <v>0</v>
      </c>
    </row>
    <row r="78" spans="1:24">
      <c r="A78" s="4">
        <f>(VLOOKUP('17.01'!I78,'17.01'!$AM$4:$AO$55,3,FALSE))</f>
        <v>0</v>
      </c>
      <c r="B78" s="4">
        <f>(VLOOKUP('17.01'!J78,'17.01'!$AM$4:$AO$55,3,FALSE))</f>
        <v>0</v>
      </c>
      <c r="C78" s="4">
        <f>(VLOOKUP('17.01'!K78,'17.01'!$AM$4:$AO$55,3,FALSE))</f>
        <v>0</v>
      </c>
      <c r="D78" s="4">
        <f>(VLOOKUP('17.01'!L78,'17.01'!$AM$4:$AO$55,3,FALSE))</f>
        <v>0</v>
      </c>
      <c r="E78" s="4">
        <f>(VLOOKUP('17.01'!M78,'17.01'!$AM$4:$AO$55,3,FALSE))</f>
        <v>0</v>
      </c>
      <c r="F78" s="4">
        <f>(VLOOKUP('17.01'!N78,'17.01'!$AM$4:$AO$55,3,FALSE))</f>
        <v>0</v>
      </c>
      <c r="G78" s="5">
        <f>(VLOOKUP('17.01'!O78,'17.01'!$AM$4:$AO$55,3,FALSE))</f>
        <v>0</v>
      </c>
      <c r="H78" s="5">
        <f>(VLOOKUP('17.01'!P78,'17.01'!$AM$4:$AO$55,3,FALSE))</f>
        <v>0</v>
      </c>
      <c r="I78" s="4">
        <f>(VLOOKUP('17.01'!Q78,'17.01'!$AM$4:$AO$55,3,FALSE))</f>
        <v>0</v>
      </c>
      <c r="J78" s="4">
        <f>(VLOOKUP('17.01'!R78,'17.01'!$AM$4:$AO$55,3,FALSE))</f>
        <v>0</v>
      </c>
      <c r="K78" s="4">
        <f>(VLOOKUP('17.01'!S78,'17.01'!$AM$4:$AO$55,3,FALSE))</f>
        <v>0</v>
      </c>
      <c r="L78" s="4">
        <f>(VLOOKUP('17.01'!T78,'17.01'!$AM$4:$AO$55,3,FALSE))</f>
        <v>0</v>
      </c>
      <c r="M78" s="4">
        <f>(VLOOKUP('17.01'!U78,'17.01'!$AM$4:$AO$55,3,FALSE))</f>
        <v>0</v>
      </c>
      <c r="N78" s="4">
        <f>(VLOOKUP('17.01'!V78,'17.01'!$AM$4:$AO$55,3,FALSE))</f>
        <v>0</v>
      </c>
      <c r="O78" s="5">
        <f>(VLOOKUP('17.01'!W78,'17.01'!$AM$4:$AO$55,3,FALSE))</f>
        <v>0</v>
      </c>
      <c r="P78" s="5">
        <f>(VLOOKUP('17.01'!X78,'17.01'!$AM$4:$AO$55,3,FALSE))</f>
        <v>0</v>
      </c>
      <c r="Q78" s="4">
        <f>(VLOOKUP('17.01'!Y78,'17.01'!$AM$4:$AO$55,3,FALSE))</f>
        <v>0</v>
      </c>
      <c r="R78" s="4">
        <f>(VLOOKUP('17.01'!Z78,'17.01'!$AM$4:$AO$55,3,FALSE))</f>
        <v>0</v>
      </c>
      <c r="S78" s="4">
        <f>(VLOOKUP('17.01'!AA78,'17.01'!$AM$4:$AO$55,3,FALSE))</f>
        <v>0</v>
      </c>
      <c r="T78" s="4">
        <f>(VLOOKUP('17.01'!AB78,'17.01'!$AM$4:$AO$55,3,FALSE))</f>
        <v>0</v>
      </c>
      <c r="U78" s="4">
        <f>(VLOOKUP('17.01'!AC78,'17.01'!$AM$4:$AO$55,3,FALSE))</f>
        <v>0</v>
      </c>
      <c r="V78" s="4">
        <f>(VLOOKUP('17.01'!AD78,'17.01'!$AM$4:$AO$55,3,FALSE))</f>
        <v>0</v>
      </c>
      <c r="W78" s="5">
        <f>(VLOOKUP('17.01'!AE78,'17.01'!$AM$4:$AO$55,3,FALSE))</f>
        <v>0</v>
      </c>
      <c r="X78" s="5">
        <f>(VLOOKUP('17.01'!AF78,'17.01'!$AM$4:$AO$55,3,FALSE))</f>
        <v>0</v>
      </c>
    </row>
    <row r="79" spans="1:24">
      <c r="A79" s="4">
        <f>(VLOOKUP('17.01'!I79,'17.01'!$AM$4:$AO$55,3,FALSE))</f>
        <v>0</v>
      </c>
      <c r="B79" s="4">
        <f>(VLOOKUP('17.01'!J79,'17.01'!$AM$4:$AO$55,3,FALSE))</f>
        <v>0</v>
      </c>
      <c r="C79" s="4">
        <f>(VLOOKUP('17.01'!K79,'17.01'!$AM$4:$AO$55,3,FALSE))</f>
        <v>0</v>
      </c>
      <c r="D79" s="4">
        <f>(VLOOKUP('17.01'!L79,'17.01'!$AM$4:$AO$55,3,FALSE))</f>
        <v>0</v>
      </c>
      <c r="E79" s="4">
        <f>(VLOOKUP('17.01'!M79,'17.01'!$AM$4:$AO$55,3,FALSE))</f>
        <v>0</v>
      </c>
      <c r="F79" s="4">
        <f>(VLOOKUP('17.01'!N79,'17.01'!$AM$4:$AO$55,3,FALSE))</f>
        <v>0</v>
      </c>
      <c r="G79" s="5">
        <f>(VLOOKUP('17.01'!O79,'17.01'!$AM$4:$AO$55,3,FALSE))</f>
        <v>0</v>
      </c>
      <c r="H79" s="5">
        <f>(VLOOKUP('17.01'!P79,'17.01'!$AM$4:$AO$55,3,FALSE))</f>
        <v>0</v>
      </c>
      <c r="I79" s="4">
        <f>(VLOOKUP('17.01'!Q79,'17.01'!$AM$4:$AO$55,3,FALSE))</f>
        <v>0</v>
      </c>
      <c r="J79" s="4">
        <f>(VLOOKUP('17.01'!R79,'17.01'!$AM$4:$AO$55,3,FALSE))</f>
        <v>0</v>
      </c>
      <c r="K79" s="4">
        <f>(VLOOKUP('17.01'!S79,'17.01'!$AM$4:$AO$55,3,FALSE))</f>
        <v>0</v>
      </c>
      <c r="L79" s="4">
        <f>(VLOOKUP('17.01'!T79,'17.01'!$AM$4:$AO$55,3,FALSE))</f>
        <v>0</v>
      </c>
      <c r="M79" s="4">
        <f>(VLOOKUP('17.01'!U79,'17.01'!$AM$4:$AO$55,3,FALSE))</f>
        <v>0</v>
      </c>
      <c r="N79" s="4">
        <f>(VLOOKUP('17.01'!V79,'17.01'!$AM$4:$AO$55,3,FALSE))</f>
        <v>0</v>
      </c>
      <c r="O79" s="5">
        <f>(VLOOKUP('17.01'!W79,'17.01'!$AM$4:$AO$55,3,FALSE))</f>
        <v>0</v>
      </c>
      <c r="P79" s="5">
        <f>(VLOOKUP('17.01'!X79,'17.01'!$AM$4:$AO$55,3,FALSE))</f>
        <v>0</v>
      </c>
      <c r="Q79" s="4">
        <f>(VLOOKUP('17.01'!Y79,'17.01'!$AM$4:$AO$55,3,FALSE))</f>
        <v>0</v>
      </c>
      <c r="R79" s="4">
        <f>(VLOOKUP('17.01'!Z79,'17.01'!$AM$4:$AO$55,3,FALSE))</f>
        <v>0</v>
      </c>
      <c r="S79" s="4">
        <f>(VLOOKUP('17.01'!AA79,'17.01'!$AM$4:$AO$55,3,FALSE))</f>
        <v>0</v>
      </c>
      <c r="T79" s="4">
        <f>(VLOOKUP('17.01'!AB79,'17.01'!$AM$4:$AO$55,3,FALSE))</f>
        <v>0</v>
      </c>
      <c r="U79" s="4">
        <f>(VLOOKUP('17.01'!AC79,'17.01'!$AM$4:$AO$55,3,FALSE))</f>
        <v>0</v>
      </c>
      <c r="V79" s="4">
        <f>(VLOOKUP('17.01'!AD79,'17.01'!$AM$4:$AO$55,3,FALSE))</f>
        <v>0</v>
      </c>
      <c r="W79" s="5">
        <f>(VLOOKUP('17.01'!AE79,'17.01'!$AM$4:$AO$55,3,FALSE))</f>
        <v>0</v>
      </c>
      <c r="X79" s="5">
        <f>(VLOOKUP('17.01'!AF79,'17.01'!$AM$4:$AO$55,3,FALSE))</f>
        <v>0</v>
      </c>
    </row>
    <row r="80" spans="1:24">
      <c r="A80" s="4">
        <f>(VLOOKUP('17.01'!I80,'17.01'!$AM$4:$AO$55,3,FALSE))</f>
        <v>0</v>
      </c>
      <c r="B80" s="4">
        <f>(VLOOKUP('17.01'!J80,'17.01'!$AM$4:$AO$55,3,FALSE))</f>
        <v>0</v>
      </c>
      <c r="C80" s="4">
        <f>(VLOOKUP('17.01'!K80,'17.01'!$AM$4:$AO$55,3,FALSE))</f>
        <v>0</v>
      </c>
      <c r="D80" s="4">
        <f>(VLOOKUP('17.01'!L80,'17.01'!$AM$4:$AO$55,3,FALSE))</f>
        <v>0</v>
      </c>
      <c r="E80" s="4">
        <f>(VLOOKUP('17.01'!M80,'17.01'!$AM$4:$AO$55,3,FALSE))</f>
        <v>0</v>
      </c>
      <c r="F80" s="4">
        <f>(VLOOKUP('17.01'!N80,'17.01'!$AM$4:$AO$55,3,FALSE))</f>
        <v>0</v>
      </c>
      <c r="G80" s="5">
        <f>(VLOOKUP('17.01'!O80,'17.01'!$AM$4:$AO$55,3,FALSE))</f>
        <v>0</v>
      </c>
      <c r="H80" s="5">
        <f>(VLOOKUP('17.01'!P80,'17.01'!$AM$4:$AO$55,3,FALSE))</f>
        <v>0</v>
      </c>
      <c r="I80" s="4">
        <f>(VLOOKUP('17.01'!Q80,'17.01'!$AM$4:$AO$55,3,FALSE))</f>
        <v>0</v>
      </c>
      <c r="J80" s="4">
        <f>(VLOOKUP('17.01'!R80,'17.01'!$AM$4:$AO$55,3,FALSE))</f>
        <v>0</v>
      </c>
      <c r="K80" s="4">
        <f>(VLOOKUP('17.01'!S80,'17.01'!$AM$4:$AO$55,3,FALSE))</f>
        <v>0</v>
      </c>
      <c r="L80" s="4">
        <f>(VLOOKUP('17.01'!T80,'17.01'!$AM$4:$AO$55,3,FALSE))</f>
        <v>0</v>
      </c>
      <c r="M80" s="4">
        <f>(VLOOKUP('17.01'!U80,'17.01'!$AM$4:$AO$55,3,FALSE))</f>
        <v>0</v>
      </c>
      <c r="N80" s="4">
        <f>(VLOOKUP('17.01'!V80,'17.01'!$AM$4:$AO$55,3,FALSE))</f>
        <v>0</v>
      </c>
      <c r="O80" s="5">
        <f>(VLOOKUP('17.01'!W80,'17.01'!$AM$4:$AO$55,3,FALSE))</f>
        <v>0</v>
      </c>
      <c r="P80" s="5">
        <f>(VLOOKUP('17.01'!X80,'17.01'!$AM$4:$AO$55,3,FALSE))</f>
        <v>0</v>
      </c>
      <c r="Q80" s="4">
        <f>(VLOOKUP('17.01'!Y80,'17.01'!$AM$4:$AO$55,3,FALSE))</f>
        <v>0</v>
      </c>
      <c r="R80" s="4">
        <f>(VLOOKUP('17.01'!Z80,'17.01'!$AM$4:$AO$55,3,FALSE))</f>
        <v>0</v>
      </c>
      <c r="S80" s="4">
        <f>(VLOOKUP('17.01'!AA80,'17.01'!$AM$4:$AO$55,3,FALSE))</f>
        <v>0</v>
      </c>
      <c r="T80" s="4">
        <f>(VLOOKUP('17.01'!AB80,'17.01'!$AM$4:$AO$55,3,FALSE))</f>
        <v>0</v>
      </c>
      <c r="U80" s="4">
        <f>(VLOOKUP('17.01'!AC80,'17.01'!$AM$4:$AO$55,3,FALSE))</f>
        <v>0</v>
      </c>
      <c r="V80" s="4">
        <f>(VLOOKUP('17.01'!AD80,'17.01'!$AM$4:$AO$55,3,FALSE))</f>
        <v>0</v>
      </c>
      <c r="W80" s="5">
        <f>(VLOOKUP('17.01'!AE80,'17.01'!$AM$4:$AO$55,3,FALSE))</f>
        <v>0</v>
      </c>
      <c r="X80" s="5">
        <f>(VLOOKUP('17.01'!AF80,'17.01'!$AM$4:$AO$55,3,FALSE))</f>
        <v>0</v>
      </c>
    </row>
    <row r="81" spans="1:24">
      <c r="A81" s="4">
        <f>(VLOOKUP('17.01'!I81,'17.01'!$AM$4:$AO$55,3,FALSE))</f>
        <v>0</v>
      </c>
      <c r="B81" s="4">
        <f>(VLOOKUP('17.01'!J81,'17.01'!$AM$4:$AO$55,3,FALSE))</f>
        <v>0</v>
      </c>
      <c r="C81" s="4">
        <f>(VLOOKUP('17.01'!K81,'17.01'!$AM$4:$AO$55,3,FALSE))</f>
        <v>0</v>
      </c>
      <c r="D81" s="4">
        <f>(VLOOKUP('17.01'!L81,'17.01'!$AM$4:$AO$55,3,FALSE))</f>
        <v>0</v>
      </c>
      <c r="E81" s="4">
        <f>(VLOOKUP('17.01'!M81,'17.01'!$AM$4:$AO$55,3,FALSE))</f>
        <v>0</v>
      </c>
      <c r="F81" s="4">
        <f>(VLOOKUP('17.01'!N81,'17.01'!$AM$4:$AO$55,3,FALSE))</f>
        <v>0</v>
      </c>
      <c r="G81" s="5">
        <f>(VLOOKUP('17.01'!O81,'17.01'!$AM$4:$AO$55,3,FALSE))</f>
        <v>0</v>
      </c>
      <c r="H81" s="5">
        <f>(VLOOKUP('17.01'!P81,'17.01'!$AM$4:$AO$55,3,FALSE))</f>
        <v>0</v>
      </c>
      <c r="I81" s="4">
        <f>(VLOOKUP('17.01'!Q81,'17.01'!$AM$4:$AO$55,3,FALSE))</f>
        <v>0</v>
      </c>
      <c r="J81" s="4">
        <f>(VLOOKUP('17.01'!R81,'17.01'!$AM$4:$AO$55,3,FALSE))</f>
        <v>0</v>
      </c>
      <c r="K81" s="4">
        <f>(VLOOKUP('17.01'!S81,'17.01'!$AM$4:$AO$55,3,FALSE))</f>
        <v>0</v>
      </c>
      <c r="L81" s="4">
        <f>(VLOOKUP('17.01'!T81,'17.01'!$AM$4:$AO$55,3,FALSE))</f>
        <v>0</v>
      </c>
      <c r="M81" s="4">
        <f>(VLOOKUP('17.01'!U81,'17.01'!$AM$4:$AO$55,3,FALSE))</f>
        <v>0</v>
      </c>
      <c r="N81" s="4">
        <f>(VLOOKUP('17.01'!V81,'17.01'!$AM$4:$AO$55,3,FALSE))</f>
        <v>0</v>
      </c>
      <c r="O81" s="5">
        <f>(VLOOKUP('17.01'!W81,'17.01'!$AM$4:$AO$55,3,FALSE))</f>
        <v>0</v>
      </c>
      <c r="P81" s="5">
        <f>(VLOOKUP('17.01'!X81,'17.01'!$AM$4:$AO$55,3,FALSE))</f>
        <v>0</v>
      </c>
      <c r="Q81" s="4">
        <f>(VLOOKUP('17.01'!Y81,'17.01'!$AM$4:$AO$55,3,FALSE))</f>
        <v>0</v>
      </c>
      <c r="R81" s="4">
        <f>(VLOOKUP('17.01'!Z81,'17.01'!$AM$4:$AO$55,3,FALSE))</f>
        <v>0</v>
      </c>
      <c r="S81" s="4">
        <f>(VLOOKUP('17.01'!AA81,'17.01'!$AM$4:$AO$55,3,FALSE))</f>
        <v>0</v>
      </c>
      <c r="T81" s="4">
        <f>(VLOOKUP('17.01'!AB81,'17.01'!$AM$4:$AO$55,3,FALSE))</f>
        <v>0</v>
      </c>
      <c r="U81" s="4">
        <f>(VLOOKUP('17.01'!AC81,'17.01'!$AM$4:$AO$55,3,FALSE))</f>
        <v>0</v>
      </c>
      <c r="V81" s="4">
        <f>(VLOOKUP('17.01'!AD81,'17.01'!$AM$4:$AO$55,3,FALSE))</f>
        <v>0</v>
      </c>
      <c r="W81" s="5">
        <f>(VLOOKUP('17.01'!AE81,'17.01'!$AM$4:$AO$55,3,FALSE))</f>
        <v>0</v>
      </c>
      <c r="X81" s="5">
        <f>(VLOOKUP('17.01'!AF81,'17.01'!$AM$4:$AO$55,3,FALSE))</f>
        <v>0</v>
      </c>
    </row>
    <row r="82" spans="1:24">
      <c r="A82" s="4">
        <f>(VLOOKUP('17.01'!I82,'17.01'!$AM$4:$AO$55,3,FALSE))</f>
        <v>0</v>
      </c>
      <c r="B82" s="4">
        <f>(VLOOKUP('17.01'!J82,'17.01'!$AM$4:$AO$55,3,FALSE))</f>
        <v>0</v>
      </c>
      <c r="C82" s="4">
        <f>(VLOOKUP('17.01'!K82,'17.01'!$AM$4:$AO$55,3,FALSE))</f>
        <v>0</v>
      </c>
      <c r="D82" s="4">
        <f>(VLOOKUP('17.01'!L82,'17.01'!$AM$4:$AO$55,3,FALSE))</f>
        <v>0</v>
      </c>
      <c r="E82" s="4">
        <f>(VLOOKUP('17.01'!M82,'17.01'!$AM$4:$AO$55,3,FALSE))</f>
        <v>0</v>
      </c>
      <c r="F82" s="4">
        <f>(VLOOKUP('17.01'!N82,'17.01'!$AM$4:$AO$55,3,FALSE))</f>
        <v>0</v>
      </c>
      <c r="G82" s="5">
        <f>(VLOOKUP('17.01'!O82,'17.01'!$AM$4:$AO$55,3,FALSE))</f>
        <v>0</v>
      </c>
      <c r="H82" s="5">
        <f>(VLOOKUP('17.01'!P82,'17.01'!$AM$4:$AO$55,3,FALSE))</f>
        <v>0</v>
      </c>
      <c r="I82" s="4">
        <f>(VLOOKUP('17.01'!Q82,'17.01'!$AM$4:$AO$55,3,FALSE))</f>
        <v>0</v>
      </c>
      <c r="J82" s="4">
        <f>(VLOOKUP('17.01'!R82,'17.01'!$AM$4:$AO$55,3,FALSE))</f>
        <v>0</v>
      </c>
      <c r="K82" s="4">
        <f>(VLOOKUP('17.01'!S82,'17.01'!$AM$4:$AO$55,3,FALSE))</f>
        <v>0</v>
      </c>
      <c r="L82" s="4">
        <f>(VLOOKUP('17.01'!T82,'17.01'!$AM$4:$AO$55,3,FALSE))</f>
        <v>0</v>
      </c>
      <c r="M82" s="4">
        <f>(VLOOKUP('17.01'!U82,'17.01'!$AM$4:$AO$55,3,FALSE))</f>
        <v>0</v>
      </c>
      <c r="N82" s="4">
        <f>(VLOOKUP('17.01'!V82,'17.01'!$AM$4:$AO$55,3,FALSE))</f>
        <v>0</v>
      </c>
      <c r="O82" s="5">
        <f>(VLOOKUP('17.01'!W82,'17.01'!$AM$4:$AO$55,3,FALSE))</f>
        <v>0</v>
      </c>
      <c r="P82" s="5">
        <f>(VLOOKUP('17.01'!X82,'17.01'!$AM$4:$AO$55,3,FALSE))</f>
        <v>0</v>
      </c>
      <c r="Q82" s="4">
        <f>(VLOOKUP('17.01'!Y82,'17.01'!$AM$4:$AO$55,3,FALSE))</f>
        <v>0</v>
      </c>
      <c r="R82" s="4">
        <f>(VLOOKUP('17.01'!Z82,'17.01'!$AM$4:$AO$55,3,FALSE))</f>
        <v>0</v>
      </c>
      <c r="S82" s="4">
        <f>(VLOOKUP('17.01'!AA82,'17.01'!$AM$4:$AO$55,3,FALSE))</f>
        <v>0</v>
      </c>
      <c r="T82" s="4">
        <f>(VLOOKUP('17.01'!AB82,'17.01'!$AM$4:$AO$55,3,FALSE))</f>
        <v>0</v>
      </c>
      <c r="U82" s="4">
        <f>(VLOOKUP('17.01'!AC82,'17.01'!$AM$4:$AO$55,3,FALSE))</f>
        <v>0</v>
      </c>
      <c r="V82" s="4">
        <f>(VLOOKUP('17.01'!AD82,'17.01'!$AM$4:$AO$55,3,FALSE))</f>
        <v>0</v>
      </c>
      <c r="W82" s="5">
        <f>(VLOOKUP('17.01'!AE82,'17.01'!$AM$4:$AO$55,3,FALSE))</f>
        <v>0</v>
      </c>
      <c r="X82" s="5">
        <f>(VLOOKUP('17.01'!AF82,'17.01'!$AM$4:$AO$55,3,FALSE))</f>
        <v>0</v>
      </c>
    </row>
    <row r="83" spans="1:24">
      <c r="A83" s="4">
        <f>(VLOOKUP('17.01'!I83,'17.01'!$AM$4:$AO$55,3,FALSE))</f>
        <v>0</v>
      </c>
      <c r="B83" s="4">
        <f>(VLOOKUP('17.01'!J83,'17.01'!$AM$4:$AO$55,3,FALSE))</f>
        <v>0</v>
      </c>
      <c r="C83" s="4">
        <f>(VLOOKUP('17.01'!K83,'17.01'!$AM$4:$AO$55,3,FALSE))</f>
        <v>0</v>
      </c>
      <c r="D83" s="4">
        <f>(VLOOKUP('17.01'!L83,'17.01'!$AM$4:$AO$55,3,FALSE))</f>
        <v>0</v>
      </c>
      <c r="E83" s="4">
        <f>(VLOOKUP('17.01'!M83,'17.01'!$AM$4:$AO$55,3,FALSE))</f>
        <v>0</v>
      </c>
      <c r="F83" s="4">
        <f>(VLOOKUP('17.01'!N83,'17.01'!$AM$4:$AO$55,3,FALSE))</f>
        <v>0</v>
      </c>
      <c r="G83" s="5">
        <f>(VLOOKUP('17.01'!O83,'17.01'!$AM$4:$AO$55,3,FALSE))</f>
        <v>0</v>
      </c>
      <c r="H83" s="5">
        <f>(VLOOKUP('17.01'!P83,'17.01'!$AM$4:$AO$55,3,FALSE))</f>
        <v>0</v>
      </c>
      <c r="I83" s="4">
        <f>(VLOOKUP('17.01'!Q83,'17.01'!$AM$4:$AO$55,3,FALSE))</f>
        <v>0</v>
      </c>
      <c r="J83" s="4">
        <f>(VLOOKUP('17.01'!R83,'17.01'!$AM$4:$AO$55,3,FALSE))</f>
        <v>0</v>
      </c>
      <c r="K83" s="4">
        <f>(VLOOKUP('17.01'!S83,'17.01'!$AM$4:$AO$55,3,FALSE))</f>
        <v>0</v>
      </c>
      <c r="L83" s="4">
        <f>(VLOOKUP('17.01'!T83,'17.01'!$AM$4:$AO$55,3,FALSE))</f>
        <v>0</v>
      </c>
      <c r="M83" s="4">
        <f>(VLOOKUP('17.01'!U83,'17.01'!$AM$4:$AO$55,3,FALSE))</f>
        <v>0</v>
      </c>
      <c r="N83" s="4">
        <f>(VLOOKUP('17.01'!V83,'17.01'!$AM$4:$AO$55,3,FALSE))</f>
        <v>0</v>
      </c>
      <c r="O83" s="5">
        <f>(VLOOKUP('17.01'!W83,'17.01'!$AM$4:$AO$55,3,FALSE))</f>
        <v>0</v>
      </c>
      <c r="P83" s="5">
        <f>(VLOOKUP('17.01'!X83,'17.01'!$AM$4:$AO$55,3,FALSE))</f>
        <v>0</v>
      </c>
      <c r="Q83" s="4">
        <f>(VLOOKUP('17.01'!Y83,'17.01'!$AM$4:$AO$55,3,FALSE))</f>
        <v>0</v>
      </c>
      <c r="R83" s="4">
        <f>(VLOOKUP('17.01'!Z83,'17.01'!$AM$4:$AO$55,3,FALSE))</f>
        <v>0</v>
      </c>
      <c r="S83" s="4">
        <f>(VLOOKUP('17.01'!AA83,'17.01'!$AM$4:$AO$55,3,FALSE))</f>
        <v>0</v>
      </c>
      <c r="T83" s="4">
        <f>(VLOOKUP('17.01'!AB83,'17.01'!$AM$4:$AO$55,3,FALSE))</f>
        <v>0</v>
      </c>
      <c r="U83" s="4">
        <f>(VLOOKUP('17.01'!AC83,'17.01'!$AM$4:$AO$55,3,FALSE))</f>
        <v>0</v>
      </c>
      <c r="V83" s="4">
        <f>(VLOOKUP('17.01'!AD83,'17.01'!$AM$4:$AO$55,3,FALSE))</f>
        <v>0</v>
      </c>
      <c r="W83" s="5">
        <f>(VLOOKUP('17.01'!AE83,'17.01'!$AM$4:$AO$55,3,FALSE))</f>
        <v>0</v>
      </c>
      <c r="X83" s="5">
        <f>(VLOOKUP('17.01'!AF83,'17.01'!$AM$4:$AO$55,3,FALSE))</f>
        <v>0</v>
      </c>
    </row>
    <row r="84" spans="1:24">
      <c r="A84" s="4">
        <f>(VLOOKUP('17.01'!I84,'17.01'!$AM$4:$AO$55,3,FALSE))</f>
        <v>0</v>
      </c>
      <c r="B84" s="4">
        <f>(VLOOKUP('17.01'!J84,'17.01'!$AM$4:$AO$55,3,FALSE))</f>
        <v>0</v>
      </c>
      <c r="C84" s="4">
        <f>(VLOOKUP('17.01'!K84,'17.01'!$AM$4:$AO$55,3,FALSE))</f>
        <v>0</v>
      </c>
      <c r="D84" s="4">
        <f>(VLOOKUP('17.01'!L84,'17.01'!$AM$4:$AO$55,3,FALSE))</f>
        <v>0</v>
      </c>
      <c r="E84" s="4">
        <f>(VLOOKUP('17.01'!M84,'17.01'!$AM$4:$AO$55,3,FALSE))</f>
        <v>0</v>
      </c>
      <c r="F84" s="4">
        <f>(VLOOKUP('17.01'!N84,'17.01'!$AM$4:$AO$55,3,FALSE))</f>
        <v>0</v>
      </c>
      <c r="G84" s="5">
        <f>(VLOOKUP('17.01'!O84,'17.01'!$AM$4:$AO$55,3,FALSE))</f>
        <v>0</v>
      </c>
      <c r="H84" s="5">
        <f>(VLOOKUP('17.01'!P84,'17.01'!$AM$4:$AO$55,3,FALSE))</f>
        <v>0</v>
      </c>
      <c r="I84" s="4">
        <f>(VLOOKUP('17.01'!Q84,'17.01'!$AM$4:$AO$55,3,FALSE))</f>
        <v>0</v>
      </c>
      <c r="J84" s="4">
        <f>(VLOOKUP('17.01'!R84,'17.01'!$AM$4:$AO$55,3,FALSE))</f>
        <v>0</v>
      </c>
      <c r="K84" s="4">
        <f>(VLOOKUP('17.01'!S84,'17.01'!$AM$4:$AO$55,3,FALSE))</f>
        <v>0</v>
      </c>
      <c r="L84" s="4">
        <f>(VLOOKUP('17.01'!T84,'17.01'!$AM$4:$AO$55,3,FALSE))</f>
        <v>0</v>
      </c>
      <c r="M84" s="4">
        <f>(VLOOKUP('17.01'!U84,'17.01'!$AM$4:$AO$55,3,FALSE))</f>
        <v>0</v>
      </c>
      <c r="N84" s="4">
        <f>(VLOOKUP('17.01'!V84,'17.01'!$AM$4:$AO$55,3,FALSE))</f>
        <v>0</v>
      </c>
      <c r="O84" s="5">
        <f>(VLOOKUP('17.01'!W84,'17.01'!$AM$4:$AO$55,3,FALSE))</f>
        <v>0</v>
      </c>
      <c r="P84" s="5">
        <f>(VLOOKUP('17.01'!X84,'17.01'!$AM$4:$AO$55,3,FALSE))</f>
        <v>0</v>
      </c>
      <c r="Q84" s="4">
        <f>(VLOOKUP('17.01'!Y84,'17.01'!$AM$4:$AO$55,3,FALSE))</f>
        <v>0</v>
      </c>
      <c r="R84" s="4">
        <f>(VLOOKUP('17.01'!Z84,'17.01'!$AM$4:$AO$55,3,FALSE))</f>
        <v>0</v>
      </c>
      <c r="S84" s="4">
        <f>(VLOOKUP('17.01'!AA84,'17.01'!$AM$4:$AO$55,3,FALSE))</f>
        <v>0</v>
      </c>
      <c r="T84" s="4">
        <f>(VLOOKUP('17.01'!AB84,'17.01'!$AM$4:$AO$55,3,FALSE))</f>
        <v>0</v>
      </c>
      <c r="U84" s="4">
        <f>(VLOOKUP('17.01'!AC84,'17.01'!$AM$4:$AO$55,3,FALSE))</f>
        <v>0</v>
      </c>
      <c r="V84" s="4">
        <f>(VLOOKUP('17.01'!AD84,'17.01'!$AM$4:$AO$55,3,FALSE))</f>
        <v>0</v>
      </c>
      <c r="W84" s="5">
        <f>(VLOOKUP('17.01'!AE84,'17.01'!$AM$4:$AO$55,3,FALSE))</f>
        <v>0</v>
      </c>
      <c r="X84" s="5">
        <f>(VLOOKUP('17.01'!AF84,'17.01'!$AM$4:$AO$55,3,FALSE))</f>
        <v>0</v>
      </c>
    </row>
    <row r="85" spans="1:24">
      <c r="A85" s="4">
        <f>(VLOOKUP('17.01'!I85,'17.01'!$AM$4:$AO$55,3,FALSE))</f>
        <v>0</v>
      </c>
      <c r="B85" s="4">
        <f>(VLOOKUP('17.01'!J85,'17.01'!$AM$4:$AO$55,3,FALSE))</f>
        <v>0</v>
      </c>
      <c r="C85" s="4">
        <f>(VLOOKUP('17.01'!K85,'17.01'!$AM$4:$AO$55,3,FALSE))</f>
        <v>0</v>
      </c>
      <c r="D85" s="4">
        <f>(VLOOKUP('17.01'!L85,'17.01'!$AM$4:$AO$55,3,FALSE))</f>
        <v>0</v>
      </c>
      <c r="E85" s="4">
        <f>(VLOOKUP('17.01'!M85,'17.01'!$AM$4:$AO$55,3,FALSE))</f>
        <v>0</v>
      </c>
      <c r="F85" s="4">
        <f>(VLOOKUP('17.01'!N85,'17.01'!$AM$4:$AO$55,3,FALSE))</f>
        <v>0</v>
      </c>
      <c r="G85" s="5">
        <f>(VLOOKUP('17.01'!O85,'17.01'!$AM$4:$AO$55,3,FALSE))</f>
        <v>0</v>
      </c>
      <c r="H85" s="5">
        <f>(VLOOKUP('17.01'!P85,'17.01'!$AM$4:$AO$55,3,FALSE))</f>
        <v>0</v>
      </c>
      <c r="I85" s="4">
        <f>(VLOOKUP('17.01'!Q85,'17.01'!$AM$4:$AO$55,3,FALSE))</f>
        <v>0</v>
      </c>
      <c r="J85" s="4">
        <f>(VLOOKUP('17.01'!R85,'17.01'!$AM$4:$AO$55,3,FALSE))</f>
        <v>0</v>
      </c>
      <c r="K85" s="4">
        <f>(VLOOKUP('17.01'!S85,'17.01'!$AM$4:$AO$55,3,FALSE))</f>
        <v>0</v>
      </c>
      <c r="L85" s="4">
        <f>(VLOOKUP('17.01'!T85,'17.01'!$AM$4:$AO$55,3,FALSE))</f>
        <v>0</v>
      </c>
      <c r="M85" s="4">
        <f>(VLOOKUP('17.01'!U85,'17.01'!$AM$4:$AO$55,3,FALSE))</f>
        <v>0</v>
      </c>
      <c r="N85" s="4">
        <f>(VLOOKUP('17.01'!V85,'17.01'!$AM$4:$AO$55,3,FALSE))</f>
        <v>0</v>
      </c>
      <c r="O85" s="5">
        <f>(VLOOKUP('17.01'!W85,'17.01'!$AM$4:$AO$55,3,FALSE))</f>
        <v>0</v>
      </c>
      <c r="P85" s="5">
        <f>(VLOOKUP('17.01'!X85,'17.01'!$AM$4:$AO$55,3,FALSE))</f>
        <v>0</v>
      </c>
      <c r="Q85" s="4">
        <f>(VLOOKUP('17.01'!Y85,'17.01'!$AM$4:$AO$55,3,FALSE))</f>
        <v>0</v>
      </c>
      <c r="R85" s="4">
        <f>(VLOOKUP('17.01'!Z85,'17.01'!$AM$4:$AO$55,3,FALSE))</f>
        <v>0</v>
      </c>
      <c r="S85" s="4">
        <f>(VLOOKUP('17.01'!AA85,'17.01'!$AM$4:$AO$55,3,FALSE))</f>
        <v>0</v>
      </c>
      <c r="T85" s="4">
        <f>(VLOOKUP('17.01'!AB85,'17.01'!$AM$4:$AO$55,3,FALSE))</f>
        <v>0</v>
      </c>
      <c r="U85" s="4">
        <f>(VLOOKUP('17.01'!AC85,'17.01'!$AM$4:$AO$55,3,FALSE))</f>
        <v>0</v>
      </c>
      <c r="V85" s="4">
        <f>(VLOOKUP('17.01'!AD85,'17.01'!$AM$4:$AO$55,3,FALSE))</f>
        <v>0</v>
      </c>
      <c r="W85" s="5">
        <f>(VLOOKUP('17.01'!AE85,'17.01'!$AM$4:$AO$55,3,FALSE))</f>
        <v>0</v>
      </c>
      <c r="X85" s="5">
        <f>(VLOOKUP('17.01'!AF85,'17.01'!$AM$4:$AO$55,3,FALSE))</f>
        <v>0</v>
      </c>
    </row>
    <row r="86" spans="1:24">
      <c r="A86" s="4">
        <f>(VLOOKUP('17.01'!I86,'17.01'!$AM$4:$AO$55,3,FALSE))</f>
        <v>0</v>
      </c>
      <c r="B86" s="4">
        <f>(VLOOKUP('17.01'!J86,'17.01'!$AM$4:$AO$55,3,FALSE))</f>
        <v>0</v>
      </c>
      <c r="C86" s="4">
        <f>(VLOOKUP('17.01'!K86,'17.01'!$AM$4:$AO$55,3,FALSE))</f>
        <v>0</v>
      </c>
      <c r="D86" s="4">
        <f>(VLOOKUP('17.01'!L86,'17.01'!$AM$4:$AO$55,3,FALSE))</f>
        <v>0</v>
      </c>
      <c r="E86" s="4">
        <f>(VLOOKUP('17.01'!M86,'17.01'!$AM$4:$AO$55,3,FALSE))</f>
        <v>0</v>
      </c>
      <c r="F86" s="4">
        <f>(VLOOKUP('17.01'!N86,'17.01'!$AM$4:$AO$55,3,FALSE))</f>
        <v>0</v>
      </c>
      <c r="G86" s="5">
        <f>(VLOOKUP('17.01'!O86,'17.01'!$AM$4:$AO$55,3,FALSE))</f>
        <v>0</v>
      </c>
      <c r="H86" s="5">
        <f>(VLOOKUP('17.01'!P86,'17.01'!$AM$4:$AO$55,3,FALSE))</f>
        <v>0</v>
      </c>
      <c r="I86" s="4">
        <f>(VLOOKUP('17.01'!Q86,'17.01'!$AM$4:$AO$55,3,FALSE))</f>
        <v>0</v>
      </c>
      <c r="J86" s="4">
        <f>(VLOOKUP('17.01'!R86,'17.01'!$AM$4:$AO$55,3,FALSE))</f>
        <v>0</v>
      </c>
      <c r="K86" s="4">
        <f>(VLOOKUP('17.01'!S86,'17.01'!$AM$4:$AO$55,3,FALSE))</f>
        <v>0</v>
      </c>
      <c r="L86" s="4">
        <f>(VLOOKUP('17.01'!T86,'17.01'!$AM$4:$AO$55,3,FALSE))</f>
        <v>0</v>
      </c>
      <c r="M86" s="4">
        <f>(VLOOKUP('17.01'!U86,'17.01'!$AM$4:$AO$55,3,FALSE))</f>
        <v>0</v>
      </c>
      <c r="N86" s="4">
        <f>(VLOOKUP('17.01'!V86,'17.01'!$AM$4:$AO$55,3,FALSE))</f>
        <v>0</v>
      </c>
      <c r="O86" s="5">
        <f>(VLOOKUP('17.01'!W86,'17.01'!$AM$4:$AO$55,3,FALSE))</f>
        <v>0</v>
      </c>
      <c r="P86" s="5">
        <f>(VLOOKUP('17.01'!X86,'17.01'!$AM$4:$AO$55,3,FALSE))</f>
        <v>0</v>
      </c>
      <c r="Q86" s="4">
        <f>(VLOOKUP('17.01'!Y86,'17.01'!$AM$4:$AO$55,3,FALSE))</f>
        <v>0</v>
      </c>
      <c r="R86" s="4">
        <f>(VLOOKUP('17.01'!Z86,'17.01'!$AM$4:$AO$55,3,FALSE))</f>
        <v>0</v>
      </c>
      <c r="S86" s="4">
        <f>(VLOOKUP('17.01'!AA86,'17.01'!$AM$4:$AO$55,3,FALSE))</f>
        <v>0</v>
      </c>
      <c r="T86" s="4">
        <f>(VLOOKUP('17.01'!AB86,'17.01'!$AM$4:$AO$55,3,FALSE))</f>
        <v>0</v>
      </c>
      <c r="U86" s="4">
        <f>(VLOOKUP('17.01'!AC86,'17.01'!$AM$4:$AO$55,3,FALSE))</f>
        <v>0</v>
      </c>
      <c r="V86" s="4">
        <f>(VLOOKUP('17.01'!AD86,'17.01'!$AM$4:$AO$55,3,FALSE))</f>
        <v>0</v>
      </c>
      <c r="W86" s="5">
        <f>(VLOOKUP('17.01'!AE86,'17.01'!$AM$4:$AO$55,3,FALSE))</f>
        <v>0</v>
      </c>
      <c r="X86" s="5">
        <f>(VLOOKUP('17.01'!AF86,'17.01'!$AM$4:$AO$55,3,FALSE))</f>
        <v>0</v>
      </c>
    </row>
    <row r="87" spans="1:24">
      <c r="A87" s="4">
        <f>(VLOOKUP('17.01'!I87,'17.01'!$AM$4:$AO$55,3,FALSE))</f>
        <v>0</v>
      </c>
      <c r="B87" s="4">
        <f>(VLOOKUP('17.01'!J87,'17.01'!$AM$4:$AO$55,3,FALSE))</f>
        <v>0</v>
      </c>
      <c r="C87" s="4">
        <f>(VLOOKUP('17.01'!K87,'17.01'!$AM$4:$AO$55,3,FALSE))</f>
        <v>0</v>
      </c>
      <c r="D87" s="4">
        <f>(VLOOKUP('17.01'!L87,'17.01'!$AM$4:$AO$55,3,FALSE))</f>
        <v>0</v>
      </c>
      <c r="E87" s="4">
        <f>(VLOOKUP('17.01'!M87,'17.01'!$AM$4:$AO$55,3,FALSE))</f>
        <v>0</v>
      </c>
      <c r="F87" s="4">
        <f>(VLOOKUP('17.01'!N87,'17.01'!$AM$4:$AO$55,3,FALSE))</f>
        <v>0</v>
      </c>
      <c r="G87" s="5">
        <f>(VLOOKUP('17.01'!O87,'17.01'!$AM$4:$AO$55,3,FALSE))</f>
        <v>0</v>
      </c>
      <c r="H87" s="5">
        <f>(VLOOKUP('17.01'!P87,'17.01'!$AM$4:$AO$55,3,FALSE))</f>
        <v>0</v>
      </c>
      <c r="I87" s="4">
        <f>(VLOOKUP('17.01'!Q87,'17.01'!$AM$4:$AO$55,3,FALSE))</f>
        <v>0</v>
      </c>
      <c r="J87" s="4">
        <f>(VLOOKUP('17.01'!R87,'17.01'!$AM$4:$AO$55,3,FALSE))</f>
        <v>0</v>
      </c>
      <c r="K87" s="4">
        <f>(VLOOKUP('17.01'!S87,'17.01'!$AM$4:$AO$55,3,FALSE))</f>
        <v>0</v>
      </c>
      <c r="L87" s="4">
        <f>(VLOOKUP('17.01'!T87,'17.01'!$AM$4:$AO$55,3,FALSE))</f>
        <v>0</v>
      </c>
      <c r="M87" s="4">
        <f>(VLOOKUP('17.01'!U87,'17.01'!$AM$4:$AO$55,3,FALSE))</f>
        <v>0</v>
      </c>
      <c r="N87" s="4">
        <f>(VLOOKUP('17.01'!V87,'17.01'!$AM$4:$AO$55,3,FALSE))</f>
        <v>0</v>
      </c>
      <c r="O87" s="5">
        <f>(VLOOKUP('17.01'!W87,'17.01'!$AM$4:$AO$55,3,FALSE))</f>
        <v>0</v>
      </c>
      <c r="P87" s="5">
        <f>(VLOOKUP('17.01'!X87,'17.01'!$AM$4:$AO$55,3,FALSE))</f>
        <v>0</v>
      </c>
      <c r="Q87" s="4">
        <f>(VLOOKUP('17.01'!Y87,'17.01'!$AM$4:$AO$55,3,FALSE))</f>
        <v>0</v>
      </c>
      <c r="R87" s="4">
        <f>(VLOOKUP('17.01'!Z87,'17.01'!$AM$4:$AO$55,3,FALSE))</f>
        <v>0</v>
      </c>
      <c r="S87" s="4">
        <f>(VLOOKUP('17.01'!AA87,'17.01'!$AM$4:$AO$55,3,FALSE))</f>
        <v>0</v>
      </c>
      <c r="T87" s="4">
        <f>(VLOOKUP('17.01'!AB87,'17.01'!$AM$4:$AO$55,3,FALSE))</f>
        <v>0</v>
      </c>
      <c r="U87" s="4">
        <f>(VLOOKUP('17.01'!AC87,'17.01'!$AM$4:$AO$55,3,FALSE))</f>
        <v>0</v>
      </c>
      <c r="V87" s="4">
        <f>(VLOOKUP('17.01'!AD87,'17.01'!$AM$4:$AO$55,3,FALSE))</f>
        <v>0</v>
      </c>
      <c r="W87" s="5">
        <f>(VLOOKUP('17.01'!AE87,'17.01'!$AM$4:$AO$55,3,FALSE))</f>
        <v>0</v>
      </c>
      <c r="X87" s="5">
        <f>(VLOOKUP('17.01'!AF87,'17.01'!$AM$4:$AO$55,3,FALSE))</f>
        <v>0</v>
      </c>
    </row>
    <row r="88" spans="1:24">
      <c r="A88" s="4">
        <f>(VLOOKUP('17.01'!I88,'17.01'!$AM$4:$AO$55,3,FALSE))</f>
        <v>0</v>
      </c>
      <c r="B88" s="4">
        <f>(VLOOKUP('17.01'!J88,'17.01'!$AM$4:$AO$55,3,FALSE))</f>
        <v>0</v>
      </c>
      <c r="C88" s="4">
        <f>(VLOOKUP('17.01'!K88,'17.01'!$AM$4:$AO$55,3,FALSE))</f>
        <v>0</v>
      </c>
      <c r="D88" s="4">
        <f>(VLOOKUP('17.01'!L88,'17.01'!$AM$4:$AO$55,3,FALSE))</f>
        <v>0</v>
      </c>
      <c r="E88" s="4">
        <f>(VLOOKUP('17.01'!M88,'17.01'!$AM$4:$AO$55,3,FALSE))</f>
        <v>0</v>
      </c>
      <c r="F88" s="4">
        <f>(VLOOKUP('17.01'!N88,'17.01'!$AM$4:$AO$55,3,FALSE))</f>
        <v>0</v>
      </c>
      <c r="G88" s="5">
        <f>(VLOOKUP('17.01'!O88,'17.01'!$AM$4:$AO$55,3,FALSE))</f>
        <v>0</v>
      </c>
      <c r="H88" s="5">
        <f>(VLOOKUP('17.01'!P88,'17.01'!$AM$4:$AO$55,3,FALSE))</f>
        <v>0</v>
      </c>
      <c r="I88" s="4">
        <f>(VLOOKUP('17.01'!Q88,'17.01'!$AM$4:$AO$55,3,FALSE))</f>
        <v>0</v>
      </c>
      <c r="J88" s="4">
        <f>(VLOOKUP('17.01'!R88,'17.01'!$AM$4:$AO$55,3,FALSE))</f>
        <v>0</v>
      </c>
      <c r="K88" s="4">
        <f>(VLOOKUP('17.01'!S88,'17.01'!$AM$4:$AO$55,3,FALSE))</f>
        <v>0</v>
      </c>
      <c r="L88" s="4">
        <f>(VLOOKUP('17.01'!T88,'17.01'!$AM$4:$AO$55,3,FALSE))</f>
        <v>0</v>
      </c>
      <c r="M88" s="4">
        <f>(VLOOKUP('17.01'!U88,'17.01'!$AM$4:$AO$55,3,FALSE))</f>
        <v>0</v>
      </c>
      <c r="N88" s="4">
        <f>(VLOOKUP('17.01'!V88,'17.01'!$AM$4:$AO$55,3,FALSE))</f>
        <v>0</v>
      </c>
      <c r="O88" s="5">
        <f>(VLOOKUP('17.01'!W88,'17.01'!$AM$4:$AO$55,3,FALSE))</f>
        <v>0</v>
      </c>
      <c r="P88" s="5">
        <f>(VLOOKUP('17.01'!X88,'17.01'!$AM$4:$AO$55,3,FALSE))</f>
        <v>0</v>
      </c>
      <c r="Q88" s="4">
        <f>(VLOOKUP('17.01'!Y88,'17.01'!$AM$4:$AO$55,3,FALSE))</f>
        <v>0</v>
      </c>
      <c r="R88" s="4">
        <f>(VLOOKUP('17.01'!Z88,'17.01'!$AM$4:$AO$55,3,FALSE))</f>
        <v>0</v>
      </c>
      <c r="S88" s="4">
        <f>(VLOOKUP('17.01'!AA88,'17.01'!$AM$4:$AO$55,3,FALSE))</f>
        <v>0</v>
      </c>
      <c r="T88" s="4">
        <f>(VLOOKUP('17.01'!AB88,'17.01'!$AM$4:$AO$55,3,FALSE))</f>
        <v>0</v>
      </c>
      <c r="U88" s="4">
        <f>(VLOOKUP('17.01'!AC88,'17.01'!$AM$4:$AO$55,3,FALSE))</f>
        <v>0</v>
      </c>
      <c r="V88" s="4">
        <f>(VLOOKUP('17.01'!AD88,'17.01'!$AM$4:$AO$55,3,FALSE))</f>
        <v>0</v>
      </c>
      <c r="W88" s="5">
        <f>(VLOOKUP('17.01'!AE88,'17.01'!$AM$4:$AO$55,3,FALSE))</f>
        <v>0</v>
      </c>
      <c r="X88" s="5">
        <f>(VLOOKUP('17.01'!AF88,'17.01'!$AM$4:$AO$55,3,FALSE))</f>
        <v>0</v>
      </c>
    </row>
    <row r="89" spans="1:24">
      <c r="A89" s="4">
        <f>(VLOOKUP('17.01'!I89,'17.01'!$AM$4:$AO$55,3,FALSE))</f>
        <v>0</v>
      </c>
      <c r="B89" s="4">
        <f>(VLOOKUP('17.01'!J89,'17.01'!$AM$4:$AO$55,3,FALSE))</f>
        <v>0</v>
      </c>
      <c r="C89" s="4">
        <f>(VLOOKUP('17.01'!K89,'17.01'!$AM$4:$AO$55,3,FALSE))</f>
        <v>0</v>
      </c>
      <c r="D89" s="4">
        <f>(VLOOKUP('17.01'!L89,'17.01'!$AM$4:$AO$55,3,FALSE))</f>
        <v>0</v>
      </c>
      <c r="E89" s="4">
        <f>(VLOOKUP('17.01'!M89,'17.01'!$AM$4:$AO$55,3,FALSE))</f>
        <v>0</v>
      </c>
      <c r="F89" s="4">
        <f>(VLOOKUP('17.01'!N89,'17.01'!$AM$4:$AO$55,3,FALSE))</f>
        <v>0</v>
      </c>
      <c r="G89" s="5">
        <f>(VLOOKUP('17.01'!O89,'17.01'!$AM$4:$AO$55,3,FALSE))</f>
        <v>0</v>
      </c>
      <c r="H89" s="5">
        <f>(VLOOKUP('17.01'!P89,'17.01'!$AM$4:$AO$55,3,FALSE))</f>
        <v>0</v>
      </c>
      <c r="I89" s="4">
        <f>(VLOOKUP('17.01'!Q89,'17.01'!$AM$4:$AO$55,3,FALSE))</f>
        <v>0</v>
      </c>
      <c r="J89" s="4">
        <f>(VLOOKUP('17.01'!R89,'17.01'!$AM$4:$AO$55,3,FALSE))</f>
        <v>0</v>
      </c>
      <c r="K89" s="4">
        <f>(VLOOKUP('17.01'!S89,'17.01'!$AM$4:$AO$55,3,FALSE))</f>
        <v>0</v>
      </c>
      <c r="L89" s="4">
        <f>(VLOOKUP('17.01'!T89,'17.01'!$AM$4:$AO$55,3,FALSE))</f>
        <v>0</v>
      </c>
      <c r="M89" s="4">
        <f>(VLOOKUP('17.01'!U89,'17.01'!$AM$4:$AO$55,3,FALSE))</f>
        <v>0</v>
      </c>
      <c r="N89" s="4">
        <f>(VLOOKUP('17.01'!V89,'17.01'!$AM$4:$AO$55,3,FALSE))</f>
        <v>0</v>
      </c>
      <c r="O89" s="5">
        <f>(VLOOKUP('17.01'!W89,'17.01'!$AM$4:$AO$55,3,FALSE))</f>
        <v>0</v>
      </c>
      <c r="P89" s="5">
        <f>(VLOOKUP('17.01'!X89,'17.01'!$AM$4:$AO$55,3,FALSE))</f>
        <v>0</v>
      </c>
      <c r="Q89" s="4">
        <f>(VLOOKUP('17.01'!Y89,'17.01'!$AM$4:$AO$55,3,FALSE))</f>
        <v>0</v>
      </c>
      <c r="R89" s="4">
        <f>(VLOOKUP('17.01'!Z89,'17.01'!$AM$4:$AO$55,3,FALSE))</f>
        <v>0</v>
      </c>
      <c r="S89" s="4">
        <f>(VLOOKUP('17.01'!AA89,'17.01'!$AM$4:$AO$55,3,FALSE))</f>
        <v>0</v>
      </c>
      <c r="T89" s="4">
        <f>(VLOOKUP('17.01'!AB89,'17.01'!$AM$4:$AO$55,3,FALSE))</f>
        <v>0</v>
      </c>
      <c r="U89" s="4">
        <f>(VLOOKUP('17.01'!AC89,'17.01'!$AM$4:$AO$55,3,FALSE))</f>
        <v>0</v>
      </c>
      <c r="V89" s="4">
        <f>(VLOOKUP('17.01'!AD89,'17.01'!$AM$4:$AO$55,3,FALSE))</f>
        <v>0</v>
      </c>
      <c r="W89" s="5">
        <f>(VLOOKUP('17.01'!AE89,'17.01'!$AM$4:$AO$55,3,FALSE))</f>
        <v>0</v>
      </c>
      <c r="X89" s="5">
        <f>(VLOOKUP('17.01'!AF89,'17.01'!$AM$4:$AO$55,3,FALSE))</f>
        <v>0</v>
      </c>
    </row>
    <row r="90" spans="1:24">
      <c r="A90" s="4">
        <f>(VLOOKUP('17.01'!I90,'17.01'!$AM$4:$AO$55,3,FALSE))</f>
        <v>0</v>
      </c>
      <c r="B90" s="4">
        <f>(VLOOKUP('17.01'!J90,'17.01'!$AM$4:$AO$55,3,FALSE))</f>
        <v>0</v>
      </c>
      <c r="C90" s="4">
        <f>(VLOOKUP('17.01'!K90,'17.01'!$AM$4:$AO$55,3,FALSE))</f>
        <v>0</v>
      </c>
      <c r="D90" s="4">
        <f>(VLOOKUP('17.01'!L90,'17.01'!$AM$4:$AO$55,3,FALSE))</f>
        <v>0</v>
      </c>
      <c r="E90" s="4">
        <f>(VLOOKUP('17.01'!M90,'17.01'!$AM$4:$AO$55,3,FALSE))</f>
        <v>0</v>
      </c>
      <c r="F90" s="4">
        <f>(VLOOKUP('17.01'!N90,'17.01'!$AM$4:$AO$55,3,FALSE))</f>
        <v>0</v>
      </c>
      <c r="G90" s="5">
        <f>(VLOOKUP('17.01'!O90,'17.01'!$AM$4:$AO$55,3,FALSE))</f>
        <v>0</v>
      </c>
      <c r="H90" s="5">
        <f>(VLOOKUP('17.01'!P90,'17.01'!$AM$4:$AO$55,3,FALSE))</f>
        <v>0</v>
      </c>
      <c r="I90" s="4">
        <f>(VLOOKUP('17.01'!Q90,'17.01'!$AM$4:$AO$55,3,FALSE))</f>
        <v>0</v>
      </c>
      <c r="J90" s="4">
        <f>(VLOOKUP('17.01'!R90,'17.01'!$AM$4:$AO$55,3,FALSE))</f>
        <v>0</v>
      </c>
      <c r="K90" s="4">
        <f>(VLOOKUP('17.01'!S90,'17.01'!$AM$4:$AO$55,3,FALSE))</f>
        <v>0</v>
      </c>
      <c r="L90" s="4">
        <f>(VLOOKUP('17.01'!T90,'17.01'!$AM$4:$AO$55,3,FALSE))</f>
        <v>0</v>
      </c>
      <c r="M90" s="4">
        <f>(VLOOKUP('17.01'!U90,'17.01'!$AM$4:$AO$55,3,FALSE))</f>
        <v>0</v>
      </c>
      <c r="N90" s="4">
        <f>(VLOOKUP('17.01'!V90,'17.01'!$AM$4:$AO$55,3,FALSE))</f>
        <v>0</v>
      </c>
      <c r="O90" s="5">
        <f>(VLOOKUP('17.01'!W90,'17.01'!$AM$4:$AO$55,3,FALSE))</f>
        <v>0</v>
      </c>
      <c r="P90" s="5">
        <f>(VLOOKUP('17.01'!X90,'17.01'!$AM$4:$AO$55,3,FALSE))</f>
        <v>0</v>
      </c>
      <c r="Q90" s="4">
        <f>(VLOOKUP('17.01'!Y90,'17.01'!$AM$4:$AO$55,3,FALSE))</f>
        <v>0</v>
      </c>
      <c r="R90" s="4">
        <f>(VLOOKUP('17.01'!Z90,'17.01'!$AM$4:$AO$55,3,FALSE))</f>
        <v>0</v>
      </c>
      <c r="S90" s="4">
        <f>(VLOOKUP('17.01'!AA90,'17.01'!$AM$4:$AO$55,3,FALSE))</f>
        <v>0</v>
      </c>
      <c r="T90" s="4">
        <f>(VLOOKUP('17.01'!AB90,'17.01'!$AM$4:$AO$55,3,FALSE))</f>
        <v>0</v>
      </c>
      <c r="U90" s="4">
        <f>(VLOOKUP('17.01'!AC90,'17.01'!$AM$4:$AO$55,3,FALSE))</f>
        <v>0</v>
      </c>
      <c r="V90" s="4">
        <f>(VLOOKUP('17.01'!AD90,'17.01'!$AM$4:$AO$55,3,FALSE))</f>
        <v>0</v>
      </c>
      <c r="W90" s="5">
        <f>(VLOOKUP('17.01'!AE90,'17.01'!$AM$4:$AO$55,3,FALSE))</f>
        <v>0</v>
      </c>
      <c r="X90" s="5">
        <f>(VLOOKUP('17.01'!AF90,'17.01'!$AM$4:$AO$55,3,FALSE))</f>
        <v>0</v>
      </c>
    </row>
    <row r="91" spans="1:24">
      <c r="A91" s="4">
        <f>(VLOOKUP('17.01'!I91,'17.01'!$AM$4:$AO$55,3,FALSE))</f>
        <v>40</v>
      </c>
      <c r="B91" s="4">
        <f>(VLOOKUP('17.01'!J91,'17.01'!$AM$4:$AO$55,3,FALSE))</f>
        <v>40</v>
      </c>
      <c r="C91" s="4">
        <f>(VLOOKUP('17.01'!K91,'17.01'!$AM$4:$AO$55,3,FALSE))</f>
        <v>40</v>
      </c>
      <c r="D91" s="4">
        <f>(VLOOKUP('17.01'!L91,'17.01'!$AM$4:$AO$55,3,FALSE))</f>
        <v>40</v>
      </c>
      <c r="E91" s="4">
        <f>(VLOOKUP('17.01'!M91,'17.01'!$AM$4:$AO$55,3,FALSE))</f>
        <v>40</v>
      </c>
      <c r="F91" s="4">
        <f>(VLOOKUP('17.01'!N91,'17.01'!$AM$4:$AO$55,3,FALSE))</f>
        <v>30</v>
      </c>
      <c r="G91" s="5">
        <f>(VLOOKUP('17.01'!O91,'17.01'!$AM$4:$AO$55,3,FALSE))</f>
        <v>0</v>
      </c>
      <c r="H91" s="5">
        <f>(VLOOKUP('17.01'!P91,'17.01'!$AM$4:$AO$55,3,FALSE))</f>
        <v>0</v>
      </c>
      <c r="I91" s="4">
        <f>(VLOOKUP('17.01'!Q91,'17.01'!$AM$4:$AO$55,3,FALSE))</f>
        <v>40</v>
      </c>
      <c r="J91" s="4">
        <f>(VLOOKUP('17.01'!R91,'17.01'!$AM$4:$AO$55,3,FALSE))</f>
        <v>40</v>
      </c>
      <c r="K91" s="4">
        <f>(VLOOKUP('17.01'!S91,'17.01'!$AM$4:$AO$55,3,FALSE))</f>
        <v>40</v>
      </c>
      <c r="L91" s="4">
        <f>(VLOOKUP('17.01'!T91,'17.01'!$AM$4:$AO$55,3,FALSE))</f>
        <v>40</v>
      </c>
      <c r="M91" s="4">
        <f>(VLOOKUP('17.01'!U91,'17.01'!$AM$4:$AO$55,3,FALSE))</f>
        <v>30</v>
      </c>
      <c r="N91" s="4">
        <f>(VLOOKUP('17.01'!V91,'17.01'!$AM$4:$AO$55,3,FALSE))</f>
        <v>0</v>
      </c>
      <c r="O91" s="5">
        <f>(VLOOKUP('17.01'!W91,'17.01'!$AM$4:$AO$55,3,FALSE))</f>
        <v>0</v>
      </c>
      <c r="P91" s="5">
        <f>(VLOOKUP('17.01'!X91,'17.01'!$AM$4:$AO$55,3,FALSE))</f>
        <v>0</v>
      </c>
      <c r="Q91" s="4">
        <f>(VLOOKUP('17.01'!Y91,'17.01'!$AM$4:$AO$55,3,FALSE))</f>
        <v>40</v>
      </c>
      <c r="R91" s="4">
        <f>(VLOOKUP('17.01'!Z91,'17.01'!$AM$4:$AO$55,3,FALSE))</f>
        <v>30</v>
      </c>
      <c r="S91" s="4">
        <f>(VLOOKUP('17.01'!AA91,'17.01'!$AM$4:$AO$55,3,FALSE))</f>
        <v>40</v>
      </c>
      <c r="T91" s="4">
        <f>(VLOOKUP('17.01'!AB91,'17.01'!$AM$4:$AO$55,3,FALSE))</f>
        <v>40</v>
      </c>
      <c r="U91" s="4">
        <f>(VLOOKUP('17.01'!AC91,'17.01'!$AM$4:$AO$55,3,FALSE))</f>
        <v>40</v>
      </c>
      <c r="V91" s="4">
        <f>(VLOOKUP('17.01'!AD91,'17.01'!$AM$4:$AO$55,3,FALSE))</f>
        <v>0</v>
      </c>
      <c r="W91" s="5">
        <f>(VLOOKUP('17.01'!AE91,'17.01'!$AM$4:$AO$55,3,FALSE))</f>
        <v>0</v>
      </c>
      <c r="X91" s="5">
        <f>(VLOOKUP('17.01'!AF91,'17.01'!$AM$4:$AO$55,3,FALSE))</f>
        <v>0</v>
      </c>
    </row>
    <row r="92" spans="1:24">
      <c r="A92" s="4">
        <f>(VLOOKUP('17.01'!I92,'17.01'!$AM$4:$AO$55,3,FALSE))</f>
        <v>40</v>
      </c>
      <c r="B92" s="4">
        <f>(VLOOKUP('17.01'!J92,'17.01'!$AM$4:$AO$55,3,FALSE))</f>
        <v>40</v>
      </c>
      <c r="C92" s="4">
        <f>(VLOOKUP('17.01'!K92,'17.01'!$AM$4:$AO$55,3,FALSE))</f>
        <v>35</v>
      </c>
      <c r="D92" s="4">
        <f>(VLOOKUP('17.01'!L92,'17.01'!$AM$4:$AO$55,3,FALSE))</f>
        <v>40</v>
      </c>
      <c r="E92" s="4">
        <f>(VLOOKUP('17.01'!M92,'17.01'!$AM$4:$AO$55,3,FALSE))</f>
        <v>40</v>
      </c>
      <c r="F92" s="4">
        <f>(VLOOKUP('17.01'!N92,'17.01'!$AM$4:$AO$55,3,FALSE))</f>
        <v>30</v>
      </c>
      <c r="G92" s="5">
        <f>(VLOOKUP('17.01'!O92,'17.01'!$AM$4:$AO$55,3,FALSE))</f>
        <v>0</v>
      </c>
      <c r="H92" s="5">
        <f>(VLOOKUP('17.01'!P92,'17.01'!$AM$4:$AO$55,3,FALSE))</f>
        <v>0</v>
      </c>
      <c r="I92" s="4">
        <f>(VLOOKUP('17.01'!Q92,'17.01'!$AM$4:$AO$55,3,FALSE))</f>
        <v>0</v>
      </c>
      <c r="J92" s="4">
        <f>(VLOOKUP('17.01'!R92,'17.01'!$AM$4:$AO$55,3,FALSE))</f>
        <v>0</v>
      </c>
      <c r="K92" s="4">
        <f>(VLOOKUP('17.01'!S92,'17.01'!$AM$4:$AO$55,3,FALSE))</f>
        <v>0</v>
      </c>
      <c r="L92" s="4">
        <f>(VLOOKUP('17.01'!T92,'17.01'!$AM$4:$AO$55,3,FALSE))</f>
        <v>0</v>
      </c>
      <c r="M92" s="4">
        <f>(VLOOKUP('17.01'!U92,'17.01'!$AM$4:$AO$55,3,FALSE))</f>
        <v>0</v>
      </c>
      <c r="N92" s="4">
        <f>(VLOOKUP('17.01'!V92,'17.01'!$AM$4:$AO$55,3,FALSE))</f>
        <v>0</v>
      </c>
      <c r="O92" s="5">
        <f>(VLOOKUP('17.01'!W92,'17.01'!$AM$4:$AO$55,3,FALSE))</f>
        <v>0</v>
      </c>
      <c r="P92" s="5">
        <f>(VLOOKUP('17.01'!X92,'17.01'!$AM$4:$AO$55,3,FALSE))</f>
        <v>0</v>
      </c>
      <c r="Q92" s="4">
        <f>(VLOOKUP('17.01'!Y92,'17.01'!$AM$4:$AO$55,3,FALSE))</f>
        <v>0</v>
      </c>
      <c r="R92" s="4">
        <f>(VLOOKUP('17.01'!Z92,'17.01'!$AM$4:$AO$55,3,FALSE))</f>
        <v>0</v>
      </c>
      <c r="S92" s="4">
        <f>(VLOOKUP('17.01'!AA92,'17.01'!$AM$4:$AO$55,3,FALSE))</f>
        <v>0</v>
      </c>
      <c r="T92" s="4">
        <f>(VLOOKUP('17.01'!AB92,'17.01'!$AM$4:$AO$55,3,FALSE))</f>
        <v>0</v>
      </c>
      <c r="U92" s="4">
        <f>(VLOOKUP('17.01'!AC92,'17.01'!$AM$4:$AO$55,3,FALSE))</f>
        <v>0</v>
      </c>
      <c r="V92" s="4">
        <f>(VLOOKUP('17.01'!AD92,'17.01'!$AM$4:$AO$55,3,FALSE))</f>
        <v>0</v>
      </c>
      <c r="W92" s="5">
        <f>(VLOOKUP('17.01'!AE92,'17.01'!$AM$4:$AO$55,3,FALSE))</f>
        <v>0</v>
      </c>
      <c r="X92" s="5">
        <f>(VLOOKUP('17.01'!AF92,'17.01'!$AM$4:$AO$55,3,FALSE))</f>
        <v>0</v>
      </c>
    </row>
    <row r="93" spans="1:24">
      <c r="A93" s="4">
        <f>(VLOOKUP('17.01'!I93,'17.01'!$AM$4:$AO$55,3,FALSE))</f>
        <v>0</v>
      </c>
      <c r="B93" s="4">
        <f>(VLOOKUP('17.01'!J93,'17.01'!$AM$4:$AO$55,3,FALSE))</f>
        <v>0</v>
      </c>
      <c r="C93" s="4">
        <f>(VLOOKUP('17.01'!K93,'17.01'!$AM$4:$AO$55,3,FALSE))</f>
        <v>0</v>
      </c>
      <c r="D93" s="4">
        <f>(VLOOKUP('17.01'!L93,'17.01'!$AM$4:$AO$55,3,FALSE))</f>
        <v>0</v>
      </c>
      <c r="E93" s="4">
        <f>(VLOOKUP('17.01'!M93,'17.01'!$AM$4:$AO$55,3,FALSE))</f>
        <v>0</v>
      </c>
      <c r="F93" s="4">
        <f>(VLOOKUP('17.01'!N93,'17.01'!$AM$4:$AO$55,3,FALSE))</f>
        <v>0</v>
      </c>
      <c r="G93" s="5">
        <f>(VLOOKUP('17.01'!O93,'17.01'!$AM$4:$AO$55,3,FALSE))</f>
        <v>0</v>
      </c>
      <c r="H93" s="5">
        <f>(VLOOKUP('17.01'!P93,'17.01'!$AM$4:$AO$55,3,FALSE))</f>
        <v>0</v>
      </c>
      <c r="I93" s="4">
        <f>(VLOOKUP('17.01'!Q93,'17.01'!$AM$4:$AO$55,3,FALSE))</f>
        <v>0</v>
      </c>
      <c r="J93" s="4">
        <f>(VLOOKUP('17.01'!R93,'17.01'!$AM$4:$AO$55,3,FALSE))</f>
        <v>0</v>
      </c>
      <c r="K93" s="4">
        <f>(VLOOKUP('17.01'!S93,'17.01'!$AM$4:$AO$55,3,FALSE))</f>
        <v>0</v>
      </c>
      <c r="L93" s="4">
        <f>(VLOOKUP('17.01'!T93,'17.01'!$AM$4:$AO$55,3,FALSE))</f>
        <v>0</v>
      </c>
      <c r="M93" s="4">
        <f>(VLOOKUP('17.01'!U93,'17.01'!$AM$4:$AO$55,3,FALSE))</f>
        <v>0</v>
      </c>
      <c r="N93" s="4">
        <f>(VLOOKUP('17.01'!V93,'17.01'!$AM$4:$AO$55,3,FALSE))</f>
        <v>0</v>
      </c>
      <c r="O93" s="5">
        <f>(VLOOKUP('17.01'!W93,'17.01'!$AM$4:$AO$55,3,FALSE))</f>
        <v>0</v>
      </c>
      <c r="P93" s="5">
        <f>(VLOOKUP('17.01'!X93,'17.01'!$AM$4:$AO$55,3,FALSE))</f>
        <v>0</v>
      </c>
      <c r="Q93" s="4">
        <f>(VLOOKUP('17.01'!Y93,'17.01'!$AM$4:$AO$55,3,FALSE))</f>
        <v>0</v>
      </c>
      <c r="R93" s="4">
        <f>(VLOOKUP('17.01'!Z93,'17.01'!$AM$4:$AO$55,3,FALSE))</f>
        <v>0</v>
      </c>
      <c r="S93" s="4">
        <f>(VLOOKUP('17.01'!AA93,'17.01'!$AM$4:$AO$55,3,FALSE))</f>
        <v>0</v>
      </c>
      <c r="T93" s="4">
        <f>(VLOOKUP('17.01'!AB93,'17.01'!$AM$4:$AO$55,3,FALSE))</f>
        <v>0</v>
      </c>
      <c r="U93" s="4">
        <f>(VLOOKUP('17.01'!AC93,'17.01'!$AM$4:$AO$55,3,FALSE))</f>
        <v>0</v>
      </c>
      <c r="V93" s="4">
        <f>(VLOOKUP('17.01'!AD93,'17.01'!$AM$4:$AO$55,3,FALSE))</f>
        <v>0</v>
      </c>
      <c r="W93" s="5">
        <f>(VLOOKUP('17.01'!AE93,'17.01'!$AM$4:$AO$55,3,FALSE))</f>
        <v>0</v>
      </c>
      <c r="X93" s="5">
        <f>(VLOOKUP('17.01'!AF93,'17.01'!$AM$4:$AO$55,3,FALSE))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3" t="s">
        <v>59</v>
      </c>
      <c r="B2" s="144"/>
      <c r="C2" s="43" t="s">
        <v>4</v>
      </c>
      <c r="D2" s="43">
        <f>COUNTIF(A4:H94,"&lt;&gt;空")</f>
        <v>728</v>
      </c>
      <c r="E2" s="144" t="s">
        <v>5</v>
      </c>
      <c r="F2" s="144"/>
      <c r="G2" s="144"/>
      <c r="H2" s="145"/>
      <c r="I2" s="146" t="s">
        <v>6</v>
      </c>
      <c r="J2" s="147"/>
      <c r="K2" s="44" t="s">
        <v>4</v>
      </c>
      <c r="L2" s="44">
        <f>COUNTIF(I4:P94,"&lt;&gt;空")</f>
        <v>728</v>
      </c>
      <c r="M2" s="147" t="s">
        <v>5</v>
      </c>
      <c r="N2" s="147"/>
      <c r="O2" s="147"/>
      <c r="P2" s="148"/>
      <c r="Q2" s="149" t="s">
        <v>7</v>
      </c>
      <c r="R2" s="141"/>
      <c r="S2" s="10" t="s">
        <v>8</v>
      </c>
      <c r="T2" s="45">
        <f>COUNTIF(Q4:X94,"&lt;&gt;空")</f>
        <v>728</v>
      </c>
      <c r="U2" s="141" t="s">
        <v>5</v>
      </c>
      <c r="V2" s="141"/>
      <c r="W2" s="141"/>
      <c r="X2" s="14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(VLOOKUP('17.01'!I4,'17.01'!$AM$4:$AP$55,4,FALSE))</f>
        <v>44.222109392472248</v>
      </c>
      <c r="B4" s="4">
        <f>(VLOOKUP('17.01'!J4,'17.01'!$AM$4:$AP$55,4,FALSE))</f>
        <v>44.222109392472248</v>
      </c>
      <c r="C4" s="4">
        <f>(VLOOKUP('17.01'!K4,'17.01'!$AM$4:$AP$55,4,FALSE))</f>
        <v>44.222109392472248</v>
      </c>
      <c r="D4" s="4">
        <f>(VLOOKUP('17.01'!L4,'17.01'!$AM$4:$AP$55,4,FALSE))</f>
        <v>0</v>
      </c>
      <c r="E4" s="4">
        <f>(VLOOKUP('17.01'!M4,'17.01'!$AM$4:$AP$55,4,FALSE))</f>
        <v>0</v>
      </c>
      <c r="F4" s="4">
        <f>(VLOOKUP('17.01'!N4,'17.01'!$AM$4:$AP$55,4,FALSE))</f>
        <v>0</v>
      </c>
      <c r="G4" s="4">
        <f>(VLOOKUP('17.01'!O4,'17.01'!$AM$4:$AP$55,4,FALSE))</f>
        <v>0</v>
      </c>
      <c r="H4" s="4">
        <f>(VLOOKUP('17.01'!P4,'17.01'!$AM$4:$AP$55,4,FALSE))</f>
        <v>0</v>
      </c>
      <c r="I4" s="4">
        <f>(VLOOKUP('17.01'!Q4,'17.01'!$AM$4:$AP$55,4,FALSE))</f>
        <v>44.222109392472248</v>
      </c>
      <c r="J4" s="4">
        <f>(VLOOKUP('17.01'!R4,'17.01'!$AM$4:$AP$55,4,FALSE))</f>
        <v>44.222109392472248</v>
      </c>
      <c r="K4" s="4">
        <f>(VLOOKUP('17.01'!S4,'17.01'!$AM$4:$AP$55,4,FALSE))</f>
        <v>10</v>
      </c>
      <c r="L4" s="4">
        <f>(VLOOKUP('17.01'!T4,'17.01'!$AM$4:$AP$55,4,FALSE))</f>
        <v>44.222109392472248</v>
      </c>
      <c r="M4" s="4">
        <f>(VLOOKUP('17.01'!U4,'17.01'!$AM$4:$AP$55,4,FALSE))</f>
        <v>44.222109392472248</v>
      </c>
      <c r="N4" s="4">
        <f>(VLOOKUP('17.01'!V4,'17.01'!$AM$4:$AP$55,4,FALSE))</f>
        <v>44.222109392472248</v>
      </c>
      <c r="O4" s="4">
        <f>(VLOOKUP('17.01'!W4,'17.01'!$AM$4:$AP$55,4,FALSE))</f>
        <v>0</v>
      </c>
      <c r="P4" s="4">
        <f>(VLOOKUP('17.01'!X4,'17.01'!$AM$4:$AP$55,4,FALSE))</f>
        <v>0</v>
      </c>
      <c r="Q4" s="4">
        <f>(VLOOKUP('17.01'!Y4,'17.01'!$AM$4:$AP$55,4,FALSE))</f>
        <v>44.222109392472248</v>
      </c>
      <c r="R4" s="4">
        <f>(VLOOKUP('17.01'!Z4,'17.01'!$AM$4:$AP$55,4,FALSE))</f>
        <v>44.222109392472248</v>
      </c>
      <c r="S4" s="4">
        <f>(VLOOKUP('17.01'!AA4,'17.01'!$AM$4:$AP$55,4,FALSE))</f>
        <v>44.222109392472248</v>
      </c>
      <c r="T4" s="4">
        <f>(VLOOKUP('17.01'!AB4,'17.01'!$AM$4:$AP$55,4,FALSE))</f>
        <v>44.222109392472248</v>
      </c>
      <c r="U4" s="4">
        <f>(VLOOKUP('17.01'!AC4,'17.01'!$AM$4:$AP$55,4,FALSE))</f>
        <v>44.222109392472248</v>
      </c>
      <c r="V4" s="4">
        <f>(VLOOKUP('17.01'!AD4,'17.01'!$AM$4:$AP$55,4,FALSE))</f>
        <v>0</v>
      </c>
      <c r="W4" s="4">
        <f>(VLOOKUP('17.01'!AE4,'17.01'!$AM$4:$AP$55,4,FALSE))</f>
        <v>0</v>
      </c>
      <c r="X4" s="4">
        <f>(VLOOKUP('17.01'!AF4,'17.01'!$AM$4:$AP$55,4,FALSE))</f>
        <v>0</v>
      </c>
    </row>
    <row r="5" spans="1:24">
      <c r="A5" s="4">
        <f>(VLOOKUP('17.01'!I5,'17.01'!$AM$4:$AP$55,4,FALSE))</f>
        <v>0</v>
      </c>
      <c r="B5" s="4">
        <f>(VLOOKUP('17.01'!J5,'17.01'!$AM$4:$AP$55,4,FALSE))</f>
        <v>0</v>
      </c>
      <c r="C5" s="4">
        <f>(VLOOKUP('17.01'!K5,'17.01'!$AM$4:$AP$55,4,FALSE))</f>
        <v>0</v>
      </c>
      <c r="D5" s="4">
        <f>(VLOOKUP('17.01'!L5,'17.01'!$AM$4:$AP$55,4,FALSE))</f>
        <v>0</v>
      </c>
      <c r="E5" s="4">
        <f>(VLOOKUP('17.01'!M5,'17.01'!$AM$4:$AP$55,4,FALSE))</f>
        <v>0</v>
      </c>
      <c r="F5" s="4">
        <f>(VLOOKUP('17.01'!N5,'17.01'!$AM$4:$AP$55,4,FALSE))</f>
        <v>0</v>
      </c>
      <c r="G5" s="4">
        <f>(VLOOKUP('17.01'!O5,'17.01'!$AM$4:$AP$55,4,FALSE))</f>
        <v>0</v>
      </c>
      <c r="H5" s="4">
        <f>(VLOOKUP('17.01'!P5,'17.01'!$AM$4:$AP$55,4,FALSE))</f>
        <v>0</v>
      </c>
      <c r="I5" s="4">
        <f>(VLOOKUP('17.01'!Q5,'17.01'!$AM$4:$AP$55,4,FALSE))</f>
        <v>44.222109392472248</v>
      </c>
      <c r="J5" s="4">
        <f>(VLOOKUP('17.01'!R5,'17.01'!$AM$4:$AP$55,4,FALSE))</f>
        <v>10</v>
      </c>
      <c r="K5" s="4">
        <f>(VLOOKUP('17.01'!S5,'17.01'!$AM$4:$AP$55,4,FALSE))</f>
        <v>0</v>
      </c>
      <c r="L5" s="4">
        <f>(VLOOKUP('17.01'!T5,'17.01'!$AM$4:$AP$55,4,FALSE))</f>
        <v>0</v>
      </c>
      <c r="M5" s="4">
        <f>(VLOOKUP('17.01'!U5,'17.01'!$AM$4:$AP$55,4,FALSE))</f>
        <v>0</v>
      </c>
      <c r="N5" s="4">
        <f>(VLOOKUP('17.01'!V5,'17.01'!$AM$4:$AP$55,4,FALSE))</f>
        <v>0</v>
      </c>
      <c r="O5" s="4">
        <f>(VLOOKUP('17.01'!W5,'17.01'!$AM$4:$AP$55,4,FALSE))</f>
        <v>0</v>
      </c>
      <c r="P5" s="4">
        <f>(VLOOKUP('17.01'!X5,'17.01'!$AM$4:$AP$55,4,FALSE))</f>
        <v>0</v>
      </c>
      <c r="Q5" s="4">
        <f>(VLOOKUP('17.01'!Y5,'17.01'!$AM$4:$AP$55,4,FALSE))</f>
        <v>10</v>
      </c>
      <c r="R5" s="4">
        <f>(VLOOKUP('17.01'!Z5,'17.01'!$AM$4:$AP$55,4,FALSE))</f>
        <v>44.222109392472248</v>
      </c>
      <c r="S5" s="4">
        <f>(VLOOKUP('17.01'!AA5,'17.01'!$AM$4:$AP$55,4,FALSE))</f>
        <v>44.222109392472248</v>
      </c>
      <c r="T5" s="4">
        <f>(VLOOKUP('17.01'!AB5,'17.01'!$AM$4:$AP$55,4,FALSE))</f>
        <v>44.222109392472248</v>
      </c>
      <c r="U5" s="4">
        <f>(VLOOKUP('17.01'!AC5,'17.01'!$AM$4:$AP$55,4,FALSE))</f>
        <v>44.222109392472248</v>
      </c>
      <c r="V5" s="4">
        <f>(VLOOKUP('17.01'!AD5,'17.01'!$AM$4:$AP$55,4,FALSE))</f>
        <v>44.222109392472248</v>
      </c>
      <c r="W5" s="4">
        <f>(VLOOKUP('17.01'!AE5,'17.01'!$AM$4:$AP$55,4,FALSE))</f>
        <v>44.222109392472248</v>
      </c>
      <c r="X5" s="4">
        <f>(VLOOKUP('17.01'!AF5,'17.01'!$AM$4:$AP$55,4,FALSE))</f>
        <v>0</v>
      </c>
    </row>
    <row r="6" spans="1:24">
      <c r="A6" s="4">
        <f>(VLOOKUP('17.01'!I6,'17.01'!$AM$4:$AP$55,4,FALSE))</f>
        <v>0</v>
      </c>
      <c r="B6" s="4">
        <f>(VLOOKUP('17.01'!J6,'17.01'!$AM$4:$AP$55,4,FALSE))</f>
        <v>0</v>
      </c>
      <c r="C6" s="4">
        <f>(VLOOKUP('17.01'!K6,'17.01'!$AM$4:$AP$55,4,FALSE))</f>
        <v>0</v>
      </c>
      <c r="D6" s="4">
        <f>(VLOOKUP('17.01'!L6,'17.01'!$AM$4:$AP$55,4,FALSE))</f>
        <v>0</v>
      </c>
      <c r="E6" s="4">
        <f>(VLOOKUP('17.01'!M6,'17.01'!$AM$4:$AP$55,4,FALSE))</f>
        <v>0</v>
      </c>
      <c r="F6" s="4">
        <f>(VLOOKUP('17.01'!N6,'17.01'!$AM$4:$AP$55,4,FALSE))</f>
        <v>0</v>
      </c>
      <c r="G6" s="4">
        <f>(VLOOKUP('17.01'!O6,'17.01'!$AM$4:$AP$55,4,FALSE))</f>
        <v>0</v>
      </c>
      <c r="H6" s="4">
        <f>(VLOOKUP('17.01'!P6,'17.01'!$AM$4:$AP$55,4,FALSE))</f>
        <v>0</v>
      </c>
      <c r="I6" s="4">
        <f>(VLOOKUP('17.01'!Q6,'17.01'!$AM$4:$AP$55,4,FALSE))</f>
        <v>0</v>
      </c>
      <c r="J6" s="4">
        <f>(VLOOKUP('17.01'!R6,'17.01'!$AM$4:$AP$55,4,FALSE))</f>
        <v>34</v>
      </c>
      <c r="K6" s="4">
        <f>(VLOOKUP('17.01'!S6,'17.01'!$AM$4:$AP$55,4,FALSE))</f>
        <v>34</v>
      </c>
      <c r="L6" s="4">
        <f>(VLOOKUP('17.01'!T6,'17.01'!$AM$4:$AP$55,4,FALSE))</f>
        <v>34</v>
      </c>
      <c r="M6" s="4">
        <f>(VLOOKUP('17.01'!U6,'17.01'!$AM$4:$AP$55,4,FALSE))</f>
        <v>34</v>
      </c>
      <c r="N6" s="4">
        <f>(VLOOKUP('17.01'!V6,'17.01'!$AM$4:$AP$55,4,FALSE))</f>
        <v>34</v>
      </c>
      <c r="O6" s="4">
        <f>(VLOOKUP('17.01'!W6,'17.01'!$AM$4:$AP$55,4,FALSE))</f>
        <v>34</v>
      </c>
      <c r="P6" s="4">
        <f>(VLOOKUP('17.01'!X6,'17.01'!$AM$4:$AP$55,4,FALSE))</f>
        <v>34</v>
      </c>
      <c r="Q6" s="4">
        <f>(VLOOKUP('17.01'!Y6,'17.01'!$AM$4:$AP$55,4,FALSE))</f>
        <v>10</v>
      </c>
      <c r="R6" s="4">
        <f>(VLOOKUP('17.01'!Z6,'17.01'!$AM$4:$AP$55,4,FALSE))</f>
        <v>44.222109392472248</v>
      </c>
      <c r="S6" s="4">
        <f>(VLOOKUP('17.01'!AA6,'17.01'!$AM$4:$AP$55,4,FALSE))</f>
        <v>44.222109392472248</v>
      </c>
      <c r="T6" s="4">
        <f>(VLOOKUP('17.01'!AB6,'17.01'!$AM$4:$AP$55,4,FALSE))</f>
        <v>34</v>
      </c>
      <c r="U6" s="4">
        <f>(VLOOKUP('17.01'!AC6,'17.01'!$AM$4:$AP$55,4,FALSE))</f>
        <v>34</v>
      </c>
      <c r="V6" s="4">
        <f>(VLOOKUP('17.01'!AD6,'17.01'!$AM$4:$AP$55,4,FALSE))</f>
        <v>34</v>
      </c>
      <c r="W6" s="4">
        <f>(VLOOKUP('17.01'!AE6,'17.01'!$AM$4:$AP$55,4,FALSE))</f>
        <v>0</v>
      </c>
      <c r="X6" s="4">
        <f>(VLOOKUP('17.01'!AF6,'17.01'!$AM$4:$AP$55,4,FALSE))</f>
        <v>0</v>
      </c>
    </row>
    <row r="7" spans="1:24">
      <c r="A7" s="4">
        <f>(VLOOKUP('17.01'!I7,'17.01'!$AM$4:$AP$55,4,FALSE))</f>
        <v>0</v>
      </c>
      <c r="B7" s="4">
        <f>(VLOOKUP('17.01'!J7,'17.01'!$AM$4:$AP$55,4,FALSE))</f>
        <v>0</v>
      </c>
      <c r="C7" s="4">
        <f>(VLOOKUP('17.01'!K7,'17.01'!$AM$4:$AP$55,4,FALSE))</f>
        <v>0</v>
      </c>
      <c r="D7" s="4">
        <f>(VLOOKUP('17.01'!L7,'17.01'!$AM$4:$AP$55,4,FALSE))</f>
        <v>0</v>
      </c>
      <c r="E7" s="4">
        <f>(VLOOKUP('17.01'!M7,'17.01'!$AM$4:$AP$55,4,FALSE))</f>
        <v>0</v>
      </c>
      <c r="F7" s="4">
        <f>(VLOOKUP('17.01'!N7,'17.01'!$AM$4:$AP$55,4,FALSE))</f>
        <v>0</v>
      </c>
      <c r="G7" s="4">
        <f>(VLOOKUP('17.01'!O7,'17.01'!$AM$4:$AP$55,4,FALSE))</f>
        <v>0</v>
      </c>
      <c r="H7" s="4">
        <f>(VLOOKUP('17.01'!P7,'17.01'!$AM$4:$AP$55,4,FALSE))</f>
        <v>0</v>
      </c>
      <c r="I7" s="4">
        <f>(VLOOKUP('17.01'!Q7,'17.01'!$AM$4:$AP$55,4,FALSE))</f>
        <v>13.999854933178597</v>
      </c>
      <c r="J7" s="4">
        <f>(VLOOKUP('17.01'!R7,'17.01'!$AM$4:$AP$55,4,FALSE))</f>
        <v>34</v>
      </c>
      <c r="K7" s="4">
        <f>(VLOOKUP('17.01'!S7,'17.01'!$AM$4:$AP$55,4,FALSE))</f>
        <v>34</v>
      </c>
      <c r="L7" s="4">
        <f>(VLOOKUP('17.01'!T7,'17.01'!$AM$4:$AP$55,4,FALSE))</f>
        <v>34</v>
      </c>
      <c r="M7" s="4">
        <f>(VLOOKUP('17.01'!U7,'17.01'!$AM$4:$AP$55,4,FALSE))</f>
        <v>0</v>
      </c>
      <c r="N7" s="4">
        <f>(VLOOKUP('17.01'!V7,'17.01'!$AM$4:$AP$55,4,FALSE))</f>
        <v>34</v>
      </c>
      <c r="O7" s="4">
        <f>(VLOOKUP('17.01'!W7,'17.01'!$AM$4:$AP$55,4,FALSE))</f>
        <v>34</v>
      </c>
      <c r="P7" s="4">
        <f>(VLOOKUP('17.01'!X7,'17.01'!$AM$4:$AP$55,4,FALSE))</f>
        <v>34</v>
      </c>
      <c r="Q7" s="4">
        <f>(VLOOKUP('17.01'!Y7,'17.01'!$AM$4:$AP$55,4,FALSE))</f>
        <v>34</v>
      </c>
      <c r="R7" s="4">
        <f>(VLOOKUP('17.01'!Z7,'17.01'!$AM$4:$AP$55,4,FALSE))</f>
        <v>10</v>
      </c>
      <c r="S7" s="4">
        <f>(VLOOKUP('17.01'!AA7,'17.01'!$AM$4:$AP$55,4,FALSE))</f>
        <v>34</v>
      </c>
      <c r="T7" s="4">
        <f>(VLOOKUP('17.01'!AB7,'17.01'!$AM$4:$AP$55,4,FALSE))</f>
        <v>34</v>
      </c>
      <c r="U7" s="4">
        <f>(VLOOKUP('17.01'!AC7,'17.01'!$AM$4:$AP$55,4,FALSE))</f>
        <v>34</v>
      </c>
      <c r="V7" s="4">
        <f>(VLOOKUP('17.01'!AD7,'17.01'!$AM$4:$AP$55,4,FALSE))</f>
        <v>34</v>
      </c>
      <c r="W7" s="4">
        <f>(VLOOKUP('17.01'!AE7,'17.01'!$AM$4:$AP$55,4,FALSE))</f>
        <v>0</v>
      </c>
      <c r="X7" s="4">
        <f>(VLOOKUP('17.01'!AF7,'17.01'!$AM$4:$AP$55,4,FALSE))</f>
        <v>0</v>
      </c>
    </row>
    <row r="8" spans="1:24">
      <c r="A8" s="4">
        <f>(VLOOKUP('17.01'!I8,'17.01'!$AM$4:$AP$55,4,FALSE))</f>
        <v>0</v>
      </c>
      <c r="B8" s="4">
        <f>(VLOOKUP('17.01'!J8,'17.01'!$AM$4:$AP$55,4,FALSE))</f>
        <v>0</v>
      </c>
      <c r="C8" s="4">
        <f>(VLOOKUP('17.01'!K8,'17.01'!$AM$4:$AP$55,4,FALSE))</f>
        <v>0</v>
      </c>
      <c r="D8" s="4">
        <f>(VLOOKUP('17.01'!L8,'17.01'!$AM$4:$AP$55,4,FALSE))</f>
        <v>0</v>
      </c>
      <c r="E8" s="4">
        <f>(VLOOKUP('17.01'!M8,'17.01'!$AM$4:$AP$55,4,FALSE))</f>
        <v>0</v>
      </c>
      <c r="F8" s="4">
        <f>(VLOOKUP('17.01'!N8,'17.01'!$AM$4:$AP$55,4,FALSE))</f>
        <v>0</v>
      </c>
      <c r="G8" s="4">
        <f>(VLOOKUP('17.01'!O8,'17.01'!$AM$4:$AP$55,4,FALSE))</f>
        <v>0</v>
      </c>
      <c r="H8" s="4">
        <f>(VLOOKUP('17.01'!P8,'17.01'!$AM$4:$AP$55,4,FALSE))</f>
        <v>0</v>
      </c>
      <c r="I8" s="4">
        <f>(VLOOKUP('17.01'!Q8,'17.01'!$AM$4:$AP$55,4,FALSE))</f>
        <v>34</v>
      </c>
      <c r="J8" s="4">
        <f>(VLOOKUP('17.01'!R8,'17.01'!$AM$4:$AP$55,4,FALSE))</f>
        <v>34</v>
      </c>
      <c r="K8" s="4">
        <f>(VLOOKUP('17.01'!S8,'17.01'!$AM$4:$AP$55,4,FALSE))</f>
        <v>34</v>
      </c>
      <c r="L8" s="4">
        <f>(VLOOKUP('17.01'!T8,'17.01'!$AM$4:$AP$55,4,FALSE))</f>
        <v>10</v>
      </c>
      <c r="M8" s="4">
        <f>(VLOOKUP('17.01'!U8,'17.01'!$AM$4:$AP$55,4,FALSE))</f>
        <v>34</v>
      </c>
      <c r="N8" s="4">
        <f>(VLOOKUP('17.01'!V8,'17.01'!$AM$4:$AP$55,4,FALSE))</f>
        <v>34</v>
      </c>
      <c r="O8" s="4">
        <f>(VLOOKUP('17.01'!W8,'17.01'!$AM$4:$AP$55,4,FALSE))</f>
        <v>0</v>
      </c>
      <c r="P8" s="4">
        <f>(VLOOKUP('17.01'!X8,'17.01'!$AM$4:$AP$55,4,FALSE))</f>
        <v>0</v>
      </c>
      <c r="Q8" s="4">
        <f>(VLOOKUP('17.01'!Y8,'17.01'!$AM$4:$AP$55,4,FALSE))</f>
        <v>34</v>
      </c>
      <c r="R8" s="4">
        <f>(VLOOKUP('17.01'!Z8,'17.01'!$AM$4:$AP$55,4,FALSE))</f>
        <v>34</v>
      </c>
      <c r="S8" s="4">
        <f>(VLOOKUP('17.01'!AA8,'17.01'!$AM$4:$AP$55,4,FALSE))</f>
        <v>34</v>
      </c>
      <c r="T8" s="4">
        <f>(VLOOKUP('17.01'!AB8,'17.01'!$AM$4:$AP$55,4,FALSE))</f>
        <v>0</v>
      </c>
      <c r="U8" s="4">
        <f>(VLOOKUP('17.01'!AC8,'17.01'!$AM$4:$AP$55,4,FALSE))</f>
        <v>34</v>
      </c>
      <c r="V8" s="4">
        <f>(VLOOKUP('17.01'!AD8,'17.01'!$AM$4:$AP$55,4,FALSE))</f>
        <v>0</v>
      </c>
      <c r="W8" s="4">
        <f>(VLOOKUP('17.01'!AE8,'17.01'!$AM$4:$AP$55,4,FALSE))</f>
        <v>0</v>
      </c>
      <c r="X8" s="4">
        <f>(VLOOKUP('17.01'!AF8,'17.01'!$AM$4:$AP$55,4,FALSE))</f>
        <v>0</v>
      </c>
    </row>
    <row r="9" spans="1:24">
      <c r="A9" s="4">
        <f>(VLOOKUP('17.01'!I9,'17.01'!$AM$4:$AP$55,4,FALSE))</f>
        <v>0</v>
      </c>
      <c r="B9" s="4">
        <f>(VLOOKUP('17.01'!J9,'17.01'!$AM$4:$AP$55,4,FALSE))</f>
        <v>0</v>
      </c>
      <c r="C9" s="4">
        <f>(VLOOKUP('17.01'!K9,'17.01'!$AM$4:$AP$55,4,FALSE))</f>
        <v>0</v>
      </c>
      <c r="D9" s="4">
        <f>(VLOOKUP('17.01'!L9,'17.01'!$AM$4:$AP$55,4,FALSE))</f>
        <v>0</v>
      </c>
      <c r="E9" s="4">
        <f>(VLOOKUP('17.01'!M9,'17.01'!$AM$4:$AP$55,4,FALSE))</f>
        <v>0</v>
      </c>
      <c r="F9" s="4">
        <f>(VLOOKUP('17.01'!N9,'17.01'!$AM$4:$AP$55,4,FALSE))</f>
        <v>0</v>
      </c>
      <c r="G9" s="4">
        <f>(VLOOKUP('17.01'!O9,'17.01'!$AM$4:$AP$55,4,FALSE))</f>
        <v>0</v>
      </c>
      <c r="H9" s="4">
        <f>(VLOOKUP('17.01'!P9,'17.01'!$AM$4:$AP$55,4,FALSE))</f>
        <v>0</v>
      </c>
      <c r="I9" s="4">
        <f>(VLOOKUP('17.01'!Q9,'17.01'!$AM$4:$AP$55,4,FALSE))</f>
        <v>0</v>
      </c>
      <c r="J9" s="4">
        <f>(VLOOKUP('17.01'!R9,'17.01'!$AM$4:$AP$55,4,FALSE))</f>
        <v>36</v>
      </c>
      <c r="K9" s="4">
        <f>(VLOOKUP('17.01'!S9,'17.01'!$AM$4:$AP$55,4,FALSE))</f>
        <v>36</v>
      </c>
      <c r="L9" s="4">
        <f>(VLOOKUP('17.01'!T9,'17.01'!$AM$4:$AP$55,4,FALSE))</f>
        <v>36</v>
      </c>
      <c r="M9" s="4">
        <f>(VLOOKUP('17.01'!U9,'17.01'!$AM$4:$AP$55,4,FALSE))</f>
        <v>36</v>
      </c>
      <c r="N9" s="4">
        <f>(VLOOKUP('17.01'!V9,'17.01'!$AM$4:$AP$55,4,FALSE))</f>
        <v>36</v>
      </c>
      <c r="O9" s="4">
        <f>(VLOOKUP('17.01'!W9,'17.01'!$AM$4:$AP$55,4,FALSE))</f>
        <v>0</v>
      </c>
      <c r="P9" s="4">
        <f>(VLOOKUP('17.01'!X9,'17.01'!$AM$4:$AP$55,4,FALSE))</f>
        <v>0</v>
      </c>
      <c r="Q9" s="4">
        <f>(VLOOKUP('17.01'!Y9,'17.01'!$AM$4:$AP$55,4,FALSE))</f>
        <v>34</v>
      </c>
      <c r="R9" s="4">
        <f>(VLOOKUP('17.01'!Z9,'17.01'!$AM$4:$AP$55,4,FALSE))</f>
        <v>34</v>
      </c>
      <c r="S9" s="4">
        <f>(VLOOKUP('17.01'!AA9,'17.01'!$AM$4:$AP$55,4,FALSE))</f>
        <v>34</v>
      </c>
      <c r="T9" s="4">
        <f>(VLOOKUP('17.01'!AB9,'17.01'!$AM$4:$AP$55,4,FALSE))</f>
        <v>34</v>
      </c>
      <c r="U9" s="4">
        <f>(VLOOKUP('17.01'!AC9,'17.01'!$AM$4:$AP$55,4,FALSE))</f>
        <v>10</v>
      </c>
      <c r="V9" s="4">
        <f>(VLOOKUP('17.01'!AD9,'17.01'!$AM$4:$AP$55,4,FALSE))</f>
        <v>34</v>
      </c>
      <c r="W9" s="4">
        <f>(VLOOKUP('17.01'!AE9,'17.01'!$AM$4:$AP$55,4,FALSE))</f>
        <v>0</v>
      </c>
      <c r="X9" s="4">
        <f>(VLOOKUP('17.01'!AF9,'17.01'!$AM$4:$AP$55,4,FALSE))</f>
        <v>0</v>
      </c>
    </row>
    <row r="10" spans="1:24">
      <c r="A10" s="4">
        <f>(VLOOKUP('17.01'!I10,'17.01'!$AM$4:$AP$55,4,FALSE))</f>
        <v>0</v>
      </c>
      <c r="B10" s="4">
        <f>(VLOOKUP('17.01'!J10,'17.01'!$AM$4:$AP$55,4,FALSE))</f>
        <v>0</v>
      </c>
      <c r="C10" s="4">
        <f>(VLOOKUP('17.01'!K10,'17.01'!$AM$4:$AP$55,4,FALSE))</f>
        <v>0</v>
      </c>
      <c r="D10" s="4">
        <f>(VLOOKUP('17.01'!L10,'17.01'!$AM$4:$AP$55,4,FALSE))</f>
        <v>0</v>
      </c>
      <c r="E10" s="4">
        <f>(VLOOKUP('17.01'!M10,'17.01'!$AM$4:$AP$55,4,FALSE))</f>
        <v>0</v>
      </c>
      <c r="F10" s="4">
        <f>(VLOOKUP('17.01'!N10,'17.01'!$AM$4:$AP$55,4,FALSE))</f>
        <v>0</v>
      </c>
      <c r="G10" s="4">
        <f>(VLOOKUP('17.01'!O10,'17.01'!$AM$4:$AP$55,4,FALSE))</f>
        <v>0</v>
      </c>
      <c r="H10" s="4">
        <f>(VLOOKUP('17.01'!P10,'17.01'!$AM$4:$AP$55,4,FALSE))</f>
        <v>0</v>
      </c>
      <c r="I10" s="4">
        <f>(VLOOKUP('17.01'!Q10,'17.01'!$AM$4:$AP$55,4,FALSE))</f>
        <v>0</v>
      </c>
      <c r="J10" s="4">
        <f>(VLOOKUP('17.01'!R10,'17.01'!$AM$4:$AP$55,4,FALSE))</f>
        <v>36</v>
      </c>
      <c r="K10" s="4">
        <f>(VLOOKUP('17.01'!S10,'17.01'!$AM$4:$AP$55,4,FALSE))</f>
        <v>36</v>
      </c>
      <c r="L10" s="4">
        <f>(VLOOKUP('17.01'!T10,'17.01'!$AM$4:$AP$55,4,FALSE))</f>
        <v>34</v>
      </c>
      <c r="M10" s="4">
        <f>(VLOOKUP('17.01'!U10,'17.01'!$AM$4:$AP$55,4,FALSE))</f>
        <v>34</v>
      </c>
      <c r="N10" s="4">
        <f>(VLOOKUP('17.01'!V10,'17.01'!$AM$4:$AP$55,4,FALSE))</f>
        <v>34</v>
      </c>
      <c r="O10" s="4">
        <f>(VLOOKUP('17.01'!W10,'17.01'!$AM$4:$AP$55,4,FALSE))</f>
        <v>0</v>
      </c>
      <c r="P10" s="4">
        <f>(VLOOKUP('17.01'!X10,'17.01'!$AM$4:$AP$55,4,FALSE))</f>
        <v>0</v>
      </c>
      <c r="Q10" s="4">
        <f>(VLOOKUP('17.01'!Y10,'17.01'!$AM$4:$AP$55,4,FALSE))</f>
        <v>34</v>
      </c>
      <c r="R10" s="4">
        <f>(VLOOKUP('17.01'!Z10,'17.01'!$AM$4:$AP$55,4,FALSE))</f>
        <v>34</v>
      </c>
      <c r="S10" s="4">
        <f>(VLOOKUP('17.01'!AA10,'17.01'!$AM$4:$AP$55,4,FALSE))</f>
        <v>34</v>
      </c>
      <c r="T10" s="4">
        <f>(VLOOKUP('17.01'!AB10,'17.01'!$AM$4:$AP$55,4,FALSE))</f>
        <v>34</v>
      </c>
      <c r="U10" s="4">
        <f>(VLOOKUP('17.01'!AC10,'17.01'!$AM$4:$AP$55,4,FALSE))</f>
        <v>34</v>
      </c>
      <c r="V10" s="4">
        <f>(VLOOKUP('17.01'!AD10,'17.01'!$AM$4:$AP$55,4,FALSE))</f>
        <v>34</v>
      </c>
      <c r="W10" s="4">
        <f>(VLOOKUP('17.01'!AE10,'17.01'!$AM$4:$AP$55,4,FALSE))</f>
        <v>0</v>
      </c>
      <c r="X10" s="4">
        <f>(VLOOKUP('17.01'!AF10,'17.01'!$AM$4:$AP$55,4,FALSE))</f>
        <v>0</v>
      </c>
    </row>
    <row r="11" spans="1:24">
      <c r="A11" s="4">
        <f>(VLOOKUP('17.01'!I11,'17.01'!$AM$4:$AP$55,4,FALSE))</f>
        <v>0</v>
      </c>
      <c r="B11" s="4">
        <f>(VLOOKUP('17.01'!J11,'17.01'!$AM$4:$AP$55,4,FALSE))</f>
        <v>0</v>
      </c>
      <c r="C11" s="4">
        <f>(VLOOKUP('17.01'!K11,'17.01'!$AM$4:$AP$55,4,FALSE))</f>
        <v>0</v>
      </c>
      <c r="D11" s="4">
        <f>(VLOOKUP('17.01'!L11,'17.01'!$AM$4:$AP$55,4,FALSE))</f>
        <v>0</v>
      </c>
      <c r="E11" s="4">
        <f>(VLOOKUP('17.01'!M11,'17.01'!$AM$4:$AP$55,4,FALSE))</f>
        <v>0</v>
      </c>
      <c r="F11" s="4">
        <f>(VLOOKUP('17.01'!N11,'17.01'!$AM$4:$AP$55,4,FALSE))</f>
        <v>0</v>
      </c>
      <c r="G11" s="4">
        <f>(VLOOKUP('17.01'!O11,'17.01'!$AM$4:$AP$55,4,FALSE))</f>
        <v>0</v>
      </c>
      <c r="H11" s="4">
        <f>(VLOOKUP('17.01'!P11,'17.01'!$AM$4:$AP$55,4,FALSE))</f>
        <v>0</v>
      </c>
      <c r="I11" s="4">
        <f>(VLOOKUP('17.01'!Q11,'17.01'!$AM$4:$AP$55,4,FALSE))</f>
        <v>0</v>
      </c>
      <c r="J11" s="4">
        <f>(VLOOKUP('17.01'!R11,'17.01'!$AM$4:$AP$55,4,FALSE))</f>
        <v>34</v>
      </c>
      <c r="K11" s="4">
        <f>(VLOOKUP('17.01'!S11,'17.01'!$AM$4:$AP$55,4,FALSE))</f>
        <v>44.222109392472248</v>
      </c>
      <c r="L11" s="4">
        <f>(VLOOKUP('17.01'!T11,'17.01'!$AM$4:$AP$55,4,FALSE))</f>
        <v>34</v>
      </c>
      <c r="M11" s="4">
        <f>(VLOOKUP('17.01'!U11,'17.01'!$AM$4:$AP$55,4,FALSE))</f>
        <v>10</v>
      </c>
      <c r="N11" s="4">
        <f>(VLOOKUP('17.01'!V11,'17.01'!$AM$4:$AP$55,4,FALSE))</f>
        <v>34</v>
      </c>
      <c r="O11" s="4">
        <f>(VLOOKUP('17.01'!W11,'17.01'!$AM$4:$AP$55,4,FALSE))</f>
        <v>34</v>
      </c>
      <c r="P11" s="4">
        <f>(VLOOKUP('17.01'!X11,'17.01'!$AM$4:$AP$55,4,FALSE))</f>
        <v>34</v>
      </c>
      <c r="Q11" s="4">
        <f>(VLOOKUP('17.01'!Y11,'17.01'!$AM$4:$AP$55,4,FALSE))</f>
        <v>34</v>
      </c>
      <c r="R11" s="4">
        <f>(VLOOKUP('17.01'!Z11,'17.01'!$AM$4:$AP$55,4,FALSE))</f>
        <v>34</v>
      </c>
      <c r="S11" s="4">
        <f>(VLOOKUP('17.01'!AA11,'17.01'!$AM$4:$AP$55,4,FALSE))</f>
        <v>34</v>
      </c>
      <c r="T11" s="4">
        <f>(VLOOKUP('17.01'!AB11,'17.01'!$AM$4:$AP$55,4,FALSE))</f>
        <v>34</v>
      </c>
      <c r="U11" s="4">
        <f>(VLOOKUP('17.01'!AC11,'17.01'!$AM$4:$AP$55,4,FALSE))</f>
        <v>34</v>
      </c>
      <c r="V11" s="4">
        <f>(VLOOKUP('17.01'!AD11,'17.01'!$AM$4:$AP$55,4,FALSE))</f>
        <v>34</v>
      </c>
      <c r="W11" s="4">
        <f>(VLOOKUP('17.01'!AE11,'17.01'!$AM$4:$AP$55,4,FALSE))</f>
        <v>0</v>
      </c>
      <c r="X11" s="4">
        <f>(VLOOKUP('17.01'!AF11,'17.01'!$AM$4:$AP$55,4,FALSE))</f>
        <v>0</v>
      </c>
    </row>
    <row r="12" spans="1:24">
      <c r="A12" s="4">
        <f>(VLOOKUP('17.01'!I12,'17.01'!$AM$4:$AP$55,4,FALSE))</f>
        <v>0</v>
      </c>
      <c r="B12" s="4">
        <f>(VLOOKUP('17.01'!J12,'17.01'!$AM$4:$AP$55,4,FALSE))</f>
        <v>0</v>
      </c>
      <c r="C12" s="4">
        <f>(VLOOKUP('17.01'!K12,'17.01'!$AM$4:$AP$55,4,FALSE))</f>
        <v>0</v>
      </c>
      <c r="D12" s="4">
        <f>(VLOOKUP('17.01'!L12,'17.01'!$AM$4:$AP$55,4,FALSE))</f>
        <v>0</v>
      </c>
      <c r="E12" s="4">
        <f>(VLOOKUP('17.01'!M12,'17.01'!$AM$4:$AP$55,4,FALSE))</f>
        <v>0</v>
      </c>
      <c r="F12" s="4">
        <f>(VLOOKUP('17.01'!N12,'17.01'!$AM$4:$AP$55,4,FALSE))</f>
        <v>0</v>
      </c>
      <c r="G12" s="4">
        <f>(VLOOKUP('17.01'!O12,'17.01'!$AM$4:$AP$55,4,FALSE))</f>
        <v>0</v>
      </c>
      <c r="H12" s="4">
        <f>(VLOOKUP('17.01'!P12,'17.01'!$AM$4:$AP$55,4,FALSE))</f>
        <v>0</v>
      </c>
      <c r="I12" s="4">
        <f>(VLOOKUP('17.01'!Q12,'17.01'!$AM$4:$AP$55,4,FALSE))</f>
        <v>34</v>
      </c>
      <c r="J12" s="4">
        <f>(VLOOKUP('17.01'!R12,'17.01'!$AM$4:$AP$55,4,FALSE))</f>
        <v>34</v>
      </c>
      <c r="K12" s="4">
        <f>(VLOOKUP('17.01'!S12,'17.01'!$AM$4:$AP$55,4,FALSE))</f>
        <v>13.999854933178597</v>
      </c>
      <c r="L12" s="4">
        <f>(VLOOKUP('17.01'!T12,'17.01'!$AM$4:$AP$55,4,FALSE))</f>
        <v>34</v>
      </c>
      <c r="M12" s="4">
        <f>(VLOOKUP('17.01'!U12,'17.01'!$AM$4:$AP$55,4,FALSE))</f>
        <v>34</v>
      </c>
      <c r="N12" s="4">
        <f>(VLOOKUP('17.01'!V12,'17.01'!$AM$4:$AP$55,4,FALSE))</f>
        <v>0</v>
      </c>
      <c r="O12" s="4">
        <f>(VLOOKUP('17.01'!W12,'17.01'!$AM$4:$AP$55,4,FALSE))</f>
        <v>0</v>
      </c>
      <c r="P12" s="4">
        <f>(VLOOKUP('17.01'!X12,'17.01'!$AM$4:$AP$55,4,FALSE))</f>
        <v>0</v>
      </c>
      <c r="Q12" s="4">
        <f>(VLOOKUP('17.01'!Y12,'17.01'!$AM$4:$AP$55,4,FALSE))</f>
        <v>34</v>
      </c>
      <c r="R12" s="4">
        <f>(VLOOKUP('17.01'!Z12,'17.01'!$AM$4:$AP$55,4,FALSE))</f>
        <v>10</v>
      </c>
      <c r="S12" s="4">
        <f>(VLOOKUP('17.01'!AA12,'17.01'!$AM$4:$AP$55,4,FALSE))</f>
        <v>34</v>
      </c>
      <c r="T12" s="4">
        <f>(VLOOKUP('17.01'!AB12,'17.01'!$AM$4:$AP$55,4,FALSE))</f>
        <v>34</v>
      </c>
      <c r="U12" s="4">
        <f>(VLOOKUP('17.01'!AC12,'17.01'!$AM$4:$AP$55,4,FALSE))</f>
        <v>34</v>
      </c>
      <c r="V12" s="4">
        <f>(VLOOKUP('17.01'!AD12,'17.01'!$AM$4:$AP$55,4,FALSE))</f>
        <v>34</v>
      </c>
      <c r="W12" s="4">
        <f>(VLOOKUP('17.01'!AE12,'17.01'!$AM$4:$AP$55,4,FALSE))</f>
        <v>0</v>
      </c>
      <c r="X12" s="4">
        <f>(VLOOKUP('17.01'!AF12,'17.01'!$AM$4:$AP$55,4,FALSE))</f>
        <v>0</v>
      </c>
    </row>
    <row r="13" spans="1:24">
      <c r="A13" s="4">
        <f>(VLOOKUP('17.01'!I13,'17.01'!$AM$4:$AP$55,4,FALSE))</f>
        <v>0</v>
      </c>
      <c r="B13" s="4">
        <f>(VLOOKUP('17.01'!J13,'17.01'!$AM$4:$AP$55,4,FALSE))</f>
        <v>0</v>
      </c>
      <c r="C13" s="4">
        <f>(VLOOKUP('17.01'!K13,'17.01'!$AM$4:$AP$55,4,FALSE))</f>
        <v>0</v>
      </c>
      <c r="D13" s="4">
        <f>(VLOOKUP('17.01'!L13,'17.01'!$AM$4:$AP$55,4,FALSE))</f>
        <v>0</v>
      </c>
      <c r="E13" s="4">
        <f>(VLOOKUP('17.01'!M13,'17.01'!$AM$4:$AP$55,4,FALSE))</f>
        <v>0</v>
      </c>
      <c r="F13" s="4">
        <f>(VLOOKUP('17.01'!N13,'17.01'!$AM$4:$AP$55,4,FALSE))</f>
        <v>0</v>
      </c>
      <c r="G13" s="4">
        <f>(VLOOKUP('17.01'!O13,'17.01'!$AM$4:$AP$55,4,FALSE))</f>
        <v>0</v>
      </c>
      <c r="H13" s="4">
        <f>(VLOOKUP('17.01'!P13,'17.01'!$AM$4:$AP$55,4,FALSE))</f>
        <v>0</v>
      </c>
      <c r="I13" s="4">
        <f>(VLOOKUP('17.01'!Q13,'17.01'!$AM$4:$AP$55,4,FALSE))</f>
        <v>36</v>
      </c>
      <c r="J13" s="4">
        <f>(VLOOKUP('17.01'!R13,'17.01'!$AM$4:$AP$55,4,FALSE))</f>
        <v>10</v>
      </c>
      <c r="K13" s="4">
        <f>(VLOOKUP('17.01'!S13,'17.01'!$AM$4:$AP$55,4,FALSE))</f>
        <v>36</v>
      </c>
      <c r="L13" s="4">
        <f>(VLOOKUP('17.01'!T13,'17.01'!$AM$4:$AP$55,4,FALSE))</f>
        <v>36</v>
      </c>
      <c r="M13" s="4">
        <f>(VLOOKUP('17.01'!U13,'17.01'!$AM$4:$AP$55,4,FALSE))</f>
        <v>36</v>
      </c>
      <c r="N13" s="4">
        <f>(VLOOKUP('17.01'!V13,'17.01'!$AM$4:$AP$55,4,FALSE))</f>
        <v>36</v>
      </c>
      <c r="O13" s="4">
        <f>(VLOOKUP('17.01'!W13,'17.01'!$AM$4:$AP$55,4,FALSE))</f>
        <v>0</v>
      </c>
      <c r="P13" s="4">
        <f>(VLOOKUP('17.01'!X13,'17.01'!$AM$4:$AP$55,4,FALSE))</f>
        <v>0</v>
      </c>
      <c r="Q13" s="4">
        <f>(VLOOKUP('17.01'!Y13,'17.01'!$AM$4:$AP$55,4,FALSE))</f>
        <v>0</v>
      </c>
      <c r="R13" s="4">
        <f>(VLOOKUP('17.01'!Z13,'17.01'!$AM$4:$AP$55,4,FALSE))</f>
        <v>0</v>
      </c>
      <c r="S13" s="4">
        <f>(VLOOKUP('17.01'!AA13,'17.01'!$AM$4:$AP$55,4,FALSE))</f>
        <v>0</v>
      </c>
      <c r="T13" s="4">
        <f>(VLOOKUP('17.01'!AB13,'17.01'!$AM$4:$AP$55,4,FALSE))</f>
        <v>0</v>
      </c>
      <c r="U13" s="4">
        <f>(VLOOKUP('17.01'!AC13,'17.01'!$AM$4:$AP$55,4,FALSE))</f>
        <v>0</v>
      </c>
      <c r="V13" s="4">
        <f>(VLOOKUP('17.01'!AD13,'17.01'!$AM$4:$AP$55,4,FALSE))</f>
        <v>0</v>
      </c>
      <c r="W13" s="4">
        <f>(VLOOKUP('17.01'!AE13,'17.01'!$AM$4:$AP$55,4,FALSE))</f>
        <v>0</v>
      </c>
      <c r="X13" s="4">
        <f>(VLOOKUP('17.01'!AF13,'17.01'!$AM$4:$AP$55,4,FALSE))</f>
        <v>0</v>
      </c>
    </row>
    <row r="14" spans="1:24">
      <c r="A14" s="4">
        <f>(VLOOKUP('17.01'!I14,'17.01'!$AM$4:$AP$55,4,FALSE))</f>
        <v>0</v>
      </c>
      <c r="B14" s="4">
        <f>(VLOOKUP('17.01'!J14,'17.01'!$AM$4:$AP$55,4,FALSE))</f>
        <v>0</v>
      </c>
      <c r="C14" s="4">
        <f>(VLOOKUP('17.01'!K14,'17.01'!$AM$4:$AP$55,4,FALSE))</f>
        <v>0</v>
      </c>
      <c r="D14" s="4">
        <f>(VLOOKUP('17.01'!L14,'17.01'!$AM$4:$AP$55,4,FALSE))</f>
        <v>0</v>
      </c>
      <c r="E14" s="4">
        <f>(VLOOKUP('17.01'!M14,'17.01'!$AM$4:$AP$55,4,FALSE))</f>
        <v>0</v>
      </c>
      <c r="F14" s="4">
        <f>(VLOOKUP('17.01'!N14,'17.01'!$AM$4:$AP$55,4,FALSE))</f>
        <v>0</v>
      </c>
      <c r="G14" s="4">
        <f>(VLOOKUP('17.01'!O14,'17.01'!$AM$4:$AP$55,4,FALSE))</f>
        <v>0</v>
      </c>
      <c r="H14" s="4">
        <f>(VLOOKUP('17.01'!P14,'17.01'!$AM$4:$AP$55,4,FALSE))</f>
        <v>0</v>
      </c>
      <c r="I14" s="4">
        <f>(VLOOKUP('17.01'!Q14,'17.01'!$AM$4:$AP$55,4,FALSE))</f>
        <v>36</v>
      </c>
      <c r="J14" s="4">
        <f>(VLOOKUP('17.01'!R14,'17.01'!$AM$4:$AP$55,4,FALSE))</f>
        <v>36</v>
      </c>
      <c r="K14" s="4">
        <f>(VLOOKUP('17.01'!S14,'17.01'!$AM$4:$AP$55,4,FALSE))</f>
        <v>36</v>
      </c>
      <c r="L14" s="4">
        <f>(VLOOKUP('17.01'!T14,'17.01'!$AM$4:$AP$55,4,FALSE))</f>
        <v>36</v>
      </c>
      <c r="M14" s="4">
        <f>(VLOOKUP('17.01'!U14,'17.01'!$AM$4:$AP$55,4,FALSE))</f>
        <v>36</v>
      </c>
      <c r="N14" s="4">
        <f>(VLOOKUP('17.01'!V14,'17.01'!$AM$4:$AP$55,4,FALSE))</f>
        <v>10</v>
      </c>
      <c r="O14" s="4">
        <f>(VLOOKUP('17.01'!W14,'17.01'!$AM$4:$AP$55,4,FALSE))</f>
        <v>0</v>
      </c>
      <c r="P14" s="4">
        <f>(VLOOKUP('17.01'!X14,'17.01'!$AM$4:$AP$55,4,FALSE))</f>
        <v>0</v>
      </c>
      <c r="Q14" s="4">
        <f>(VLOOKUP('17.01'!Y14,'17.01'!$AM$4:$AP$55,4,FALSE))</f>
        <v>34</v>
      </c>
      <c r="R14" s="4">
        <f>(VLOOKUP('17.01'!Z14,'17.01'!$AM$4:$AP$55,4,FALSE))</f>
        <v>34</v>
      </c>
      <c r="S14" s="4">
        <f>(VLOOKUP('17.01'!AA14,'17.01'!$AM$4:$AP$55,4,FALSE))</f>
        <v>34</v>
      </c>
      <c r="T14" s="4">
        <f>(VLOOKUP('17.01'!AB14,'17.01'!$AM$4:$AP$55,4,FALSE))</f>
        <v>34</v>
      </c>
      <c r="U14" s="4">
        <f>(VLOOKUP('17.01'!AC14,'17.01'!$AM$4:$AP$55,4,FALSE))</f>
        <v>34</v>
      </c>
      <c r="V14" s="4">
        <f>(VLOOKUP('17.01'!AD14,'17.01'!$AM$4:$AP$55,4,FALSE))</f>
        <v>34</v>
      </c>
      <c r="W14" s="4">
        <f>(VLOOKUP('17.01'!AE14,'17.01'!$AM$4:$AP$55,4,FALSE))</f>
        <v>0</v>
      </c>
      <c r="X14" s="4">
        <f>(VLOOKUP('17.01'!AF14,'17.01'!$AM$4:$AP$55,4,FALSE))</f>
        <v>0</v>
      </c>
    </row>
    <row r="15" spans="1:24">
      <c r="A15" s="4">
        <f>(VLOOKUP('17.01'!I15,'17.01'!$AM$4:$AP$55,4,FALSE))</f>
        <v>0</v>
      </c>
      <c r="B15" s="4">
        <f>(VLOOKUP('17.01'!J15,'17.01'!$AM$4:$AP$55,4,FALSE))</f>
        <v>0</v>
      </c>
      <c r="C15" s="4">
        <f>(VLOOKUP('17.01'!K15,'17.01'!$AM$4:$AP$55,4,FALSE))</f>
        <v>0</v>
      </c>
      <c r="D15" s="4">
        <f>(VLOOKUP('17.01'!L15,'17.01'!$AM$4:$AP$55,4,FALSE))</f>
        <v>0</v>
      </c>
      <c r="E15" s="4">
        <f>(VLOOKUP('17.01'!M15,'17.01'!$AM$4:$AP$55,4,FALSE))</f>
        <v>0</v>
      </c>
      <c r="F15" s="4">
        <f>(VLOOKUP('17.01'!N15,'17.01'!$AM$4:$AP$55,4,FALSE))</f>
        <v>0</v>
      </c>
      <c r="G15" s="4">
        <f>(VLOOKUP('17.01'!O15,'17.01'!$AM$4:$AP$55,4,FALSE))</f>
        <v>0</v>
      </c>
      <c r="H15" s="4">
        <f>(VLOOKUP('17.01'!P15,'17.01'!$AM$4:$AP$55,4,FALSE))</f>
        <v>0</v>
      </c>
      <c r="I15" s="4">
        <f>(VLOOKUP('17.01'!Q15,'17.01'!$AM$4:$AP$55,4,FALSE))</f>
        <v>36</v>
      </c>
      <c r="J15" s="4">
        <f>(VLOOKUP('17.01'!R15,'17.01'!$AM$4:$AP$55,4,FALSE))</f>
        <v>34</v>
      </c>
      <c r="K15" s="4">
        <f>(VLOOKUP('17.01'!S15,'17.01'!$AM$4:$AP$55,4,FALSE))</f>
        <v>34</v>
      </c>
      <c r="L15" s="4">
        <f>(VLOOKUP('17.01'!T15,'17.01'!$AM$4:$AP$55,4,FALSE))</f>
        <v>34</v>
      </c>
      <c r="M15" s="4">
        <f>(VLOOKUP('17.01'!U15,'17.01'!$AM$4:$AP$55,4,FALSE))</f>
        <v>34</v>
      </c>
      <c r="N15" s="4">
        <f>(VLOOKUP('17.01'!V15,'17.01'!$AM$4:$AP$55,4,FALSE))</f>
        <v>34</v>
      </c>
      <c r="O15" s="4">
        <f>(VLOOKUP('17.01'!W15,'17.01'!$AM$4:$AP$55,4,FALSE))</f>
        <v>0</v>
      </c>
      <c r="P15" s="4">
        <f>(VLOOKUP('17.01'!X15,'17.01'!$AM$4:$AP$55,4,FALSE))</f>
        <v>0</v>
      </c>
      <c r="Q15" s="4">
        <f>(VLOOKUP('17.01'!Y15,'17.01'!$AM$4:$AP$55,4,FALSE))</f>
        <v>34</v>
      </c>
      <c r="R15" s="4">
        <f>(VLOOKUP('17.01'!Z15,'17.01'!$AM$4:$AP$55,4,FALSE))</f>
        <v>34</v>
      </c>
      <c r="S15" s="4">
        <f>(VLOOKUP('17.01'!AA15,'17.01'!$AM$4:$AP$55,4,FALSE))</f>
        <v>34</v>
      </c>
      <c r="T15" s="4">
        <f>(VLOOKUP('17.01'!AB15,'17.01'!$AM$4:$AP$55,4,FALSE))</f>
        <v>34</v>
      </c>
      <c r="U15" s="4">
        <f>(VLOOKUP('17.01'!AC15,'17.01'!$AM$4:$AP$55,4,FALSE))</f>
        <v>10</v>
      </c>
      <c r="V15" s="4">
        <f>(VLOOKUP('17.01'!AD15,'17.01'!$AM$4:$AP$55,4,FALSE))</f>
        <v>34</v>
      </c>
      <c r="W15" s="4">
        <f>(VLOOKUP('17.01'!AE15,'17.01'!$AM$4:$AP$55,4,FALSE))</f>
        <v>0</v>
      </c>
      <c r="X15" s="4">
        <f>(VLOOKUP('17.01'!AF15,'17.01'!$AM$4:$AP$55,4,FALSE))</f>
        <v>0</v>
      </c>
    </row>
    <row r="16" spans="1:24">
      <c r="A16" s="4">
        <f>(VLOOKUP('17.01'!I16,'17.01'!$AM$4:$AP$55,4,FALSE))</f>
        <v>0</v>
      </c>
      <c r="B16" s="4">
        <f>(VLOOKUP('17.01'!J16,'17.01'!$AM$4:$AP$55,4,FALSE))</f>
        <v>0</v>
      </c>
      <c r="C16" s="4">
        <f>(VLOOKUP('17.01'!K16,'17.01'!$AM$4:$AP$55,4,FALSE))</f>
        <v>0</v>
      </c>
      <c r="D16" s="4">
        <f>(VLOOKUP('17.01'!L16,'17.01'!$AM$4:$AP$55,4,FALSE))</f>
        <v>0</v>
      </c>
      <c r="E16" s="4">
        <f>(VLOOKUP('17.01'!M16,'17.01'!$AM$4:$AP$55,4,FALSE))</f>
        <v>0</v>
      </c>
      <c r="F16" s="4">
        <f>(VLOOKUP('17.01'!N16,'17.01'!$AM$4:$AP$55,4,FALSE))</f>
        <v>0</v>
      </c>
      <c r="G16" s="4">
        <f>(VLOOKUP('17.01'!O16,'17.01'!$AM$4:$AP$55,4,FALSE))</f>
        <v>0</v>
      </c>
      <c r="H16" s="4">
        <f>(VLOOKUP('17.01'!P16,'17.01'!$AM$4:$AP$55,4,FALSE))</f>
        <v>0</v>
      </c>
      <c r="I16" s="4">
        <f>(VLOOKUP('17.01'!Q16,'17.01'!$AM$4:$AP$55,4,FALSE))</f>
        <v>0</v>
      </c>
      <c r="J16" s="4">
        <f>(VLOOKUP('17.01'!R16,'17.01'!$AM$4:$AP$55,4,FALSE))</f>
        <v>34</v>
      </c>
      <c r="K16" s="4">
        <f>(VLOOKUP('17.01'!S16,'17.01'!$AM$4:$AP$55,4,FALSE))</f>
        <v>34</v>
      </c>
      <c r="L16" s="4">
        <f>(VLOOKUP('17.01'!T16,'17.01'!$AM$4:$AP$55,4,FALSE))</f>
        <v>34</v>
      </c>
      <c r="M16" s="4">
        <f>(VLOOKUP('17.01'!U16,'17.01'!$AM$4:$AP$55,4,FALSE))</f>
        <v>10</v>
      </c>
      <c r="N16" s="4">
        <f>(VLOOKUP('17.01'!V16,'17.01'!$AM$4:$AP$55,4,FALSE))</f>
        <v>34</v>
      </c>
      <c r="O16" s="4">
        <f>(VLOOKUP('17.01'!W16,'17.01'!$AM$4:$AP$55,4,FALSE))</f>
        <v>0</v>
      </c>
      <c r="P16" s="4">
        <f>(VLOOKUP('17.01'!X16,'17.01'!$AM$4:$AP$55,4,FALSE))</f>
        <v>0</v>
      </c>
      <c r="Q16" s="4">
        <f>(VLOOKUP('17.01'!Y16,'17.01'!$AM$4:$AP$55,4,FALSE))</f>
        <v>34</v>
      </c>
      <c r="R16" s="4">
        <f>(VLOOKUP('17.01'!Z16,'17.01'!$AM$4:$AP$55,4,FALSE))</f>
        <v>34</v>
      </c>
      <c r="S16" s="4">
        <f>(VLOOKUP('17.01'!AA16,'17.01'!$AM$4:$AP$55,4,FALSE))</f>
        <v>34</v>
      </c>
      <c r="T16" s="4">
        <f>(VLOOKUP('17.01'!AB16,'17.01'!$AM$4:$AP$55,4,FALSE))</f>
        <v>10</v>
      </c>
      <c r="U16" s="4">
        <f>(VLOOKUP('17.01'!AC16,'17.01'!$AM$4:$AP$55,4,FALSE))</f>
        <v>34</v>
      </c>
      <c r="V16" s="4">
        <f>(VLOOKUP('17.01'!AD16,'17.01'!$AM$4:$AP$55,4,FALSE))</f>
        <v>34</v>
      </c>
      <c r="W16" s="4">
        <f>(VLOOKUP('17.01'!AE16,'17.01'!$AM$4:$AP$55,4,FALSE))</f>
        <v>39.110982162825422</v>
      </c>
      <c r="X16" s="4">
        <f>(VLOOKUP('17.01'!AF16,'17.01'!$AM$4:$AP$55,4,FALSE))</f>
        <v>39.110982162825422</v>
      </c>
    </row>
    <row r="17" spans="1:24">
      <c r="A17" s="4">
        <f>(VLOOKUP('17.01'!I17,'17.01'!$AM$4:$AP$55,4,FALSE))</f>
        <v>0</v>
      </c>
      <c r="B17" s="4">
        <f>(VLOOKUP('17.01'!J17,'17.01'!$AM$4:$AP$55,4,FALSE))</f>
        <v>0</v>
      </c>
      <c r="C17" s="4">
        <f>(VLOOKUP('17.01'!K17,'17.01'!$AM$4:$AP$55,4,FALSE))</f>
        <v>0</v>
      </c>
      <c r="D17" s="4">
        <f>(VLOOKUP('17.01'!L17,'17.01'!$AM$4:$AP$55,4,FALSE))</f>
        <v>0</v>
      </c>
      <c r="E17" s="4">
        <f>(VLOOKUP('17.01'!M17,'17.01'!$AM$4:$AP$55,4,FALSE))</f>
        <v>0</v>
      </c>
      <c r="F17" s="4">
        <f>(VLOOKUP('17.01'!N17,'17.01'!$AM$4:$AP$55,4,FALSE))</f>
        <v>0</v>
      </c>
      <c r="G17" s="4">
        <f>(VLOOKUP('17.01'!O17,'17.01'!$AM$4:$AP$55,4,FALSE))</f>
        <v>0</v>
      </c>
      <c r="H17" s="4">
        <f>(VLOOKUP('17.01'!P17,'17.01'!$AM$4:$AP$55,4,FALSE))</f>
        <v>0</v>
      </c>
      <c r="I17" s="4">
        <f>(VLOOKUP('17.01'!Q17,'17.01'!$AM$4:$AP$55,4,FALSE))</f>
        <v>34</v>
      </c>
      <c r="J17" s="4">
        <f>(VLOOKUP('17.01'!R17,'17.01'!$AM$4:$AP$55,4,FALSE))</f>
        <v>34</v>
      </c>
      <c r="K17" s="4">
        <f>(VLOOKUP('17.01'!S17,'17.01'!$AM$4:$AP$55,4,FALSE))</f>
        <v>34</v>
      </c>
      <c r="L17" s="4">
        <f>(VLOOKUP('17.01'!T17,'17.01'!$AM$4:$AP$55,4,FALSE))</f>
        <v>34</v>
      </c>
      <c r="M17" s="4">
        <f>(VLOOKUP('17.01'!U17,'17.01'!$AM$4:$AP$55,4,FALSE))</f>
        <v>34</v>
      </c>
      <c r="N17" s="4">
        <f>(VLOOKUP('17.01'!V17,'17.01'!$AM$4:$AP$55,4,FALSE))</f>
        <v>10</v>
      </c>
      <c r="O17" s="4">
        <f>(VLOOKUP('17.01'!W17,'17.01'!$AM$4:$AP$55,4,FALSE))</f>
        <v>0</v>
      </c>
      <c r="P17" s="4">
        <f>(VLOOKUP('17.01'!X17,'17.01'!$AM$4:$AP$55,4,FALSE))</f>
        <v>0</v>
      </c>
      <c r="Q17" s="4">
        <f>(VLOOKUP('17.01'!Y17,'17.01'!$AM$4:$AP$55,4,FALSE))</f>
        <v>39.110982162825422</v>
      </c>
      <c r="R17" s="4">
        <f>(VLOOKUP('17.01'!Z17,'17.01'!$AM$4:$AP$55,4,FALSE))</f>
        <v>39.110982162825422</v>
      </c>
      <c r="S17" s="4">
        <f>(VLOOKUP('17.01'!AA17,'17.01'!$AM$4:$AP$55,4,FALSE))</f>
        <v>10</v>
      </c>
      <c r="T17" s="4">
        <f>(VLOOKUP('17.01'!AB17,'17.01'!$AM$4:$AP$55,4,FALSE))</f>
        <v>39.110982162825422</v>
      </c>
      <c r="U17" s="4">
        <f>(VLOOKUP('17.01'!AC17,'17.01'!$AM$4:$AP$55,4,FALSE))</f>
        <v>39.110982162825422</v>
      </c>
      <c r="V17" s="4">
        <f>(VLOOKUP('17.01'!AD17,'17.01'!$AM$4:$AP$55,4,FALSE))</f>
        <v>39.110982162825422</v>
      </c>
      <c r="W17" s="4">
        <f>(VLOOKUP('17.01'!AE17,'17.01'!$AM$4:$AP$55,4,FALSE))</f>
        <v>0</v>
      </c>
      <c r="X17" s="4">
        <f>(VLOOKUP('17.01'!AF17,'17.01'!$AM$4:$AP$55,4,FALSE))</f>
        <v>0</v>
      </c>
    </row>
    <row r="18" spans="1:24">
      <c r="A18" s="4">
        <f>(VLOOKUP('17.01'!I18,'17.01'!$AM$4:$AP$55,4,FALSE))</f>
        <v>0</v>
      </c>
      <c r="B18" s="4">
        <f>(VLOOKUP('17.01'!J18,'17.01'!$AM$4:$AP$55,4,FALSE))</f>
        <v>0</v>
      </c>
      <c r="C18" s="4">
        <f>(VLOOKUP('17.01'!K18,'17.01'!$AM$4:$AP$55,4,FALSE))</f>
        <v>0</v>
      </c>
      <c r="D18" s="4">
        <f>(VLOOKUP('17.01'!L18,'17.01'!$AM$4:$AP$55,4,FALSE))</f>
        <v>0</v>
      </c>
      <c r="E18" s="4">
        <f>(VLOOKUP('17.01'!M18,'17.01'!$AM$4:$AP$55,4,FALSE))</f>
        <v>0</v>
      </c>
      <c r="F18" s="4">
        <f>(VLOOKUP('17.01'!N18,'17.01'!$AM$4:$AP$55,4,FALSE))</f>
        <v>0</v>
      </c>
      <c r="G18" s="4">
        <f>(VLOOKUP('17.01'!O18,'17.01'!$AM$4:$AP$55,4,FALSE))</f>
        <v>0</v>
      </c>
      <c r="H18" s="4">
        <f>(VLOOKUP('17.01'!P18,'17.01'!$AM$4:$AP$55,4,FALSE))</f>
        <v>0</v>
      </c>
      <c r="I18" s="4">
        <f>(VLOOKUP('17.01'!Q18,'17.01'!$AM$4:$AP$55,4,FALSE))</f>
        <v>34</v>
      </c>
      <c r="J18" s="4">
        <f>(VLOOKUP('17.01'!R18,'17.01'!$AM$4:$AP$55,4,FALSE))</f>
        <v>34</v>
      </c>
      <c r="K18" s="4">
        <f>(VLOOKUP('17.01'!S18,'17.01'!$AM$4:$AP$55,4,FALSE))</f>
        <v>34</v>
      </c>
      <c r="L18" s="4">
        <f>(VLOOKUP('17.01'!T18,'17.01'!$AM$4:$AP$55,4,FALSE))</f>
        <v>34</v>
      </c>
      <c r="M18" s="4">
        <f>(VLOOKUP('17.01'!U18,'17.01'!$AM$4:$AP$55,4,FALSE))</f>
        <v>34</v>
      </c>
      <c r="N18" s="4">
        <f>(VLOOKUP('17.01'!V18,'17.01'!$AM$4:$AP$55,4,FALSE))</f>
        <v>13.999854933178597</v>
      </c>
      <c r="O18" s="4">
        <f>(VLOOKUP('17.01'!W18,'17.01'!$AM$4:$AP$55,4,FALSE))</f>
        <v>0</v>
      </c>
      <c r="P18" s="4">
        <f>(VLOOKUP('17.01'!X18,'17.01'!$AM$4:$AP$55,4,FALSE))</f>
        <v>0</v>
      </c>
      <c r="Q18" s="4">
        <f>(VLOOKUP('17.01'!Y18,'17.01'!$AM$4:$AP$55,4,FALSE))</f>
        <v>39.110982162825422</v>
      </c>
      <c r="R18" s="4">
        <f>(VLOOKUP('17.01'!Z18,'17.01'!$AM$4:$AP$55,4,FALSE))</f>
        <v>39.110982162825422</v>
      </c>
      <c r="S18" s="4">
        <f>(VLOOKUP('17.01'!AA18,'17.01'!$AM$4:$AP$55,4,FALSE))</f>
        <v>39.110982162825422</v>
      </c>
      <c r="T18" s="4">
        <f>(VLOOKUP('17.01'!AB18,'17.01'!$AM$4:$AP$55,4,FALSE))</f>
        <v>39.110982162825422</v>
      </c>
      <c r="U18" s="4">
        <f>(VLOOKUP('17.01'!AC18,'17.01'!$AM$4:$AP$55,4,FALSE))</f>
        <v>39.110982162825422</v>
      </c>
      <c r="V18" s="4">
        <f>(VLOOKUP('17.01'!AD18,'17.01'!$AM$4:$AP$55,4,FALSE))</f>
        <v>39.110982162825422</v>
      </c>
      <c r="W18" s="4">
        <f>(VLOOKUP('17.01'!AE18,'17.01'!$AM$4:$AP$55,4,FALSE))</f>
        <v>10</v>
      </c>
      <c r="X18" s="4">
        <f>(VLOOKUP('17.01'!AF18,'17.01'!$AM$4:$AP$55,4,FALSE))</f>
        <v>10</v>
      </c>
    </row>
    <row r="19" spans="1:24">
      <c r="A19" s="4">
        <f>(VLOOKUP('17.01'!I19,'17.01'!$AM$4:$AP$55,4,FALSE))</f>
        <v>0</v>
      </c>
      <c r="B19" s="4">
        <f>(VLOOKUP('17.01'!J19,'17.01'!$AM$4:$AP$55,4,FALSE))</f>
        <v>0</v>
      </c>
      <c r="C19" s="4">
        <f>(VLOOKUP('17.01'!K19,'17.01'!$AM$4:$AP$55,4,FALSE))</f>
        <v>0</v>
      </c>
      <c r="D19" s="4">
        <f>(VLOOKUP('17.01'!L19,'17.01'!$AM$4:$AP$55,4,FALSE))</f>
        <v>0</v>
      </c>
      <c r="E19" s="4">
        <f>(VLOOKUP('17.01'!M19,'17.01'!$AM$4:$AP$55,4,FALSE))</f>
        <v>0</v>
      </c>
      <c r="F19" s="4">
        <f>(VLOOKUP('17.01'!N19,'17.01'!$AM$4:$AP$55,4,FALSE))</f>
        <v>0</v>
      </c>
      <c r="G19" s="4">
        <f>(VLOOKUP('17.01'!O19,'17.01'!$AM$4:$AP$55,4,FALSE))</f>
        <v>0</v>
      </c>
      <c r="H19" s="4">
        <f>(VLOOKUP('17.01'!P19,'17.01'!$AM$4:$AP$55,4,FALSE))</f>
        <v>0</v>
      </c>
      <c r="I19" s="4">
        <f>(VLOOKUP('17.01'!Q19,'17.01'!$AM$4:$AP$55,4,FALSE))</f>
        <v>34</v>
      </c>
      <c r="J19" s="4">
        <f>(VLOOKUP('17.01'!R19,'17.01'!$AM$4:$AP$55,4,FALSE))</f>
        <v>34</v>
      </c>
      <c r="K19" s="4">
        <f>(VLOOKUP('17.01'!S19,'17.01'!$AM$4:$AP$55,4,FALSE))</f>
        <v>34</v>
      </c>
      <c r="L19" s="4">
        <f>(VLOOKUP('17.01'!T19,'17.01'!$AM$4:$AP$55,4,FALSE))</f>
        <v>34</v>
      </c>
      <c r="M19" s="4">
        <f>(VLOOKUP('17.01'!U19,'17.01'!$AM$4:$AP$55,4,FALSE))</f>
        <v>34</v>
      </c>
      <c r="N19" s="4">
        <f>(VLOOKUP('17.01'!V19,'17.01'!$AM$4:$AP$55,4,FALSE))</f>
        <v>34</v>
      </c>
      <c r="O19" s="4">
        <f>(VLOOKUP('17.01'!W19,'17.01'!$AM$4:$AP$55,4,FALSE))</f>
        <v>0</v>
      </c>
      <c r="P19" s="4">
        <f>(VLOOKUP('17.01'!X19,'17.01'!$AM$4:$AP$55,4,FALSE))</f>
        <v>0</v>
      </c>
      <c r="Q19" s="4">
        <f>(VLOOKUP('17.01'!Y19,'17.01'!$AM$4:$AP$55,4,FALSE))</f>
        <v>0</v>
      </c>
      <c r="R19" s="4">
        <f>(VLOOKUP('17.01'!Z19,'17.01'!$AM$4:$AP$55,4,FALSE))</f>
        <v>0</v>
      </c>
      <c r="S19" s="4">
        <f>(VLOOKUP('17.01'!AA19,'17.01'!$AM$4:$AP$55,4,FALSE))</f>
        <v>0</v>
      </c>
      <c r="T19" s="4">
        <f>(VLOOKUP('17.01'!AB19,'17.01'!$AM$4:$AP$55,4,FALSE))</f>
        <v>0</v>
      </c>
      <c r="U19" s="4">
        <f>(VLOOKUP('17.01'!AC19,'17.01'!$AM$4:$AP$55,4,FALSE))</f>
        <v>0</v>
      </c>
      <c r="V19" s="4">
        <f>(VLOOKUP('17.01'!AD19,'17.01'!$AM$4:$AP$55,4,FALSE))</f>
        <v>0</v>
      </c>
      <c r="W19" s="4">
        <f>(VLOOKUP('17.01'!AE19,'17.01'!$AM$4:$AP$55,4,FALSE))</f>
        <v>0</v>
      </c>
      <c r="X19" s="4">
        <f>(VLOOKUP('17.01'!AF19,'17.01'!$AM$4:$AP$55,4,FALSE))</f>
        <v>0</v>
      </c>
    </row>
    <row r="20" spans="1:24">
      <c r="A20" s="4">
        <f>(VLOOKUP('17.01'!I20,'17.01'!$AM$4:$AP$55,4,FALSE))</f>
        <v>0</v>
      </c>
      <c r="B20" s="4">
        <f>(VLOOKUP('17.01'!J20,'17.01'!$AM$4:$AP$55,4,FALSE))</f>
        <v>0</v>
      </c>
      <c r="C20" s="4">
        <f>(VLOOKUP('17.01'!K20,'17.01'!$AM$4:$AP$55,4,FALSE))</f>
        <v>0</v>
      </c>
      <c r="D20" s="4">
        <f>(VLOOKUP('17.01'!L20,'17.01'!$AM$4:$AP$55,4,FALSE))</f>
        <v>0</v>
      </c>
      <c r="E20" s="4">
        <f>(VLOOKUP('17.01'!M20,'17.01'!$AM$4:$AP$55,4,FALSE))</f>
        <v>0</v>
      </c>
      <c r="F20" s="4">
        <f>(VLOOKUP('17.01'!N20,'17.01'!$AM$4:$AP$55,4,FALSE))</f>
        <v>0</v>
      </c>
      <c r="G20" s="4">
        <f>(VLOOKUP('17.01'!O20,'17.01'!$AM$4:$AP$55,4,FALSE))</f>
        <v>0</v>
      </c>
      <c r="H20" s="4">
        <f>(VLOOKUP('17.01'!P20,'17.01'!$AM$4:$AP$55,4,FALSE))</f>
        <v>0</v>
      </c>
      <c r="I20" s="4">
        <f>(VLOOKUP('17.01'!Q20,'17.01'!$AM$4:$AP$55,4,FALSE))</f>
        <v>34</v>
      </c>
      <c r="J20" s="4">
        <f>(VLOOKUP('17.01'!R20,'17.01'!$AM$4:$AP$55,4,FALSE))</f>
        <v>0</v>
      </c>
      <c r="K20" s="4">
        <f>(VLOOKUP('17.01'!S20,'17.01'!$AM$4:$AP$55,4,FALSE))</f>
        <v>0</v>
      </c>
      <c r="L20" s="4">
        <f>(VLOOKUP('17.01'!T20,'17.01'!$AM$4:$AP$55,4,FALSE))</f>
        <v>0</v>
      </c>
      <c r="M20" s="4">
        <f>(VLOOKUP('17.01'!U20,'17.01'!$AM$4:$AP$55,4,FALSE))</f>
        <v>0</v>
      </c>
      <c r="N20" s="4">
        <f>(VLOOKUP('17.01'!V20,'17.01'!$AM$4:$AP$55,4,FALSE))</f>
        <v>0</v>
      </c>
      <c r="O20" s="4">
        <f>(VLOOKUP('17.01'!W20,'17.01'!$AM$4:$AP$55,4,FALSE))</f>
        <v>0</v>
      </c>
      <c r="P20" s="4">
        <f>(VLOOKUP('17.01'!X20,'17.01'!$AM$4:$AP$55,4,FALSE))</f>
        <v>0</v>
      </c>
      <c r="Q20" s="4">
        <f>(VLOOKUP('17.01'!Y20,'17.01'!$AM$4:$AP$55,4,FALSE))</f>
        <v>0</v>
      </c>
      <c r="R20" s="4">
        <f>(VLOOKUP('17.01'!Z20,'17.01'!$AM$4:$AP$55,4,FALSE))</f>
        <v>0</v>
      </c>
      <c r="S20" s="4">
        <f>(VLOOKUP('17.01'!AA20,'17.01'!$AM$4:$AP$55,4,FALSE))</f>
        <v>0</v>
      </c>
      <c r="T20" s="4">
        <f>(VLOOKUP('17.01'!AB20,'17.01'!$AM$4:$AP$55,4,FALSE))</f>
        <v>0</v>
      </c>
      <c r="U20" s="4">
        <f>(VLOOKUP('17.01'!AC20,'17.01'!$AM$4:$AP$55,4,FALSE))</f>
        <v>0</v>
      </c>
      <c r="V20" s="4">
        <f>(VLOOKUP('17.01'!AD20,'17.01'!$AM$4:$AP$55,4,FALSE))</f>
        <v>0</v>
      </c>
      <c r="W20" s="4">
        <f>(VLOOKUP('17.01'!AE20,'17.01'!$AM$4:$AP$55,4,FALSE))</f>
        <v>0</v>
      </c>
      <c r="X20" s="4">
        <f>(VLOOKUP('17.01'!AF20,'17.01'!$AM$4:$AP$55,4,FALSE))</f>
        <v>0</v>
      </c>
    </row>
    <row r="21" spans="1:24">
      <c r="A21" s="4">
        <f>(VLOOKUP('17.01'!I21,'17.01'!$AM$4:$AP$55,4,FALSE))</f>
        <v>0</v>
      </c>
      <c r="B21" s="4">
        <f>(VLOOKUP('17.01'!J21,'17.01'!$AM$4:$AP$55,4,FALSE))</f>
        <v>0</v>
      </c>
      <c r="C21" s="4">
        <f>(VLOOKUP('17.01'!K21,'17.01'!$AM$4:$AP$55,4,FALSE))</f>
        <v>0</v>
      </c>
      <c r="D21" s="4">
        <f>(VLOOKUP('17.01'!L21,'17.01'!$AM$4:$AP$55,4,FALSE))</f>
        <v>0</v>
      </c>
      <c r="E21" s="4">
        <f>(VLOOKUP('17.01'!M21,'17.01'!$AM$4:$AP$55,4,FALSE))</f>
        <v>0</v>
      </c>
      <c r="F21" s="4">
        <f>(VLOOKUP('17.01'!N21,'17.01'!$AM$4:$AP$55,4,FALSE))</f>
        <v>0</v>
      </c>
      <c r="G21" s="4">
        <f>(VLOOKUP('17.01'!O21,'17.01'!$AM$4:$AP$55,4,FALSE))</f>
        <v>0</v>
      </c>
      <c r="H21" s="4">
        <f>(VLOOKUP('17.01'!P21,'17.01'!$AM$4:$AP$55,4,FALSE))</f>
        <v>0</v>
      </c>
      <c r="I21" s="4">
        <f>(VLOOKUP('17.01'!Q21,'17.01'!$AM$4:$AP$55,4,FALSE))</f>
        <v>0</v>
      </c>
      <c r="J21" s="4">
        <f>(VLOOKUP('17.01'!R21,'17.01'!$AM$4:$AP$55,4,FALSE))</f>
        <v>0</v>
      </c>
      <c r="K21" s="4">
        <f>(VLOOKUP('17.01'!S21,'17.01'!$AM$4:$AP$55,4,FALSE))</f>
        <v>0</v>
      </c>
      <c r="L21" s="4">
        <f>(VLOOKUP('17.01'!T21,'17.01'!$AM$4:$AP$55,4,FALSE))</f>
        <v>0</v>
      </c>
      <c r="M21" s="4">
        <f>(VLOOKUP('17.01'!U21,'17.01'!$AM$4:$AP$55,4,FALSE))</f>
        <v>0</v>
      </c>
      <c r="N21" s="4">
        <f>(VLOOKUP('17.01'!V21,'17.01'!$AM$4:$AP$55,4,FALSE))</f>
        <v>0</v>
      </c>
      <c r="O21" s="4">
        <f>(VLOOKUP('17.01'!W21,'17.01'!$AM$4:$AP$55,4,FALSE))</f>
        <v>0</v>
      </c>
      <c r="P21" s="4">
        <f>(VLOOKUP('17.01'!X21,'17.01'!$AM$4:$AP$55,4,FALSE))</f>
        <v>0</v>
      </c>
      <c r="Q21" s="4">
        <f>(VLOOKUP('17.01'!Y21,'17.01'!$AM$4:$AP$55,4,FALSE))</f>
        <v>0</v>
      </c>
      <c r="R21" s="4">
        <f>(VLOOKUP('17.01'!Z21,'17.01'!$AM$4:$AP$55,4,FALSE))</f>
        <v>0</v>
      </c>
      <c r="S21" s="4">
        <f>(VLOOKUP('17.01'!AA21,'17.01'!$AM$4:$AP$55,4,FALSE))</f>
        <v>0</v>
      </c>
      <c r="T21" s="4">
        <f>(VLOOKUP('17.01'!AB21,'17.01'!$AM$4:$AP$55,4,FALSE))</f>
        <v>0</v>
      </c>
      <c r="U21" s="4">
        <f>(VLOOKUP('17.01'!AC21,'17.01'!$AM$4:$AP$55,4,FALSE))</f>
        <v>0</v>
      </c>
      <c r="V21" s="4">
        <f>(VLOOKUP('17.01'!AD21,'17.01'!$AM$4:$AP$55,4,FALSE))</f>
        <v>0</v>
      </c>
      <c r="W21" s="4">
        <f>(VLOOKUP('17.01'!AE21,'17.01'!$AM$4:$AP$55,4,FALSE))</f>
        <v>0</v>
      </c>
      <c r="X21" s="4">
        <f>(VLOOKUP('17.01'!AF21,'17.01'!$AM$4:$AP$55,4,FALSE))</f>
        <v>0</v>
      </c>
    </row>
    <row r="22" spans="1:24">
      <c r="A22" s="4">
        <f>(VLOOKUP('17.01'!I22,'17.01'!$AM$4:$AP$55,4,FALSE))</f>
        <v>0</v>
      </c>
      <c r="B22" s="4">
        <f>(VLOOKUP('17.01'!J22,'17.01'!$AM$4:$AP$55,4,FALSE))</f>
        <v>0</v>
      </c>
      <c r="C22" s="4">
        <f>(VLOOKUP('17.01'!K22,'17.01'!$AM$4:$AP$55,4,FALSE))</f>
        <v>0</v>
      </c>
      <c r="D22" s="4">
        <f>(VLOOKUP('17.01'!L22,'17.01'!$AM$4:$AP$55,4,FALSE))</f>
        <v>0</v>
      </c>
      <c r="E22" s="4">
        <f>(VLOOKUP('17.01'!M22,'17.01'!$AM$4:$AP$55,4,FALSE))</f>
        <v>0</v>
      </c>
      <c r="F22" s="4">
        <f>(VLOOKUP('17.01'!N22,'17.01'!$AM$4:$AP$55,4,FALSE))</f>
        <v>0</v>
      </c>
      <c r="G22" s="4">
        <f>(VLOOKUP('17.01'!O22,'17.01'!$AM$4:$AP$55,4,FALSE))</f>
        <v>0</v>
      </c>
      <c r="H22" s="4">
        <f>(VLOOKUP('17.01'!P22,'17.01'!$AM$4:$AP$55,4,FALSE))</f>
        <v>0</v>
      </c>
      <c r="I22" s="4">
        <f>(VLOOKUP('17.01'!Q22,'17.01'!$AM$4:$AP$55,4,FALSE))</f>
        <v>0</v>
      </c>
      <c r="J22" s="4">
        <f>(VLOOKUP('17.01'!R22,'17.01'!$AM$4:$AP$55,4,FALSE))</f>
        <v>0</v>
      </c>
      <c r="K22" s="4">
        <f>(VLOOKUP('17.01'!S22,'17.01'!$AM$4:$AP$55,4,FALSE))</f>
        <v>0</v>
      </c>
      <c r="L22" s="4">
        <f>(VLOOKUP('17.01'!T22,'17.01'!$AM$4:$AP$55,4,FALSE))</f>
        <v>0</v>
      </c>
      <c r="M22" s="4">
        <f>(VLOOKUP('17.01'!U22,'17.01'!$AM$4:$AP$55,4,FALSE))</f>
        <v>0</v>
      </c>
      <c r="N22" s="4">
        <f>(VLOOKUP('17.01'!V22,'17.01'!$AM$4:$AP$55,4,FALSE))</f>
        <v>0</v>
      </c>
      <c r="O22" s="4">
        <f>(VLOOKUP('17.01'!W22,'17.01'!$AM$4:$AP$55,4,FALSE))</f>
        <v>0</v>
      </c>
      <c r="P22" s="4">
        <f>(VLOOKUP('17.01'!X22,'17.01'!$AM$4:$AP$55,4,FALSE))</f>
        <v>0</v>
      </c>
      <c r="Q22" s="4">
        <f>(VLOOKUP('17.01'!Y22,'17.01'!$AM$4:$AP$55,4,FALSE))</f>
        <v>0</v>
      </c>
      <c r="R22" s="4">
        <f>(VLOOKUP('17.01'!Z22,'17.01'!$AM$4:$AP$55,4,FALSE))</f>
        <v>0</v>
      </c>
      <c r="S22" s="4">
        <f>(VLOOKUP('17.01'!AA22,'17.01'!$AM$4:$AP$55,4,FALSE))</f>
        <v>0</v>
      </c>
      <c r="T22" s="4">
        <f>(VLOOKUP('17.01'!AB22,'17.01'!$AM$4:$AP$55,4,FALSE))</f>
        <v>0</v>
      </c>
      <c r="U22" s="4">
        <f>(VLOOKUP('17.01'!AC22,'17.01'!$AM$4:$AP$55,4,FALSE))</f>
        <v>0</v>
      </c>
      <c r="V22" s="4">
        <f>(VLOOKUP('17.01'!AD22,'17.01'!$AM$4:$AP$55,4,FALSE))</f>
        <v>0</v>
      </c>
      <c r="W22" s="4">
        <f>(VLOOKUP('17.01'!AE22,'17.01'!$AM$4:$AP$55,4,FALSE))</f>
        <v>0</v>
      </c>
      <c r="X22" s="4">
        <f>(VLOOKUP('17.01'!AF22,'17.01'!$AM$4:$AP$55,4,FALSE))</f>
        <v>0</v>
      </c>
    </row>
    <row r="23" spans="1:24">
      <c r="A23" s="4">
        <f>(VLOOKUP('17.01'!I23,'17.01'!$AM$4:$AP$55,4,FALSE))</f>
        <v>0</v>
      </c>
      <c r="B23" s="4">
        <f>(VLOOKUP('17.01'!J23,'17.01'!$AM$4:$AP$55,4,FALSE))</f>
        <v>0</v>
      </c>
      <c r="C23" s="4">
        <f>(VLOOKUP('17.01'!K23,'17.01'!$AM$4:$AP$55,4,FALSE))</f>
        <v>0</v>
      </c>
      <c r="D23" s="4">
        <f>(VLOOKUP('17.01'!L23,'17.01'!$AM$4:$AP$55,4,FALSE))</f>
        <v>0</v>
      </c>
      <c r="E23" s="4">
        <f>(VLOOKUP('17.01'!M23,'17.01'!$AM$4:$AP$55,4,FALSE))</f>
        <v>0</v>
      </c>
      <c r="F23" s="4">
        <f>(VLOOKUP('17.01'!N23,'17.01'!$AM$4:$AP$55,4,FALSE))</f>
        <v>0</v>
      </c>
      <c r="G23" s="4">
        <f>(VLOOKUP('17.01'!O23,'17.01'!$AM$4:$AP$55,4,FALSE))</f>
        <v>0</v>
      </c>
      <c r="H23" s="4">
        <f>(VLOOKUP('17.01'!P23,'17.01'!$AM$4:$AP$55,4,FALSE))</f>
        <v>0</v>
      </c>
      <c r="I23" s="4">
        <f>(VLOOKUP('17.01'!Q23,'17.01'!$AM$4:$AP$55,4,FALSE))</f>
        <v>13.999854933178597</v>
      </c>
      <c r="J23" s="4">
        <f>(VLOOKUP('17.01'!R23,'17.01'!$AM$4:$AP$55,4,FALSE))</f>
        <v>34</v>
      </c>
      <c r="K23" s="4">
        <f>(VLOOKUP('17.01'!S23,'17.01'!$AM$4:$AP$55,4,FALSE))</f>
        <v>10</v>
      </c>
      <c r="L23" s="4">
        <f>(VLOOKUP('17.01'!T23,'17.01'!$AM$4:$AP$55,4,FALSE))</f>
        <v>34</v>
      </c>
      <c r="M23" s="4">
        <f>(VLOOKUP('17.01'!U23,'17.01'!$AM$4:$AP$55,4,FALSE))</f>
        <v>34</v>
      </c>
      <c r="N23" s="4">
        <f>(VLOOKUP('17.01'!V23,'17.01'!$AM$4:$AP$55,4,FALSE))</f>
        <v>10</v>
      </c>
      <c r="O23" s="4">
        <f>(VLOOKUP('17.01'!W23,'17.01'!$AM$4:$AP$55,4,FALSE))</f>
        <v>0</v>
      </c>
      <c r="P23" s="4">
        <f>(VLOOKUP('17.01'!X23,'17.01'!$AM$4:$AP$55,4,FALSE))</f>
        <v>0</v>
      </c>
      <c r="Q23" s="4">
        <f>(VLOOKUP('17.01'!Y23,'17.01'!$AM$4:$AP$55,4,FALSE))</f>
        <v>0</v>
      </c>
      <c r="R23" s="4">
        <f>(VLOOKUP('17.01'!Z23,'17.01'!$AM$4:$AP$55,4,FALSE))</f>
        <v>0</v>
      </c>
      <c r="S23" s="4">
        <f>(VLOOKUP('17.01'!AA23,'17.01'!$AM$4:$AP$55,4,FALSE))</f>
        <v>0</v>
      </c>
      <c r="T23" s="4">
        <f>(VLOOKUP('17.01'!AB23,'17.01'!$AM$4:$AP$55,4,FALSE))</f>
        <v>0</v>
      </c>
      <c r="U23" s="4">
        <f>(VLOOKUP('17.01'!AC23,'17.01'!$AM$4:$AP$55,4,FALSE))</f>
        <v>0</v>
      </c>
      <c r="V23" s="4">
        <f>(VLOOKUP('17.01'!AD23,'17.01'!$AM$4:$AP$55,4,FALSE))</f>
        <v>0</v>
      </c>
      <c r="W23" s="4">
        <f>(VLOOKUP('17.01'!AE23,'17.01'!$AM$4:$AP$55,4,FALSE))</f>
        <v>0</v>
      </c>
      <c r="X23" s="4">
        <f>(VLOOKUP('17.01'!AF23,'17.01'!$AM$4:$AP$55,4,FALSE))</f>
        <v>0</v>
      </c>
    </row>
    <row r="24" spans="1:24">
      <c r="A24" s="4">
        <f>(VLOOKUP('17.01'!I24,'17.01'!$AM$4:$AP$55,4,FALSE))</f>
        <v>0</v>
      </c>
      <c r="B24" s="4">
        <f>(VLOOKUP('17.01'!J24,'17.01'!$AM$4:$AP$55,4,FALSE))</f>
        <v>0</v>
      </c>
      <c r="C24" s="4">
        <f>(VLOOKUP('17.01'!K24,'17.01'!$AM$4:$AP$55,4,FALSE))</f>
        <v>0</v>
      </c>
      <c r="D24" s="4">
        <f>(VLOOKUP('17.01'!L24,'17.01'!$AM$4:$AP$55,4,FALSE))</f>
        <v>0</v>
      </c>
      <c r="E24" s="4">
        <f>(VLOOKUP('17.01'!M24,'17.01'!$AM$4:$AP$55,4,FALSE))</f>
        <v>0</v>
      </c>
      <c r="F24" s="4">
        <f>(VLOOKUP('17.01'!N24,'17.01'!$AM$4:$AP$55,4,FALSE))</f>
        <v>0</v>
      </c>
      <c r="G24" s="4">
        <f>(VLOOKUP('17.01'!O24,'17.01'!$AM$4:$AP$55,4,FALSE))</f>
        <v>0</v>
      </c>
      <c r="H24" s="4">
        <f>(VLOOKUP('17.01'!P24,'17.01'!$AM$4:$AP$55,4,FALSE))</f>
        <v>0</v>
      </c>
      <c r="I24" s="4">
        <f>(VLOOKUP('17.01'!Q24,'17.01'!$AM$4:$AP$55,4,FALSE))</f>
        <v>0</v>
      </c>
      <c r="J24" s="4">
        <f>(VLOOKUP('17.01'!R24,'17.01'!$AM$4:$AP$55,4,FALSE))</f>
        <v>0</v>
      </c>
      <c r="K24" s="4">
        <f>(VLOOKUP('17.01'!S24,'17.01'!$AM$4:$AP$55,4,FALSE))</f>
        <v>0</v>
      </c>
      <c r="L24" s="4">
        <f>(VLOOKUP('17.01'!T24,'17.01'!$AM$4:$AP$55,4,FALSE))</f>
        <v>0</v>
      </c>
      <c r="M24" s="4">
        <f>(VLOOKUP('17.01'!U24,'17.01'!$AM$4:$AP$55,4,FALSE))</f>
        <v>0</v>
      </c>
      <c r="N24" s="4">
        <f>(VLOOKUP('17.01'!V24,'17.01'!$AM$4:$AP$55,4,FALSE))</f>
        <v>0</v>
      </c>
      <c r="O24" s="4">
        <f>(VLOOKUP('17.01'!W24,'17.01'!$AM$4:$AP$55,4,FALSE))</f>
        <v>0</v>
      </c>
      <c r="P24" s="4">
        <f>(VLOOKUP('17.01'!X24,'17.01'!$AM$4:$AP$55,4,FALSE))</f>
        <v>0</v>
      </c>
      <c r="Q24" s="4">
        <f>(VLOOKUP('17.01'!Y24,'17.01'!$AM$4:$AP$55,4,FALSE))</f>
        <v>0</v>
      </c>
      <c r="R24" s="4">
        <f>(VLOOKUP('17.01'!Z24,'17.01'!$AM$4:$AP$55,4,FALSE))</f>
        <v>0</v>
      </c>
      <c r="S24" s="4">
        <f>(VLOOKUP('17.01'!AA24,'17.01'!$AM$4:$AP$55,4,FALSE))</f>
        <v>0</v>
      </c>
      <c r="T24" s="4">
        <f>(VLOOKUP('17.01'!AB24,'17.01'!$AM$4:$AP$55,4,FALSE))</f>
        <v>0</v>
      </c>
      <c r="U24" s="4">
        <f>(VLOOKUP('17.01'!AC24,'17.01'!$AM$4:$AP$55,4,FALSE))</f>
        <v>0</v>
      </c>
      <c r="V24" s="4">
        <f>(VLOOKUP('17.01'!AD24,'17.01'!$AM$4:$AP$55,4,FALSE))</f>
        <v>0</v>
      </c>
      <c r="W24" s="4">
        <f>(VLOOKUP('17.01'!AE24,'17.01'!$AM$4:$AP$55,4,FALSE))</f>
        <v>0</v>
      </c>
      <c r="X24" s="4">
        <f>(VLOOKUP('17.01'!AF24,'17.01'!$AM$4:$AP$55,4,FALSE))</f>
        <v>0</v>
      </c>
    </row>
    <row r="25" spans="1:24">
      <c r="A25" s="4">
        <f>(VLOOKUP('17.01'!I25,'17.01'!$AM$4:$AP$55,4,FALSE))</f>
        <v>0</v>
      </c>
      <c r="B25" s="4">
        <f>(VLOOKUP('17.01'!J25,'17.01'!$AM$4:$AP$55,4,FALSE))</f>
        <v>0</v>
      </c>
      <c r="C25" s="4">
        <f>(VLOOKUP('17.01'!K25,'17.01'!$AM$4:$AP$55,4,FALSE))</f>
        <v>0</v>
      </c>
      <c r="D25" s="4">
        <f>(VLOOKUP('17.01'!L25,'17.01'!$AM$4:$AP$55,4,FALSE))</f>
        <v>0</v>
      </c>
      <c r="E25" s="4">
        <f>(VLOOKUP('17.01'!M25,'17.01'!$AM$4:$AP$55,4,FALSE))</f>
        <v>0</v>
      </c>
      <c r="F25" s="4">
        <f>(VLOOKUP('17.01'!N25,'17.01'!$AM$4:$AP$55,4,FALSE))</f>
        <v>0</v>
      </c>
      <c r="G25" s="4">
        <f>(VLOOKUP('17.01'!O25,'17.01'!$AM$4:$AP$55,4,FALSE))</f>
        <v>0</v>
      </c>
      <c r="H25" s="4">
        <f>(VLOOKUP('17.01'!P25,'17.01'!$AM$4:$AP$55,4,FALSE))</f>
        <v>0</v>
      </c>
      <c r="I25" s="4">
        <f>(VLOOKUP('17.01'!Q25,'17.01'!$AM$4:$AP$55,4,FALSE))</f>
        <v>0</v>
      </c>
      <c r="J25" s="4">
        <f>(VLOOKUP('17.01'!R25,'17.01'!$AM$4:$AP$55,4,FALSE))</f>
        <v>0</v>
      </c>
      <c r="K25" s="4">
        <f>(VLOOKUP('17.01'!S25,'17.01'!$AM$4:$AP$55,4,FALSE))</f>
        <v>0</v>
      </c>
      <c r="L25" s="4">
        <f>(VLOOKUP('17.01'!T25,'17.01'!$AM$4:$AP$55,4,FALSE))</f>
        <v>0</v>
      </c>
      <c r="M25" s="4">
        <f>(VLOOKUP('17.01'!U25,'17.01'!$AM$4:$AP$55,4,FALSE))</f>
        <v>0</v>
      </c>
      <c r="N25" s="4">
        <f>(VLOOKUP('17.01'!V25,'17.01'!$AM$4:$AP$55,4,FALSE))</f>
        <v>0</v>
      </c>
      <c r="O25" s="4">
        <f>(VLOOKUP('17.01'!W25,'17.01'!$AM$4:$AP$55,4,FALSE))</f>
        <v>0</v>
      </c>
      <c r="P25" s="4">
        <f>(VLOOKUP('17.01'!X25,'17.01'!$AM$4:$AP$55,4,FALSE))</f>
        <v>0</v>
      </c>
      <c r="Q25" s="4">
        <f>(VLOOKUP('17.01'!Y25,'17.01'!$AM$4:$AP$55,4,FALSE))</f>
        <v>0</v>
      </c>
      <c r="R25" s="4">
        <f>(VLOOKUP('17.01'!Z25,'17.01'!$AM$4:$AP$55,4,FALSE))</f>
        <v>0</v>
      </c>
      <c r="S25" s="4">
        <f>(VLOOKUP('17.01'!AA25,'17.01'!$AM$4:$AP$55,4,FALSE))</f>
        <v>0</v>
      </c>
      <c r="T25" s="4">
        <f>(VLOOKUP('17.01'!AB25,'17.01'!$AM$4:$AP$55,4,FALSE))</f>
        <v>0</v>
      </c>
      <c r="U25" s="4">
        <f>(VLOOKUP('17.01'!AC25,'17.01'!$AM$4:$AP$55,4,FALSE))</f>
        <v>0</v>
      </c>
      <c r="V25" s="4">
        <f>(VLOOKUP('17.01'!AD25,'17.01'!$AM$4:$AP$55,4,FALSE))</f>
        <v>0</v>
      </c>
      <c r="W25" s="4">
        <f>(VLOOKUP('17.01'!AE25,'17.01'!$AM$4:$AP$55,4,FALSE))</f>
        <v>0</v>
      </c>
      <c r="X25" s="4">
        <f>(VLOOKUP('17.01'!AF25,'17.01'!$AM$4:$AP$55,4,FALSE))</f>
        <v>0</v>
      </c>
    </row>
    <row r="26" spans="1:24">
      <c r="A26" s="4">
        <f>(VLOOKUP('17.01'!I26,'17.01'!$AM$4:$AP$55,4,FALSE))</f>
        <v>0</v>
      </c>
      <c r="B26" s="4">
        <f>(VLOOKUP('17.01'!J26,'17.01'!$AM$4:$AP$55,4,FALSE))</f>
        <v>0</v>
      </c>
      <c r="C26" s="4">
        <f>(VLOOKUP('17.01'!K26,'17.01'!$AM$4:$AP$55,4,FALSE))</f>
        <v>0</v>
      </c>
      <c r="D26" s="4">
        <f>(VLOOKUP('17.01'!L26,'17.01'!$AM$4:$AP$55,4,FALSE))</f>
        <v>0</v>
      </c>
      <c r="E26" s="4">
        <f>(VLOOKUP('17.01'!M26,'17.01'!$AM$4:$AP$55,4,FALSE))</f>
        <v>0</v>
      </c>
      <c r="F26" s="4">
        <f>(VLOOKUP('17.01'!N26,'17.01'!$AM$4:$AP$55,4,FALSE))</f>
        <v>0</v>
      </c>
      <c r="G26" s="4">
        <f>(VLOOKUP('17.01'!O26,'17.01'!$AM$4:$AP$55,4,FALSE))</f>
        <v>0</v>
      </c>
      <c r="H26" s="4">
        <f>(VLOOKUP('17.01'!P26,'17.01'!$AM$4:$AP$55,4,FALSE))</f>
        <v>0</v>
      </c>
      <c r="I26" s="4">
        <f>(VLOOKUP('17.01'!Q26,'17.01'!$AM$4:$AP$55,4,FALSE))</f>
        <v>0</v>
      </c>
      <c r="J26" s="4">
        <f>(VLOOKUP('17.01'!R26,'17.01'!$AM$4:$AP$55,4,FALSE))</f>
        <v>0</v>
      </c>
      <c r="K26" s="4">
        <f>(VLOOKUP('17.01'!S26,'17.01'!$AM$4:$AP$55,4,FALSE))</f>
        <v>0</v>
      </c>
      <c r="L26" s="4">
        <f>(VLOOKUP('17.01'!T26,'17.01'!$AM$4:$AP$55,4,FALSE))</f>
        <v>0</v>
      </c>
      <c r="M26" s="4">
        <f>(VLOOKUP('17.01'!U26,'17.01'!$AM$4:$AP$55,4,FALSE))</f>
        <v>0</v>
      </c>
      <c r="N26" s="4">
        <f>(VLOOKUP('17.01'!V26,'17.01'!$AM$4:$AP$55,4,FALSE))</f>
        <v>0</v>
      </c>
      <c r="O26" s="4">
        <f>(VLOOKUP('17.01'!W26,'17.01'!$AM$4:$AP$55,4,FALSE))</f>
        <v>0</v>
      </c>
      <c r="P26" s="4">
        <f>(VLOOKUP('17.01'!X26,'17.01'!$AM$4:$AP$55,4,FALSE))</f>
        <v>0</v>
      </c>
      <c r="Q26" s="4">
        <f>(VLOOKUP('17.01'!Y26,'17.01'!$AM$4:$AP$55,4,FALSE))</f>
        <v>0</v>
      </c>
      <c r="R26" s="4">
        <f>(VLOOKUP('17.01'!Z26,'17.01'!$AM$4:$AP$55,4,FALSE))</f>
        <v>0</v>
      </c>
      <c r="S26" s="4">
        <f>(VLOOKUP('17.01'!AA26,'17.01'!$AM$4:$AP$55,4,FALSE))</f>
        <v>0</v>
      </c>
      <c r="T26" s="4">
        <f>(VLOOKUP('17.01'!AB26,'17.01'!$AM$4:$AP$55,4,FALSE))</f>
        <v>0</v>
      </c>
      <c r="U26" s="4">
        <f>(VLOOKUP('17.01'!AC26,'17.01'!$AM$4:$AP$55,4,FALSE))</f>
        <v>0</v>
      </c>
      <c r="V26" s="4">
        <f>(VLOOKUP('17.01'!AD26,'17.01'!$AM$4:$AP$55,4,FALSE))</f>
        <v>0</v>
      </c>
      <c r="W26" s="4">
        <f>(VLOOKUP('17.01'!AE26,'17.01'!$AM$4:$AP$55,4,FALSE))</f>
        <v>0</v>
      </c>
      <c r="X26" s="4">
        <f>(VLOOKUP('17.01'!AF26,'17.01'!$AM$4:$AP$55,4,FALSE))</f>
        <v>0</v>
      </c>
    </row>
    <row r="27" spans="1:24">
      <c r="A27" s="4">
        <f>(VLOOKUP('17.01'!I27,'17.01'!$AM$4:$AP$55,4,FALSE))</f>
        <v>0</v>
      </c>
      <c r="B27" s="4">
        <f>(VLOOKUP('17.01'!J27,'17.01'!$AM$4:$AP$55,4,FALSE))</f>
        <v>0</v>
      </c>
      <c r="C27" s="4">
        <f>(VLOOKUP('17.01'!K27,'17.01'!$AM$4:$AP$55,4,FALSE))</f>
        <v>0</v>
      </c>
      <c r="D27" s="4">
        <f>(VLOOKUP('17.01'!L27,'17.01'!$AM$4:$AP$55,4,FALSE))</f>
        <v>0</v>
      </c>
      <c r="E27" s="4">
        <f>(VLOOKUP('17.01'!M27,'17.01'!$AM$4:$AP$55,4,FALSE))</f>
        <v>0</v>
      </c>
      <c r="F27" s="4">
        <f>(VLOOKUP('17.01'!N27,'17.01'!$AM$4:$AP$55,4,FALSE))</f>
        <v>0</v>
      </c>
      <c r="G27" s="4">
        <f>(VLOOKUP('17.01'!O27,'17.01'!$AM$4:$AP$55,4,FALSE))</f>
        <v>0</v>
      </c>
      <c r="H27" s="4">
        <f>(VLOOKUP('17.01'!P27,'17.01'!$AM$4:$AP$55,4,FALSE))</f>
        <v>0</v>
      </c>
      <c r="I27" s="4">
        <f>(VLOOKUP('17.01'!Q27,'17.01'!$AM$4:$AP$55,4,FALSE))</f>
        <v>0</v>
      </c>
      <c r="J27" s="4">
        <f>(VLOOKUP('17.01'!R27,'17.01'!$AM$4:$AP$55,4,FALSE))</f>
        <v>10</v>
      </c>
      <c r="K27" s="4">
        <f>(VLOOKUP('17.01'!S27,'17.01'!$AM$4:$AP$55,4,FALSE))</f>
        <v>0</v>
      </c>
      <c r="L27" s="4">
        <f>(VLOOKUP('17.01'!T27,'17.01'!$AM$4:$AP$55,4,FALSE))</f>
        <v>0</v>
      </c>
      <c r="M27" s="4">
        <f>(VLOOKUP('17.01'!U27,'17.01'!$AM$4:$AP$55,4,FALSE))</f>
        <v>0</v>
      </c>
      <c r="N27" s="4">
        <f>(VLOOKUP('17.01'!V27,'17.01'!$AM$4:$AP$55,4,FALSE))</f>
        <v>0</v>
      </c>
      <c r="O27" s="4">
        <f>(VLOOKUP('17.01'!W27,'17.01'!$AM$4:$AP$55,4,FALSE))</f>
        <v>0</v>
      </c>
      <c r="P27" s="4">
        <f>(VLOOKUP('17.01'!X27,'17.01'!$AM$4:$AP$55,4,FALSE))</f>
        <v>0</v>
      </c>
      <c r="Q27" s="4">
        <f>(VLOOKUP('17.01'!Y27,'17.01'!$AM$4:$AP$55,4,FALSE))</f>
        <v>0</v>
      </c>
      <c r="R27" s="4">
        <f>(VLOOKUP('17.01'!Z27,'17.01'!$AM$4:$AP$55,4,FALSE))</f>
        <v>0</v>
      </c>
      <c r="S27" s="4">
        <f>(VLOOKUP('17.01'!AA27,'17.01'!$AM$4:$AP$55,4,FALSE))</f>
        <v>0</v>
      </c>
      <c r="T27" s="4">
        <f>(VLOOKUP('17.01'!AB27,'17.01'!$AM$4:$AP$55,4,FALSE))</f>
        <v>0</v>
      </c>
      <c r="U27" s="4">
        <f>(VLOOKUP('17.01'!AC27,'17.01'!$AM$4:$AP$55,4,FALSE))</f>
        <v>0</v>
      </c>
      <c r="V27" s="4">
        <f>(VLOOKUP('17.01'!AD27,'17.01'!$AM$4:$AP$55,4,FALSE))</f>
        <v>0</v>
      </c>
      <c r="W27" s="4">
        <f>(VLOOKUP('17.01'!AE27,'17.01'!$AM$4:$AP$55,4,FALSE))</f>
        <v>0</v>
      </c>
      <c r="X27" s="4">
        <f>(VLOOKUP('17.01'!AF27,'17.01'!$AM$4:$AP$55,4,FALSE))</f>
        <v>0</v>
      </c>
    </row>
    <row r="28" spans="1:24">
      <c r="A28" s="4">
        <f>(VLOOKUP('17.01'!I28,'17.01'!$AM$4:$AP$55,4,FALSE))</f>
        <v>0</v>
      </c>
      <c r="B28" s="4">
        <f>(VLOOKUP('17.01'!J28,'17.01'!$AM$4:$AP$55,4,FALSE))</f>
        <v>0</v>
      </c>
      <c r="C28" s="4">
        <f>(VLOOKUP('17.01'!K28,'17.01'!$AM$4:$AP$55,4,FALSE))</f>
        <v>0</v>
      </c>
      <c r="D28" s="4">
        <f>(VLOOKUP('17.01'!L28,'17.01'!$AM$4:$AP$55,4,FALSE))</f>
        <v>0</v>
      </c>
      <c r="E28" s="4">
        <f>(VLOOKUP('17.01'!M28,'17.01'!$AM$4:$AP$55,4,FALSE))</f>
        <v>0</v>
      </c>
      <c r="F28" s="4">
        <f>(VLOOKUP('17.01'!N28,'17.01'!$AM$4:$AP$55,4,FALSE))</f>
        <v>0</v>
      </c>
      <c r="G28" s="4">
        <f>(VLOOKUP('17.01'!O28,'17.01'!$AM$4:$AP$55,4,FALSE))</f>
        <v>0</v>
      </c>
      <c r="H28" s="4">
        <f>(VLOOKUP('17.01'!P28,'17.01'!$AM$4:$AP$55,4,FALSE))</f>
        <v>0</v>
      </c>
      <c r="I28" s="4">
        <f>(VLOOKUP('17.01'!Q28,'17.01'!$AM$4:$AP$55,4,FALSE))</f>
        <v>0</v>
      </c>
      <c r="J28" s="4">
        <f>(VLOOKUP('17.01'!R28,'17.01'!$AM$4:$AP$55,4,FALSE))</f>
        <v>0</v>
      </c>
      <c r="K28" s="4">
        <f>(VLOOKUP('17.01'!S28,'17.01'!$AM$4:$AP$55,4,FALSE))</f>
        <v>0</v>
      </c>
      <c r="L28" s="4">
        <f>(VLOOKUP('17.01'!T28,'17.01'!$AM$4:$AP$55,4,FALSE))</f>
        <v>10</v>
      </c>
      <c r="M28" s="4">
        <f>(VLOOKUP('17.01'!U28,'17.01'!$AM$4:$AP$55,4,FALSE))</f>
        <v>0</v>
      </c>
      <c r="N28" s="4">
        <f>(VLOOKUP('17.01'!V28,'17.01'!$AM$4:$AP$55,4,FALSE))</f>
        <v>0</v>
      </c>
      <c r="O28" s="4">
        <f>(VLOOKUP('17.01'!W28,'17.01'!$AM$4:$AP$55,4,FALSE))</f>
        <v>0</v>
      </c>
      <c r="P28" s="4">
        <f>(VLOOKUP('17.01'!X28,'17.01'!$AM$4:$AP$55,4,FALSE))</f>
        <v>0</v>
      </c>
      <c r="Q28" s="4">
        <f>(VLOOKUP('17.01'!Y28,'17.01'!$AM$4:$AP$55,4,FALSE))</f>
        <v>0</v>
      </c>
      <c r="R28" s="4">
        <f>(VLOOKUP('17.01'!Z28,'17.01'!$AM$4:$AP$55,4,FALSE))</f>
        <v>0</v>
      </c>
      <c r="S28" s="4">
        <f>(VLOOKUP('17.01'!AA28,'17.01'!$AM$4:$AP$55,4,FALSE))</f>
        <v>0</v>
      </c>
      <c r="T28" s="4">
        <f>(VLOOKUP('17.01'!AB28,'17.01'!$AM$4:$AP$55,4,FALSE))</f>
        <v>0</v>
      </c>
      <c r="U28" s="4">
        <f>(VLOOKUP('17.01'!AC28,'17.01'!$AM$4:$AP$55,4,FALSE))</f>
        <v>0</v>
      </c>
      <c r="V28" s="4">
        <f>(VLOOKUP('17.01'!AD28,'17.01'!$AM$4:$AP$55,4,FALSE))</f>
        <v>0</v>
      </c>
      <c r="W28" s="4">
        <f>(VLOOKUP('17.01'!AE28,'17.01'!$AM$4:$AP$55,4,FALSE))</f>
        <v>0</v>
      </c>
      <c r="X28" s="4">
        <f>(VLOOKUP('17.01'!AF28,'17.01'!$AM$4:$AP$55,4,FALSE))</f>
        <v>0</v>
      </c>
    </row>
    <row r="29" spans="1:24">
      <c r="A29" s="4">
        <f>(VLOOKUP('17.01'!I29,'17.01'!$AM$4:$AP$55,4,FALSE))</f>
        <v>0</v>
      </c>
      <c r="B29" s="4">
        <f>(VLOOKUP('17.01'!J29,'17.01'!$AM$4:$AP$55,4,FALSE))</f>
        <v>0</v>
      </c>
      <c r="C29" s="4">
        <f>(VLOOKUP('17.01'!K29,'17.01'!$AM$4:$AP$55,4,FALSE))</f>
        <v>0</v>
      </c>
      <c r="D29" s="4">
        <f>(VLOOKUP('17.01'!L29,'17.01'!$AM$4:$AP$55,4,FALSE))</f>
        <v>0</v>
      </c>
      <c r="E29" s="4">
        <f>(VLOOKUP('17.01'!M29,'17.01'!$AM$4:$AP$55,4,FALSE))</f>
        <v>0</v>
      </c>
      <c r="F29" s="4">
        <f>(VLOOKUP('17.01'!N29,'17.01'!$AM$4:$AP$55,4,FALSE))</f>
        <v>0</v>
      </c>
      <c r="G29" s="4">
        <f>(VLOOKUP('17.01'!O29,'17.01'!$AM$4:$AP$55,4,FALSE))</f>
        <v>0</v>
      </c>
      <c r="H29" s="4">
        <f>(VLOOKUP('17.01'!P29,'17.01'!$AM$4:$AP$55,4,FALSE))</f>
        <v>0</v>
      </c>
      <c r="I29" s="4">
        <f>(VLOOKUP('17.01'!Q29,'17.01'!$AM$4:$AP$55,4,FALSE))</f>
        <v>0</v>
      </c>
      <c r="J29" s="4">
        <f>(VLOOKUP('17.01'!R29,'17.01'!$AM$4:$AP$55,4,FALSE))</f>
        <v>0</v>
      </c>
      <c r="K29" s="4">
        <f>(VLOOKUP('17.01'!S29,'17.01'!$AM$4:$AP$55,4,FALSE))</f>
        <v>0</v>
      </c>
      <c r="L29" s="4">
        <f>(VLOOKUP('17.01'!T29,'17.01'!$AM$4:$AP$55,4,FALSE))</f>
        <v>0</v>
      </c>
      <c r="M29" s="4">
        <f>(VLOOKUP('17.01'!U29,'17.01'!$AM$4:$AP$55,4,FALSE))</f>
        <v>0</v>
      </c>
      <c r="N29" s="4">
        <f>(VLOOKUP('17.01'!V29,'17.01'!$AM$4:$AP$55,4,FALSE))</f>
        <v>39.110982162825422</v>
      </c>
      <c r="O29" s="4">
        <f>(VLOOKUP('17.01'!W29,'17.01'!$AM$4:$AP$55,4,FALSE))</f>
        <v>0</v>
      </c>
      <c r="P29" s="4">
        <f>(VLOOKUP('17.01'!X29,'17.01'!$AM$4:$AP$55,4,FALSE))</f>
        <v>0</v>
      </c>
      <c r="Q29" s="4">
        <f>(VLOOKUP('17.01'!Y29,'17.01'!$AM$4:$AP$55,4,FALSE))</f>
        <v>0</v>
      </c>
      <c r="R29" s="4">
        <f>(VLOOKUP('17.01'!Z29,'17.01'!$AM$4:$AP$55,4,FALSE))</f>
        <v>0</v>
      </c>
      <c r="S29" s="4">
        <f>(VLOOKUP('17.01'!AA29,'17.01'!$AM$4:$AP$55,4,FALSE))</f>
        <v>0</v>
      </c>
      <c r="T29" s="4">
        <f>(VLOOKUP('17.01'!AB29,'17.01'!$AM$4:$AP$55,4,FALSE))</f>
        <v>0</v>
      </c>
      <c r="U29" s="4">
        <f>(VLOOKUP('17.01'!AC29,'17.01'!$AM$4:$AP$55,4,FALSE))</f>
        <v>0</v>
      </c>
      <c r="V29" s="4">
        <f>(VLOOKUP('17.01'!AD29,'17.01'!$AM$4:$AP$55,4,FALSE))</f>
        <v>0</v>
      </c>
      <c r="W29" s="4">
        <f>(VLOOKUP('17.01'!AE29,'17.01'!$AM$4:$AP$55,4,FALSE))</f>
        <v>0</v>
      </c>
      <c r="X29" s="4">
        <f>(VLOOKUP('17.01'!AF29,'17.01'!$AM$4:$AP$55,4,FALSE))</f>
        <v>0</v>
      </c>
    </row>
    <row r="30" spans="1:24">
      <c r="A30" s="4">
        <f>(VLOOKUP('17.01'!I30,'17.01'!$AM$4:$AP$55,4,FALSE))</f>
        <v>0</v>
      </c>
      <c r="B30" s="4">
        <f>(VLOOKUP('17.01'!J30,'17.01'!$AM$4:$AP$55,4,FALSE))</f>
        <v>0</v>
      </c>
      <c r="C30" s="4">
        <f>(VLOOKUP('17.01'!K30,'17.01'!$AM$4:$AP$55,4,FALSE))</f>
        <v>0</v>
      </c>
      <c r="D30" s="4">
        <f>(VLOOKUP('17.01'!L30,'17.01'!$AM$4:$AP$55,4,FALSE))</f>
        <v>0</v>
      </c>
      <c r="E30" s="4">
        <f>(VLOOKUP('17.01'!M30,'17.01'!$AM$4:$AP$55,4,FALSE))</f>
        <v>0</v>
      </c>
      <c r="F30" s="4">
        <f>(VLOOKUP('17.01'!N30,'17.01'!$AM$4:$AP$55,4,FALSE))</f>
        <v>0</v>
      </c>
      <c r="G30" s="4">
        <f>(VLOOKUP('17.01'!O30,'17.01'!$AM$4:$AP$55,4,FALSE))</f>
        <v>0</v>
      </c>
      <c r="H30" s="4">
        <f>(VLOOKUP('17.01'!P30,'17.01'!$AM$4:$AP$55,4,FALSE))</f>
        <v>0</v>
      </c>
      <c r="I30" s="4">
        <f>(VLOOKUP('17.01'!Q30,'17.01'!$AM$4:$AP$55,4,FALSE))</f>
        <v>44.222109392472248</v>
      </c>
      <c r="J30" s="4">
        <f>(VLOOKUP('17.01'!R30,'17.01'!$AM$4:$AP$55,4,FALSE))</f>
        <v>39.110982162825422</v>
      </c>
      <c r="K30" s="4">
        <f>(VLOOKUP('17.01'!S30,'17.01'!$AM$4:$AP$55,4,FALSE))</f>
        <v>0</v>
      </c>
      <c r="L30" s="4">
        <f>(VLOOKUP('17.01'!T30,'17.01'!$AM$4:$AP$55,4,FALSE))</f>
        <v>39.110982162825422</v>
      </c>
      <c r="M30" s="4">
        <f>(VLOOKUP('17.01'!U30,'17.01'!$AM$4:$AP$55,4,FALSE))</f>
        <v>10</v>
      </c>
      <c r="N30" s="4">
        <f>(VLOOKUP('17.01'!V30,'17.01'!$AM$4:$AP$55,4,FALSE))</f>
        <v>39.110982162825422</v>
      </c>
      <c r="O30" s="4">
        <f>(VLOOKUP('17.01'!W30,'17.01'!$AM$4:$AP$55,4,FALSE))</f>
        <v>38</v>
      </c>
      <c r="P30" s="4">
        <f>(VLOOKUP('17.01'!X30,'17.01'!$AM$4:$AP$55,4,FALSE))</f>
        <v>0</v>
      </c>
      <c r="Q30" s="4">
        <f>(VLOOKUP('17.01'!Y30,'17.01'!$AM$4:$AP$55,4,FALSE))</f>
        <v>0</v>
      </c>
      <c r="R30" s="4">
        <f>(VLOOKUP('17.01'!Z30,'17.01'!$AM$4:$AP$55,4,FALSE))</f>
        <v>0</v>
      </c>
      <c r="S30" s="4">
        <f>(VLOOKUP('17.01'!AA30,'17.01'!$AM$4:$AP$55,4,FALSE))</f>
        <v>0</v>
      </c>
      <c r="T30" s="4">
        <f>(VLOOKUP('17.01'!AB30,'17.01'!$AM$4:$AP$55,4,FALSE))</f>
        <v>0</v>
      </c>
      <c r="U30" s="4">
        <f>(VLOOKUP('17.01'!AC30,'17.01'!$AM$4:$AP$55,4,FALSE))</f>
        <v>0</v>
      </c>
      <c r="V30" s="4">
        <f>(VLOOKUP('17.01'!AD30,'17.01'!$AM$4:$AP$55,4,FALSE))</f>
        <v>0</v>
      </c>
      <c r="W30" s="4">
        <f>(VLOOKUP('17.01'!AE30,'17.01'!$AM$4:$AP$55,4,FALSE))</f>
        <v>0</v>
      </c>
      <c r="X30" s="4">
        <f>(VLOOKUP('17.01'!AF30,'17.01'!$AM$4:$AP$55,4,FALSE))</f>
        <v>0</v>
      </c>
    </row>
    <row r="31" spans="1:24">
      <c r="A31" s="4">
        <f>(VLOOKUP('17.01'!I31,'17.01'!$AM$4:$AP$55,4,FALSE))</f>
        <v>44.222109392472248</v>
      </c>
      <c r="B31" s="4">
        <f>(VLOOKUP('17.01'!J31,'17.01'!$AM$4:$AP$55,4,FALSE))</f>
        <v>44.222109392472248</v>
      </c>
      <c r="C31" s="4">
        <f>(VLOOKUP('17.01'!K31,'17.01'!$AM$4:$AP$55,4,FALSE))</f>
        <v>10</v>
      </c>
      <c r="D31" s="4">
        <f>(VLOOKUP('17.01'!L31,'17.01'!$AM$4:$AP$55,4,FALSE))</f>
        <v>44.222109392472248</v>
      </c>
      <c r="E31" s="4">
        <f>(VLOOKUP('17.01'!M31,'17.01'!$AM$4:$AP$55,4,FALSE))</f>
        <v>44.222109392472248</v>
      </c>
      <c r="F31" s="4">
        <f>(VLOOKUP('17.01'!N31,'17.01'!$AM$4:$AP$55,4,FALSE))</f>
        <v>44.222109392472248</v>
      </c>
      <c r="G31" s="4">
        <f>(VLOOKUP('17.01'!O31,'17.01'!$AM$4:$AP$55,4,FALSE))</f>
        <v>10</v>
      </c>
      <c r="H31" s="4">
        <f>(VLOOKUP('17.01'!P31,'17.01'!$AM$4:$AP$55,4,FALSE))</f>
        <v>0</v>
      </c>
      <c r="I31" s="4">
        <f>(VLOOKUP('17.01'!Q31,'17.01'!$AM$4:$AP$55,4,FALSE))</f>
        <v>38</v>
      </c>
      <c r="J31" s="4">
        <f>(VLOOKUP('17.01'!R31,'17.01'!$AM$4:$AP$55,4,FALSE))</f>
        <v>38</v>
      </c>
      <c r="K31" s="4">
        <f>(VLOOKUP('17.01'!S31,'17.01'!$AM$4:$AP$55,4,FALSE))</f>
        <v>38</v>
      </c>
      <c r="L31" s="4">
        <f>(VLOOKUP('17.01'!T31,'17.01'!$AM$4:$AP$55,4,FALSE))</f>
        <v>36</v>
      </c>
      <c r="M31" s="4">
        <f>(VLOOKUP('17.01'!U31,'17.01'!$AM$4:$AP$55,4,FALSE))</f>
        <v>36</v>
      </c>
      <c r="N31" s="4">
        <f>(VLOOKUP('17.01'!V31,'17.01'!$AM$4:$AP$55,4,FALSE))</f>
        <v>36</v>
      </c>
      <c r="O31" s="4">
        <f>(VLOOKUP('17.01'!W31,'17.01'!$AM$4:$AP$55,4,FALSE))</f>
        <v>0</v>
      </c>
      <c r="P31" s="4">
        <f>(VLOOKUP('17.01'!X31,'17.01'!$AM$4:$AP$55,4,FALSE))</f>
        <v>0</v>
      </c>
      <c r="Q31" s="4">
        <f>(VLOOKUP('17.01'!Y31,'17.01'!$AM$4:$AP$55,4,FALSE))</f>
        <v>0</v>
      </c>
      <c r="R31" s="4">
        <f>(VLOOKUP('17.01'!Z31,'17.01'!$AM$4:$AP$55,4,FALSE))</f>
        <v>0</v>
      </c>
      <c r="S31" s="4">
        <f>(VLOOKUP('17.01'!AA31,'17.01'!$AM$4:$AP$55,4,FALSE))</f>
        <v>0</v>
      </c>
      <c r="T31" s="4">
        <f>(VLOOKUP('17.01'!AB31,'17.01'!$AM$4:$AP$55,4,FALSE))</f>
        <v>0</v>
      </c>
      <c r="U31" s="4">
        <f>(VLOOKUP('17.01'!AC31,'17.01'!$AM$4:$AP$55,4,FALSE))</f>
        <v>0</v>
      </c>
      <c r="V31" s="4">
        <f>(VLOOKUP('17.01'!AD31,'17.01'!$AM$4:$AP$55,4,FALSE))</f>
        <v>0</v>
      </c>
      <c r="W31" s="4">
        <f>(VLOOKUP('17.01'!AE31,'17.01'!$AM$4:$AP$55,4,FALSE))</f>
        <v>0</v>
      </c>
      <c r="X31" s="4">
        <f>(VLOOKUP('17.01'!AF31,'17.01'!$AM$4:$AP$55,4,FALSE))</f>
        <v>0</v>
      </c>
    </row>
    <row r="32" spans="1:24">
      <c r="A32" s="4">
        <f>(VLOOKUP('17.01'!I32,'17.01'!$AM$4:$AP$55,4,FALSE))</f>
        <v>39.110982162825422</v>
      </c>
      <c r="B32" s="4">
        <f>(VLOOKUP('17.01'!J32,'17.01'!$AM$4:$AP$55,4,FALSE))</f>
        <v>39.110982162825422</v>
      </c>
      <c r="C32" s="4">
        <f>(VLOOKUP('17.01'!K32,'17.01'!$AM$4:$AP$55,4,FALSE))</f>
        <v>39.110982162825422</v>
      </c>
      <c r="D32" s="4">
        <f>(VLOOKUP('17.01'!L32,'17.01'!$AM$4:$AP$55,4,FALSE))</f>
        <v>10</v>
      </c>
      <c r="E32" s="4">
        <f>(VLOOKUP('17.01'!M32,'17.01'!$AM$4:$AP$55,4,FALSE))</f>
        <v>39.110982162825422</v>
      </c>
      <c r="F32" s="4">
        <f>(VLOOKUP('17.01'!N32,'17.01'!$AM$4:$AP$55,4,FALSE))</f>
        <v>39.110982162825422</v>
      </c>
      <c r="G32" s="4">
        <f>(VLOOKUP('17.01'!O32,'17.01'!$AM$4:$AP$55,4,FALSE))</f>
        <v>10</v>
      </c>
      <c r="H32" s="4">
        <f>(VLOOKUP('17.01'!P32,'17.01'!$AM$4:$AP$55,4,FALSE))</f>
        <v>0</v>
      </c>
      <c r="I32" s="4">
        <f>(VLOOKUP('17.01'!Q32,'17.01'!$AM$4:$AP$55,4,FALSE))</f>
        <v>36</v>
      </c>
      <c r="J32" s="4">
        <f>(VLOOKUP('17.01'!R32,'17.01'!$AM$4:$AP$55,4,FALSE))</f>
        <v>10</v>
      </c>
      <c r="K32" s="4">
        <f>(VLOOKUP('17.01'!S32,'17.01'!$AM$4:$AP$55,4,FALSE))</f>
        <v>36</v>
      </c>
      <c r="L32" s="4">
        <f>(VLOOKUP('17.01'!T32,'17.01'!$AM$4:$AP$55,4,FALSE))</f>
        <v>36</v>
      </c>
      <c r="M32" s="4">
        <f>(VLOOKUP('17.01'!U32,'17.01'!$AM$4:$AP$55,4,FALSE))</f>
        <v>36</v>
      </c>
      <c r="N32" s="4">
        <f>(VLOOKUP('17.01'!V32,'17.01'!$AM$4:$AP$55,4,FALSE))</f>
        <v>36</v>
      </c>
      <c r="O32" s="4">
        <f>(VLOOKUP('17.01'!W32,'17.01'!$AM$4:$AP$55,4,FALSE))</f>
        <v>36</v>
      </c>
      <c r="P32" s="4">
        <f>(VLOOKUP('17.01'!X32,'17.01'!$AM$4:$AP$55,4,FALSE))</f>
        <v>38</v>
      </c>
      <c r="Q32" s="4">
        <f>(VLOOKUP('17.01'!Y32,'17.01'!$AM$4:$AP$55,4,FALSE))</f>
        <v>0</v>
      </c>
      <c r="R32" s="4">
        <f>(VLOOKUP('17.01'!Z32,'17.01'!$AM$4:$AP$55,4,FALSE))</f>
        <v>0</v>
      </c>
      <c r="S32" s="4">
        <f>(VLOOKUP('17.01'!AA32,'17.01'!$AM$4:$AP$55,4,FALSE))</f>
        <v>0</v>
      </c>
      <c r="T32" s="4">
        <f>(VLOOKUP('17.01'!AB32,'17.01'!$AM$4:$AP$55,4,FALSE))</f>
        <v>0</v>
      </c>
      <c r="U32" s="4">
        <f>(VLOOKUP('17.01'!AC32,'17.01'!$AM$4:$AP$55,4,FALSE))</f>
        <v>0</v>
      </c>
      <c r="V32" s="4">
        <f>(VLOOKUP('17.01'!AD32,'17.01'!$AM$4:$AP$55,4,FALSE))</f>
        <v>0</v>
      </c>
      <c r="W32" s="4">
        <f>(VLOOKUP('17.01'!AE32,'17.01'!$AM$4:$AP$55,4,FALSE))</f>
        <v>0</v>
      </c>
      <c r="X32" s="4">
        <f>(VLOOKUP('17.01'!AF32,'17.01'!$AM$4:$AP$55,4,FALSE))</f>
        <v>0</v>
      </c>
    </row>
    <row r="33" spans="1:24">
      <c r="A33" s="4">
        <f>(VLOOKUP('17.01'!I33,'17.01'!$AM$4:$AP$55,4,FALSE))</f>
        <v>0</v>
      </c>
      <c r="B33" s="4">
        <f>(VLOOKUP('17.01'!J33,'17.01'!$AM$4:$AP$55,4,FALSE))</f>
        <v>0</v>
      </c>
      <c r="C33" s="4">
        <f>(VLOOKUP('17.01'!K33,'17.01'!$AM$4:$AP$55,4,FALSE))</f>
        <v>0</v>
      </c>
      <c r="D33" s="4">
        <f>(VLOOKUP('17.01'!L33,'17.01'!$AM$4:$AP$55,4,FALSE))</f>
        <v>0</v>
      </c>
      <c r="E33" s="4">
        <f>(VLOOKUP('17.01'!M33,'17.01'!$AM$4:$AP$55,4,FALSE))</f>
        <v>0</v>
      </c>
      <c r="F33" s="4">
        <f>(VLOOKUP('17.01'!N33,'17.01'!$AM$4:$AP$55,4,FALSE))</f>
        <v>0</v>
      </c>
      <c r="G33" s="4">
        <f>(VLOOKUP('17.01'!O33,'17.01'!$AM$4:$AP$55,4,FALSE))</f>
        <v>0</v>
      </c>
      <c r="H33" s="4">
        <f>(VLOOKUP('17.01'!P33,'17.01'!$AM$4:$AP$55,4,FALSE))</f>
        <v>0</v>
      </c>
      <c r="I33" s="4">
        <f>(VLOOKUP('17.01'!Q33,'17.01'!$AM$4:$AP$55,4,FALSE))</f>
        <v>38</v>
      </c>
      <c r="J33" s="4">
        <f>(VLOOKUP('17.01'!R33,'17.01'!$AM$4:$AP$55,4,FALSE))</f>
        <v>10</v>
      </c>
      <c r="K33" s="4">
        <f>(VLOOKUP('17.01'!S33,'17.01'!$AM$4:$AP$55,4,FALSE))</f>
        <v>38</v>
      </c>
      <c r="L33" s="4">
        <f>(VLOOKUP('17.01'!T33,'17.01'!$AM$4:$AP$55,4,FALSE))</f>
        <v>38</v>
      </c>
      <c r="M33" s="4">
        <f>(VLOOKUP('17.01'!U33,'17.01'!$AM$4:$AP$55,4,FALSE))</f>
        <v>38</v>
      </c>
      <c r="N33" s="4">
        <f>(VLOOKUP('17.01'!V33,'17.01'!$AM$4:$AP$55,4,FALSE))</f>
        <v>38</v>
      </c>
      <c r="O33" s="4">
        <f>(VLOOKUP('17.01'!W33,'17.01'!$AM$4:$AP$55,4,FALSE))</f>
        <v>0</v>
      </c>
      <c r="P33" s="4">
        <f>(VLOOKUP('17.01'!X33,'17.01'!$AM$4:$AP$55,4,FALSE))</f>
        <v>10</v>
      </c>
      <c r="Q33" s="4">
        <f>(VLOOKUP('17.01'!Y33,'17.01'!$AM$4:$AP$55,4,FALSE))</f>
        <v>0</v>
      </c>
      <c r="R33" s="4">
        <f>(VLOOKUP('17.01'!Z33,'17.01'!$AM$4:$AP$55,4,FALSE))</f>
        <v>0</v>
      </c>
      <c r="S33" s="4">
        <f>(VLOOKUP('17.01'!AA33,'17.01'!$AM$4:$AP$55,4,FALSE))</f>
        <v>0</v>
      </c>
      <c r="T33" s="4">
        <f>(VLOOKUP('17.01'!AB33,'17.01'!$AM$4:$AP$55,4,FALSE))</f>
        <v>0</v>
      </c>
      <c r="U33" s="4">
        <f>(VLOOKUP('17.01'!AC33,'17.01'!$AM$4:$AP$55,4,FALSE))</f>
        <v>0</v>
      </c>
      <c r="V33" s="4">
        <f>(VLOOKUP('17.01'!AD33,'17.01'!$AM$4:$AP$55,4,FALSE))</f>
        <v>0</v>
      </c>
      <c r="W33" s="4">
        <f>(VLOOKUP('17.01'!AE33,'17.01'!$AM$4:$AP$55,4,FALSE))</f>
        <v>0</v>
      </c>
      <c r="X33" s="4">
        <f>(VLOOKUP('17.01'!AF33,'17.01'!$AM$4:$AP$55,4,FALSE))</f>
        <v>0</v>
      </c>
    </row>
    <row r="34" spans="1:24">
      <c r="A34" s="4">
        <f>(VLOOKUP('17.01'!I34,'17.01'!$AM$4:$AP$55,4,FALSE))</f>
        <v>0</v>
      </c>
      <c r="B34" s="4">
        <f>(VLOOKUP('17.01'!J34,'17.01'!$AM$4:$AP$55,4,FALSE))</f>
        <v>0</v>
      </c>
      <c r="C34" s="4">
        <f>(VLOOKUP('17.01'!K34,'17.01'!$AM$4:$AP$55,4,FALSE))</f>
        <v>0</v>
      </c>
      <c r="D34" s="4">
        <f>(VLOOKUP('17.01'!L34,'17.01'!$AM$4:$AP$55,4,FALSE))</f>
        <v>0</v>
      </c>
      <c r="E34" s="4">
        <f>(VLOOKUP('17.01'!M34,'17.01'!$AM$4:$AP$55,4,FALSE))</f>
        <v>0</v>
      </c>
      <c r="F34" s="4">
        <f>(VLOOKUP('17.01'!N34,'17.01'!$AM$4:$AP$55,4,FALSE))</f>
        <v>0</v>
      </c>
      <c r="G34" s="4">
        <f>(VLOOKUP('17.01'!O34,'17.01'!$AM$4:$AP$55,4,FALSE))</f>
        <v>0</v>
      </c>
      <c r="H34" s="4">
        <f>(VLOOKUP('17.01'!P34,'17.01'!$AM$4:$AP$55,4,FALSE))</f>
        <v>0</v>
      </c>
      <c r="I34" s="4">
        <f>(VLOOKUP('17.01'!Q34,'17.01'!$AM$4:$AP$55,4,FALSE))</f>
        <v>0</v>
      </c>
      <c r="J34" s="4">
        <f>(VLOOKUP('17.01'!R34,'17.01'!$AM$4:$AP$55,4,FALSE))</f>
        <v>0</v>
      </c>
      <c r="K34" s="4">
        <f>(VLOOKUP('17.01'!S34,'17.01'!$AM$4:$AP$55,4,FALSE))</f>
        <v>0</v>
      </c>
      <c r="L34" s="4">
        <f>(VLOOKUP('17.01'!T34,'17.01'!$AM$4:$AP$55,4,FALSE))</f>
        <v>0</v>
      </c>
      <c r="M34" s="4">
        <f>(VLOOKUP('17.01'!U34,'17.01'!$AM$4:$AP$55,4,FALSE))</f>
        <v>0</v>
      </c>
      <c r="N34" s="4">
        <f>(VLOOKUP('17.01'!V34,'17.01'!$AM$4:$AP$55,4,FALSE))</f>
        <v>0</v>
      </c>
      <c r="O34" s="4">
        <f>(VLOOKUP('17.01'!W34,'17.01'!$AM$4:$AP$55,4,FALSE))</f>
        <v>0</v>
      </c>
      <c r="P34" s="4">
        <f>(VLOOKUP('17.01'!X34,'17.01'!$AM$4:$AP$55,4,FALSE))</f>
        <v>0</v>
      </c>
      <c r="Q34" s="4">
        <f>(VLOOKUP('17.01'!Y34,'17.01'!$AM$4:$AP$55,4,FALSE))</f>
        <v>0</v>
      </c>
      <c r="R34" s="4">
        <f>(VLOOKUP('17.01'!Z34,'17.01'!$AM$4:$AP$55,4,FALSE))</f>
        <v>0</v>
      </c>
      <c r="S34" s="4">
        <f>(VLOOKUP('17.01'!AA34,'17.01'!$AM$4:$AP$55,4,FALSE))</f>
        <v>0</v>
      </c>
      <c r="T34" s="4">
        <f>(VLOOKUP('17.01'!AB34,'17.01'!$AM$4:$AP$55,4,FALSE))</f>
        <v>0</v>
      </c>
      <c r="U34" s="4">
        <f>(VLOOKUP('17.01'!AC34,'17.01'!$AM$4:$AP$55,4,FALSE))</f>
        <v>0</v>
      </c>
      <c r="V34" s="4">
        <f>(VLOOKUP('17.01'!AD34,'17.01'!$AM$4:$AP$55,4,FALSE))</f>
        <v>0</v>
      </c>
      <c r="W34" s="4">
        <f>(VLOOKUP('17.01'!AE34,'17.01'!$AM$4:$AP$55,4,FALSE))</f>
        <v>0</v>
      </c>
      <c r="X34" s="4">
        <f>(VLOOKUP('17.01'!AF34,'17.01'!$AM$4:$AP$55,4,FALSE))</f>
        <v>0</v>
      </c>
    </row>
    <row r="35" spans="1:24">
      <c r="A35" s="4">
        <f>(VLOOKUP('17.01'!I35,'17.01'!$AM$4:$AP$55,4,FALSE))</f>
        <v>0</v>
      </c>
      <c r="B35" s="4">
        <f>(VLOOKUP('17.01'!J35,'17.01'!$AM$4:$AP$55,4,FALSE))</f>
        <v>0</v>
      </c>
      <c r="C35" s="4">
        <f>(VLOOKUP('17.01'!K35,'17.01'!$AM$4:$AP$55,4,FALSE))</f>
        <v>0</v>
      </c>
      <c r="D35" s="4">
        <f>(VLOOKUP('17.01'!L35,'17.01'!$AM$4:$AP$55,4,FALSE))</f>
        <v>0</v>
      </c>
      <c r="E35" s="4">
        <f>(VLOOKUP('17.01'!M35,'17.01'!$AM$4:$AP$55,4,FALSE))</f>
        <v>0</v>
      </c>
      <c r="F35" s="4">
        <f>(VLOOKUP('17.01'!N35,'17.01'!$AM$4:$AP$55,4,FALSE))</f>
        <v>0</v>
      </c>
      <c r="G35" s="4">
        <f>(VLOOKUP('17.01'!O35,'17.01'!$AM$4:$AP$55,4,FALSE))</f>
        <v>0</v>
      </c>
      <c r="H35" s="4">
        <f>(VLOOKUP('17.01'!P35,'17.01'!$AM$4:$AP$55,4,FALSE))</f>
        <v>0</v>
      </c>
      <c r="I35" s="4">
        <f>(VLOOKUP('17.01'!Q35,'17.01'!$AM$4:$AP$55,4,FALSE))</f>
        <v>0</v>
      </c>
      <c r="J35" s="4">
        <f>(VLOOKUP('17.01'!R35,'17.01'!$AM$4:$AP$55,4,FALSE))</f>
        <v>0</v>
      </c>
      <c r="K35" s="4">
        <f>(VLOOKUP('17.01'!S35,'17.01'!$AM$4:$AP$55,4,FALSE))</f>
        <v>0</v>
      </c>
      <c r="L35" s="4">
        <f>(VLOOKUP('17.01'!T35,'17.01'!$AM$4:$AP$55,4,FALSE))</f>
        <v>0</v>
      </c>
      <c r="M35" s="4">
        <f>(VLOOKUP('17.01'!U35,'17.01'!$AM$4:$AP$55,4,FALSE))</f>
        <v>0</v>
      </c>
      <c r="N35" s="4">
        <f>(VLOOKUP('17.01'!V35,'17.01'!$AM$4:$AP$55,4,FALSE))</f>
        <v>0</v>
      </c>
      <c r="O35" s="4">
        <f>(VLOOKUP('17.01'!W35,'17.01'!$AM$4:$AP$55,4,FALSE))</f>
        <v>0</v>
      </c>
      <c r="P35" s="4">
        <f>(VLOOKUP('17.01'!X35,'17.01'!$AM$4:$AP$55,4,FALSE))</f>
        <v>0</v>
      </c>
      <c r="Q35" s="4">
        <f>(VLOOKUP('17.01'!Y35,'17.01'!$AM$4:$AP$55,4,FALSE))</f>
        <v>0</v>
      </c>
      <c r="R35" s="4">
        <f>(VLOOKUP('17.01'!Z35,'17.01'!$AM$4:$AP$55,4,FALSE))</f>
        <v>0</v>
      </c>
      <c r="S35" s="4">
        <f>(VLOOKUP('17.01'!AA35,'17.01'!$AM$4:$AP$55,4,FALSE))</f>
        <v>0</v>
      </c>
      <c r="T35" s="4">
        <f>(VLOOKUP('17.01'!AB35,'17.01'!$AM$4:$AP$55,4,FALSE))</f>
        <v>0</v>
      </c>
      <c r="U35" s="4">
        <f>(VLOOKUP('17.01'!AC35,'17.01'!$AM$4:$AP$55,4,FALSE))</f>
        <v>0</v>
      </c>
      <c r="V35" s="4">
        <f>(VLOOKUP('17.01'!AD35,'17.01'!$AM$4:$AP$55,4,FALSE))</f>
        <v>0</v>
      </c>
      <c r="W35" s="4">
        <f>(VLOOKUP('17.01'!AE35,'17.01'!$AM$4:$AP$55,4,FALSE))</f>
        <v>0</v>
      </c>
      <c r="X35" s="4">
        <f>(VLOOKUP('17.01'!AF35,'17.01'!$AM$4:$AP$55,4,FALSE))</f>
        <v>0</v>
      </c>
    </row>
    <row r="36" spans="1:24">
      <c r="A36" s="4">
        <f>(VLOOKUP('17.01'!I36,'17.01'!$AM$4:$AP$55,4,FALSE))</f>
        <v>0</v>
      </c>
      <c r="B36" s="4">
        <f>(VLOOKUP('17.01'!J36,'17.01'!$AM$4:$AP$55,4,FALSE))</f>
        <v>0</v>
      </c>
      <c r="C36" s="4">
        <f>(VLOOKUP('17.01'!K36,'17.01'!$AM$4:$AP$55,4,FALSE))</f>
        <v>0</v>
      </c>
      <c r="D36" s="4">
        <f>(VLOOKUP('17.01'!L36,'17.01'!$AM$4:$AP$55,4,FALSE))</f>
        <v>0</v>
      </c>
      <c r="E36" s="4">
        <f>(VLOOKUP('17.01'!M36,'17.01'!$AM$4:$AP$55,4,FALSE))</f>
        <v>0</v>
      </c>
      <c r="F36" s="4">
        <f>(VLOOKUP('17.01'!N36,'17.01'!$AM$4:$AP$55,4,FALSE))</f>
        <v>0</v>
      </c>
      <c r="G36" s="4">
        <f>(VLOOKUP('17.01'!O36,'17.01'!$AM$4:$AP$55,4,FALSE))</f>
        <v>0</v>
      </c>
      <c r="H36" s="4">
        <f>(VLOOKUP('17.01'!P36,'17.01'!$AM$4:$AP$55,4,FALSE))</f>
        <v>0</v>
      </c>
      <c r="I36" s="4">
        <f>(VLOOKUP('17.01'!Q36,'17.01'!$AM$4:$AP$55,4,FALSE))</f>
        <v>0</v>
      </c>
      <c r="J36" s="4">
        <f>(VLOOKUP('17.01'!R36,'17.01'!$AM$4:$AP$55,4,FALSE))</f>
        <v>0</v>
      </c>
      <c r="K36" s="4">
        <f>(VLOOKUP('17.01'!S36,'17.01'!$AM$4:$AP$55,4,FALSE))</f>
        <v>0</v>
      </c>
      <c r="L36" s="4">
        <f>(VLOOKUP('17.01'!T36,'17.01'!$AM$4:$AP$55,4,FALSE))</f>
        <v>0</v>
      </c>
      <c r="M36" s="4">
        <f>(VLOOKUP('17.01'!U36,'17.01'!$AM$4:$AP$55,4,FALSE))</f>
        <v>0</v>
      </c>
      <c r="N36" s="4">
        <f>(VLOOKUP('17.01'!V36,'17.01'!$AM$4:$AP$55,4,FALSE))</f>
        <v>0</v>
      </c>
      <c r="O36" s="4">
        <f>(VLOOKUP('17.01'!W36,'17.01'!$AM$4:$AP$55,4,FALSE))</f>
        <v>0</v>
      </c>
      <c r="P36" s="4">
        <f>(VLOOKUP('17.01'!X36,'17.01'!$AM$4:$AP$55,4,FALSE))</f>
        <v>0</v>
      </c>
      <c r="Q36" s="4">
        <f>(VLOOKUP('17.01'!Y36,'17.01'!$AM$4:$AP$55,4,FALSE))</f>
        <v>0</v>
      </c>
      <c r="R36" s="4">
        <f>(VLOOKUP('17.01'!Z36,'17.01'!$AM$4:$AP$55,4,FALSE))</f>
        <v>0</v>
      </c>
      <c r="S36" s="4">
        <f>(VLOOKUP('17.01'!AA36,'17.01'!$AM$4:$AP$55,4,FALSE))</f>
        <v>0</v>
      </c>
      <c r="T36" s="4">
        <f>(VLOOKUP('17.01'!AB36,'17.01'!$AM$4:$AP$55,4,FALSE))</f>
        <v>0</v>
      </c>
      <c r="U36" s="4">
        <f>(VLOOKUP('17.01'!AC36,'17.01'!$AM$4:$AP$55,4,FALSE))</f>
        <v>0</v>
      </c>
      <c r="V36" s="4">
        <f>(VLOOKUP('17.01'!AD36,'17.01'!$AM$4:$AP$55,4,FALSE))</f>
        <v>0</v>
      </c>
      <c r="W36" s="4">
        <f>(VLOOKUP('17.01'!AE36,'17.01'!$AM$4:$AP$55,4,FALSE))</f>
        <v>0</v>
      </c>
      <c r="X36" s="4">
        <f>(VLOOKUP('17.01'!AF36,'17.01'!$AM$4:$AP$55,4,FALSE))</f>
        <v>0</v>
      </c>
    </row>
    <row r="37" spans="1:24">
      <c r="A37" s="4">
        <f>(VLOOKUP('17.01'!I37,'17.01'!$AM$4:$AP$55,4,FALSE))</f>
        <v>0</v>
      </c>
      <c r="B37" s="4">
        <f>(VLOOKUP('17.01'!J37,'17.01'!$AM$4:$AP$55,4,FALSE))</f>
        <v>0</v>
      </c>
      <c r="C37" s="4">
        <f>(VLOOKUP('17.01'!K37,'17.01'!$AM$4:$AP$55,4,FALSE))</f>
        <v>0</v>
      </c>
      <c r="D37" s="4">
        <f>(VLOOKUP('17.01'!L37,'17.01'!$AM$4:$AP$55,4,FALSE))</f>
        <v>0</v>
      </c>
      <c r="E37" s="4">
        <f>(VLOOKUP('17.01'!M37,'17.01'!$AM$4:$AP$55,4,FALSE))</f>
        <v>0</v>
      </c>
      <c r="F37" s="4">
        <f>(VLOOKUP('17.01'!N37,'17.01'!$AM$4:$AP$55,4,FALSE))</f>
        <v>0</v>
      </c>
      <c r="G37" s="4">
        <f>(VLOOKUP('17.01'!O37,'17.01'!$AM$4:$AP$55,4,FALSE))</f>
        <v>0</v>
      </c>
      <c r="H37" s="4">
        <f>(VLOOKUP('17.01'!P37,'17.01'!$AM$4:$AP$55,4,FALSE))</f>
        <v>0</v>
      </c>
      <c r="I37" s="4">
        <f>(VLOOKUP('17.01'!Q37,'17.01'!$AM$4:$AP$55,4,FALSE))</f>
        <v>0</v>
      </c>
      <c r="J37" s="4">
        <f>(VLOOKUP('17.01'!R37,'17.01'!$AM$4:$AP$55,4,FALSE))</f>
        <v>0</v>
      </c>
      <c r="K37" s="4">
        <f>(VLOOKUP('17.01'!S37,'17.01'!$AM$4:$AP$55,4,FALSE))</f>
        <v>0</v>
      </c>
      <c r="L37" s="4">
        <f>(VLOOKUP('17.01'!T37,'17.01'!$AM$4:$AP$55,4,FALSE))</f>
        <v>0</v>
      </c>
      <c r="M37" s="4">
        <f>(VLOOKUP('17.01'!U37,'17.01'!$AM$4:$AP$55,4,FALSE))</f>
        <v>0</v>
      </c>
      <c r="N37" s="4">
        <f>(VLOOKUP('17.01'!V37,'17.01'!$AM$4:$AP$55,4,FALSE))</f>
        <v>0</v>
      </c>
      <c r="O37" s="4">
        <f>(VLOOKUP('17.01'!W37,'17.01'!$AM$4:$AP$55,4,FALSE))</f>
        <v>0</v>
      </c>
      <c r="P37" s="4">
        <f>(VLOOKUP('17.01'!X37,'17.01'!$AM$4:$AP$55,4,FALSE))</f>
        <v>0</v>
      </c>
      <c r="Q37" s="4">
        <f>(VLOOKUP('17.01'!Y37,'17.01'!$AM$4:$AP$55,4,FALSE))</f>
        <v>0</v>
      </c>
      <c r="R37" s="4">
        <f>(VLOOKUP('17.01'!Z37,'17.01'!$AM$4:$AP$55,4,FALSE))</f>
        <v>0</v>
      </c>
      <c r="S37" s="4">
        <f>(VLOOKUP('17.01'!AA37,'17.01'!$AM$4:$AP$55,4,FALSE))</f>
        <v>0</v>
      </c>
      <c r="T37" s="4">
        <f>(VLOOKUP('17.01'!AB37,'17.01'!$AM$4:$AP$55,4,FALSE))</f>
        <v>0</v>
      </c>
      <c r="U37" s="4">
        <f>(VLOOKUP('17.01'!AC37,'17.01'!$AM$4:$AP$55,4,FALSE))</f>
        <v>0</v>
      </c>
      <c r="V37" s="4">
        <f>(VLOOKUP('17.01'!AD37,'17.01'!$AM$4:$AP$55,4,FALSE))</f>
        <v>0</v>
      </c>
      <c r="W37" s="4">
        <f>(VLOOKUP('17.01'!AE37,'17.01'!$AM$4:$AP$55,4,FALSE))</f>
        <v>0</v>
      </c>
      <c r="X37" s="4">
        <f>(VLOOKUP('17.01'!AF37,'17.01'!$AM$4:$AP$55,4,FALSE))</f>
        <v>0</v>
      </c>
    </row>
    <row r="38" spans="1:24">
      <c r="A38" s="4">
        <f>(VLOOKUP('17.01'!I38,'17.01'!$AM$4:$AP$55,4,FALSE))</f>
        <v>0</v>
      </c>
      <c r="B38" s="4">
        <f>(VLOOKUP('17.01'!J38,'17.01'!$AM$4:$AP$55,4,FALSE))</f>
        <v>0</v>
      </c>
      <c r="C38" s="4">
        <f>(VLOOKUP('17.01'!K38,'17.01'!$AM$4:$AP$55,4,FALSE))</f>
        <v>0</v>
      </c>
      <c r="D38" s="4">
        <f>(VLOOKUP('17.01'!L38,'17.01'!$AM$4:$AP$55,4,FALSE))</f>
        <v>0</v>
      </c>
      <c r="E38" s="4">
        <f>(VLOOKUP('17.01'!M38,'17.01'!$AM$4:$AP$55,4,FALSE))</f>
        <v>0</v>
      </c>
      <c r="F38" s="4">
        <f>(VLOOKUP('17.01'!N38,'17.01'!$AM$4:$AP$55,4,FALSE))</f>
        <v>0</v>
      </c>
      <c r="G38" s="4">
        <f>(VLOOKUP('17.01'!O38,'17.01'!$AM$4:$AP$55,4,FALSE))</f>
        <v>0</v>
      </c>
      <c r="H38" s="4">
        <f>(VLOOKUP('17.01'!P38,'17.01'!$AM$4:$AP$55,4,FALSE))</f>
        <v>0</v>
      </c>
      <c r="I38" s="4">
        <f>(VLOOKUP('17.01'!Q38,'17.01'!$AM$4:$AP$55,4,FALSE))</f>
        <v>0</v>
      </c>
      <c r="J38" s="4">
        <f>(VLOOKUP('17.01'!R38,'17.01'!$AM$4:$AP$55,4,FALSE))</f>
        <v>0</v>
      </c>
      <c r="K38" s="4">
        <f>(VLOOKUP('17.01'!S38,'17.01'!$AM$4:$AP$55,4,FALSE))</f>
        <v>0</v>
      </c>
      <c r="L38" s="4">
        <f>(VLOOKUP('17.01'!T38,'17.01'!$AM$4:$AP$55,4,FALSE))</f>
        <v>0</v>
      </c>
      <c r="M38" s="4">
        <f>(VLOOKUP('17.01'!U38,'17.01'!$AM$4:$AP$55,4,FALSE))</f>
        <v>0</v>
      </c>
      <c r="N38" s="4">
        <f>(VLOOKUP('17.01'!V38,'17.01'!$AM$4:$AP$55,4,FALSE))</f>
        <v>0</v>
      </c>
      <c r="O38" s="4">
        <f>(VLOOKUP('17.01'!W38,'17.01'!$AM$4:$AP$55,4,FALSE))</f>
        <v>0</v>
      </c>
      <c r="P38" s="4">
        <f>(VLOOKUP('17.01'!X38,'17.01'!$AM$4:$AP$55,4,FALSE))</f>
        <v>0</v>
      </c>
      <c r="Q38" s="4">
        <f>(VLOOKUP('17.01'!Y38,'17.01'!$AM$4:$AP$55,4,FALSE))</f>
        <v>0</v>
      </c>
      <c r="R38" s="4">
        <f>(VLOOKUP('17.01'!Z38,'17.01'!$AM$4:$AP$55,4,FALSE))</f>
        <v>0</v>
      </c>
      <c r="S38" s="4">
        <f>(VLOOKUP('17.01'!AA38,'17.01'!$AM$4:$AP$55,4,FALSE))</f>
        <v>0</v>
      </c>
      <c r="T38" s="4">
        <f>(VLOOKUP('17.01'!AB38,'17.01'!$AM$4:$AP$55,4,FALSE))</f>
        <v>0</v>
      </c>
      <c r="U38" s="4">
        <f>(VLOOKUP('17.01'!AC38,'17.01'!$AM$4:$AP$55,4,FALSE))</f>
        <v>0</v>
      </c>
      <c r="V38" s="4">
        <f>(VLOOKUP('17.01'!AD38,'17.01'!$AM$4:$AP$55,4,FALSE))</f>
        <v>0</v>
      </c>
      <c r="W38" s="4">
        <f>(VLOOKUP('17.01'!AE38,'17.01'!$AM$4:$AP$55,4,FALSE))</f>
        <v>0</v>
      </c>
      <c r="X38" s="4">
        <f>(VLOOKUP('17.01'!AF38,'17.01'!$AM$4:$AP$55,4,FALSE))</f>
        <v>0</v>
      </c>
    </row>
    <row r="39" spans="1:24">
      <c r="A39" s="4">
        <f>(VLOOKUP('17.01'!I39,'17.01'!$AM$4:$AP$55,4,FALSE))</f>
        <v>0</v>
      </c>
      <c r="B39" s="4">
        <f>(VLOOKUP('17.01'!J39,'17.01'!$AM$4:$AP$55,4,FALSE))</f>
        <v>0</v>
      </c>
      <c r="C39" s="4">
        <f>(VLOOKUP('17.01'!K39,'17.01'!$AM$4:$AP$55,4,FALSE))</f>
        <v>0</v>
      </c>
      <c r="D39" s="4">
        <f>(VLOOKUP('17.01'!L39,'17.01'!$AM$4:$AP$55,4,FALSE))</f>
        <v>0</v>
      </c>
      <c r="E39" s="4">
        <f>(VLOOKUP('17.01'!M39,'17.01'!$AM$4:$AP$55,4,FALSE))</f>
        <v>0</v>
      </c>
      <c r="F39" s="4">
        <f>(VLOOKUP('17.01'!N39,'17.01'!$AM$4:$AP$55,4,FALSE))</f>
        <v>0</v>
      </c>
      <c r="G39" s="4">
        <f>(VLOOKUP('17.01'!O39,'17.01'!$AM$4:$AP$55,4,FALSE))</f>
        <v>0</v>
      </c>
      <c r="H39" s="4">
        <f>(VLOOKUP('17.01'!P39,'17.01'!$AM$4:$AP$55,4,FALSE))</f>
        <v>0</v>
      </c>
      <c r="I39" s="4">
        <f>(VLOOKUP('17.01'!Q39,'17.01'!$AM$4:$AP$55,4,FALSE))</f>
        <v>0</v>
      </c>
      <c r="J39" s="4">
        <f>(VLOOKUP('17.01'!R39,'17.01'!$AM$4:$AP$55,4,FALSE))</f>
        <v>0</v>
      </c>
      <c r="K39" s="4">
        <f>(VLOOKUP('17.01'!S39,'17.01'!$AM$4:$AP$55,4,FALSE))</f>
        <v>0</v>
      </c>
      <c r="L39" s="4">
        <f>(VLOOKUP('17.01'!T39,'17.01'!$AM$4:$AP$55,4,FALSE))</f>
        <v>0</v>
      </c>
      <c r="M39" s="4">
        <f>(VLOOKUP('17.01'!U39,'17.01'!$AM$4:$AP$55,4,FALSE))</f>
        <v>0</v>
      </c>
      <c r="N39" s="4">
        <f>(VLOOKUP('17.01'!V39,'17.01'!$AM$4:$AP$55,4,FALSE))</f>
        <v>0</v>
      </c>
      <c r="O39" s="4">
        <f>(VLOOKUP('17.01'!W39,'17.01'!$AM$4:$AP$55,4,FALSE))</f>
        <v>0</v>
      </c>
      <c r="P39" s="4">
        <f>(VLOOKUP('17.01'!X39,'17.01'!$AM$4:$AP$55,4,FALSE))</f>
        <v>0</v>
      </c>
      <c r="Q39" s="4">
        <f>(VLOOKUP('17.01'!Y39,'17.01'!$AM$4:$AP$55,4,FALSE))</f>
        <v>0</v>
      </c>
      <c r="R39" s="4">
        <f>(VLOOKUP('17.01'!Z39,'17.01'!$AM$4:$AP$55,4,FALSE))</f>
        <v>0</v>
      </c>
      <c r="S39" s="4">
        <f>(VLOOKUP('17.01'!AA39,'17.01'!$AM$4:$AP$55,4,FALSE))</f>
        <v>0</v>
      </c>
      <c r="T39" s="4">
        <f>(VLOOKUP('17.01'!AB39,'17.01'!$AM$4:$AP$55,4,FALSE))</f>
        <v>0</v>
      </c>
      <c r="U39" s="4">
        <f>(VLOOKUP('17.01'!AC39,'17.01'!$AM$4:$AP$55,4,FALSE))</f>
        <v>0</v>
      </c>
      <c r="V39" s="4">
        <f>(VLOOKUP('17.01'!AD39,'17.01'!$AM$4:$AP$55,4,FALSE))</f>
        <v>0</v>
      </c>
      <c r="W39" s="4">
        <f>(VLOOKUP('17.01'!AE39,'17.01'!$AM$4:$AP$55,4,FALSE))</f>
        <v>0</v>
      </c>
      <c r="X39" s="4">
        <f>(VLOOKUP('17.01'!AF39,'17.01'!$AM$4:$AP$55,4,FALSE))</f>
        <v>0</v>
      </c>
    </row>
    <row r="40" spans="1:24">
      <c r="A40" s="4">
        <f>(VLOOKUP('17.01'!I40,'17.01'!$AM$4:$AP$55,4,FALSE))</f>
        <v>0</v>
      </c>
      <c r="B40" s="4">
        <f>(VLOOKUP('17.01'!J40,'17.01'!$AM$4:$AP$55,4,FALSE))</f>
        <v>0</v>
      </c>
      <c r="C40" s="4">
        <f>(VLOOKUP('17.01'!K40,'17.01'!$AM$4:$AP$55,4,FALSE))</f>
        <v>0</v>
      </c>
      <c r="D40" s="4">
        <f>(VLOOKUP('17.01'!L40,'17.01'!$AM$4:$AP$55,4,FALSE))</f>
        <v>0</v>
      </c>
      <c r="E40" s="4">
        <f>(VLOOKUP('17.01'!M40,'17.01'!$AM$4:$AP$55,4,FALSE))</f>
        <v>0</v>
      </c>
      <c r="F40" s="4">
        <f>(VLOOKUP('17.01'!N40,'17.01'!$AM$4:$AP$55,4,FALSE))</f>
        <v>0</v>
      </c>
      <c r="G40" s="4">
        <f>(VLOOKUP('17.01'!O40,'17.01'!$AM$4:$AP$55,4,FALSE))</f>
        <v>0</v>
      </c>
      <c r="H40" s="4">
        <f>(VLOOKUP('17.01'!P40,'17.01'!$AM$4:$AP$55,4,FALSE))</f>
        <v>0</v>
      </c>
      <c r="I40" s="4">
        <f>(VLOOKUP('17.01'!Q40,'17.01'!$AM$4:$AP$55,4,FALSE))</f>
        <v>0</v>
      </c>
      <c r="J40" s="4">
        <f>(VLOOKUP('17.01'!R40,'17.01'!$AM$4:$AP$55,4,FALSE))</f>
        <v>0</v>
      </c>
      <c r="K40" s="4">
        <f>(VLOOKUP('17.01'!S40,'17.01'!$AM$4:$AP$55,4,FALSE))</f>
        <v>0</v>
      </c>
      <c r="L40" s="4">
        <f>(VLOOKUP('17.01'!T40,'17.01'!$AM$4:$AP$55,4,FALSE))</f>
        <v>0</v>
      </c>
      <c r="M40" s="4">
        <f>(VLOOKUP('17.01'!U40,'17.01'!$AM$4:$AP$55,4,FALSE))</f>
        <v>0</v>
      </c>
      <c r="N40" s="4">
        <f>(VLOOKUP('17.01'!V40,'17.01'!$AM$4:$AP$55,4,FALSE))</f>
        <v>0</v>
      </c>
      <c r="O40" s="4">
        <f>(VLOOKUP('17.01'!W40,'17.01'!$AM$4:$AP$55,4,FALSE))</f>
        <v>0</v>
      </c>
      <c r="P40" s="4">
        <f>(VLOOKUP('17.01'!X40,'17.01'!$AM$4:$AP$55,4,FALSE))</f>
        <v>0</v>
      </c>
      <c r="Q40" s="4">
        <f>(VLOOKUP('17.01'!Y40,'17.01'!$AM$4:$AP$55,4,FALSE))</f>
        <v>0</v>
      </c>
      <c r="R40" s="4">
        <f>(VLOOKUP('17.01'!Z40,'17.01'!$AM$4:$AP$55,4,FALSE))</f>
        <v>0</v>
      </c>
      <c r="S40" s="4">
        <f>(VLOOKUP('17.01'!AA40,'17.01'!$AM$4:$AP$55,4,FALSE))</f>
        <v>0</v>
      </c>
      <c r="T40" s="4">
        <f>(VLOOKUP('17.01'!AB40,'17.01'!$AM$4:$AP$55,4,FALSE))</f>
        <v>0</v>
      </c>
      <c r="U40" s="4">
        <f>(VLOOKUP('17.01'!AC40,'17.01'!$AM$4:$AP$55,4,FALSE))</f>
        <v>0</v>
      </c>
      <c r="V40" s="4">
        <f>(VLOOKUP('17.01'!AD40,'17.01'!$AM$4:$AP$55,4,FALSE))</f>
        <v>0</v>
      </c>
      <c r="W40" s="4">
        <f>(VLOOKUP('17.01'!AE40,'17.01'!$AM$4:$AP$55,4,FALSE))</f>
        <v>0</v>
      </c>
      <c r="X40" s="4">
        <f>(VLOOKUP('17.01'!AF40,'17.01'!$AM$4:$AP$55,4,FALSE))</f>
        <v>0</v>
      </c>
    </row>
    <row r="41" spans="1:24">
      <c r="A41" s="4">
        <f>(VLOOKUP('17.01'!I41,'17.01'!$AM$4:$AP$55,4,FALSE))</f>
        <v>0</v>
      </c>
      <c r="B41" s="4">
        <f>(VLOOKUP('17.01'!J41,'17.01'!$AM$4:$AP$55,4,FALSE))</f>
        <v>0</v>
      </c>
      <c r="C41" s="4">
        <f>(VLOOKUP('17.01'!K41,'17.01'!$AM$4:$AP$55,4,FALSE))</f>
        <v>0</v>
      </c>
      <c r="D41" s="4">
        <f>(VLOOKUP('17.01'!L41,'17.01'!$AM$4:$AP$55,4,FALSE))</f>
        <v>0</v>
      </c>
      <c r="E41" s="4">
        <f>(VLOOKUP('17.01'!M41,'17.01'!$AM$4:$AP$55,4,FALSE))</f>
        <v>0</v>
      </c>
      <c r="F41" s="4">
        <f>(VLOOKUP('17.01'!N41,'17.01'!$AM$4:$AP$55,4,FALSE))</f>
        <v>0</v>
      </c>
      <c r="G41" s="4">
        <f>(VLOOKUP('17.01'!O41,'17.01'!$AM$4:$AP$55,4,FALSE))</f>
        <v>0</v>
      </c>
      <c r="H41" s="4">
        <f>(VLOOKUP('17.01'!P41,'17.01'!$AM$4:$AP$55,4,FALSE))</f>
        <v>0</v>
      </c>
      <c r="I41" s="4">
        <f>(VLOOKUP('17.01'!Q41,'17.01'!$AM$4:$AP$55,4,FALSE))</f>
        <v>0</v>
      </c>
      <c r="J41" s="4">
        <f>(VLOOKUP('17.01'!R41,'17.01'!$AM$4:$AP$55,4,FALSE))</f>
        <v>0</v>
      </c>
      <c r="K41" s="4">
        <f>(VLOOKUP('17.01'!S41,'17.01'!$AM$4:$AP$55,4,FALSE))</f>
        <v>0</v>
      </c>
      <c r="L41" s="4">
        <f>(VLOOKUP('17.01'!T41,'17.01'!$AM$4:$AP$55,4,FALSE))</f>
        <v>0</v>
      </c>
      <c r="M41" s="4">
        <f>(VLOOKUP('17.01'!U41,'17.01'!$AM$4:$AP$55,4,FALSE))</f>
        <v>0</v>
      </c>
      <c r="N41" s="4">
        <f>(VLOOKUP('17.01'!V41,'17.01'!$AM$4:$AP$55,4,FALSE))</f>
        <v>0</v>
      </c>
      <c r="O41" s="4">
        <f>(VLOOKUP('17.01'!W41,'17.01'!$AM$4:$AP$55,4,FALSE))</f>
        <v>0</v>
      </c>
      <c r="P41" s="4">
        <f>(VLOOKUP('17.01'!X41,'17.01'!$AM$4:$AP$55,4,FALSE))</f>
        <v>0</v>
      </c>
      <c r="Q41" s="4">
        <f>(VLOOKUP('17.01'!Y41,'17.01'!$AM$4:$AP$55,4,FALSE))</f>
        <v>0</v>
      </c>
      <c r="R41" s="4">
        <f>(VLOOKUP('17.01'!Z41,'17.01'!$AM$4:$AP$55,4,FALSE))</f>
        <v>0</v>
      </c>
      <c r="S41" s="4">
        <f>(VLOOKUP('17.01'!AA41,'17.01'!$AM$4:$AP$55,4,FALSE))</f>
        <v>0</v>
      </c>
      <c r="T41" s="4">
        <f>(VLOOKUP('17.01'!AB41,'17.01'!$AM$4:$AP$55,4,FALSE))</f>
        <v>0</v>
      </c>
      <c r="U41" s="4">
        <f>(VLOOKUP('17.01'!AC41,'17.01'!$AM$4:$AP$55,4,FALSE))</f>
        <v>0</v>
      </c>
      <c r="V41" s="4">
        <f>(VLOOKUP('17.01'!AD41,'17.01'!$AM$4:$AP$55,4,FALSE))</f>
        <v>0</v>
      </c>
      <c r="W41" s="4">
        <f>(VLOOKUP('17.01'!AE41,'17.01'!$AM$4:$AP$55,4,FALSE))</f>
        <v>0</v>
      </c>
      <c r="X41" s="4">
        <f>(VLOOKUP('17.01'!AF41,'17.01'!$AM$4:$AP$55,4,FALSE))</f>
        <v>0</v>
      </c>
    </row>
    <row r="42" spans="1:24">
      <c r="A42" s="4">
        <f>(VLOOKUP('17.01'!I42,'17.01'!$AM$4:$AP$55,4,FALSE))</f>
        <v>0</v>
      </c>
      <c r="B42" s="4">
        <f>(VLOOKUP('17.01'!J42,'17.01'!$AM$4:$AP$55,4,FALSE))</f>
        <v>0</v>
      </c>
      <c r="C42" s="4">
        <f>(VLOOKUP('17.01'!K42,'17.01'!$AM$4:$AP$55,4,FALSE))</f>
        <v>0</v>
      </c>
      <c r="D42" s="4">
        <f>(VLOOKUP('17.01'!L42,'17.01'!$AM$4:$AP$55,4,FALSE))</f>
        <v>0</v>
      </c>
      <c r="E42" s="4">
        <f>(VLOOKUP('17.01'!M42,'17.01'!$AM$4:$AP$55,4,FALSE))</f>
        <v>0</v>
      </c>
      <c r="F42" s="4">
        <f>(VLOOKUP('17.01'!N42,'17.01'!$AM$4:$AP$55,4,FALSE))</f>
        <v>0</v>
      </c>
      <c r="G42" s="4">
        <f>(VLOOKUP('17.01'!O42,'17.01'!$AM$4:$AP$55,4,FALSE))</f>
        <v>0</v>
      </c>
      <c r="H42" s="4">
        <f>(VLOOKUP('17.01'!P42,'17.01'!$AM$4:$AP$55,4,FALSE))</f>
        <v>0</v>
      </c>
      <c r="I42" s="4">
        <f>(VLOOKUP('17.01'!Q42,'17.01'!$AM$4:$AP$55,4,FALSE))</f>
        <v>0</v>
      </c>
      <c r="J42" s="4">
        <f>(VLOOKUP('17.01'!R42,'17.01'!$AM$4:$AP$55,4,FALSE))</f>
        <v>0</v>
      </c>
      <c r="K42" s="4">
        <f>(VLOOKUP('17.01'!S42,'17.01'!$AM$4:$AP$55,4,FALSE))</f>
        <v>0</v>
      </c>
      <c r="L42" s="4">
        <f>(VLOOKUP('17.01'!T42,'17.01'!$AM$4:$AP$55,4,FALSE))</f>
        <v>0</v>
      </c>
      <c r="M42" s="4">
        <f>(VLOOKUP('17.01'!U42,'17.01'!$AM$4:$AP$55,4,FALSE))</f>
        <v>0</v>
      </c>
      <c r="N42" s="4">
        <f>(VLOOKUP('17.01'!V42,'17.01'!$AM$4:$AP$55,4,FALSE))</f>
        <v>0</v>
      </c>
      <c r="O42" s="4">
        <f>(VLOOKUP('17.01'!W42,'17.01'!$AM$4:$AP$55,4,FALSE))</f>
        <v>0</v>
      </c>
      <c r="P42" s="4">
        <f>(VLOOKUP('17.01'!X42,'17.01'!$AM$4:$AP$55,4,FALSE))</f>
        <v>0</v>
      </c>
      <c r="Q42" s="4">
        <f>(VLOOKUP('17.01'!Y42,'17.01'!$AM$4:$AP$55,4,FALSE))</f>
        <v>0</v>
      </c>
      <c r="R42" s="4">
        <f>(VLOOKUP('17.01'!Z42,'17.01'!$AM$4:$AP$55,4,FALSE))</f>
        <v>0</v>
      </c>
      <c r="S42" s="4">
        <f>(VLOOKUP('17.01'!AA42,'17.01'!$AM$4:$AP$55,4,FALSE))</f>
        <v>0</v>
      </c>
      <c r="T42" s="4">
        <f>(VLOOKUP('17.01'!AB42,'17.01'!$AM$4:$AP$55,4,FALSE))</f>
        <v>0</v>
      </c>
      <c r="U42" s="4">
        <f>(VLOOKUP('17.01'!AC42,'17.01'!$AM$4:$AP$55,4,FALSE))</f>
        <v>0</v>
      </c>
      <c r="V42" s="4">
        <f>(VLOOKUP('17.01'!AD42,'17.01'!$AM$4:$AP$55,4,FALSE))</f>
        <v>0</v>
      </c>
      <c r="W42" s="4">
        <f>(VLOOKUP('17.01'!AE42,'17.01'!$AM$4:$AP$55,4,FALSE))</f>
        <v>0</v>
      </c>
      <c r="X42" s="4">
        <f>(VLOOKUP('17.01'!AF42,'17.01'!$AM$4:$AP$55,4,FALSE))</f>
        <v>0</v>
      </c>
    </row>
    <row r="43" spans="1:24">
      <c r="A43" s="4">
        <f>(VLOOKUP('17.01'!I43,'17.01'!$AM$4:$AP$55,4,FALSE))</f>
        <v>0</v>
      </c>
      <c r="B43" s="4">
        <f>(VLOOKUP('17.01'!J43,'17.01'!$AM$4:$AP$55,4,FALSE))</f>
        <v>0</v>
      </c>
      <c r="C43" s="4">
        <f>(VLOOKUP('17.01'!K43,'17.01'!$AM$4:$AP$55,4,FALSE))</f>
        <v>0</v>
      </c>
      <c r="D43" s="4">
        <f>(VLOOKUP('17.01'!L43,'17.01'!$AM$4:$AP$55,4,FALSE))</f>
        <v>0</v>
      </c>
      <c r="E43" s="4">
        <f>(VLOOKUP('17.01'!M43,'17.01'!$AM$4:$AP$55,4,FALSE))</f>
        <v>0</v>
      </c>
      <c r="F43" s="4">
        <f>(VLOOKUP('17.01'!N43,'17.01'!$AM$4:$AP$55,4,FALSE))</f>
        <v>0</v>
      </c>
      <c r="G43" s="4">
        <f>(VLOOKUP('17.01'!O43,'17.01'!$AM$4:$AP$55,4,FALSE))</f>
        <v>0</v>
      </c>
      <c r="H43" s="4">
        <f>(VLOOKUP('17.01'!P43,'17.01'!$AM$4:$AP$55,4,FALSE))</f>
        <v>0</v>
      </c>
      <c r="I43" s="4">
        <f>(VLOOKUP('17.01'!Q43,'17.01'!$AM$4:$AP$55,4,FALSE))</f>
        <v>0</v>
      </c>
      <c r="J43" s="4">
        <f>(VLOOKUP('17.01'!R43,'17.01'!$AM$4:$AP$55,4,FALSE))</f>
        <v>0</v>
      </c>
      <c r="K43" s="4">
        <f>(VLOOKUP('17.01'!S43,'17.01'!$AM$4:$AP$55,4,FALSE))</f>
        <v>0</v>
      </c>
      <c r="L43" s="4">
        <f>(VLOOKUP('17.01'!T43,'17.01'!$AM$4:$AP$55,4,FALSE))</f>
        <v>0</v>
      </c>
      <c r="M43" s="4">
        <f>(VLOOKUP('17.01'!U43,'17.01'!$AM$4:$AP$55,4,FALSE))</f>
        <v>0</v>
      </c>
      <c r="N43" s="4">
        <f>(VLOOKUP('17.01'!V43,'17.01'!$AM$4:$AP$55,4,FALSE))</f>
        <v>0</v>
      </c>
      <c r="O43" s="4">
        <f>(VLOOKUP('17.01'!W43,'17.01'!$AM$4:$AP$55,4,FALSE))</f>
        <v>0</v>
      </c>
      <c r="P43" s="4">
        <f>(VLOOKUP('17.01'!X43,'17.01'!$AM$4:$AP$55,4,FALSE))</f>
        <v>0</v>
      </c>
      <c r="Q43" s="4">
        <f>(VLOOKUP('17.01'!Y43,'17.01'!$AM$4:$AP$55,4,FALSE))</f>
        <v>0</v>
      </c>
      <c r="R43" s="4">
        <f>(VLOOKUP('17.01'!Z43,'17.01'!$AM$4:$AP$55,4,FALSE))</f>
        <v>0</v>
      </c>
      <c r="S43" s="4">
        <f>(VLOOKUP('17.01'!AA43,'17.01'!$AM$4:$AP$55,4,FALSE))</f>
        <v>0</v>
      </c>
      <c r="T43" s="4">
        <f>(VLOOKUP('17.01'!AB43,'17.01'!$AM$4:$AP$55,4,FALSE))</f>
        <v>0</v>
      </c>
      <c r="U43" s="4">
        <f>(VLOOKUP('17.01'!AC43,'17.01'!$AM$4:$AP$55,4,FALSE))</f>
        <v>0</v>
      </c>
      <c r="V43" s="4">
        <f>(VLOOKUP('17.01'!AD43,'17.01'!$AM$4:$AP$55,4,FALSE))</f>
        <v>0</v>
      </c>
      <c r="W43" s="4">
        <f>(VLOOKUP('17.01'!AE43,'17.01'!$AM$4:$AP$55,4,FALSE))</f>
        <v>0</v>
      </c>
      <c r="X43" s="4">
        <f>(VLOOKUP('17.01'!AF43,'17.01'!$AM$4:$AP$55,4,FALSE))</f>
        <v>0</v>
      </c>
    </row>
    <row r="44" spans="1:24">
      <c r="A44" s="4">
        <f>(VLOOKUP('17.01'!I44,'17.01'!$AM$4:$AP$55,4,FALSE))</f>
        <v>0</v>
      </c>
      <c r="B44" s="4">
        <f>(VLOOKUP('17.01'!J44,'17.01'!$AM$4:$AP$55,4,FALSE))</f>
        <v>0</v>
      </c>
      <c r="C44" s="4">
        <f>(VLOOKUP('17.01'!K44,'17.01'!$AM$4:$AP$55,4,FALSE))</f>
        <v>0</v>
      </c>
      <c r="D44" s="4">
        <f>(VLOOKUP('17.01'!L44,'17.01'!$AM$4:$AP$55,4,FALSE))</f>
        <v>0</v>
      </c>
      <c r="E44" s="4">
        <f>(VLOOKUP('17.01'!M44,'17.01'!$AM$4:$AP$55,4,FALSE))</f>
        <v>0</v>
      </c>
      <c r="F44" s="4">
        <f>(VLOOKUP('17.01'!N44,'17.01'!$AM$4:$AP$55,4,FALSE))</f>
        <v>0</v>
      </c>
      <c r="G44" s="4">
        <f>(VLOOKUP('17.01'!O44,'17.01'!$AM$4:$AP$55,4,FALSE))</f>
        <v>0</v>
      </c>
      <c r="H44" s="4">
        <f>(VLOOKUP('17.01'!P44,'17.01'!$AM$4:$AP$55,4,FALSE))</f>
        <v>0</v>
      </c>
      <c r="I44" s="4">
        <f>(VLOOKUP('17.01'!Q44,'17.01'!$AM$4:$AP$55,4,FALSE))</f>
        <v>0</v>
      </c>
      <c r="J44" s="4">
        <f>(VLOOKUP('17.01'!R44,'17.01'!$AM$4:$AP$55,4,FALSE))</f>
        <v>0</v>
      </c>
      <c r="K44" s="4">
        <f>(VLOOKUP('17.01'!S44,'17.01'!$AM$4:$AP$55,4,FALSE))</f>
        <v>0</v>
      </c>
      <c r="L44" s="4">
        <f>(VLOOKUP('17.01'!T44,'17.01'!$AM$4:$AP$55,4,FALSE))</f>
        <v>0</v>
      </c>
      <c r="M44" s="4">
        <f>(VLOOKUP('17.01'!U44,'17.01'!$AM$4:$AP$55,4,FALSE))</f>
        <v>0</v>
      </c>
      <c r="N44" s="4">
        <f>(VLOOKUP('17.01'!V44,'17.01'!$AM$4:$AP$55,4,FALSE))</f>
        <v>0</v>
      </c>
      <c r="O44" s="4">
        <f>(VLOOKUP('17.01'!W44,'17.01'!$AM$4:$AP$55,4,FALSE))</f>
        <v>0</v>
      </c>
      <c r="P44" s="4">
        <f>(VLOOKUP('17.01'!X44,'17.01'!$AM$4:$AP$55,4,FALSE))</f>
        <v>0</v>
      </c>
      <c r="Q44" s="4">
        <f>(VLOOKUP('17.01'!Y44,'17.01'!$AM$4:$AP$55,4,FALSE))</f>
        <v>0</v>
      </c>
      <c r="R44" s="4">
        <f>(VLOOKUP('17.01'!Z44,'17.01'!$AM$4:$AP$55,4,FALSE))</f>
        <v>0</v>
      </c>
      <c r="S44" s="4">
        <f>(VLOOKUP('17.01'!AA44,'17.01'!$AM$4:$AP$55,4,FALSE))</f>
        <v>0</v>
      </c>
      <c r="T44" s="4">
        <f>(VLOOKUP('17.01'!AB44,'17.01'!$AM$4:$AP$55,4,FALSE))</f>
        <v>0</v>
      </c>
      <c r="U44" s="4">
        <f>(VLOOKUP('17.01'!AC44,'17.01'!$AM$4:$AP$55,4,FALSE))</f>
        <v>0</v>
      </c>
      <c r="V44" s="4">
        <f>(VLOOKUP('17.01'!AD44,'17.01'!$AM$4:$AP$55,4,FALSE))</f>
        <v>0</v>
      </c>
      <c r="W44" s="4">
        <f>(VLOOKUP('17.01'!AE44,'17.01'!$AM$4:$AP$55,4,FALSE))</f>
        <v>0</v>
      </c>
      <c r="X44" s="4">
        <f>(VLOOKUP('17.01'!AF44,'17.01'!$AM$4:$AP$55,4,FALSE))</f>
        <v>0</v>
      </c>
    </row>
    <row r="45" spans="1:24">
      <c r="A45" s="4">
        <f>(VLOOKUP('17.01'!I45,'17.01'!$AM$4:$AP$55,4,FALSE))</f>
        <v>0</v>
      </c>
      <c r="B45" s="4">
        <f>(VLOOKUP('17.01'!J45,'17.01'!$AM$4:$AP$55,4,FALSE))</f>
        <v>0</v>
      </c>
      <c r="C45" s="4">
        <f>(VLOOKUP('17.01'!K45,'17.01'!$AM$4:$AP$55,4,FALSE))</f>
        <v>0</v>
      </c>
      <c r="D45" s="4">
        <f>(VLOOKUP('17.01'!L45,'17.01'!$AM$4:$AP$55,4,FALSE))</f>
        <v>0</v>
      </c>
      <c r="E45" s="4">
        <f>(VLOOKUP('17.01'!M45,'17.01'!$AM$4:$AP$55,4,FALSE))</f>
        <v>0</v>
      </c>
      <c r="F45" s="4">
        <f>(VLOOKUP('17.01'!N45,'17.01'!$AM$4:$AP$55,4,FALSE))</f>
        <v>0</v>
      </c>
      <c r="G45" s="4">
        <f>(VLOOKUP('17.01'!O45,'17.01'!$AM$4:$AP$55,4,FALSE))</f>
        <v>0</v>
      </c>
      <c r="H45" s="4">
        <f>(VLOOKUP('17.01'!P45,'17.01'!$AM$4:$AP$55,4,FALSE))</f>
        <v>0</v>
      </c>
      <c r="I45" s="4">
        <f>(VLOOKUP('17.01'!Q45,'17.01'!$AM$4:$AP$55,4,FALSE))</f>
        <v>0</v>
      </c>
      <c r="J45" s="4">
        <f>(VLOOKUP('17.01'!R45,'17.01'!$AM$4:$AP$55,4,FALSE))</f>
        <v>0</v>
      </c>
      <c r="K45" s="4">
        <f>(VLOOKUP('17.01'!S45,'17.01'!$AM$4:$AP$55,4,FALSE))</f>
        <v>0</v>
      </c>
      <c r="L45" s="4">
        <f>(VLOOKUP('17.01'!T45,'17.01'!$AM$4:$AP$55,4,FALSE))</f>
        <v>0</v>
      </c>
      <c r="M45" s="4">
        <f>(VLOOKUP('17.01'!U45,'17.01'!$AM$4:$AP$55,4,FALSE))</f>
        <v>0</v>
      </c>
      <c r="N45" s="4">
        <f>(VLOOKUP('17.01'!V45,'17.01'!$AM$4:$AP$55,4,FALSE))</f>
        <v>0</v>
      </c>
      <c r="O45" s="4">
        <f>(VLOOKUP('17.01'!W45,'17.01'!$AM$4:$AP$55,4,FALSE))</f>
        <v>0</v>
      </c>
      <c r="P45" s="4">
        <f>(VLOOKUP('17.01'!X45,'17.01'!$AM$4:$AP$55,4,FALSE))</f>
        <v>0</v>
      </c>
      <c r="Q45" s="4">
        <f>(VLOOKUP('17.01'!Y45,'17.01'!$AM$4:$AP$55,4,FALSE))</f>
        <v>0</v>
      </c>
      <c r="R45" s="4">
        <f>(VLOOKUP('17.01'!Z45,'17.01'!$AM$4:$AP$55,4,FALSE))</f>
        <v>0</v>
      </c>
      <c r="S45" s="4">
        <f>(VLOOKUP('17.01'!AA45,'17.01'!$AM$4:$AP$55,4,FALSE))</f>
        <v>0</v>
      </c>
      <c r="T45" s="4">
        <f>(VLOOKUP('17.01'!AB45,'17.01'!$AM$4:$AP$55,4,FALSE))</f>
        <v>0</v>
      </c>
      <c r="U45" s="4">
        <f>(VLOOKUP('17.01'!AC45,'17.01'!$AM$4:$AP$55,4,FALSE))</f>
        <v>0</v>
      </c>
      <c r="V45" s="4">
        <f>(VLOOKUP('17.01'!AD45,'17.01'!$AM$4:$AP$55,4,FALSE))</f>
        <v>0</v>
      </c>
      <c r="W45" s="4">
        <f>(VLOOKUP('17.01'!AE45,'17.01'!$AM$4:$AP$55,4,FALSE))</f>
        <v>0</v>
      </c>
      <c r="X45" s="4">
        <f>(VLOOKUP('17.01'!AF45,'17.01'!$AM$4:$AP$55,4,FALSE))</f>
        <v>0</v>
      </c>
    </row>
    <row r="46" spans="1:24">
      <c r="A46" s="4">
        <f>(VLOOKUP('17.01'!I46,'17.01'!$AM$4:$AP$55,4,FALSE))</f>
        <v>0</v>
      </c>
      <c r="B46" s="4">
        <f>(VLOOKUP('17.01'!J46,'17.01'!$AM$4:$AP$55,4,FALSE))</f>
        <v>0</v>
      </c>
      <c r="C46" s="4">
        <f>(VLOOKUP('17.01'!K46,'17.01'!$AM$4:$AP$55,4,FALSE))</f>
        <v>0</v>
      </c>
      <c r="D46" s="4">
        <f>(VLOOKUP('17.01'!L46,'17.01'!$AM$4:$AP$55,4,FALSE))</f>
        <v>0</v>
      </c>
      <c r="E46" s="4">
        <f>(VLOOKUP('17.01'!M46,'17.01'!$AM$4:$AP$55,4,FALSE))</f>
        <v>0</v>
      </c>
      <c r="F46" s="4">
        <f>(VLOOKUP('17.01'!N46,'17.01'!$AM$4:$AP$55,4,FALSE))</f>
        <v>0</v>
      </c>
      <c r="G46" s="4">
        <f>(VLOOKUP('17.01'!O46,'17.01'!$AM$4:$AP$55,4,FALSE))</f>
        <v>0</v>
      </c>
      <c r="H46" s="4">
        <f>(VLOOKUP('17.01'!P46,'17.01'!$AM$4:$AP$55,4,FALSE))</f>
        <v>0</v>
      </c>
      <c r="I46" s="4">
        <f>(VLOOKUP('17.01'!Q46,'17.01'!$AM$4:$AP$55,4,FALSE))</f>
        <v>0</v>
      </c>
      <c r="J46" s="4">
        <f>(VLOOKUP('17.01'!R46,'17.01'!$AM$4:$AP$55,4,FALSE))</f>
        <v>0</v>
      </c>
      <c r="K46" s="4">
        <f>(VLOOKUP('17.01'!S46,'17.01'!$AM$4:$AP$55,4,FALSE))</f>
        <v>0</v>
      </c>
      <c r="L46" s="4">
        <f>(VLOOKUP('17.01'!T46,'17.01'!$AM$4:$AP$55,4,FALSE))</f>
        <v>0</v>
      </c>
      <c r="M46" s="4">
        <f>(VLOOKUP('17.01'!U46,'17.01'!$AM$4:$AP$55,4,FALSE))</f>
        <v>0</v>
      </c>
      <c r="N46" s="4">
        <f>(VLOOKUP('17.01'!V46,'17.01'!$AM$4:$AP$55,4,FALSE))</f>
        <v>0</v>
      </c>
      <c r="O46" s="4">
        <f>(VLOOKUP('17.01'!W46,'17.01'!$AM$4:$AP$55,4,FALSE))</f>
        <v>0</v>
      </c>
      <c r="P46" s="4">
        <f>(VLOOKUP('17.01'!X46,'17.01'!$AM$4:$AP$55,4,FALSE))</f>
        <v>0</v>
      </c>
      <c r="Q46" s="4">
        <f>(VLOOKUP('17.01'!Y46,'17.01'!$AM$4:$AP$55,4,FALSE))</f>
        <v>0</v>
      </c>
      <c r="R46" s="4">
        <f>(VLOOKUP('17.01'!Z46,'17.01'!$AM$4:$AP$55,4,FALSE))</f>
        <v>0</v>
      </c>
      <c r="S46" s="4">
        <f>(VLOOKUP('17.01'!AA46,'17.01'!$AM$4:$AP$55,4,FALSE))</f>
        <v>0</v>
      </c>
      <c r="T46" s="4">
        <f>(VLOOKUP('17.01'!AB46,'17.01'!$AM$4:$AP$55,4,FALSE))</f>
        <v>0</v>
      </c>
      <c r="U46" s="4">
        <f>(VLOOKUP('17.01'!AC46,'17.01'!$AM$4:$AP$55,4,FALSE))</f>
        <v>0</v>
      </c>
      <c r="V46" s="4">
        <f>(VLOOKUP('17.01'!AD46,'17.01'!$AM$4:$AP$55,4,FALSE))</f>
        <v>0</v>
      </c>
      <c r="W46" s="4">
        <f>(VLOOKUP('17.01'!AE46,'17.01'!$AM$4:$AP$55,4,FALSE))</f>
        <v>0</v>
      </c>
      <c r="X46" s="4">
        <f>(VLOOKUP('17.01'!AF46,'17.01'!$AM$4:$AP$55,4,FALSE))</f>
        <v>0</v>
      </c>
    </row>
    <row r="47" spans="1:24">
      <c r="A47" s="4">
        <f>(VLOOKUP('17.01'!I47,'17.01'!$AM$4:$AP$55,4,FALSE))</f>
        <v>0</v>
      </c>
      <c r="B47" s="4">
        <f>(VLOOKUP('17.01'!J47,'17.01'!$AM$4:$AP$55,4,FALSE))</f>
        <v>0</v>
      </c>
      <c r="C47" s="4">
        <f>(VLOOKUP('17.01'!K47,'17.01'!$AM$4:$AP$55,4,FALSE))</f>
        <v>0</v>
      </c>
      <c r="D47" s="4">
        <f>(VLOOKUP('17.01'!L47,'17.01'!$AM$4:$AP$55,4,FALSE))</f>
        <v>0</v>
      </c>
      <c r="E47" s="4">
        <f>(VLOOKUP('17.01'!M47,'17.01'!$AM$4:$AP$55,4,FALSE))</f>
        <v>0</v>
      </c>
      <c r="F47" s="4">
        <f>(VLOOKUP('17.01'!N47,'17.01'!$AM$4:$AP$55,4,FALSE))</f>
        <v>0</v>
      </c>
      <c r="G47" s="4">
        <f>(VLOOKUP('17.01'!O47,'17.01'!$AM$4:$AP$55,4,FALSE))</f>
        <v>0</v>
      </c>
      <c r="H47" s="4">
        <f>(VLOOKUP('17.01'!P47,'17.01'!$AM$4:$AP$55,4,FALSE))</f>
        <v>0</v>
      </c>
      <c r="I47" s="4">
        <f>(VLOOKUP('17.01'!Q47,'17.01'!$AM$4:$AP$55,4,FALSE))</f>
        <v>0</v>
      </c>
      <c r="J47" s="4">
        <f>(VLOOKUP('17.01'!R47,'17.01'!$AM$4:$AP$55,4,FALSE))</f>
        <v>0</v>
      </c>
      <c r="K47" s="4">
        <f>(VLOOKUP('17.01'!S47,'17.01'!$AM$4:$AP$55,4,FALSE))</f>
        <v>0</v>
      </c>
      <c r="L47" s="4">
        <f>(VLOOKUP('17.01'!T47,'17.01'!$AM$4:$AP$55,4,FALSE))</f>
        <v>0</v>
      </c>
      <c r="M47" s="4">
        <f>(VLOOKUP('17.01'!U47,'17.01'!$AM$4:$AP$55,4,FALSE))</f>
        <v>0</v>
      </c>
      <c r="N47" s="4">
        <f>(VLOOKUP('17.01'!V47,'17.01'!$AM$4:$AP$55,4,FALSE))</f>
        <v>0</v>
      </c>
      <c r="O47" s="4">
        <f>(VLOOKUP('17.01'!W47,'17.01'!$AM$4:$AP$55,4,FALSE))</f>
        <v>0</v>
      </c>
      <c r="P47" s="4">
        <f>(VLOOKUP('17.01'!X47,'17.01'!$AM$4:$AP$55,4,FALSE))</f>
        <v>0</v>
      </c>
      <c r="Q47" s="4">
        <f>(VLOOKUP('17.01'!Y47,'17.01'!$AM$4:$AP$55,4,FALSE))</f>
        <v>0</v>
      </c>
      <c r="R47" s="4">
        <f>(VLOOKUP('17.01'!Z47,'17.01'!$AM$4:$AP$55,4,FALSE))</f>
        <v>0</v>
      </c>
      <c r="S47" s="4">
        <f>(VLOOKUP('17.01'!AA47,'17.01'!$AM$4:$AP$55,4,FALSE))</f>
        <v>0</v>
      </c>
      <c r="T47" s="4">
        <f>(VLOOKUP('17.01'!AB47,'17.01'!$AM$4:$AP$55,4,FALSE))</f>
        <v>0</v>
      </c>
      <c r="U47" s="4">
        <f>(VLOOKUP('17.01'!AC47,'17.01'!$AM$4:$AP$55,4,FALSE))</f>
        <v>0</v>
      </c>
      <c r="V47" s="4">
        <f>(VLOOKUP('17.01'!AD47,'17.01'!$AM$4:$AP$55,4,FALSE))</f>
        <v>0</v>
      </c>
      <c r="W47" s="4">
        <f>(VLOOKUP('17.01'!AE47,'17.01'!$AM$4:$AP$55,4,FALSE))</f>
        <v>0</v>
      </c>
      <c r="X47" s="4">
        <f>(VLOOKUP('17.01'!AF47,'17.01'!$AM$4:$AP$55,4,FALSE))</f>
        <v>0</v>
      </c>
    </row>
    <row r="48" spans="1:24">
      <c r="A48" s="4">
        <f>(VLOOKUP('17.01'!I48,'17.01'!$AM$4:$AP$55,4,FALSE))</f>
        <v>0</v>
      </c>
      <c r="B48" s="4">
        <f>(VLOOKUP('17.01'!J48,'17.01'!$AM$4:$AP$55,4,FALSE))</f>
        <v>0</v>
      </c>
      <c r="C48" s="4">
        <f>(VLOOKUP('17.01'!K48,'17.01'!$AM$4:$AP$55,4,FALSE))</f>
        <v>0</v>
      </c>
      <c r="D48" s="4">
        <f>(VLOOKUP('17.01'!L48,'17.01'!$AM$4:$AP$55,4,FALSE))</f>
        <v>0</v>
      </c>
      <c r="E48" s="4">
        <f>(VLOOKUP('17.01'!M48,'17.01'!$AM$4:$AP$55,4,FALSE))</f>
        <v>0</v>
      </c>
      <c r="F48" s="4">
        <f>(VLOOKUP('17.01'!N48,'17.01'!$AM$4:$AP$55,4,FALSE))</f>
        <v>0</v>
      </c>
      <c r="G48" s="4">
        <f>(VLOOKUP('17.01'!O48,'17.01'!$AM$4:$AP$55,4,FALSE))</f>
        <v>0</v>
      </c>
      <c r="H48" s="4">
        <f>(VLOOKUP('17.01'!P48,'17.01'!$AM$4:$AP$55,4,FALSE))</f>
        <v>0</v>
      </c>
      <c r="I48" s="4">
        <f>(VLOOKUP('17.01'!Q48,'17.01'!$AM$4:$AP$55,4,FALSE))</f>
        <v>0</v>
      </c>
      <c r="J48" s="4">
        <f>(VLOOKUP('17.01'!R48,'17.01'!$AM$4:$AP$55,4,FALSE))</f>
        <v>0</v>
      </c>
      <c r="K48" s="4">
        <f>(VLOOKUP('17.01'!S48,'17.01'!$AM$4:$AP$55,4,FALSE))</f>
        <v>0</v>
      </c>
      <c r="L48" s="4">
        <f>(VLOOKUP('17.01'!T48,'17.01'!$AM$4:$AP$55,4,FALSE))</f>
        <v>0</v>
      </c>
      <c r="M48" s="4">
        <f>(VLOOKUP('17.01'!U48,'17.01'!$AM$4:$AP$55,4,FALSE))</f>
        <v>0</v>
      </c>
      <c r="N48" s="4">
        <f>(VLOOKUP('17.01'!V48,'17.01'!$AM$4:$AP$55,4,FALSE))</f>
        <v>0</v>
      </c>
      <c r="O48" s="4">
        <f>(VLOOKUP('17.01'!W48,'17.01'!$AM$4:$AP$55,4,FALSE))</f>
        <v>0</v>
      </c>
      <c r="P48" s="4">
        <f>(VLOOKUP('17.01'!X48,'17.01'!$AM$4:$AP$55,4,FALSE))</f>
        <v>0</v>
      </c>
      <c r="Q48" s="4">
        <f>(VLOOKUP('17.01'!Y48,'17.01'!$AM$4:$AP$55,4,FALSE))</f>
        <v>0</v>
      </c>
      <c r="R48" s="4">
        <f>(VLOOKUP('17.01'!Z48,'17.01'!$AM$4:$AP$55,4,FALSE))</f>
        <v>0</v>
      </c>
      <c r="S48" s="4">
        <f>(VLOOKUP('17.01'!AA48,'17.01'!$AM$4:$AP$55,4,FALSE))</f>
        <v>0</v>
      </c>
      <c r="T48" s="4">
        <f>(VLOOKUP('17.01'!AB48,'17.01'!$AM$4:$AP$55,4,FALSE))</f>
        <v>0</v>
      </c>
      <c r="U48" s="4">
        <f>(VLOOKUP('17.01'!AC48,'17.01'!$AM$4:$AP$55,4,FALSE))</f>
        <v>0</v>
      </c>
      <c r="V48" s="4">
        <f>(VLOOKUP('17.01'!AD48,'17.01'!$AM$4:$AP$55,4,FALSE))</f>
        <v>0</v>
      </c>
      <c r="W48" s="4">
        <f>(VLOOKUP('17.01'!AE48,'17.01'!$AM$4:$AP$55,4,FALSE))</f>
        <v>0</v>
      </c>
      <c r="X48" s="4">
        <f>(VLOOKUP('17.01'!AF48,'17.01'!$AM$4:$AP$55,4,FALSE))</f>
        <v>0</v>
      </c>
    </row>
    <row r="49" spans="1:24">
      <c r="A49" s="4">
        <f>(VLOOKUP('17.01'!I49,'17.01'!$AM$4:$AP$55,4,FALSE))</f>
        <v>0</v>
      </c>
      <c r="B49" s="4">
        <f>(VLOOKUP('17.01'!J49,'17.01'!$AM$4:$AP$55,4,FALSE))</f>
        <v>0</v>
      </c>
      <c r="C49" s="4">
        <f>(VLOOKUP('17.01'!K49,'17.01'!$AM$4:$AP$55,4,FALSE))</f>
        <v>0</v>
      </c>
      <c r="D49" s="4">
        <f>(VLOOKUP('17.01'!L49,'17.01'!$AM$4:$AP$55,4,FALSE))</f>
        <v>0</v>
      </c>
      <c r="E49" s="4">
        <f>(VLOOKUP('17.01'!M49,'17.01'!$AM$4:$AP$55,4,FALSE))</f>
        <v>0</v>
      </c>
      <c r="F49" s="4">
        <f>(VLOOKUP('17.01'!N49,'17.01'!$AM$4:$AP$55,4,FALSE))</f>
        <v>0</v>
      </c>
      <c r="G49" s="4">
        <f>(VLOOKUP('17.01'!O49,'17.01'!$AM$4:$AP$55,4,FALSE))</f>
        <v>0</v>
      </c>
      <c r="H49" s="4">
        <f>(VLOOKUP('17.01'!P49,'17.01'!$AM$4:$AP$55,4,FALSE))</f>
        <v>0</v>
      </c>
      <c r="I49" s="4">
        <f>(VLOOKUP('17.01'!Q49,'17.01'!$AM$4:$AP$55,4,FALSE))</f>
        <v>0</v>
      </c>
      <c r="J49" s="4">
        <f>(VLOOKUP('17.01'!R49,'17.01'!$AM$4:$AP$55,4,FALSE))</f>
        <v>0</v>
      </c>
      <c r="K49" s="4">
        <f>(VLOOKUP('17.01'!S49,'17.01'!$AM$4:$AP$55,4,FALSE))</f>
        <v>0</v>
      </c>
      <c r="L49" s="4">
        <f>(VLOOKUP('17.01'!T49,'17.01'!$AM$4:$AP$55,4,FALSE))</f>
        <v>0</v>
      </c>
      <c r="M49" s="4">
        <f>(VLOOKUP('17.01'!U49,'17.01'!$AM$4:$AP$55,4,FALSE))</f>
        <v>0</v>
      </c>
      <c r="N49" s="4">
        <f>(VLOOKUP('17.01'!V49,'17.01'!$AM$4:$AP$55,4,FALSE))</f>
        <v>0</v>
      </c>
      <c r="O49" s="4">
        <f>(VLOOKUP('17.01'!W49,'17.01'!$AM$4:$AP$55,4,FALSE))</f>
        <v>0</v>
      </c>
      <c r="P49" s="4">
        <f>(VLOOKUP('17.01'!X49,'17.01'!$AM$4:$AP$55,4,FALSE))</f>
        <v>0</v>
      </c>
      <c r="Q49" s="4">
        <f>(VLOOKUP('17.01'!Y49,'17.01'!$AM$4:$AP$55,4,FALSE))</f>
        <v>0</v>
      </c>
      <c r="R49" s="4">
        <f>(VLOOKUP('17.01'!Z49,'17.01'!$AM$4:$AP$55,4,FALSE))</f>
        <v>0</v>
      </c>
      <c r="S49" s="4">
        <f>(VLOOKUP('17.01'!AA49,'17.01'!$AM$4:$AP$55,4,FALSE))</f>
        <v>0</v>
      </c>
      <c r="T49" s="4">
        <f>(VLOOKUP('17.01'!AB49,'17.01'!$AM$4:$AP$55,4,FALSE))</f>
        <v>0</v>
      </c>
      <c r="U49" s="4">
        <f>(VLOOKUP('17.01'!AC49,'17.01'!$AM$4:$AP$55,4,FALSE))</f>
        <v>0</v>
      </c>
      <c r="V49" s="4">
        <f>(VLOOKUP('17.01'!AD49,'17.01'!$AM$4:$AP$55,4,FALSE))</f>
        <v>0</v>
      </c>
      <c r="W49" s="4">
        <f>(VLOOKUP('17.01'!AE49,'17.01'!$AM$4:$AP$55,4,FALSE))</f>
        <v>0</v>
      </c>
      <c r="X49" s="4">
        <f>(VLOOKUP('17.01'!AF49,'17.01'!$AM$4:$AP$55,4,FALSE))</f>
        <v>0</v>
      </c>
    </row>
    <row r="50" spans="1:24">
      <c r="A50" s="4">
        <f>(VLOOKUP('17.01'!I50,'17.01'!$AM$4:$AP$55,4,FALSE))</f>
        <v>0</v>
      </c>
      <c r="B50" s="4">
        <f>(VLOOKUP('17.01'!J50,'17.01'!$AM$4:$AP$55,4,FALSE))</f>
        <v>0</v>
      </c>
      <c r="C50" s="4">
        <f>(VLOOKUP('17.01'!K50,'17.01'!$AM$4:$AP$55,4,FALSE))</f>
        <v>0</v>
      </c>
      <c r="D50" s="4">
        <f>(VLOOKUP('17.01'!L50,'17.01'!$AM$4:$AP$55,4,FALSE))</f>
        <v>0</v>
      </c>
      <c r="E50" s="4">
        <f>(VLOOKUP('17.01'!M50,'17.01'!$AM$4:$AP$55,4,FALSE))</f>
        <v>0</v>
      </c>
      <c r="F50" s="4">
        <f>(VLOOKUP('17.01'!N50,'17.01'!$AM$4:$AP$55,4,FALSE))</f>
        <v>0</v>
      </c>
      <c r="G50" s="4">
        <f>(VLOOKUP('17.01'!O50,'17.01'!$AM$4:$AP$55,4,FALSE))</f>
        <v>0</v>
      </c>
      <c r="H50" s="4">
        <f>(VLOOKUP('17.01'!P50,'17.01'!$AM$4:$AP$55,4,FALSE))</f>
        <v>0</v>
      </c>
      <c r="I50" s="4">
        <f>(VLOOKUP('17.01'!Q50,'17.01'!$AM$4:$AP$55,4,FALSE))</f>
        <v>0</v>
      </c>
      <c r="J50" s="4">
        <f>(VLOOKUP('17.01'!R50,'17.01'!$AM$4:$AP$55,4,FALSE))</f>
        <v>0</v>
      </c>
      <c r="K50" s="4">
        <f>(VLOOKUP('17.01'!S50,'17.01'!$AM$4:$AP$55,4,FALSE))</f>
        <v>0</v>
      </c>
      <c r="L50" s="4">
        <f>(VLOOKUP('17.01'!T50,'17.01'!$AM$4:$AP$55,4,FALSE))</f>
        <v>0</v>
      </c>
      <c r="M50" s="4">
        <f>(VLOOKUP('17.01'!U50,'17.01'!$AM$4:$AP$55,4,FALSE))</f>
        <v>0</v>
      </c>
      <c r="N50" s="4">
        <f>(VLOOKUP('17.01'!V50,'17.01'!$AM$4:$AP$55,4,FALSE))</f>
        <v>0</v>
      </c>
      <c r="O50" s="4">
        <f>(VLOOKUP('17.01'!W50,'17.01'!$AM$4:$AP$55,4,FALSE))</f>
        <v>0</v>
      </c>
      <c r="P50" s="4">
        <f>(VLOOKUP('17.01'!X50,'17.01'!$AM$4:$AP$55,4,FALSE))</f>
        <v>0</v>
      </c>
      <c r="Q50" s="4">
        <f>(VLOOKUP('17.01'!Y50,'17.01'!$AM$4:$AP$55,4,FALSE))</f>
        <v>0</v>
      </c>
      <c r="R50" s="4">
        <f>(VLOOKUP('17.01'!Z50,'17.01'!$AM$4:$AP$55,4,FALSE))</f>
        <v>0</v>
      </c>
      <c r="S50" s="4">
        <f>(VLOOKUP('17.01'!AA50,'17.01'!$AM$4:$AP$55,4,FALSE))</f>
        <v>0</v>
      </c>
      <c r="T50" s="4">
        <f>(VLOOKUP('17.01'!AB50,'17.01'!$AM$4:$AP$55,4,FALSE))</f>
        <v>0</v>
      </c>
      <c r="U50" s="4">
        <f>(VLOOKUP('17.01'!AC50,'17.01'!$AM$4:$AP$55,4,FALSE))</f>
        <v>0</v>
      </c>
      <c r="V50" s="4">
        <f>(VLOOKUP('17.01'!AD50,'17.01'!$AM$4:$AP$55,4,FALSE))</f>
        <v>0</v>
      </c>
      <c r="W50" s="4">
        <f>(VLOOKUP('17.01'!AE50,'17.01'!$AM$4:$AP$55,4,FALSE))</f>
        <v>0</v>
      </c>
      <c r="X50" s="4">
        <f>(VLOOKUP('17.01'!AF50,'17.01'!$AM$4:$AP$55,4,FALSE))</f>
        <v>0</v>
      </c>
    </row>
    <row r="51" spans="1:24">
      <c r="A51" s="4">
        <f>(VLOOKUP('17.01'!I51,'17.01'!$AM$4:$AP$55,4,FALSE))</f>
        <v>0</v>
      </c>
      <c r="B51" s="4">
        <f>(VLOOKUP('17.01'!J51,'17.01'!$AM$4:$AP$55,4,FALSE))</f>
        <v>0</v>
      </c>
      <c r="C51" s="4">
        <f>(VLOOKUP('17.01'!K51,'17.01'!$AM$4:$AP$55,4,FALSE))</f>
        <v>0</v>
      </c>
      <c r="D51" s="4">
        <f>(VLOOKUP('17.01'!L51,'17.01'!$AM$4:$AP$55,4,FALSE))</f>
        <v>0</v>
      </c>
      <c r="E51" s="4">
        <f>(VLOOKUP('17.01'!M51,'17.01'!$AM$4:$AP$55,4,FALSE))</f>
        <v>0</v>
      </c>
      <c r="F51" s="4">
        <f>(VLOOKUP('17.01'!N51,'17.01'!$AM$4:$AP$55,4,FALSE))</f>
        <v>0</v>
      </c>
      <c r="G51" s="4">
        <f>(VLOOKUP('17.01'!O51,'17.01'!$AM$4:$AP$55,4,FALSE))</f>
        <v>0</v>
      </c>
      <c r="H51" s="4">
        <f>(VLOOKUP('17.01'!P51,'17.01'!$AM$4:$AP$55,4,FALSE))</f>
        <v>0</v>
      </c>
      <c r="I51" s="4">
        <f>(VLOOKUP('17.01'!Q51,'17.01'!$AM$4:$AP$55,4,FALSE))</f>
        <v>0</v>
      </c>
      <c r="J51" s="4">
        <f>(VLOOKUP('17.01'!R51,'17.01'!$AM$4:$AP$55,4,FALSE))</f>
        <v>0</v>
      </c>
      <c r="K51" s="4">
        <f>(VLOOKUP('17.01'!S51,'17.01'!$AM$4:$AP$55,4,FALSE))</f>
        <v>0</v>
      </c>
      <c r="L51" s="4">
        <f>(VLOOKUP('17.01'!T51,'17.01'!$AM$4:$AP$55,4,FALSE))</f>
        <v>0</v>
      </c>
      <c r="M51" s="4">
        <f>(VLOOKUP('17.01'!U51,'17.01'!$AM$4:$AP$55,4,FALSE))</f>
        <v>0</v>
      </c>
      <c r="N51" s="4">
        <f>(VLOOKUP('17.01'!V51,'17.01'!$AM$4:$AP$55,4,FALSE))</f>
        <v>0</v>
      </c>
      <c r="O51" s="4">
        <f>(VLOOKUP('17.01'!W51,'17.01'!$AM$4:$AP$55,4,FALSE))</f>
        <v>0</v>
      </c>
      <c r="P51" s="4">
        <f>(VLOOKUP('17.01'!X51,'17.01'!$AM$4:$AP$55,4,FALSE))</f>
        <v>0</v>
      </c>
      <c r="Q51" s="4">
        <f>(VLOOKUP('17.01'!Y51,'17.01'!$AM$4:$AP$55,4,FALSE))</f>
        <v>0</v>
      </c>
      <c r="R51" s="4">
        <f>(VLOOKUP('17.01'!Z51,'17.01'!$AM$4:$AP$55,4,FALSE))</f>
        <v>0</v>
      </c>
      <c r="S51" s="4">
        <f>(VLOOKUP('17.01'!AA51,'17.01'!$AM$4:$AP$55,4,FALSE))</f>
        <v>0</v>
      </c>
      <c r="T51" s="4">
        <f>(VLOOKUP('17.01'!AB51,'17.01'!$AM$4:$AP$55,4,FALSE))</f>
        <v>0</v>
      </c>
      <c r="U51" s="4">
        <f>(VLOOKUP('17.01'!AC51,'17.01'!$AM$4:$AP$55,4,FALSE))</f>
        <v>0</v>
      </c>
      <c r="V51" s="4">
        <f>(VLOOKUP('17.01'!AD51,'17.01'!$AM$4:$AP$55,4,FALSE))</f>
        <v>0</v>
      </c>
      <c r="W51" s="4">
        <f>(VLOOKUP('17.01'!AE51,'17.01'!$AM$4:$AP$55,4,FALSE))</f>
        <v>0</v>
      </c>
      <c r="X51" s="4">
        <f>(VLOOKUP('17.01'!AF51,'17.01'!$AM$4:$AP$55,4,FALSE))</f>
        <v>0</v>
      </c>
    </row>
    <row r="52" spans="1:24">
      <c r="A52" s="4">
        <f>(VLOOKUP('17.01'!I52,'17.01'!$AM$4:$AP$55,4,FALSE))</f>
        <v>0</v>
      </c>
      <c r="B52" s="4">
        <f>(VLOOKUP('17.01'!J52,'17.01'!$AM$4:$AP$55,4,FALSE))</f>
        <v>0</v>
      </c>
      <c r="C52" s="4">
        <f>(VLOOKUP('17.01'!K52,'17.01'!$AM$4:$AP$55,4,FALSE))</f>
        <v>0</v>
      </c>
      <c r="D52" s="4">
        <f>(VLOOKUP('17.01'!L52,'17.01'!$AM$4:$AP$55,4,FALSE))</f>
        <v>0</v>
      </c>
      <c r="E52" s="4">
        <f>(VLOOKUP('17.01'!M52,'17.01'!$AM$4:$AP$55,4,FALSE))</f>
        <v>0</v>
      </c>
      <c r="F52" s="4">
        <f>(VLOOKUP('17.01'!N52,'17.01'!$AM$4:$AP$55,4,FALSE))</f>
        <v>0</v>
      </c>
      <c r="G52" s="4">
        <f>(VLOOKUP('17.01'!O52,'17.01'!$AM$4:$AP$55,4,FALSE))</f>
        <v>0</v>
      </c>
      <c r="H52" s="4">
        <f>(VLOOKUP('17.01'!P52,'17.01'!$AM$4:$AP$55,4,FALSE))</f>
        <v>0</v>
      </c>
      <c r="I52" s="4">
        <f>(VLOOKUP('17.01'!Q52,'17.01'!$AM$4:$AP$55,4,FALSE))</f>
        <v>0</v>
      </c>
      <c r="J52" s="4">
        <f>(VLOOKUP('17.01'!R52,'17.01'!$AM$4:$AP$55,4,FALSE))</f>
        <v>0</v>
      </c>
      <c r="K52" s="4">
        <f>(VLOOKUP('17.01'!S52,'17.01'!$AM$4:$AP$55,4,FALSE))</f>
        <v>0</v>
      </c>
      <c r="L52" s="4">
        <f>(VLOOKUP('17.01'!T52,'17.01'!$AM$4:$AP$55,4,FALSE))</f>
        <v>0</v>
      </c>
      <c r="M52" s="4">
        <f>(VLOOKUP('17.01'!U52,'17.01'!$AM$4:$AP$55,4,FALSE))</f>
        <v>0</v>
      </c>
      <c r="N52" s="4">
        <f>(VLOOKUP('17.01'!V52,'17.01'!$AM$4:$AP$55,4,FALSE))</f>
        <v>0</v>
      </c>
      <c r="O52" s="4">
        <f>(VLOOKUP('17.01'!W52,'17.01'!$AM$4:$AP$55,4,FALSE))</f>
        <v>0</v>
      </c>
      <c r="P52" s="4">
        <f>(VLOOKUP('17.01'!X52,'17.01'!$AM$4:$AP$55,4,FALSE))</f>
        <v>0</v>
      </c>
      <c r="Q52" s="4">
        <f>(VLOOKUP('17.01'!Y52,'17.01'!$AM$4:$AP$55,4,FALSE))</f>
        <v>0</v>
      </c>
      <c r="R52" s="4">
        <f>(VLOOKUP('17.01'!Z52,'17.01'!$AM$4:$AP$55,4,FALSE))</f>
        <v>0</v>
      </c>
      <c r="S52" s="4">
        <f>(VLOOKUP('17.01'!AA52,'17.01'!$AM$4:$AP$55,4,FALSE))</f>
        <v>0</v>
      </c>
      <c r="T52" s="4">
        <f>(VLOOKUP('17.01'!AB52,'17.01'!$AM$4:$AP$55,4,FALSE))</f>
        <v>0</v>
      </c>
      <c r="U52" s="4">
        <f>(VLOOKUP('17.01'!AC52,'17.01'!$AM$4:$AP$55,4,FALSE))</f>
        <v>0</v>
      </c>
      <c r="V52" s="4">
        <f>(VLOOKUP('17.01'!AD52,'17.01'!$AM$4:$AP$55,4,FALSE))</f>
        <v>0</v>
      </c>
      <c r="W52" s="4">
        <f>(VLOOKUP('17.01'!AE52,'17.01'!$AM$4:$AP$55,4,FALSE))</f>
        <v>0</v>
      </c>
      <c r="X52" s="4">
        <f>(VLOOKUP('17.01'!AF52,'17.01'!$AM$4:$AP$55,4,FALSE))</f>
        <v>0</v>
      </c>
    </row>
    <row r="53" spans="1:24">
      <c r="A53" s="4">
        <f>(VLOOKUP('17.01'!I53,'17.01'!$AM$4:$AP$55,4,FALSE))</f>
        <v>0</v>
      </c>
      <c r="B53" s="4">
        <f>(VLOOKUP('17.01'!J53,'17.01'!$AM$4:$AP$55,4,FALSE))</f>
        <v>0</v>
      </c>
      <c r="C53" s="4">
        <f>(VLOOKUP('17.01'!K53,'17.01'!$AM$4:$AP$55,4,FALSE))</f>
        <v>0</v>
      </c>
      <c r="D53" s="4">
        <f>(VLOOKUP('17.01'!L53,'17.01'!$AM$4:$AP$55,4,FALSE))</f>
        <v>0</v>
      </c>
      <c r="E53" s="4">
        <f>(VLOOKUP('17.01'!M53,'17.01'!$AM$4:$AP$55,4,FALSE))</f>
        <v>0</v>
      </c>
      <c r="F53" s="4">
        <f>(VLOOKUP('17.01'!N53,'17.01'!$AM$4:$AP$55,4,FALSE))</f>
        <v>0</v>
      </c>
      <c r="G53" s="4">
        <f>(VLOOKUP('17.01'!O53,'17.01'!$AM$4:$AP$55,4,FALSE))</f>
        <v>0</v>
      </c>
      <c r="H53" s="4">
        <f>(VLOOKUP('17.01'!P53,'17.01'!$AM$4:$AP$55,4,FALSE))</f>
        <v>0</v>
      </c>
      <c r="I53" s="4">
        <f>(VLOOKUP('17.01'!Q53,'17.01'!$AM$4:$AP$55,4,FALSE))</f>
        <v>0</v>
      </c>
      <c r="J53" s="4">
        <f>(VLOOKUP('17.01'!R53,'17.01'!$AM$4:$AP$55,4,FALSE))</f>
        <v>0</v>
      </c>
      <c r="K53" s="4">
        <f>(VLOOKUP('17.01'!S53,'17.01'!$AM$4:$AP$55,4,FALSE))</f>
        <v>0</v>
      </c>
      <c r="L53" s="4">
        <f>(VLOOKUP('17.01'!T53,'17.01'!$AM$4:$AP$55,4,FALSE))</f>
        <v>0</v>
      </c>
      <c r="M53" s="4">
        <f>(VLOOKUP('17.01'!U53,'17.01'!$AM$4:$AP$55,4,FALSE))</f>
        <v>0</v>
      </c>
      <c r="N53" s="4">
        <f>(VLOOKUP('17.01'!V53,'17.01'!$AM$4:$AP$55,4,FALSE))</f>
        <v>0</v>
      </c>
      <c r="O53" s="4">
        <f>(VLOOKUP('17.01'!W53,'17.01'!$AM$4:$AP$55,4,FALSE))</f>
        <v>0</v>
      </c>
      <c r="P53" s="4">
        <f>(VLOOKUP('17.01'!X53,'17.01'!$AM$4:$AP$55,4,FALSE))</f>
        <v>0</v>
      </c>
      <c r="Q53" s="4">
        <f>(VLOOKUP('17.01'!Y53,'17.01'!$AM$4:$AP$55,4,FALSE))</f>
        <v>0</v>
      </c>
      <c r="R53" s="4">
        <f>(VLOOKUP('17.01'!Z53,'17.01'!$AM$4:$AP$55,4,FALSE))</f>
        <v>0</v>
      </c>
      <c r="S53" s="4">
        <f>(VLOOKUP('17.01'!AA53,'17.01'!$AM$4:$AP$55,4,FALSE))</f>
        <v>0</v>
      </c>
      <c r="T53" s="4">
        <f>(VLOOKUP('17.01'!AB53,'17.01'!$AM$4:$AP$55,4,FALSE))</f>
        <v>0</v>
      </c>
      <c r="U53" s="4">
        <f>(VLOOKUP('17.01'!AC53,'17.01'!$AM$4:$AP$55,4,FALSE))</f>
        <v>0</v>
      </c>
      <c r="V53" s="4">
        <f>(VLOOKUP('17.01'!AD53,'17.01'!$AM$4:$AP$55,4,FALSE))</f>
        <v>0</v>
      </c>
      <c r="W53" s="4">
        <f>(VLOOKUP('17.01'!AE53,'17.01'!$AM$4:$AP$55,4,FALSE))</f>
        <v>0</v>
      </c>
      <c r="X53" s="4">
        <f>(VLOOKUP('17.01'!AF53,'17.01'!$AM$4:$AP$55,4,FALSE))</f>
        <v>0</v>
      </c>
    </row>
    <row r="54" spans="1:24">
      <c r="A54" s="4">
        <f>(VLOOKUP('17.01'!I54,'17.01'!$AM$4:$AP$55,4,FALSE))</f>
        <v>0</v>
      </c>
      <c r="B54" s="4">
        <f>(VLOOKUP('17.01'!J54,'17.01'!$AM$4:$AP$55,4,FALSE))</f>
        <v>0</v>
      </c>
      <c r="C54" s="4">
        <f>(VLOOKUP('17.01'!K54,'17.01'!$AM$4:$AP$55,4,FALSE))</f>
        <v>0</v>
      </c>
      <c r="D54" s="4">
        <f>(VLOOKUP('17.01'!L54,'17.01'!$AM$4:$AP$55,4,FALSE))</f>
        <v>0</v>
      </c>
      <c r="E54" s="4">
        <f>(VLOOKUP('17.01'!M54,'17.01'!$AM$4:$AP$55,4,FALSE))</f>
        <v>0</v>
      </c>
      <c r="F54" s="4">
        <f>(VLOOKUP('17.01'!N54,'17.01'!$AM$4:$AP$55,4,FALSE))</f>
        <v>0</v>
      </c>
      <c r="G54" s="4">
        <f>(VLOOKUP('17.01'!O54,'17.01'!$AM$4:$AP$55,4,FALSE))</f>
        <v>0</v>
      </c>
      <c r="H54" s="4">
        <f>(VLOOKUP('17.01'!P54,'17.01'!$AM$4:$AP$55,4,FALSE))</f>
        <v>0</v>
      </c>
      <c r="I54" s="4">
        <f>(VLOOKUP('17.01'!Q54,'17.01'!$AM$4:$AP$55,4,FALSE))</f>
        <v>0</v>
      </c>
      <c r="J54" s="4">
        <f>(VLOOKUP('17.01'!R54,'17.01'!$AM$4:$AP$55,4,FALSE))</f>
        <v>0</v>
      </c>
      <c r="K54" s="4">
        <f>(VLOOKUP('17.01'!S54,'17.01'!$AM$4:$AP$55,4,FALSE))</f>
        <v>0</v>
      </c>
      <c r="L54" s="4">
        <f>(VLOOKUP('17.01'!T54,'17.01'!$AM$4:$AP$55,4,FALSE))</f>
        <v>0</v>
      </c>
      <c r="M54" s="4">
        <f>(VLOOKUP('17.01'!U54,'17.01'!$AM$4:$AP$55,4,FALSE))</f>
        <v>0</v>
      </c>
      <c r="N54" s="4">
        <f>(VLOOKUP('17.01'!V54,'17.01'!$AM$4:$AP$55,4,FALSE))</f>
        <v>0</v>
      </c>
      <c r="O54" s="4">
        <f>(VLOOKUP('17.01'!W54,'17.01'!$AM$4:$AP$55,4,FALSE))</f>
        <v>0</v>
      </c>
      <c r="P54" s="4">
        <f>(VLOOKUP('17.01'!X54,'17.01'!$AM$4:$AP$55,4,FALSE))</f>
        <v>0</v>
      </c>
      <c r="Q54" s="4">
        <f>(VLOOKUP('17.01'!Y54,'17.01'!$AM$4:$AP$55,4,FALSE))</f>
        <v>0</v>
      </c>
      <c r="R54" s="4">
        <f>(VLOOKUP('17.01'!Z54,'17.01'!$AM$4:$AP$55,4,FALSE))</f>
        <v>0</v>
      </c>
      <c r="S54" s="4">
        <f>(VLOOKUP('17.01'!AA54,'17.01'!$AM$4:$AP$55,4,FALSE))</f>
        <v>0</v>
      </c>
      <c r="T54" s="4">
        <f>(VLOOKUP('17.01'!AB54,'17.01'!$AM$4:$AP$55,4,FALSE))</f>
        <v>0</v>
      </c>
      <c r="U54" s="4">
        <f>(VLOOKUP('17.01'!AC54,'17.01'!$AM$4:$AP$55,4,FALSE))</f>
        <v>0</v>
      </c>
      <c r="V54" s="4">
        <f>(VLOOKUP('17.01'!AD54,'17.01'!$AM$4:$AP$55,4,FALSE))</f>
        <v>0</v>
      </c>
      <c r="W54" s="4">
        <f>(VLOOKUP('17.01'!AE54,'17.01'!$AM$4:$AP$55,4,FALSE))</f>
        <v>0</v>
      </c>
      <c r="X54" s="4">
        <f>(VLOOKUP('17.01'!AF54,'17.01'!$AM$4:$AP$55,4,FALSE))</f>
        <v>0</v>
      </c>
    </row>
    <row r="55" spans="1:24">
      <c r="A55" s="4">
        <f>(VLOOKUP('17.01'!I55,'17.01'!$AM$4:$AP$55,4,FALSE))</f>
        <v>0</v>
      </c>
      <c r="B55" s="4">
        <f>(VLOOKUP('17.01'!J55,'17.01'!$AM$4:$AP$55,4,FALSE))</f>
        <v>0</v>
      </c>
      <c r="C55" s="4">
        <f>(VLOOKUP('17.01'!K55,'17.01'!$AM$4:$AP$55,4,FALSE))</f>
        <v>0</v>
      </c>
      <c r="D55" s="4">
        <f>(VLOOKUP('17.01'!L55,'17.01'!$AM$4:$AP$55,4,FALSE))</f>
        <v>0</v>
      </c>
      <c r="E55" s="4">
        <f>(VLOOKUP('17.01'!M55,'17.01'!$AM$4:$AP$55,4,FALSE))</f>
        <v>0</v>
      </c>
      <c r="F55" s="4">
        <f>(VLOOKUP('17.01'!N55,'17.01'!$AM$4:$AP$55,4,FALSE))</f>
        <v>0</v>
      </c>
      <c r="G55" s="4">
        <f>(VLOOKUP('17.01'!O55,'17.01'!$AM$4:$AP$55,4,FALSE))</f>
        <v>0</v>
      </c>
      <c r="H55" s="4">
        <f>(VLOOKUP('17.01'!P55,'17.01'!$AM$4:$AP$55,4,FALSE))</f>
        <v>0</v>
      </c>
      <c r="I55" s="4">
        <f>(VLOOKUP('17.01'!Q55,'17.01'!$AM$4:$AP$55,4,FALSE))</f>
        <v>0</v>
      </c>
      <c r="J55" s="4">
        <f>(VLOOKUP('17.01'!R55,'17.01'!$AM$4:$AP$55,4,FALSE))</f>
        <v>0</v>
      </c>
      <c r="K55" s="4">
        <f>(VLOOKUP('17.01'!S55,'17.01'!$AM$4:$AP$55,4,FALSE))</f>
        <v>0</v>
      </c>
      <c r="L55" s="4">
        <f>(VLOOKUP('17.01'!T55,'17.01'!$AM$4:$AP$55,4,FALSE))</f>
        <v>0</v>
      </c>
      <c r="M55" s="4">
        <f>(VLOOKUP('17.01'!U55,'17.01'!$AM$4:$AP$55,4,FALSE))</f>
        <v>0</v>
      </c>
      <c r="N55" s="4">
        <f>(VLOOKUP('17.01'!V55,'17.01'!$AM$4:$AP$55,4,FALSE))</f>
        <v>0</v>
      </c>
      <c r="O55" s="4">
        <f>(VLOOKUP('17.01'!W55,'17.01'!$AM$4:$AP$55,4,FALSE))</f>
        <v>0</v>
      </c>
      <c r="P55" s="4">
        <f>(VLOOKUP('17.01'!X55,'17.01'!$AM$4:$AP$55,4,FALSE))</f>
        <v>0</v>
      </c>
      <c r="Q55" s="4">
        <f>(VLOOKUP('17.01'!Y55,'17.01'!$AM$4:$AP$55,4,FALSE))</f>
        <v>0</v>
      </c>
      <c r="R55" s="4">
        <f>(VLOOKUP('17.01'!Z55,'17.01'!$AM$4:$AP$55,4,FALSE))</f>
        <v>0</v>
      </c>
      <c r="S55" s="4">
        <f>(VLOOKUP('17.01'!AA55,'17.01'!$AM$4:$AP$55,4,FALSE))</f>
        <v>0</v>
      </c>
      <c r="T55" s="4">
        <f>(VLOOKUP('17.01'!AB55,'17.01'!$AM$4:$AP$55,4,FALSE))</f>
        <v>0</v>
      </c>
      <c r="U55" s="4">
        <f>(VLOOKUP('17.01'!AC55,'17.01'!$AM$4:$AP$55,4,FALSE))</f>
        <v>0</v>
      </c>
      <c r="V55" s="4">
        <f>(VLOOKUP('17.01'!AD55,'17.01'!$AM$4:$AP$55,4,FALSE))</f>
        <v>0</v>
      </c>
      <c r="W55" s="4">
        <f>(VLOOKUP('17.01'!AE55,'17.01'!$AM$4:$AP$55,4,FALSE))</f>
        <v>0</v>
      </c>
      <c r="X55" s="4">
        <f>(VLOOKUP('17.01'!AF55,'17.01'!$AM$4:$AP$55,4,FALSE))</f>
        <v>0</v>
      </c>
    </row>
    <row r="56" spans="1:24">
      <c r="A56" s="4">
        <f>(VLOOKUP('17.01'!I56,'17.01'!$AM$4:$AP$55,4,FALSE))</f>
        <v>0</v>
      </c>
      <c r="B56" s="4">
        <f>(VLOOKUP('17.01'!J56,'17.01'!$AM$4:$AP$55,4,FALSE))</f>
        <v>0</v>
      </c>
      <c r="C56" s="4">
        <f>(VLOOKUP('17.01'!K56,'17.01'!$AM$4:$AP$55,4,FALSE))</f>
        <v>0</v>
      </c>
      <c r="D56" s="4">
        <f>(VLOOKUP('17.01'!L56,'17.01'!$AM$4:$AP$55,4,FALSE))</f>
        <v>0</v>
      </c>
      <c r="E56" s="4">
        <f>(VLOOKUP('17.01'!M56,'17.01'!$AM$4:$AP$55,4,FALSE))</f>
        <v>0</v>
      </c>
      <c r="F56" s="4">
        <f>(VLOOKUP('17.01'!N56,'17.01'!$AM$4:$AP$55,4,FALSE))</f>
        <v>0</v>
      </c>
      <c r="G56" s="4">
        <f>(VLOOKUP('17.01'!O56,'17.01'!$AM$4:$AP$55,4,FALSE))</f>
        <v>0</v>
      </c>
      <c r="H56" s="4">
        <f>(VLOOKUP('17.01'!P56,'17.01'!$AM$4:$AP$55,4,FALSE))</f>
        <v>0</v>
      </c>
      <c r="I56" s="4">
        <f>(VLOOKUP('17.01'!Q56,'17.01'!$AM$4:$AP$55,4,FALSE))</f>
        <v>0</v>
      </c>
      <c r="J56" s="4">
        <f>(VLOOKUP('17.01'!R56,'17.01'!$AM$4:$AP$55,4,FALSE))</f>
        <v>0</v>
      </c>
      <c r="K56" s="4">
        <f>(VLOOKUP('17.01'!S56,'17.01'!$AM$4:$AP$55,4,FALSE))</f>
        <v>0</v>
      </c>
      <c r="L56" s="4">
        <f>(VLOOKUP('17.01'!T56,'17.01'!$AM$4:$AP$55,4,FALSE))</f>
        <v>0</v>
      </c>
      <c r="M56" s="4">
        <f>(VLOOKUP('17.01'!U56,'17.01'!$AM$4:$AP$55,4,FALSE))</f>
        <v>0</v>
      </c>
      <c r="N56" s="4">
        <f>(VLOOKUP('17.01'!V56,'17.01'!$AM$4:$AP$55,4,FALSE))</f>
        <v>0</v>
      </c>
      <c r="O56" s="4">
        <f>(VLOOKUP('17.01'!W56,'17.01'!$AM$4:$AP$55,4,FALSE))</f>
        <v>0</v>
      </c>
      <c r="P56" s="4">
        <f>(VLOOKUP('17.01'!X56,'17.01'!$AM$4:$AP$55,4,FALSE))</f>
        <v>0</v>
      </c>
      <c r="Q56" s="4">
        <f>(VLOOKUP('17.01'!Y56,'17.01'!$AM$4:$AP$55,4,FALSE))</f>
        <v>0</v>
      </c>
      <c r="R56" s="4">
        <f>(VLOOKUP('17.01'!Z56,'17.01'!$AM$4:$AP$55,4,FALSE))</f>
        <v>0</v>
      </c>
      <c r="S56" s="4">
        <f>(VLOOKUP('17.01'!AA56,'17.01'!$AM$4:$AP$55,4,FALSE))</f>
        <v>0</v>
      </c>
      <c r="T56" s="4">
        <f>(VLOOKUP('17.01'!AB56,'17.01'!$AM$4:$AP$55,4,FALSE))</f>
        <v>0</v>
      </c>
      <c r="U56" s="4">
        <f>(VLOOKUP('17.01'!AC56,'17.01'!$AM$4:$AP$55,4,FALSE))</f>
        <v>0</v>
      </c>
      <c r="V56" s="4">
        <f>(VLOOKUP('17.01'!AD56,'17.01'!$AM$4:$AP$55,4,FALSE))</f>
        <v>0</v>
      </c>
      <c r="W56" s="4">
        <f>(VLOOKUP('17.01'!AE56,'17.01'!$AM$4:$AP$55,4,FALSE))</f>
        <v>0</v>
      </c>
      <c r="X56" s="4">
        <f>(VLOOKUP('17.01'!AF56,'17.01'!$AM$4:$AP$55,4,FALSE))</f>
        <v>0</v>
      </c>
    </row>
    <row r="57" spans="1:24">
      <c r="A57" s="4">
        <f>(VLOOKUP('17.01'!I57,'17.01'!$AM$4:$AP$55,4,FALSE))</f>
        <v>0</v>
      </c>
      <c r="B57" s="4">
        <f>(VLOOKUP('17.01'!J57,'17.01'!$AM$4:$AP$55,4,FALSE))</f>
        <v>0</v>
      </c>
      <c r="C57" s="4">
        <f>(VLOOKUP('17.01'!K57,'17.01'!$AM$4:$AP$55,4,FALSE))</f>
        <v>0</v>
      </c>
      <c r="D57" s="4">
        <f>(VLOOKUP('17.01'!L57,'17.01'!$AM$4:$AP$55,4,FALSE))</f>
        <v>0</v>
      </c>
      <c r="E57" s="4">
        <f>(VLOOKUP('17.01'!M57,'17.01'!$AM$4:$AP$55,4,FALSE))</f>
        <v>0</v>
      </c>
      <c r="F57" s="4">
        <f>(VLOOKUP('17.01'!N57,'17.01'!$AM$4:$AP$55,4,FALSE))</f>
        <v>0</v>
      </c>
      <c r="G57" s="4">
        <f>(VLOOKUP('17.01'!O57,'17.01'!$AM$4:$AP$55,4,FALSE))</f>
        <v>0</v>
      </c>
      <c r="H57" s="4">
        <f>(VLOOKUP('17.01'!P57,'17.01'!$AM$4:$AP$55,4,FALSE))</f>
        <v>0</v>
      </c>
      <c r="I57" s="4">
        <f>(VLOOKUP('17.01'!Q57,'17.01'!$AM$4:$AP$55,4,FALSE))</f>
        <v>0</v>
      </c>
      <c r="J57" s="4">
        <f>(VLOOKUP('17.01'!R57,'17.01'!$AM$4:$AP$55,4,FALSE))</f>
        <v>0</v>
      </c>
      <c r="K57" s="4">
        <f>(VLOOKUP('17.01'!S57,'17.01'!$AM$4:$AP$55,4,FALSE))</f>
        <v>0</v>
      </c>
      <c r="L57" s="4">
        <f>(VLOOKUP('17.01'!T57,'17.01'!$AM$4:$AP$55,4,FALSE))</f>
        <v>0</v>
      </c>
      <c r="M57" s="4">
        <f>(VLOOKUP('17.01'!U57,'17.01'!$AM$4:$AP$55,4,FALSE))</f>
        <v>0</v>
      </c>
      <c r="N57" s="4">
        <f>(VLOOKUP('17.01'!V57,'17.01'!$AM$4:$AP$55,4,FALSE))</f>
        <v>0</v>
      </c>
      <c r="O57" s="4">
        <f>(VLOOKUP('17.01'!W57,'17.01'!$AM$4:$AP$55,4,FALSE))</f>
        <v>0</v>
      </c>
      <c r="P57" s="4">
        <f>(VLOOKUP('17.01'!X57,'17.01'!$AM$4:$AP$55,4,FALSE))</f>
        <v>0</v>
      </c>
      <c r="Q57" s="4">
        <f>(VLOOKUP('17.01'!Y57,'17.01'!$AM$4:$AP$55,4,FALSE))</f>
        <v>0</v>
      </c>
      <c r="R57" s="4">
        <f>(VLOOKUP('17.01'!Z57,'17.01'!$AM$4:$AP$55,4,FALSE))</f>
        <v>0</v>
      </c>
      <c r="S57" s="4">
        <f>(VLOOKUP('17.01'!AA57,'17.01'!$AM$4:$AP$55,4,FALSE))</f>
        <v>0</v>
      </c>
      <c r="T57" s="4">
        <f>(VLOOKUP('17.01'!AB57,'17.01'!$AM$4:$AP$55,4,FALSE))</f>
        <v>0</v>
      </c>
      <c r="U57" s="4">
        <f>(VLOOKUP('17.01'!AC57,'17.01'!$AM$4:$AP$55,4,FALSE))</f>
        <v>0</v>
      </c>
      <c r="V57" s="4">
        <f>(VLOOKUP('17.01'!AD57,'17.01'!$AM$4:$AP$55,4,FALSE))</f>
        <v>0</v>
      </c>
      <c r="W57" s="4">
        <f>(VLOOKUP('17.01'!AE57,'17.01'!$AM$4:$AP$55,4,FALSE))</f>
        <v>0</v>
      </c>
      <c r="X57" s="4">
        <f>(VLOOKUP('17.01'!AF57,'17.01'!$AM$4:$AP$55,4,FALSE))</f>
        <v>0</v>
      </c>
    </row>
    <row r="58" spans="1:24">
      <c r="A58" s="4">
        <f>(VLOOKUP('17.01'!I58,'17.01'!$AM$4:$AP$55,4,FALSE))</f>
        <v>0</v>
      </c>
      <c r="B58" s="4">
        <f>(VLOOKUP('17.01'!J58,'17.01'!$AM$4:$AP$55,4,FALSE))</f>
        <v>0</v>
      </c>
      <c r="C58" s="4">
        <f>(VLOOKUP('17.01'!K58,'17.01'!$AM$4:$AP$55,4,FALSE))</f>
        <v>0</v>
      </c>
      <c r="D58" s="4">
        <f>(VLOOKUP('17.01'!L58,'17.01'!$AM$4:$AP$55,4,FALSE))</f>
        <v>0</v>
      </c>
      <c r="E58" s="4">
        <f>(VLOOKUP('17.01'!M58,'17.01'!$AM$4:$AP$55,4,FALSE))</f>
        <v>0</v>
      </c>
      <c r="F58" s="4">
        <f>(VLOOKUP('17.01'!N58,'17.01'!$AM$4:$AP$55,4,FALSE))</f>
        <v>0</v>
      </c>
      <c r="G58" s="4">
        <f>(VLOOKUP('17.01'!O58,'17.01'!$AM$4:$AP$55,4,FALSE))</f>
        <v>0</v>
      </c>
      <c r="H58" s="4">
        <f>(VLOOKUP('17.01'!P58,'17.01'!$AM$4:$AP$55,4,FALSE))</f>
        <v>0</v>
      </c>
      <c r="I58" s="4">
        <f>(VLOOKUP('17.01'!Q58,'17.01'!$AM$4:$AP$55,4,FALSE))</f>
        <v>0</v>
      </c>
      <c r="J58" s="4">
        <f>(VLOOKUP('17.01'!R58,'17.01'!$AM$4:$AP$55,4,FALSE))</f>
        <v>0</v>
      </c>
      <c r="K58" s="4">
        <f>(VLOOKUP('17.01'!S58,'17.01'!$AM$4:$AP$55,4,FALSE))</f>
        <v>0</v>
      </c>
      <c r="L58" s="4">
        <f>(VLOOKUP('17.01'!T58,'17.01'!$AM$4:$AP$55,4,FALSE))</f>
        <v>0</v>
      </c>
      <c r="M58" s="4">
        <f>(VLOOKUP('17.01'!U58,'17.01'!$AM$4:$AP$55,4,FALSE))</f>
        <v>0</v>
      </c>
      <c r="N58" s="4">
        <f>(VLOOKUP('17.01'!V58,'17.01'!$AM$4:$AP$55,4,FALSE))</f>
        <v>0</v>
      </c>
      <c r="O58" s="4">
        <f>(VLOOKUP('17.01'!W58,'17.01'!$AM$4:$AP$55,4,FALSE))</f>
        <v>0</v>
      </c>
      <c r="P58" s="4">
        <f>(VLOOKUP('17.01'!X58,'17.01'!$AM$4:$AP$55,4,FALSE))</f>
        <v>0</v>
      </c>
      <c r="Q58" s="4">
        <f>(VLOOKUP('17.01'!Y58,'17.01'!$AM$4:$AP$55,4,FALSE))</f>
        <v>0</v>
      </c>
      <c r="R58" s="4">
        <f>(VLOOKUP('17.01'!Z58,'17.01'!$AM$4:$AP$55,4,FALSE))</f>
        <v>0</v>
      </c>
      <c r="S58" s="4">
        <f>(VLOOKUP('17.01'!AA58,'17.01'!$AM$4:$AP$55,4,FALSE))</f>
        <v>0</v>
      </c>
      <c r="T58" s="4">
        <f>(VLOOKUP('17.01'!AB58,'17.01'!$AM$4:$AP$55,4,FALSE))</f>
        <v>0</v>
      </c>
      <c r="U58" s="4">
        <f>(VLOOKUP('17.01'!AC58,'17.01'!$AM$4:$AP$55,4,FALSE))</f>
        <v>0</v>
      </c>
      <c r="V58" s="4">
        <f>(VLOOKUP('17.01'!AD58,'17.01'!$AM$4:$AP$55,4,FALSE))</f>
        <v>0</v>
      </c>
      <c r="W58" s="4">
        <f>(VLOOKUP('17.01'!AE58,'17.01'!$AM$4:$AP$55,4,FALSE))</f>
        <v>0</v>
      </c>
      <c r="X58" s="4">
        <f>(VLOOKUP('17.01'!AF58,'17.01'!$AM$4:$AP$55,4,FALSE))</f>
        <v>0</v>
      </c>
    </row>
    <row r="59" spans="1:24">
      <c r="A59" s="4">
        <f>(VLOOKUP('17.01'!I59,'17.01'!$AM$4:$AP$55,4,FALSE))</f>
        <v>0</v>
      </c>
      <c r="B59" s="4">
        <f>(VLOOKUP('17.01'!J59,'17.01'!$AM$4:$AP$55,4,FALSE))</f>
        <v>0</v>
      </c>
      <c r="C59" s="4">
        <f>(VLOOKUP('17.01'!K59,'17.01'!$AM$4:$AP$55,4,FALSE))</f>
        <v>0</v>
      </c>
      <c r="D59" s="4">
        <f>(VLOOKUP('17.01'!L59,'17.01'!$AM$4:$AP$55,4,FALSE))</f>
        <v>0</v>
      </c>
      <c r="E59" s="4">
        <f>(VLOOKUP('17.01'!M59,'17.01'!$AM$4:$AP$55,4,FALSE))</f>
        <v>0</v>
      </c>
      <c r="F59" s="4">
        <f>(VLOOKUP('17.01'!N59,'17.01'!$AM$4:$AP$55,4,FALSE))</f>
        <v>0</v>
      </c>
      <c r="G59" s="4">
        <f>(VLOOKUP('17.01'!O59,'17.01'!$AM$4:$AP$55,4,FALSE))</f>
        <v>0</v>
      </c>
      <c r="H59" s="4">
        <f>(VLOOKUP('17.01'!P59,'17.01'!$AM$4:$AP$55,4,FALSE))</f>
        <v>0</v>
      </c>
      <c r="I59" s="4">
        <f>(VLOOKUP('17.01'!Q59,'17.01'!$AM$4:$AP$55,4,FALSE))</f>
        <v>0</v>
      </c>
      <c r="J59" s="4">
        <f>(VLOOKUP('17.01'!R59,'17.01'!$AM$4:$AP$55,4,FALSE))</f>
        <v>0</v>
      </c>
      <c r="K59" s="4">
        <f>(VLOOKUP('17.01'!S59,'17.01'!$AM$4:$AP$55,4,FALSE))</f>
        <v>0</v>
      </c>
      <c r="L59" s="4">
        <f>(VLOOKUP('17.01'!T59,'17.01'!$AM$4:$AP$55,4,FALSE))</f>
        <v>0</v>
      </c>
      <c r="M59" s="4">
        <f>(VLOOKUP('17.01'!U59,'17.01'!$AM$4:$AP$55,4,FALSE))</f>
        <v>0</v>
      </c>
      <c r="N59" s="4">
        <f>(VLOOKUP('17.01'!V59,'17.01'!$AM$4:$AP$55,4,FALSE))</f>
        <v>0</v>
      </c>
      <c r="O59" s="4">
        <f>(VLOOKUP('17.01'!W59,'17.01'!$AM$4:$AP$55,4,FALSE))</f>
        <v>0</v>
      </c>
      <c r="P59" s="4">
        <f>(VLOOKUP('17.01'!X59,'17.01'!$AM$4:$AP$55,4,FALSE))</f>
        <v>0</v>
      </c>
      <c r="Q59" s="4">
        <f>(VLOOKUP('17.01'!Y59,'17.01'!$AM$4:$AP$55,4,FALSE))</f>
        <v>0</v>
      </c>
      <c r="R59" s="4">
        <f>(VLOOKUP('17.01'!Z59,'17.01'!$AM$4:$AP$55,4,FALSE))</f>
        <v>0</v>
      </c>
      <c r="S59" s="4">
        <f>(VLOOKUP('17.01'!AA59,'17.01'!$AM$4:$AP$55,4,FALSE))</f>
        <v>0</v>
      </c>
      <c r="T59" s="4">
        <f>(VLOOKUP('17.01'!AB59,'17.01'!$AM$4:$AP$55,4,FALSE))</f>
        <v>0</v>
      </c>
      <c r="U59" s="4">
        <f>(VLOOKUP('17.01'!AC59,'17.01'!$AM$4:$AP$55,4,FALSE))</f>
        <v>0</v>
      </c>
      <c r="V59" s="4">
        <f>(VLOOKUP('17.01'!AD59,'17.01'!$AM$4:$AP$55,4,FALSE))</f>
        <v>0</v>
      </c>
      <c r="W59" s="4">
        <f>(VLOOKUP('17.01'!AE59,'17.01'!$AM$4:$AP$55,4,FALSE))</f>
        <v>0</v>
      </c>
      <c r="X59" s="4">
        <f>(VLOOKUP('17.01'!AF59,'17.01'!$AM$4:$AP$55,4,FALSE))</f>
        <v>0</v>
      </c>
    </row>
    <row r="60" spans="1:24">
      <c r="A60" s="4">
        <f>(VLOOKUP('17.01'!I60,'17.01'!$AM$4:$AP$55,4,FALSE))</f>
        <v>0</v>
      </c>
      <c r="B60" s="4">
        <f>(VLOOKUP('17.01'!J60,'17.01'!$AM$4:$AP$55,4,FALSE))</f>
        <v>0</v>
      </c>
      <c r="C60" s="4">
        <f>(VLOOKUP('17.01'!K60,'17.01'!$AM$4:$AP$55,4,FALSE))</f>
        <v>0</v>
      </c>
      <c r="D60" s="4">
        <f>(VLOOKUP('17.01'!L60,'17.01'!$AM$4:$AP$55,4,FALSE))</f>
        <v>0</v>
      </c>
      <c r="E60" s="4">
        <f>(VLOOKUP('17.01'!M60,'17.01'!$AM$4:$AP$55,4,FALSE))</f>
        <v>0</v>
      </c>
      <c r="F60" s="4">
        <f>(VLOOKUP('17.01'!N60,'17.01'!$AM$4:$AP$55,4,FALSE))</f>
        <v>0</v>
      </c>
      <c r="G60" s="4">
        <f>(VLOOKUP('17.01'!O60,'17.01'!$AM$4:$AP$55,4,FALSE))</f>
        <v>0</v>
      </c>
      <c r="H60" s="4">
        <f>(VLOOKUP('17.01'!P60,'17.01'!$AM$4:$AP$55,4,FALSE))</f>
        <v>0</v>
      </c>
      <c r="I60" s="4">
        <f>(VLOOKUP('17.01'!Q60,'17.01'!$AM$4:$AP$55,4,FALSE))</f>
        <v>0</v>
      </c>
      <c r="J60" s="4">
        <f>(VLOOKUP('17.01'!R60,'17.01'!$AM$4:$AP$55,4,FALSE))</f>
        <v>0</v>
      </c>
      <c r="K60" s="4">
        <f>(VLOOKUP('17.01'!S60,'17.01'!$AM$4:$AP$55,4,FALSE))</f>
        <v>0</v>
      </c>
      <c r="L60" s="4">
        <f>(VLOOKUP('17.01'!T60,'17.01'!$AM$4:$AP$55,4,FALSE))</f>
        <v>0</v>
      </c>
      <c r="M60" s="4">
        <f>(VLOOKUP('17.01'!U60,'17.01'!$AM$4:$AP$55,4,FALSE))</f>
        <v>0</v>
      </c>
      <c r="N60" s="4">
        <f>(VLOOKUP('17.01'!V60,'17.01'!$AM$4:$AP$55,4,FALSE))</f>
        <v>0</v>
      </c>
      <c r="O60" s="4">
        <f>(VLOOKUP('17.01'!W60,'17.01'!$AM$4:$AP$55,4,FALSE))</f>
        <v>0</v>
      </c>
      <c r="P60" s="4">
        <f>(VLOOKUP('17.01'!X60,'17.01'!$AM$4:$AP$55,4,FALSE))</f>
        <v>0</v>
      </c>
      <c r="Q60" s="4">
        <f>(VLOOKUP('17.01'!Y60,'17.01'!$AM$4:$AP$55,4,FALSE))</f>
        <v>0</v>
      </c>
      <c r="R60" s="4">
        <f>(VLOOKUP('17.01'!Z60,'17.01'!$AM$4:$AP$55,4,FALSE))</f>
        <v>0</v>
      </c>
      <c r="S60" s="4">
        <f>(VLOOKUP('17.01'!AA60,'17.01'!$AM$4:$AP$55,4,FALSE))</f>
        <v>0</v>
      </c>
      <c r="T60" s="4">
        <f>(VLOOKUP('17.01'!AB60,'17.01'!$AM$4:$AP$55,4,FALSE))</f>
        <v>0</v>
      </c>
      <c r="U60" s="4">
        <f>(VLOOKUP('17.01'!AC60,'17.01'!$AM$4:$AP$55,4,FALSE))</f>
        <v>0</v>
      </c>
      <c r="V60" s="4">
        <f>(VLOOKUP('17.01'!AD60,'17.01'!$AM$4:$AP$55,4,FALSE))</f>
        <v>0</v>
      </c>
      <c r="W60" s="4">
        <f>(VLOOKUP('17.01'!AE60,'17.01'!$AM$4:$AP$55,4,FALSE))</f>
        <v>0</v>
      </c>
      <c r="X60" s="4">
        <f>(VLOOKUP('17.01'!AF60,'17.01'!$AM$4:$AP$55,4,FALSE))</f>
        <v>0</v>
      </c>
    </row>
    <row r="61" spans="1:24">
      <c r="A61" s="4">
        <f>(VLOOKUP('17.01'!I61,'17.01'!$AM$4:$AP$55,4,FALSE))</f>
        <v>0</v>
      </c>
      <c r="B61" s="4">
        <f>(VLOOKUP('17.01'!J61,'17.01'!$AM$4:$AP$55,4,FALSE))</f>
        <v>0</v>
      </c>
      <c r="C61" s="4">
        <f>(VLOOKUP('17.01'!K61,'17.01'!$AM$4:$AP$55,4,FALSE))</f>
        <v>0</v>
      </c>
      <c r="D61" s="4">
        <f>(VLOOKUP('17.01'!L61,'17.01'!$AM$4:$AP$55,4,FALSE))</f>
        <v>0</v>
      </c>
      <c r="E61" s="4">
        <f>(VLOOKUP('17.01'!M61,'17.01'!$AM$4:$AP$55,4,FALSE))</f>
        <v>0</v>
      </c>
      <c r="F61" s="4">
        <f>(VLOOKUP('17.01'!N61,'17.01'!$AM$4:$AP$55,4,FALSE))</f>
        <v>0</v>
      </c>
      <c r="G61" s="4">
        <f>(VLOOKUP('17.01'!O61,'17.01'!$AM$4:$AP$55,4,FALSE))</f>
        <v>0</v>
      </c>
      <c r="H61" s="4">
        <f>(VLOOKUP('17.01'!P61,'17.01'!$AM$4:$AP$55,4,FALSE))</f>
        <v>0</v>
      </c>
      <c r="I61" s="4">
        <f>(VLOOKUP('17.01'!Q61,'17.01'!$AM$4:$AP$55,4,FALSE))</f>
        <v>0</v>
      </c>
      <c r="J61" s="4">
        <f>(VLOOKUP('17.01'!R61,'17.01'!$AM$4:$AP$55,4,FALSE))</f>
        <v>0</v>
      </c>
      <c r="K61" s="4">
        <f>(VLOOKUP('17.01'!S61,'17.01'!$AM$4:$AP$55,4,FALSE))</f>
        <v>0</v>
      </c>
      <c r="L61" s="4">
        <f>(VLOOKUP('17.01'!T61,'17.01'!$AM$4:$AP$55,4,FALSE))</f>
        <v>0</v>
      </c>
      <c r="M61" s="4">
        <f>(VLOOKUP('17.01'!U61,'17.01'!$AM$4:$AP$55,4,FALSE))</f>
        <v>0</v>
      </c>
      <c r="N61" s="4">
        <f>(VLOOKUP('17.01'!V61,'17.01'!$AM$4:$AP$55,4,FALSE))</f>
        <v>0</v>
      </c>
      <c r="O61" s="4">
        <f>(VLOOKUP('17.01'!W61,'17.01'!$AM$4:$AP$55,4,FALSE))</f>
        <v>0</v>
      </c>
      <c r="P61" s="4">
        <f>(VLOOKUP('17.01'!X61,'17.01'!$AM$4:$AP$55,4,FALSE))</f>
        <v>0</v>
      </c>
      <c r="Q61" s="4">
        <f>(VLOOKUP('17.01'!Y61,'17.01'!$AM$4:$AP$55,4,FALSE))</f>
        <v>0</v>
      </c>
      <c r="R61" s="4">
        <f>(VLOOKUP('17.01'!Z61,'17.01'!$AM$4:$AP$55,4,FALSE))</f>
        <v>0</v>
      </c>
      <c r="S61" s="4">
        <f>(VLOOKUP('17.01'!AA61,'17.01'!$AM$4:$AP$55,4,FALSE))</f>
        <v>0</v>
      </c>
      <c r="T61" s="4">
        <f>(VLOOKUP('17.01'!AB61,'17.01'!$AM$4:$AP$55,4,FALSE))</f>
        <v>0</v>
      </c>
      <c r="U61" s="4">
        <f>(VLOOKUP('17.01'!AC61,'17.01'!$AM$4:$AP$55,4,FALSE))</f>
        <v>0</v>
      </c>
      <c r="V61" s="4">
        <f>(VLOOKUP('17.01'!AD61,'17.01'!$AM$4:$AP$55,4,FALSE))</f>
        <v>0</v>
      </c>
      <c r="W61" s="4">
        <f>(VLOOKUP('17.01'!AE61,'17.01'!$AM$4:$AP$55,4,FALSE))</f>
        <v>0</v>
      </c>
      <c r="X61" s="4">
        <f>(VLOOKUP('17.01'!AF61,'17.01'!$AM$4:$AP$55,4,FALSE))</f>
        <v>0</v>
      </c>
    </row>
    <row r="62" spans="1:24">
      <c r="A62" s="4">
        <f>(VLOOKUP('17.01'!I62,'17.01'!$AM$4:$AP$55,4,FALSE))</f>
        <v>0</v>
      </c>
      <c r="B62" s="4">
        <f>(VLOOKUP('17.01'!J62,'17.01'!$AM$4:$AP$55,4,FALSE))</f>
        <v>0</v>
      </c>
      <c r="C62" s="4">
        <f>(VLOOKUP('17.01'!K62,'17.01'!$AM$4:$AP$55,4,FALSE))</f>
        <v>0</v>
      </c>
      <c r="D62" s="4">
        <f>(VLOOKUP('17.01'!L62,'17.01'!$AM$4:$AP$55,4,FALSE))</f>
        <v>0</v>
      </c>
      <c r="E62" s="4">
        <f>(VLOOKUP('17.01'!M62,'17.01'!$AM$4:$AP$55,4,FALSE))</f>
        <v>0</v>
      </c>
      <c r="F62" s="4">
        <f>(VLOOKUP('17.01'!N62,'17.01'!$AM$4:$AP$55,4,FALSE))</f>
        <v>0</v>
      </c>
      <c r="G62" s="4">
        <f>(VLOOKUP('17.01'!O62,'17.01'!$AM$4:$AP$55,4,FALSE))</f>
        <v>0</v>
      </c>
      <c r="H62" s="4">
        <f>(VLOOKUP('17.01'!P62,'17.01'!$AM$4:$AP$55,4,FALSE))</f>
        <v>0</v>
      </c>
      <c r="I62" s="4">
        <f>(VLOOKUP('17.01'!Q62,'17.01'!$AM$4:$AP$55,4,FALSE))</f>
        <v>0</v>
      </c>
      <c r="J62" s="4">
        <f>(VLOOKUP('17.01'!R62,'17.01'!$AM$4:$AP$55,4,FALSE))</f>
        <v>0</v>
      </c>
      <c r="K62" s="4">
        <f>(VLOOKUP('17.01'!S62,'17.01'!$AM$4:$AP$55,4,FALSE))</f>
        <v>0</v>
      </c>
      <c r="L62" s="4">
        <f>(VLOOKUP('17.01'!T62,'17.01'!$AM$4:$AP$55,4,FALSE))</f>
        <v>0</v>
      </c>
      <c r="M62" s="4">
        <f>(VLOOKUP('17.01'!U62,'17.01'!$AM$4:$AP$55,4,FALSE))</f>
        <v>0</v>
      </c>
      <c r="N62" s="4">
        <f>(VLOOKUP('17.01'!V62,'17.01'!$AM$4:$AP$55,4,FALSE))</f>
        <v>0</v>
      </c>
      <c r="O62" s="4">
        <f>(VLOOKUP('17.01'!W62,'17.01'!$AM$4:$AP$55,4,FALSE))</f>
        <v>0</v>
      </c>
      <c r="P62" s="4">
        <f>(VLOOKUP('17.01'!X62,'17.01'!$AM$4:$AP$55,4,FALSE))</f>
        <v>0</v>
      </c>
      <c r="Q62" s="4">
        <f>(VLOOKUP('17.01'!Y62,'17.01'!$AM$4:$AP$55,4,FALSE))</f>
        <v>0</v>
      </c>
      <c r="R62" s="4">
        <f>(VLOOKUP('17.01'!Z62,'17.01'!$AM$4:$AP$55,4,FALSE))</f>
        <v>0</v>
      </c>
      <c r="S62" s="4">
        <f>(VLOOKUP('17.01'!AA62,'17.01'!$AM$4:$AP$55,4,FALSE))</f>
        <v>0</v>
      </c>
      <c r="T62" s="4">
        <f>(VLOOKUP('17.01'!AB62,'17.01'!$AM$4:$AP$55,4,FALSE))</f>
        <v>0</v>
      </c>
      <c r="U62" s="4">
        <f>(VLOOKUP('17.01'!AC62,'17.01'!$AM$4:$AP$55,4,FALSE))</f>
        <v>0</v>
      </c>
      <c r="V62" s="4">
        <f>(VLOOKUP('17.01'!AD62,'17.01'!$AM$4:$AP$55,4,FALSE))</f>
        <v>0</v>
      </c>
      <c r="W62" s="4">
        <f>(VLOOKUP('17.01'!AE62,'17.01'!$AM$4:$AP$55,4,FALSE))</f>
        <v>0</v>
      </c>
      <c r="X62" s="4">
        <f>(VLOOKUP('17.01'!AF62,'17.01'!$AM$4:$AP$55,4,FALSE))</f>
        <v>0</v>
      </c>
    </row>
    <row r="63" spans="1:24">
      <c r="A63" s="4">
        <f>(VLOOKUP('17.01'!I63,'17.01'!$AM$4:$AP$55,4,FALSE))</f>
        <v>0</v>
      </c>
      <c r="B63" s="4">
        <f>(VLOOKUP('17.01'!J63,'17.01'!$AM$4:$AP$55,4,FALSE))</f>
        <v>0</v>
      </c>
      <c r="C63" s="4">
        <f>(VLOOKUP('17.01'!K63,'17.01'!$AM$4:$AP$55,4,FALSE))</f>
        <v>0</v>
      </c>
      <c r="D63" s="4">
        <f>(VLOOKUP('17.01'!L63,'17.01'!$AM$4:$AP$55,4,FALSE))</f>
        <v>0</v>
      </c>
      <c r="E63" s="4">
        <f>(VLOOKUP('17.01'!M63,'17.01'!$AM$4:$AP$55,4,FALSE))</f>
        <v>0</v>
      </c>
      <c r="F63" s="4">
        <f>(VLOOKUP('17.01'!N63,'17.01'!$AM$4:$AP$55,4,FALSE))</f>
        <v>0</v>
      </c>
      <c r="G63" s="4">
        <f>(VLOOKUP('17.01'!O63,'17.01'!$AM$4:$AP$55,4,FALSE))</f>
        <v>0</v>
      </c>
      <c r="H63" s="4">
        <f>(VLOOKUP('17.01'!P63,'17.01'!$AM$4:$AP$55,4,FALSE))</f>
        <v>0</v>
      </c>
      <c r="I63" s="4">
        <f>(VLOOKUP('17.01'!Q63,'17.01'!$AM$4:$AP$55,4,FALSE))</f>
        <v>0</v>
      </c>
      <c r="J63" s="4">
        <f>(VLOOKUP('17.01'!R63,'17.01'!$AM$4:$AP$55,4,FALSE))</f>
        <v>0</v>
      </c>
      <c r="K63" s="4">
        <f>(VLOOKUP('17.01'!S63,'17.01'!$AM$4:$AP$55,4,FALSE))</f>
        <v>0</v>
      </c>
      <c r="L63" s="4">
        <f>(VLOOKUP('17.01'!T63,'17.01'!$AM$4:$AP$55,4,FALSE))</f>
        <v>0</v>
      </c>
      <c r="M63" s="4">
        <f>(VLOOKUP('17.01'!U63,'17.01'!$AM$4:$AP$55,4,FALSE))</f>
        <v>0</v>
      </c>
      <c r="N63" s="4">
        <f>(VLOOKUP('17.01'!V63,'17.01'!$AM$4:$AP$55,4,FALSE))</f>
        <v>0</v>
      </c>
      <c r="O63" s="4">
        <f>(VLOOKUP('17.01'!W63,'17.01'!$AM$4:$AP$55,4,FALSE))</f>
        <v>0</v>
      </c>
      <c r="P63" s="4">
        <f>(VLOOKUP('17.01'!X63,'17.01'!$AM$4:$AP$55,4,FALSE))</f>
        <v>0</v>
      </c>
      <c r="Q63" s="4">
        <f>(VLOOKUP('17.01'!Y63,'17.01'!$AM$4:$AP$55,4,FALSE))</f>
        <v>0</v>
      </c>
      <c r="R63" s="4">
        <f>(VLOOKUP('17.01'!Z63,'17.01'!$AM$4:$AP$55,4,FALSE))</f>
        <v>0</v>
      </c>
      <c r="S63" s="4">
        <f>(VLOOKUP('17.01'!AA63,'17.01'!$AM$4:$AP$55,4,FALSE))</f>
        <v>0</v>
      </c>
      <c r="T63" s="4">
        <f>(VLOOKUP('17.01'!AB63,'17.01'!$AM$4:$AP$55,4,FALSE))</f>
        <v>0</v>
      </c>
      <c r="U63" s="4">
        <f>(VLOOKUP('17.01'!AC63,'17.01'!$AM$4:$AP$55,4,FALSE))</f>
        <v>0</v>
      </c>
      <c r="V63" s="4">
        <f>(VLOOKUP('17.01'!AD63,'17.01'!$AM$4:$AP$55,4,FALSE))</f>
        <v>0</v>
      </c>
      <c r="W63" s="4">
        <f>(VLOOKUP('17.01'!AE63,'17.01'!$AM$4:$AP$55,4,FALSE))</f>
        <v>0</v>
      </c>
      <c r="X63" s="4">
        <f>(VLOOKUP('17.01'!AF63,'17.01'!$AM$4:$AP$55,4,FALSE))</f>
        <v>0</v>
      </c>
    </row>
    <row r="64" spans="1:24">
      <c r="A64" s="4">
        <f>(VLOOKUP('17.01'!I64,'17.01'!$AM$4:$AP$55,4,FALSE))</f>
        <v>0</v>
      </c>
      <c r="B64" s="4">
        <f>(VLOOKUP('17.01'!J64,'17.01'!$AM$4:$AP$55,4,FALSE))</f>
        <v>0</v>
      </c>
      <c r="C64" s="4">
        <f>(VLOOKUP('17.01'!K64,'17.01'!$AM$4:$AP$55,4,FALSE))</f>
        <v>0</v>
      </c>
      <c r="D64" s="4">
        <f>(VLOOKUP('17.01'!L64,'17.01'!$AM$4:$AP$55,4,FALSE))</f>
        <v>0</v>
      </c>
      <c r="E64" s="4">
        <f>(VLOOKUP('17.01'!M64,'17.01'!$AM$4:$AP$55,4,FALSE))</f>
        <v>0</v>
      </c>
      <c r="F64" s="4">
        <f>(VLOOKUP('17.01'!N64,'17.01'!$AM$4:$AP$55,4,FALSE))</f>
        <v>0</v>
      </c>
      <c r="G64" s="4">
        <f>(VLOOKUP('17.01'!O64,'17.01'!$AM$4:$AP$55,4,FALSE))</f>
        <v>0</v>
      </c>
      <c r="H64" s="4">
        <f>(VLOOKUP('17.01'!P64,'17.01'!$AM$4:$AP$55,4,FALSE))</f>
        <v>0</v>
      </c>
      <c r="I64" s="4">
        <f>(VLOOKUP('17.01'!Q64,'17.01'!$AM$4:$AP$55,4,FALSE))</f>
        <v>0</v>
      </c>
      <c r="J64" s="4">
        <f>(VLOOKUP('17.01'!R64,'17.01'!$AM$4:$AP$55,4,FALSE))</f>
        <v>0</v>
      </c>
      <c r="K64" s="4">
        <f>(VLOOKUP('17.01'!S64,'17.01'!$AM$4:$AP$55,4,FALSE))</f>
        <v>0</v>
      </c>
      <c r="L64" s="4">
        <f>(VLOOKUP('17.01'!T64,'17.01'!$AM$4:$AP$55,4,FALSE))</f>
        <v>0</v>
      </c>
      <c r="M64" s="4">
        <f>(VLOOKUP('17.01'!U64,'17.01'!$AM$4:$AP$55,4,FALSE))</f>
        <v>0</v>
      </c>
      <c r="N64" s="4">
        <f>(VLOOKUP('17.01'!V64,'17.01'!$AM$4:$AP$55,4,FALSE))</f>
        <v>0</v>
      </c>
      <c r="O64" s="4">
        <f>(VLOOKUP('17.01'!W64,'17.01'!$AM$4:$AP$55,4,FALSE))</f>
        <v>0</v>
      </c>
      <c r="P64" s="4">
        <f>(VLOOKUP('17.01'!X64,'17.01'!$AM$4:$AP$55,4,FALSE))</f>
        <v>0</v>
      </c>
      <c r="Q64" s="4">
        <f>(VLOOKUP('17.01'!Y64,'17.01'!$AM$4:$AP$55,4,FALSE))</f>
        <v>0</v>
      </c>
      <c r="R64" s="4">
        <f>(VLOOKUP('17.01'!Z64,'17.01'!$AM$4:$AP$55,4,FALSE))</f>
        <v>0</v>
      </c>
      <c r="S64" s="4">
        <f>(VLOOKUP('17.01'!AA64,'17.01'!$AM$4:$AP$55,4,FALSE))</f>
        <v>0</v>
      </c>
      <c r="T64" s="4">
        <f>(VLOOKUP('17.01'!AB64,'17.01'!$AM$4:$AP$55,4,FALSE))</f>
        <v>0</v>
      </c>
      <c r="U64" s="4">
        <f>(VLOOKUP('17.01'!AC64,'17.01'!$AM$4:$AP$55,4,FALSE))</f>
        <v>0</v>
      </c>
      <c r="V64" s="4">
        <f>(VLOOKUP('17.01'!AD64,'17.01'!$AM$4:$AP$55,4,FALSE))</f>
        <v>0</v>
      </c>
      <c r="W64" s="4">
        <f>(VLOOKUP('17.01'!AE64,'17.01'!$AM$4:$AP$55,4,FALSE))</f>
        <v>0</v>
      </c>
      <c r="X64" s="4">
        <f>(VLOOKUP('17.01'!AF64,'17.01'!$AM$4:$AP$55,4,FALSE))</f>
        <v>0</v>
      </c>
    </row>
    <row r="65" spans="1:24">
      <c r="A65" s="4">
        <f>(VLOOKUP('17.01'!I65,'17.01'!$AM$4:$AP$55,4,FALSE))</f>
        <v>0</v>
      </c>
      <c r="B65" s="4">
        <f>(VLOOKUP('17.01'!J65,'17.01'!$AM$4:$AP$55,4,FALSE))</f>
        <v>0</v>
      </c>
      <c r="C65" s="4">
        <f>(VLOOKUP('17.01'!K65,'17.01'!$AM$4:$AP$55,4,FALSE))</f>
        <v>0</v>
      </c>
      <c r="D65" s="4">
        <f>(VLOOKUP('17.01'!L65,'17.01'!$AM$4:$AP$55,4,FALSE))</f>
        <v>0</v>
      </c>
      <c r="E65" s="4">
        <f>(VLOOKUP('17.01'!M65,'17.01'!$AM$4:$AP$55,4,FALSE))</f>
        <v>0</v>
      </c>
      <c r="F65" s="4">
        <f>(VLOOKUP('17.01'!N65,'17.01'!$AM$4:$AP$55,4,FALSE))</f>
        <v>0</v>
      </c>
      <c r="G65" s="4">
        <f>(VLOOKUP('17.01'!O65,'17.01'!$AM$4:$AP$55,4,FALSE))</f>
        <v>0</v>
      </c>
      <c r="H65" s="4">
        <f>(VLOOKUP('17.01'!P65,'17.01'!$AM$4:$AP$55,4,FALSE))</f>
        <v>0</v>
      </c>
      <c r="I65" s="4">
        <f>(VLOOKUP('17.01'!Q65,'17.01'!$AM$4:$AP$55,4,FALSE))</f>
        <v>0</v>
      </c>
      <c r="J65" s="4">
        <f>(VLOOKUP('17.01'!R65,'17.01'!$AM$4:$AP$55,4,FALSE))</f>
        <v>0</v>
      </c>
      <c r="K65" s="4">
        <f>(VLOOKUP('17.01'!S65,'17.01'!$AM$4:$AP$55,4,FALSE))</f>
        <v>0</v>
      </c>
      <c r="L65" s="4">
        <f>(VLOOKUP('17.01'!T65,'17.01'!$AM$4:$AP$55,4,FALSE))</f>
        <v>0</v>
      </c>
      <c r="M65" s="4">
        <f>(VLOOKUP('17.01'!U65,'17.01'!$AM$4:$AP$55,4,FALSE))</f>
        <v>0</v>
      </c>
      <c r="N65" s="4">
        <f>(VLOOKUP('17.01'!V65,'17.01'!$AM$4:$AP$55,4,FALSE))</f>
        <v>0</v>
      </c>
      <c r="O65" s="4">
        <f>(VLOOKUP('17.01'!W65,'17.01'!$AM$4:$AP$55,4,FALSE))</f>
        <v>0</v>
      </c>
      <c r="P65" s="4">
        <f>(VLOOKUP('17.01'!X65,'17.01'!$AM$4:$AP$55,4,FALSE))</f>
        <v>0</v>
      </c>
      <c r="Q65" s="4">
        <f>(VLOOKUP('17.01'!Y65,'17.01'!$AM$4:$AP$55,4,FALSE))</f>
        <v>0</v>
      </c>
      <c r="R65" s="4">
        <f>(VLOOKUP('17.01'!Z65,'17.01'!$AM$4:$AP$55,4,FALSE))</f>
        <v>0</v>
      </c>
      <c r="S65" s="4">
        <f>(VLOOKUP('17.01'!AA65,'17.01'!$AM$4:$AP$55,4,FALSE))</f>
        <v>0</v>
      </c>
      <c r="T65" s="4">
        <f>(VLOOKUP('17.01'!AB65,'17.01'!$AM$4:$AP$55,4,FALSE))</f>
        <v>0</v>
      </c>
      <c r="U65" s="4">
        <f>(VLOOKUP('17.01'!AC65,'17.01'!$AM$4:$AP$55,4,FALSE))</f>
        <v>0</v>
      </c>
      <c r="V65" s="4">
        <f>(VLOOKUP('17.01'!AD65,'17.01'!$AM$4:$AP$55,4,FALSE))</f>
        <v>0</v>
      </c>
      <c r="W65" s="4">
        <f>(VLOOKUP('17.01'!AE65,'17.01'!$AM$4:$AP$55,4,FALSE))</f>
        <v>0</v>
      </c>
      <c r="X65" s="4">
        <f>(VLOOKUP('17.01'!AF65,'17.01'!$AM$4:$AP$55,4,FALSE))</f>
        <v>0</v>
      </c>
    </row>
    <row r="66" spans="1:24">
      <c r="A66" s="4">
        <f>(VLOOKUP('17.01'!I66,'17.01'!$AM$4:$AP$55,4,FALSE))</f>
        <v>0</v>
      </c>
      <c r="B66" s="4">
        <f>(VLOOKUP('17.01'!J66,'17.01'!$AM$4:$AP$55,4,FALSE))</f>
        <v>0</v>
      </c>
      <c r="C66" s="4">
        <f>(VLOOKUP('17.01'!K66,'17.01'!$AM$4:$AP$55,4,FALSE))</f>
        <v>0</v>
      </c>
      <c r="D66" s="4">
        <f>(VLOOKUP('17.01'!L66,'17.01'!$AM$4:$AP$55,4,FALSE))</f>
        <v>0</v>
      </c>
      <c r="E66" s="4">
        <f>(VLOOKUP('17.01'!M66,'17.01'!$AM$4:$AP$55,4,FALSE))</f>
        <v>0</v>
      </c>
      <c r="F66" s="4">
        <f>(VLOOKUP('17.01'!N66,'17.01'!$AM$4:$AP$55,4,FALSE))</f>
        <v>0</v>
      </c>
      <c r="G66" s="4">
        <f>(VLOOKUP('17.01'!O66,'17.01'!$AM$4:$AP$55,4,FALSE))</f>
        <v>0</v>
      </c>
      <c r="H66" s="4">
        <f>(VLOOKUP('17.01'!P66,'17.01'!$AM$4:$AP$55,4,FALSE))</f>
        <v>0</v>
      </c>
      <c r="I66" s="4">
        <f>(VLOOKUP('17.01'!Q66,'17.01'!$AM$4:$AP$55,4,FALSE))</f>
        <v>0</v>
      </c>
      <c r="J66" s="4">
        <f>(VLOOKUP('17.01'!R66,'17.01'!$AM$4:$AP$55,4,FALSE))</f>
        <v>0</v>
      </c>
      <c r="K66" s="4">
        <f>(VLOOKUP('17.01'!S66,'17.01'!$AM$4:$AP$55,4,FALSE))</f>
        <v>0</v>
      </c>
      <c r="L66" s="4">
        <f>(VLOOKUP('17.01'!T66,'17.01'!$AM$4:$AP$55,4,FALSE))</f>
        <v>0</v>
      </c>
      <c r="M66" s="4">
        <f>(VLOOKUP('17.01'!U66,'17.01'!$AM$4:$AP$55,4,FALSE))</f>
        <v>0</v>
      </c>
      <c r="N66" s="4">
        <f>(VLOOKUP('17.01'!V66,'17.01'!$AM$4:$AP$55,4,FALSE))</f>
        <v>0</v>
      </c>
      <c r="O66" s="4">
        <f>(VLOOKUP('17.01'!W66,'17.01'!$AM$4:$AP$55,4,FALSE))</f>
        <v>0</v>
      </c>
      <c r="P66" s="4">
        <f>(VLOOKUP('17.01'!X66,'17.01'!$AM$4:$AP$55,4,FALSE))</f>
        <v>0</v>
      </c>
      <c r="Q66" s="4">
        <f>(VLOOKUP('17.01'!Y66,'17.01'!$AM$4:$AP$55,4,FALSE))</f>
        <v>0</v>
      </c>
      <c r="R66" s="4">
        <f>(VLOOKUP('17.01'!Z66,'17.01'!$AM$4:$AP$55,4,FALSE))</f>
        <v>0</v>
      </c>
      <c r="S66" s="4">
        <f>(VLOOKUP('17.01'!AA66,'17.01'!$AM$4:$AP$55,4,FALSE))</f>
        <v>0</v>
      </c>
      <c r="T66" s="4">
        <f>(VLOOKUP('17.01'!AB66,'17.01'!$AM$4:$AP$55,4,FALSE))</f>
        <v>0</v>
      </c>
      <c r="U66" s="4">
        <f>(VLOOKUP('17.01'!AC66,'17.01'!$AM$4:$AP$55,4,FALSE))</f>
        <v>0</v>
      </c>
      <c r="V66" s="4">
        <f>(VLOOKUP('17.01'!AD66,'17.01'!$AM$4:$AP$55,4,FALSE))</f>
        <v>0</v>
      </c>
      <c r="W66" s="4">
        <f>(VLOOKUP('17.01'!AE66,'17.01'!$AM$4:$AP$55,4,FALSE))</f>
        <v>0</v>
      </c>
      <c r="X66" s="4">
        <f>(VLOOKUP('17.01'!AF66,'17.01'!$AM$4:$AP$55,4,FALSE))</f>
        <v>0</v>
      </c>
    </row>
    <row r="67" spans="1:24">
      <c r="A67" s="4">
        <f>(VLOOKUP('17.01'!I67,'17.01'!$AM$4:$AP$55,4,FALSE))</f>
        <v>0</v>
      </c>
      <c r="B67" s="4">
        <f>(VLOOKUP('17.01'!J67,'17.01'!$AM$4:$AP$55,4,FALSE))</f>
        <v>0</v>
      </c>
      <c r="C67" s="4">
        <f>(VLOOKUP('17.01'!K67,'17.01'!$AM$4:$AP$55,4,FALSE))</f>
        <v>0</v>
      </c>
      <c r="D67" s="4">
        <f>(VLOOKUP('17.01'!L67,'17.01'!$AM$4:$AP$55,4,FALSE))</f>
        <v>0</v>
      </c>
      <c r="E67" s="4">
        <f>(VLOOKUP('17.01'!M67,'17.01'!$AM$4:$AP$55,4,FALSE))</f>
        <v>0</v>
      </c>
      <c r="F67" s="4">
        <f>(VLOOKUP('17.01'!N67,'17.01'!$AM$4:$AP$55,4,FALSE))</f>
        <v>0</v>
      </c>
      <c r="G67" s="4">
        <f>(VLOOKUP('17.01'!O67,'17.01'!$AM$4:$AP$55,4,FALSE))</f>
        <v>0</v>
      </c>
      <c r="H67" s="4">
        <f>(VLOOKUP('17.01'!P67,'17.01'!$AM$4:$AP$55,4,FALSE))</f>
        <v>0</v>
      </c>
      <c r="I67" s="4">
        <f>(VLOOKUP('17.01'!Q67,'17.01'!$AM$4:$AP$55,4,FALSE))</f>
        <v>0</v>
      </c>
      <c r="J67" s="4">
        <f>(VLOOKUP('17.01'!R67,'17.01'!$AM$4:$AP$55,4,FALSE))</f>
        <v>0</v>
      </c>
      <c r="K67" s="4">
        <f>(VLOOKUP('17.01'!S67,'17.01'!$AM$4:$AP$55,4,FALSE))</f>
        <v>0</v>
      </c>
      <c r="L67" s="4">
        <f>(VLOOKUP('17.01'!T67,'17.01'!$AM$4:$AP$55,4,FALSE))</f>
        <v>0</v>
      </c>
      <c r="M67" s="4">
        <f>(VLOOKUP('17.01'!U67,'17.01'!$AM$4:$AP$55,4,FALSE))</f>
        <v>0</v>
      </c>
      <c r="N67" s="4">
        <f>(VLOOKUP('17.01'!V67,'17.01'!$AM$4:$AP$55,4,FALSE))</f>
        <v>0</v>
      </c>
      <c r="O67" s="4">
        <f>(VLOOKUP('17.01'!W67,'17.01'!$AM$4:$AP$55,4,FALSE))</f>
        <v>0</v>
      </c>
      <c r="P67" s="4">
        <f>(VLOOKUP('17.01'!X67,'17.01'!$AM$4:$AP$55,4,FALSE))</f>
        <v>0</v>
      </c>
      <c r="Q67" s="4">
        <f>(VLOOKUP('17.01'!Y67,'17.01'!$AM$4:$AP$55,4,FALSE))</f>
        <v>0</v>
      </c>
      <c r="R67" s="4">
        <f>(VLOOKUP('17.01'!Z67,'17.01'!$AM$4:$AP$55,4,FALSE))</f>
        <v>0</v>
      </c>
      <c r="S67" s="4">
        <f>(VLOOKUP('17.01'!AA67,'17.01'!$AM$4:$AP$55,4,FALSE))</f>
        <v>0</v>
      </c>
      <c r="T67" s="4">
        <f>(VLOOKUP('17.01'!AB67,'17.01'!$AM$4:$AP$55,4,FALSE))</f>
        <v>0</v>
      </c>
      <c r="U67" s="4">
        <f>(VLOOKUP('17.01'!AC67,'17.01'!$AM$4:$AP$55,4,FALSE))</f>
        <v>0</v>
      </c>
      <c r="V67" s="4">
        <f>(VLOOKUP('17.01'!AD67,'17.01'!$AM$4:$AP$55,4,FALSE))</f>
        <v>0</v>
      </c>
      <c r="W67" s="4">
        <f>(VLOOKUP('17.01'!AE67,'17.01'!$AM$4:$AP$55,4,FALSE))</f>
        <v>0</v>
      </c>
      <c r="X67" s="4">
        <f>(VLOOKUP('17.01'!AF67,'17.01'!$AM$4:$AP$55,4,FALSE))</f>
        <v>0</v>
      </c>
    </row>
    <row r="68" spans="1:24">
      <c r="A68" s="4">
        <f>(VLOOKUP('17.01'!I68,'17.01'!$AM$4:$AP$55,4,FALSE))</f>
        <v>0</v>
      </c>
      <c r="B68" s="4">
        <f>(VLOOKUP('17.01'!J68,'17.01'!$AM$4:$AP$55,4,FALSE))</f>
        <v>0</v>
      </c>
      <c r="C68" s="4">
        <f>(VLOOKUP('17.01'!K68,'17.01'!$AM$4:$AP$55,4,FALSE))</f>
        <v>0</v>
      </c>
      <c r="D68" s="4">
        <f>(VLOOKUP('17.01'!L68,'17.01'!$AM$4:$AP$55,4,FALSE))</f>
        <v>0</v>
      </c>
      <c r="E68" s="4">
        <f>(VLOOKUP('17.01'!M68,'17.01'!$AM$4:$AP$55,4,FALSE))</f>
        <v>0</v>
      </c>
      <c r="F68" s="4">
        <f>(VLOOKUP('17.01'!N68,'17.01'!$AM$4:$AP$55,4,FALSE))</f>
        <v>0</v>
      </c>
      <c r="G68" s="4">
        <f>(VLOOKUP('17.01'!O68,'17.01'!$AM$4:$AP$55,4,FALSE))</f>
        <v>0</v>
      </c>
      <c r="H68" s="4">
        <f>(VLOOKUP('17.01'!P68,'17.01'!$AM$4:$AP$55,4,FALSE))</f>
        <v>0</v>
      </c>
      <c r="I68" s="4">
        <f>(VLOOKUP('17.01'!Q68,'17.01'!$AM$4:$AP$55,4,FALSE))</f>
        <v>0</v>
      </c>
      <c r="J68" s="4">
        <f>(VLOOKUP('17.01'!R68,'17.01'!$AM$4:$AP$55,4,FALSE))</f>
        <v>0</v>
      </c>
      <c r="K68" s="4">
        <f>(VLOOKUP('17.01'!S68,'17.01'!$AM$4:$AP$55,4,FALSE))</f>
        <v>0</v>
      </c>
      <c r="L68" s="4">
        <f>(VLOOKUP('17.01'!T68,'17.01'!$AM$4:$AP$55,4,FALSE))</f>
        <v>0</v>
      </c>
      <c r="M68" s="4">
        <f>(VLOOKUP('17.01'!U68,'17.01'!$AM$4:$AP$55,4,FALSE))</f>
        <v>0</v>
      </c>
      <c r="N68" s="4">
        <f>(VLOOKUP('17.01'!V68,'17.01'!$AM$4:$AP$55,4,FALSE))</f>
        <v>0</v>
      </c>
      <c r="O68" s="4">
        <f>(VLOOKUP('17.01'!W68,'17.01'!$AM$4:$AP$55,4,FALSE))</f>
        <v>0</v>
      </c>
      <c r="P68" s="4">
        <f>(VLOOKUP('17.01'!X68,'17.01'!$AM$4:$AP$55,4,FALSE))</f>
        <v>0</v>
      </c>
      <c r="Q68" s="4">
        <f>(VLOOKUP('17.01'!Y68,'17.01'!$AM$4:$AP$55,4,FALSE))</f>
        <v>0</v>
      </c>
      <c r="R68" s="4">
        <f>(VLOOKUP('17.01'!Z68,'17.01'!$AM$4:$AP$55,4,FALSE))</f>
        <v>0</v>
      </c>
      <c r="S68" s="4">
        <f>(VLOOKUP('17.01'!AA68,'17.01'!$AM$4:$AP$55,4,FALSE))</f>
        <v>0</v>
      </c>
      <c r="T68" s="4">
        <f>(VLOOKUP('17.01'!AB68,'17.01'!$AM$4:$AP$55,4,FALSE))</f>
        <v>0</v>
      </c>
      <c r="U68" s="4">
        <f>(VLOOKUP('17.01'!AC68,'17.01'!$AM$4:$AP$55,4,FALSE))</f>
        <v>0</v>
      </c>
      <c r="V68" s="4">
        <f>(VLOOKUP('17.01'!AD68,'17.01'!$AM$4:$AP$55,4,FALSE))</f>
        <v>0</v>
      </c>
      <c r="W68" s="4">
        <f>(VLOOKUP('17.01'!AE68,'17.01'!$AM$4:$AP$55,4,FALSE))</f>
        <v>0</v>
      </c>
      <c r="X68" s="4">
        <f>(VLOOKUP('17.01'!AF68,'17.01'!$AM$4:$AP$55,4,FALSE))</f>
        <v>0</v>
      </c>
    </row>
    <row r="69" spans="1:24">
      <c r="A69" s="4">
        <f>(VLOOKUP('17.01'!I69,'17.01'!$AM$4:$AP$55,4,FALSE))</f>
        <v>0</v>
      </c>
      <c r="B69" s="4">
        <f>(VLOOKUP('17.01'!J69,'17.01'!$AM$4:$AP$55,4,FALSE))</f>
        <v>0</v>
      </c>
      <c r="C69" s="4">
        <f>(VLOOKUP('17.01'!K69,'17.01'!$AM$4:$AP$55,4,FALSE))</f>
        <v>0</v>
      </c>
      <c r="D69" s="4">
        <f>(VLOOKUP('17.01'!L69,'17.01'!$AM$4:$AP$55,4,FALSE))</f>
        <v>0</v>
      </c>
      <c r="E69" s="4">
        <f>(VLOOKUP('17.01'!M69,'17.01'!$AM$4:$AP$55,4,FALSE))</f>
        <v>0</v>
      </c>
      <c r="F69" s="4">
        <f>(VLOOKUP('17.01'!N69,'17.01'!$AM$4:$AP$55,4,FALSE))</f>
        <v>0</v>
      </c>
      <c r="G69" s="4">
        <f>(VLOOKUP('17.01'!O69,'17.01'!$AM$4:$AP$55,4,FALSE))</f>
        <v>0</v>
      </c>
      <c r="H69" s="4">
        <f>(VLOOKUP('17.01'!P69,'17.01'!$AM$4:$AP$55,4,FALSE))</f>
        <v>0</v>
      </c>
      <c r="I69" s="4">
        <f>(VLOOKUP('17.01'!Q69,'17.01'!$AM$4:$AP$55,4,FALSE))</f>
        <v>0</v>
      </c>
      <c r="J69" s="4">
        <f>(VLOOKUP('17.01'!R69,'17.01'!$AM$4:$AP$55,4,FALSE))</f>
        <v>0</v>
      </c>
      <c r="K69" s="4">
        <f>(VLOOKUP('17.01'!S69,'17.01'!$AM$4:$AP$55,4,FALSE))</f>
        <v>0</v>
      </c>
      <c r="L69" s="4">
        <f>(VLOOKUP('17.01'!T69,'17.01'!$AM$4:$AP$55,4,FALSE))</f>
        <v>0</v>
      </c>
      <c r="M69" s="4">
        <f>(VLOOKUP('17.01'!U69,'17.01'!$AM$4:$AP$55,4,FALSE))</f>
        <v>0</v>
      </c>
      <c r="N69" s="4">
        <f>(VLOOKUP('17.01'!V69,'17.01'!$AM$4:$AP$55,4,FALSE))</f>
        <v>0</v>
      </c>
      <c r="O69" s="4">
        <f>(VLOOKUP('17.01'!W69,'17.01'!$AM$4:$AP$55,4,FALSE))</f>
        <v>0</v>
      </c>
      <c r="P69" s="4">
        <f>(VLOOKUP('17.01'!X69,'17.01'!$AM$4:$AP$55,4,FALSE))</f>
        <v>0</v>
      </c>
      <c r="Q69" s="4">
        <f>(VLOOKUP('17.01'!Y69,'17.01'!$AM$4:$AP$55,4,FALSE))</f>
        <v>0</v>
      </c>
      <c r="R69" s="4">
        <f>(VLOOKUP('17.01'!Z69,'17.01'!$AM$4:$AP$55,4,FALSE))</f>
        <v>0</v>
      </c>
      <c r="S69" s="4">
        <f>(VLOOKUP('17.01'!AA69,'17.01'!$AM$4:$AP$55,4,FALSE))</f>
        <v>0</v>
      </c>
      <c r="T69" s="4">
        <f>(VLOOKUP('17.01'!AB69,'17.01'!$AM$4:$AP$55,4,FALSE))</f>
        <v>0</v>
      </c>
      <c r="U69" s="4">
        <f>(VLOOKUP('17.01'!AC69,'17.01'!$AM$4:$AP$55,4,FALSE))</f>
        <v>0</v>
      </c>
      <c r="V69" s="4">
        <f>(VLOOKUP('17.01'!AD69,'17.01'!$AM$4:$AP$55,4,FALSE))</f>
        <v>0</v>
      </c>
      <c r="W69" s="4">
        <f>(VLOOKUP('17.01'!AE69,'17.01'!$AM$4:$AP$55,4,FALSE))</f>
        <v>0</v>
      </c>
      <c r="X69" s="4">
        <f>(VLOOKUP('17.01'!AF69,'17.01'!$AM$4:$AP$55,4,FALSE))</f>
        <v>0</v>
      </c>
    </row>
    <row r="70" spans="1:24">
      <c r="A70" s="4">
        <f>(VLOOKUP('17.01'!I70,'17.01'!$AM$4:$AP$55,4,FALSE))</f>
        <v>0</v>
      </c>
      <c r="B70" s="4">
        <f>(VLOOKUP('17.01'!J70,'17.01'!$AM$4:$AP$55,4,FALSE))</f>
        <v>0</v>
      </c>
      <c r="C70" s="4">
        <f>(VLOOKUP('17.01'!K70,'17.01'!$AM$4:$AP$55,4,FALSE))</f>
        <v>0</v>
      </c>
      <c r="D70" s="4">
        <f>(VLOOKUP('17.01'!L70,'17.01'!$AM$4:$AP$55,4,FALSE))</f>
        <v>0</v>
      </c>
      <c r="E70" s="4">
        <f>(VLOOKUP('17.01'!M70,'17.01'!$AM$4:$AP$55,4,FALSE))</f>
        <v>0</v>
      </c>
      <c r="F70" s="4">
        <f>(VLOOKUP('17.01'!N70,'17.01'!$AM$4:$AP$55,4,FALSE))</f>
        <v>0</v>
      </c>
      <c r="G70" s="4">
        <f>(VLOOKUP('17.01'!O70,'17.01'!$AM$4:$AP$55,4,FALSE))</f>
        <v>0</v>
      </c>
      <c r="H70" s="4">
        <f>(VLOOKUP('17.01'!P70,'17.01'!$AM$4:$AP$55,4,FALSE))</f>
        <v>0</v>
      </c>
      <c r="I70" s="4">
        <f>(VLOOKUP('17.01'!Q70,'17.01'!$AM$4:$AP$55,4,FALSE))</f>
        <v>0</v>
      </c>
      <c r="J70" s="4">
        <f>(VLOOKUP('17.01'!R70,'17.01'!$AM$4:$AP$55,4,FALSE))</f>
        <v>0</v>
      </c>
      <c r="K70" s="4">
        <f>(VLOOKUP('17.01'!S70,'17.01'!$AM$4:$AP$55,4,FALSE))</f>
        <v>0</v>
      </c>
      <c r="L70" s="4">
        <f>(VLOOKUP('17.01'!T70,'17.01'!$AM$4:$AP$55,4,FALSE))</f>
        <v>0</v>
      </c>
      <c r="M70" s="4">
        <f>(VLOOKUP('17.01'!U70,'17.01'!$AM$4:$AP$55,4,FALSE))</f>
        <v>0</v>
      </c>
      <c r="N70" s="4">
        <f>(VLOOKUP('17.01'!V70,'17.01'!$AM$4:$AP$55,4,FALSE))</f>
        <v>0</v>
      </c>
      <c r="O70" s="4">
        <f>(VLOOKUP('17.01'!W70,'17.01'!$AM$4:$AP$55,4,FALSE))</f>
        <v>0</v>
      </c>
      <c r="P70" s="4">
        <f>(VLOOKUP('17.01'!X70,'17.01'!$AM$4:$AP$55,4,FALSE))</f>
        <v>0</v>
      </c>
      <c r="Q70" s="4">
        <f>(VLOOKUP('17.01'!Y70,'17.01'!$AM$4:$AP$55,4,FALSE))</f>
        <v>0</v>
      </c>
      <c r="R70" s="4">
        <f>(VLOOKUP('17.01'!Z70,'17.01'!$AM$4:$AP$55,4,FALSE))</f>
        <v>0</v>
      </c>
      <c r="S70" s="4">
        <f>(VLOOKUP('17.01'!AA70,'17.01'!$AM$4:$AP$55,4,FALSE))</f>
        <v>0</v>
      </c>
      <c r="T70" s="4">
        <f>(VLOOKUP('17.01'!AB70,'17.01'!$AM$4:$AP$55,4,FALSE))</f>
        <v>0</v>
      </c>
      <c r="U70" s="4">
        <f>(VLOOKUP('17.01'!AC70,'17.01'!$AM$4:$AP$55,4,FALSE))</f>
        <v>0</v>
      </c>
      <c r="V70" s="4">
        <f>(VLOOKUP('17.01'!AD70,'17.01'!$AM$4:$AP$55,4,FALSE))</f>
        <v>0</v>
      </c>
      <c r="W70" s="4">
        <f>(VLOOKUP('17.01'!AE70,'17.01'!$AM$4:$AP$55,4,FALSE))</f>
        <v>0</v>
      </c>
      <c r="X70" s="4">
        <f>(VLOOKUP('17.01'!AF70,'17.01'!$AM$4:$AP$55,4,FALSE))</f>
        <v>0</v>
      </c>
    </row>
    <row r="71" spans="1:24">
      <c r="A71" s="4">
        <f>(VLOOKUP('17.01'!I71,'17.01'!$AM$4:$AP$55,4,FALSE))</f>
        <v>0</v>
      </c>
      <c r="B71" s="4">
        <f>(VLOOKUP('17.01'!J71,'17.01'!$AM$4:$AP$55,4,FALSE))</f>
        <v>0</v>
      </c>
      <c r="C71" s="4">
        <f>(VLOOKUP('17.01'!K71,'17.01'!$AM$4:$AP$55,4,FALSE))</f>
        <v>0</v>
      </c>
      <c r="D71" s="4">
        <f>(VLOOKUP('17.01'!L71,'17.01'!$AM$4:$AP$55,4,FALSE))</f>
        <v>0</v>
      </c>
      <c r="E71" s="4">
        <f>(VLOOKUP('17.01'!M71,'17.01'!$AM$4:$AP$55,4,FALSE))</f>
        <v>0</v>
      </c>
      <c r="F71" s="4">
        <f>(VLOOKUP('17.01'!N71,'17.01'!$AM$4:$AP$55,4,FALSE))</f>
        <v>0</v>
      </c>
      <c r="G71" s="4">
        <f>(VLOOKUP('17.01'!O71,'17.01'!$AM$4:$AP$55,4,FALSE))</f>
        <v>0</v>
      </c>
      <c r="H71" s="4">
        <f>(VLOOKUP('17.01'!P71,'17.01'!$AM$4:$AP$55,4,FALSE))</f>
        <v>0</v>
      </c>
      <c r="I71" s="4">
        <f>(VLOOKUP('17.01'!Q71,'17.01'!$AM$4:$AP$55,4,FALSE))</f>
        <v>0</v>
      </c>
      <c r="J71" s="4">
        <f>(VLOOKUP('17.01'!R71,'17.01'!$AM$4:$AP$55,4,FALSE))</f>
        <v>0</v>
      </c>
      <c r="K71" s="4">
        <f>(VLOOKUP('17.01'!S71,'17.01'!$AM$4:$AP$55,4,FALSE))</f>
        <v>0</v>
      </c>
      <c r="L71" s="4">
        <f>(VLOOKUP('17.01'!T71,'17.01'!$AM$4:$AP$55,4,FALSE))</f>
        <v>0</v>
      </c>
      <c r="M71" s="4">
        <f>(VLOOKUP('17.01'!U71,'17.01'!$AM$4:$AP$55,4,FALSE))</f>
        <v>0</v>
      </c>
      <c r="N71" s="4">
        <f>(VLOOKUP('17.01'!V71,'17.01'!$AM$4:$AP$55,4,FALSE))</f>
        <v>0</v>
      </c>
      <c r="O71" s="4">
        <f>(VLOOKUP('17.01'!W71,'17.01'!$AM$4:$AP$55,4,FALSE))</f>
        <v>0</v>
      </c>
      <c r="P71" s="4">
        <f>(VLOOKUP('17.01'!X71,'17.01'!$AM$4:$AP$55,4,FALSE))</f>
        <v>0</v>
      </c>
      <c r="Q71" s="4">
        <f>(VLOOKUP('17.01'!Y71,'17.01'!$AM$4:$AP$55,4,FALSE))</f>
        <v>0</v>
      </c>
      <c r="R71" s="4">
        <f>(VLOOKUP('17.01'!Z71,'17.01'!$AM$4:$AP$55,4,FALSE))</f>
        <v>0</v>
      </c>
      <c r="S71" s="4">
        <f>(VLOOKUP('17.01'!AA71,'17.01'!$AM$4:$AP$55,4,FALSE))</f>
        <v>0</v>
      </c>
      <c r="T71" s="4">
        <f>(VLOOKUP('17.01'!AB71,'17.01'!$AM$4:$AP$55,4,FALSE))</f>
        <v>0</v>
      </c>
      <c r="U71" s="4">
        <f>(VLOOKUP('17.01'!AC71,'17.01'!$AM$4:$AP$55,4,FALSE))</f>
        <v>0</v>
      </c>
      <c r="V71" s="4">
        <f>(VLOOKUP('17.01'!AD71,'17.01'!$AM$4:$AP$55,4,FALSE))</f>
        <v>0</v>
      </c>
      <c r="W71" s="4">
        <f>(VLOOKUP('17.01'!AE71,'17.01'!$AM$4:$AP$55,4,FALSE))</f>
        <v>0</v>
      </c>
      <c r="X71" s="4">
        <f>(VLOOKUP('17.01'!AF71,'17.01'!$AM$4:$AP$55,4,FALSE))</f>
        <v>0</v>
      </c>
    </row>
    <row r="72" spans="1:24">
      <c r="A72" s="4">
        <f>(VLOOKUP('17.01'!I72,'17.01'!$AM$4:$AP$55,4,FALSE))</f>
        <v>0</v>
      </c>
      <c r="B72" s="4">
        <f>(VLOOKUP('17.01'!J72,'17.01'!$AM$4:$AP$55,4,FALSE))</f>
        <v>0</v>
      </c>
      <c r="C72" s="4">
        <f>(VLOOKUP('17.01'!K72,'17.01'!$AM$4:$AP$55,4,FALSE))</f>
        <v>0</v>
      </c>
      <c r="D72" s="4">
        <f>(VLOOKUP('17.01'!L72,'17.01'!$AM$4:$AP$55,4,FALSE))</f>
        <v>0</v>
      </c>
      <c r="E72" s="4">
        <f>(VLOOKUP('17.01'!M72,'17.01'!$AM$4:$AP$55,4,FALSE))</f>
        <v>0</v>
      </c>
      <c r="F72" s="4">
        <f>(VLOOKUP('17.01'!N72,'17.01'!$AM$4:$AP$55,4,FALSE))</f>
        <v>0</v>
      </c>
      <c r="G72" s="4">
        <f>(VLOOKUP('17.01'!O72,'17.01'!$AM$4:$AP$55,4,FALSE))</f>
        <v>0</v>
      </c>
      <c r="H72" s="4">
        <f>(VLOOKUP('17.01'!P72,'17.01'!$AM$4:$AP$55,4,FALSE))</f>
        <v>0</v>
      </c>
      <c r="I72" s="4">
        <f>(VLOOKUP('17.01'!Q72,'17.01'!$AM$4:$AP$55,4,FALSE))</f>
        <v>0</v>
      </c>
      <c r="J72" s="4">
        <f>(VLOOKUP('17.01'!R72,'17.01'!$AM$4:$AP$55,4,FALSE))</f>
        <v>0</v>
      </c>
      <c r="K72" s="4">
        <f>(VLOOKUP('17.01'!S72,'17.01'!$AM$4:$AP$55,4,FALSE))</f>
        <v>0</v>
      </c>
      <c r="L72" s="4">
        <f>(VLOOKUP('17.01'!T72,'17.01'!$AM$4:$AP$55,4,FALSE))</f>
        <v>0</v>
      </c>
      <c r="M72" s="4">
        <f>(VLOOKUP('17.01'!U72,'17.01'!$AM$4:$AP$55,4,FALSE))</f>
        <v>0</v>
      </c>
      <c r="N72" s="4">
        <f>(VLOOKUP('17.01'!V72,'17.01'!$AM$4:$AP$55,4,FALSE))</f>
        <v>0</v>
      </c>
      <c r="O72" s="4">
        <f>(VLOOKUP('17.01'!W72,'17.01'!$AM$4:$AP$55,4,FALSE))</f>
        <v>0</v>
      </c>
      <c r="P72" s="4">
        <f>(VLOOKUP('17.01'!X72,'17.01'!$AM$4:$AP$55,4,FALSE))</f>
        <v>0</v>
      </c>
      <c r="Q72" s="4">
        <f>(VLOOKUP('17.01'!Y72,'17.01'!$AM$4:$AP$55,4,FALSE))</f>
        <v>0</v>
      </c>
      <c r="R72" s="4">
        <f>(VLOOKUP('17.01'!Z72,'17.01'!$AM$4:$AP$55,4,FALSE))</f>
        <v>0</v>
      </c>
      <c r="S72" s="4">
        <f>(VLOOKUP('17.01'!AA72,'17.01'!$AM$4:$AP$55,4,FALSE))</f>
        <v>0</v>
      </c>
      <c r="T72" s="4">
        <f>(VLOOKUP('17.01'!AB72,'17.01'!$AM$4:$AP$55,4,FALSE))</f>
        <v>0</v>
      </c>
      <c r="U72" s="4">
        <f>(VLOOKUP('17.01'!AC72,'17.01'!$AM$4:$AP$55,4,FALSE))</f>
        <v>0</v>
      </c>
      <c r="V72" s="4">
        <f>(VLOOKUP('17.01'!AD72,'17.01'!$AM$4:$AP$55,4,FALSE))</f>
        <v>0</v>
      </c>
      <c r="W72" s="4">
        <f>(VLOOKUP('17.01'!AE72,'17.01'!$AM$4:$AP$55,4,FALSE))</f>
        <v>0</v>
      </c>
      <c r="X72" s="4">
        <f>(VLOOKUP('17.01'!AF72,'17.01'!$AM$4:$AP$55,4,FALSE))</f>
        <v>0</v>
      </c>
    </row>
    <row r="73" spans="1:24">
      <c r="A73" s="4">
        <f>(VLOOKUP('17.01'!I73,'17.01'!$AM$4:$AP$55,4,FALSE))</f>
        <v>0</v>
      </c>
      <c r="B73" s="4">
        <f>(VLOOKUP('17.01'!J73,'17.01'!$AM$4:$AP$55,4,FALSE))</f>
        <v>0</v>
      </c>
      <c r="C73" s="4">
        <f>(VLOOKUP('17.01'!K73,'17.01'!$AM$4:$AP$55,4,FALSE))</f>
        <v>0</v>
      </c>
      <c r="D73" s="4">
        <f>(VLOOKUP('17.01'!L73,'17.01'!$AM$4:$AP$55,4,FALSE))</f>
        <v>0</v>
      </c>
      <c r="E73" s="4">
        <f>(VLOOKUP('17.01'!M73,'17.01'!$AM$4:$AP$55,4,FALSE))</f>
        <v>0</v>
      </c>
      <c r="F73" s="4">
        <f>(VLOOKUP('17.01'!N73,'17.01'!$AM$4:$AP$55,4,FALSE))</f>
        <v>0</v>
      </c>
      <c r="G73" s="4">
        <f>(VLOOKUP('17.01'!O73,'17.01'!$AM$4:$AP$55,4,FALSE))</f>
        <v>0</v>
      </c>
      <c r="H73" s="4">
        <f>(VLOOKUP('17.01'!P73,'17.01'!$AM$4:$AP$55,4,FALSE))</f>
        <v>0</v>
      </c>
      <c r="I73" s="4">
        <f>(VLOOKUP('17.01'!Q73,'17.01'!$AM$4:$AP$55,4,FALSE))</f>
        <v>0</v>
      </c>
      <c r="J73" s="4">
        <f>(VLOOKUP('17.01'!R73,'17.01'!$AM$4:$AP$55,4,FALSE))</f>
        <v>0</v>
      </c>
      <c r="K73" s="4">
        <f>(VLOOKUP('17.01'!S73,'17.01'!$AM$4:$AP$55,4,FALSE))</f>
        <v>0</v>
      </c>
      <c r="L73" s="4">
        <f>(VLOOKUP('17.01'!T73,'17.01'!$AM$4:$AP$55,4,FALSE))</f>
        <v>0</v>
      </c>
      <c r="M73" s="4">
        <f>(VLOOKUP('17.01'!U73,'17.01'!$AM$4:$AP$55,4,FALSE))</f>
        <v>0</v>
      </c>
      <c r="N73" s="4">
        <f>(VLOOKUP('17.01'!V73,'17.01'!$AM$4:$AP$55,4,FALSE))</f>
        <v>0</v>
      </c>
      <c r="O73" s="4">
        <f>(VLOOKUP('17.01'!W73,'17.01'!$AM$4:$AP$55,4,FALSE))</f>
        <v>0</v>
      </c>
      <c r="P73" s="4">
        <f>(VLOOKUP('17.01'!X73,'17.01'!$AM$4:$AP$55,4,FALSE))</f>
        <v>0</v>
      </c>
      <c r="Q73" s="4">
        <f>(VLOOKUP('17.01'!Y73,'17.01'!$AM$4:$AP$55,4,FALSE))</f>
        <v>0</v>
      </c>
      <c r="R73" s="4">
        <f>(VLOOKUP('17.01'!Z73,'17.01'!$AM$4:$AP$55,4,FALSE))</f>
        <v>0</v>
      </c>
      <c r="S73" s="4">
        <f>(VLOOKUP('17.01'!AA73,'17.01'!$AM$4:$AP$55,4,FALSE))</f>
        <v>0</v>
      </c>
      <c r="T73" s="4">
        <f>(VLOOKUP('17.01'!AB73,'17.01'!$AM$4:$AP$55,4,FALSE))</f>
        <v>0</v>
      </c>
      <c r="U73" s="4">
        <f>(VLOOKUP('17.01'!AC73,'17.01'!$AM$4:$AP$55,4,FALSE))</f>
        <v>0</v>
      </c>
      <c r="V73" s="4">
        <f>(VLOOKUP('17.01'!AD73,'17.01'!$AM$4:$AP$55,4,FALSE))</f>
        <v>0</v>
      </c>
      <c r="W73" s="4">
        <f>(VLOOKUP('17.01'!AE73,'17.01'!$AM$4:$AP$55,4,FALSE))</f>
        <v>0</v>
      </c>
      <c r="X73" s="4">
        <f>(VLOOKUP('17.01'!AF73,'17.01'!$AM$4:$AP$55,4,FALSE))</f>
        <v>0</v>
      </c>
    </row>
    <row r="74" spans="1:24">
      <c r="A74" s="4">
        <f>(VLOOKUP('17.01'!I74,'17.01'!$AM$4:$AP$55,4,FALSE))</f>
        <v>0</v>
      </c>
      <c r="B74" s="4">
        <f>(VLOOKUP('17.01'!J74,'17.01'!$AM$4:$AP$55,4,FALSE))</f>
        <v>0</v>
      </c>
      <c r="C74" s="4">
        <f>(VLOOKUP('17.01'!K74,'17.01'!$AM$4:$AP$55,4,FALSE))</f>
        <v>0</v>
      </c>
      <c r="D74" s="4">
        <f>(VLOOKUP('17.01'!L74,'17.01'!$AM$4:$AP$55,4,FALSE))</f>
        <v>0</v>
      </c>
      <c r="E74" s="4">
        <f>(VLOOKUP('17.01'!M74,'17.01'!$AM$4:$AP$55,4,FALSE))</f>
        <v>0</v>
      </c>
      <c r="F74" s="4">
        <f>(VLOOKUP('17.01'!N74,'17.01'!$AM$4:$AP$55,4,FALSE))</f>
        <v>0</v>
      </c>
      <c r="G74" s="4">
        <f>(VLOOKUP('17.01'!O74,'17.01'!$AM$4:$AP$55,4,FALSE))</f>
        <v>0</v>
      </c>
      <c r="H74" s="4">
        <f>(VLOOKUP('17.01'!P74,'17.01'!$AM$4:$AP$55,4,FALSE))</f>
        <v>0</v>
      </c>
      <c r="I74" s="4">
        <f>(VLOOKUP('17.01'!Q74,'17.01'!$AM$4:$AP$55,4,FALSE))</f>
        <v>0</v>
      </c>
      <c r="J74" s="4">
        <f>(VLOOKUP('17.01'!R74,'17.01'!$AM$4:$AP$55,4,FALSE))</f>
        <v>0</v>
      </c>
      <c r="K74" s="4">
        <f>(VLOOKUP('17.01'!S74,'17.01'!$AM$4:$AP$55,4,FALSE))</f>
        <v>0</v>
      </c>
      <c r="L74" s="4">
        <f>(VLOOKUP('17.01'!T74,'17.01'!$AM$4:$AP$55,4,FALSE))</f>
        <v>0</v>
      </c>
      <c r="M74" s="4">
        <f>(VLOOKUP('17.01'!U74,'17.01'!$AM$4:$AP$55,4,FALSE))</f>
        <v>0</v>
      </c>
      <c r="N74" s="4">
        <f>(VLOOKUP('17.01'!V74,'17.01'!$AM$4:$AP$55,4,FALSE))</f>
        <v>0</v>
      </c>
      <c r="O74" s="4">
        <f>(VLOOKUP('17.01'!W74,'17.01'!$AM$4:$AP$55,4,FALSE))</f>
        <v>0</v>
      </c>
      <c r="P74" s="4">
        <f>(VLOOKUP('17.01'!X74,'17.01'!$AM$4:$AP$55,4,FALSE))</f>
        <v>0</v>
      </c>
      <c r="Q74" s="4">
        <f>(VLOOKUP('17.01'!Y74,'17.01'!$AM$4:$AP$55,4,FALSE))</f>
        <v>0</v>
      </c>
      <c r="R74" s="4">
        <f>(VLOOKUP('17.01'!Z74,'17.01'!$AM$4:$AP$55,4,FALSE))</f>
        <v>0</v>
      </c>
      <c r="S74" s="4">
        <f>(VLOOKUP('17.01'!AA74,'17.01'!$AM$4:$AP$55,4,FALSE))</f>
        <v>0</v>
      </c>
      <c r="T74" s="4">
        <f>(VLOOKUP('17.01'!AB74,'17.01'!$AM$4:$AP$55,4,FALSE))</f>
        <v>0</v>
      </c>
      <c r="U74" s="4">
        <f>(VLOOKUP('17.01'!AC74,'17.01'!$AM$4:$AP$55,4,FALSE))</f>
        <v>0</v>
      </c>
      <c r="V74" s="4">
        <f>(VLOOKUP('17.01'!AD74,'17.01'!$AM$4:$AP$55,4,FALSE))</f>
        <v>0</v>
      </c>
      <c r="W74" s="4">
        <f>(VLOOKUP('17.01'!AE74,'17.01'!$AM$4:$AP$55,4,FALSE))</f>
        <v>0</v>
      </c>
      <c r="X74" s="4">
        <f>(VLOOKUP('17.01'!AF74,'17.01'!$AM$4:$AP$55,4,FALSE))</f>
        <v>0</v>
      </c>
    </row>
    <row r="75" spans="1:24">
      <c r="A75" s="4">
        <f>(VLOOKUP('17.01'!I75,'17.01'!$AM$4:$AP$55,4,FALSE))</f>
        <v>0</v>
      </c>
      <c r="B75" s="4">
        <f>(VLOOKUP('17.01'!J75,'17.01'!$AM$4:$AP$55,4,FALSE))</f>
        <v>0</v>
      </c>
      <c r="C75" s="4">
        <f>(VLOOKUP('17.01'!K75,'17.01'!$AM$4:$AP$55,4,FALSE))</f>
        <v>0</v>
      </c>
      <c r="D75" s="4">
        <f>(VLOOKUP('17.01'!L75,'17.01'!$AM$4:$AP$55,4,FALSE))</f>
        <v>0</v>
      </c>
      <c r="E75" s="4">
        <f>(VLOOKUP('17.01'!M75,'17.01'!$AM$4:$AP$55,4,FALSE))</f>
        <v>0</v>
      </c>
      <c r="F75" s="4">
        <f>(VLOOKUP('17.01'!N75,'17.01'!$AM$4:$AP$55,4,FALSE))</f>
        <v>0</v>
      </c>
      <c r="G75" s="4">
        <f>(VLOOKUP('17.01'!O75,'17.01'!$AM$4:$AP$55,4,FALSE))</f>
        <v>0</v>
      </c>
      <c r="H75" s="4">
        <f>(VLOOKUP('17.01'!P75,'17.01'!$AM$4:$AP$55,4,FALSE))</f>
        <v>0</v>
      </c>
      <c r="I75" s="4">
        <f>(VLOOKUP('17.01'!Q75,'17.01'!$AM$4:$AP$55,4,FALSE))</f>
        <v>0</v>
      </c>
      <c r="J75" s="4">
        <f>(VLOOKUP('17.01'!R75,'17.01'!$AM$4:$AP$55,4,FALSE))</f>
        <v>0</v>
      </c>
      <c r="K75" s="4">
        <f>(VLOOKUP('17.01'!S75,'17.01'!$AM$4:$AP$55,4,FALSE))</f>
        <v>0</v>
      </c>
      <c r="L75" s="4">
        <f>(VLOOKUP('17.01'!T75,'17.01'!$AM$4:$AP$55,4,FALSE))</f>
        <v>0</v>
      </c>
      <c r="M75" s="4">
        <f>(VLOOKUP('17.01'!U75,'17.01'!$AM$4:$AP$55,4,FALSE))</f>
        <v>0</v>
      </c>
      <c r="N75" s="4">
        <f>(VLOOKUP('17.01'!V75,'17.01'!$AM$4:$AP$55,4,FALSE))</f>
        <v>0</v>
      </c>
      <c r="O75" s="4">
        <f>(VLOOKUP('17.01'!W75,'17.01'!$AM$4:$AP$55,4,FALSE))</f>
        <v>0</v>
      </c>
      <c r="P75" s="4">
        <f>(VLOOKUP('17.01'!X75,'17.01'!$AM$4:$AP$55,4,FALSE))</f>
        <v>0</v>
      </c>
      <c r="Q75" s="4">
        <f>(VLOOKUP('17.01'!Y75,'17.01'!$AM$4:$AP$55,4,FALSE))</f>
        <v>0</v>
      </c>
      <c r="R75" s="4">
        <f>(VLOOKUP('17.01'!Z75,'17.01'!$AM$4:$AP$55,4,FALSE))</f>
        <v>0</v>
      </c>
      <c r="S75" s="4">
        <f>(VLOOKUP('17.01'!AA75,'17.01'!$AM$4:$AP$55,4,FALSE))</f>
        <v>0</v>
      </c>
      <c r="T75" s="4">
        <f>(VLOOKUP('17.01'!AB75,'17.01'!$AM$4:$AP$55,4,FALSE))</f>
        <v>0</v>
      </c>
      <c r="U75" s="4">
        <f>(VLOOKUP('17.01'!AC75,'17.01'!$AM$4:$AP$55,4,FALSE))</f>
        <v>0</v>
      </c>
      <c r="V75" s="4">
        <f>(VLOOKUP('17.01'!AD75,'17.01'!$AM$4:$AP$55,4,FALSE))</f>
        <v>0</v>
      </c>
      <c r="W75" s="4">
        <f>(VLOOKUP('17.01'!AE75,'17.01'!$AM$4:$AP$55,4,FALSE))</f>
        <v>0</v>
      </c>
      <c r="X75" s="4">
        <f>(VLOOKUP('17.01'!AF75,'17.01'!$AM$4:$AP$55,4,FALSE))</f>
        <v>0</v>
      </c>
    </row>
    <row r="76" spans="1:24">
      <c r="A76" s="4">
        <f>(VLOOKUP('17.01'!I76,'17.01'!$AM$4:$AP$55,4,FALSE))</f>
        <v>0</v>
      </c>
      <c r="B76" s="4">
        <f>(VLOOKUP('17.01'!J76,'17.01'!$AM$4:$AP$55,4,FALSE))</f>
        <v>0</v>
      </c>
      <c r="C76" s="4">
        <f>(VLOOKUP('17.01'!K76,'17.01'!$AM$4:$AP$55,4,FALSE))</f>
        <v>0</v>
      </c>
      <c r="D76" s="4">
        <f>(VLOOKUP('17.01'!L76,'17.01'!$AM$4:$AP$55,4,FALSE))</f>
        <v>0</v>
      </c>
      <c r="E76" s="4">
        <f>(VLOOKUP('17.01'!M76,'17.01'!$AM$4:$AP$55,4,FALSE))</f>
        <v>0</v>
      </c>
      <c r="F76" s="4">
        <f>(VLOOKUP('17.01'!N76,'17.01'!$AM$4:$AP$55,4,FALSE))</f>
        <v>0</v>
      </c>
      <c r="G76" s="4">
        <f>(VLOOKUP('17.01'!O76,'17.01'!$AM$4:$AP$55,4,FALSE))</f>
        <v>0</v>
      </c>
      <c r="H76" s="4">
        <f>(VLOOKUP('17.01'!P76,'17.01'!$AM$4:$AP$55,4,FALSE))</f>
        <v>0</v>
      </c>
      <c r="I76" s="4">
        <f>(VLOOKUP('17.01'!Q76,'17.01'!$AM$4:$AP$55,4,FALSE))</f>
        <v>0</v>
      </c>
      <c r="J76" s="4">
        <f>(VLOOKUP('17.01'!R76,'17.01'!$AM$4:$AP$55,4,FALSE))</f>
        <v>0</v>
      </c>
      <c r="K76" s="4">
        <f>(VLOOKUP('17.01'!S76,'17.01'!$AM$4:$AP$55,4,FALSE))</f>
        <v>0</v>
      </c>
      <c r="L76" s="4">
        <f>(VLOOKUP('17.01'!T76,'17.01'!$AM$4:$AP$55,4,FALSE))</f>
        <v>0</v>
      </c>
      <c r="M76" s="4">
        <f>(VLOOKUP('17.01'!U76,'17.01'!$AM$4:$AP$55,4,FALSE))</f>
        <v>0</v>
      </c>
      <c r="N76" s="4">
        <f>(VLOOKUP('17.01'!V76,'17.01'!$AM$4:$AP$55,4,FALSE))</f>
        <v>0</v>
      </c>
      <c r="O76" s="4">
        <f>(VLOOKUP('17.01'!W76,'17.01'!$AM$4:$AP$55,4,FALSE))</f>
        <v>0</v>
      </c>
      <c r="P76" s="4">
        <f>(VLOOKUP('17.01'!X76,'17.01'!$AM$4:$AP$55,4,FALSE))</f>
        <v>0</v>
      </c>
      <c r="Q76" s="4">
        <f>(VLOOKUP('17.01'!Y76,'17.01'!$AM$4:$AP$55,4,FALSE))</f>
        <v>0</v>
      </c>
      <c r="R76" s="4">
        <f>(VLOOKUP('17.01'!Z76,'17.01'!$AM$4:$AP$55,4,FALSE))</f>
        <v>0</v>
      </c>
      <c r="S76" s="4">
        <f>(VLOOKUP('17.01'!AA76,'17.01'!$AM$4:$AP$55,4,FALSE))</f>
        <v>0</v>
      </c>
      <c r="T76" s="4">
        <f>(VLOOKUP('17.01'!AB76,'17.01'!$AM$4:$AP$55,4,FALSE))</f>
        <v>0</v>
      </c>
      <c r="U76" s="4">
        <f>(VLOOKUP('17.01'!AC76,'17.01'!$AM$4:$AP$55,4,FALSE))</f>
        <v>0</v>
      </c>
      <c r="V76" s="4">
        <f>(VLOOKUP('17.01'!AD76,'17.01'!$AM$4:$AP$55,4,FALSE))</f>
        <v>0</v>
      </c>
      <c r="W76" s="4">
        <f>(VLOOKUP('17.01'!AE76,'17.01'!$AM$4:$AP$55,4,FALSE))</f>
        <v>0</v>
      </c>
      <c r="X76" s="4">
        <f>(VLOOKUP('17.01'!AF76,'17.01'!$AM$4:$AP$55,4,FALSE))</f>
        <v>0</v>
      </c>
    </row>
    <row r="77" spans="1:24">
      <c r="A77" s="4">
        <f>(VLOOKUP('17.01'!I77,'17.01'!$AM$4:$AP$55,4,FALSE))</f>
        <v>0</v>
      </c>
      <c r="B77" s="4">
        <f>(VLOOKUP('17.01'!J77,'17.01'!$AM$4:$AP$55,4,FALSE))</f>
        <v>0</v>
      </c>
      <c r="C77" s="4">
        <f>(VLOOKUP('17.01'!K77,'17.01'!$AM$4:$AP$55,4,FALSE))</f>
        <v>0</v>
      </c>
      <c r="D77" s="4">
        <f>(VLOOKUP('17.01'!L77,'17.01'!$AM$4:$AP$55,4,FALSE))</f>
        <v>0</v>
      </c>
      <c r="E77" s="4">
        <f>(VLOOKUP('17.01'!M77,'17.01'!$AM$4:$AP$55,4,FALSE))</f>
        <v>0</v>
      </c>
      <c r="F77" s="4">
        <f>(VLOOKUP('17.01'!N77,'17.01'!$AM$4:$AP$55,4,FALSE))</f>
        <v>0</v>
      </c>
      <c r="G77" s="4">
        <f>(VLOOKUP('17.01'!O77,'17.01'!$AM$4:$AP$55,4,FALSE))</f>
        <v>0</v>
      </c>
      <c r="H77" s="4">
        <f>(VLOOKUP('17.01'!P77,'17.01'!$AM$4:$AP$55,4,FALSE))</f>
        <v>0</v>
      </c>
      <c r="I77" s="4">
        <f>(VLOOKUP('17.01'!Q77,'17.01'!$AM$4:$AP$55,4,FALSE))</f>
        <v>0</v>
      </c>
      <c r="J77" s="4">
        <f>(VLOOKUP('17.01'!R77,'17.01'!$AM$4:$AP$55,4,FALSE))</f>
        <v>0</v>
      </c>
      <c r="K77" s="4">
        <f>(VLOOKUP('17.01'!S77,'17.01'!$AM$4:$AP$55,4,FALSE))</f>
        <v>0</v>
      </c>
      <c r="L77" s="4">
        <f>(VLOOKUP('17.01'!T77,'17.01'!$AM$4:$AP$55,4,FALSE))</f>
        <v>0</v>
      </c>
      <c r="M77" s="4">
        <f>(VLOOKUP('17.01'!U77,'17.01'!$AM$4:$AP$55,4,FALSE))</f>
        <v>0</v>
      </c>
      <c r="N77" s="4">
        <f>(VLOOKUP('17.01'!V77,'17.01'!$AM$4:$AP$55,4,FALSE))</f>
        <v>0</v>
      </c>
      <c r="O77" s="4">
        <f>(VLOOKUP('17.01'!W77,'17.01'!$AM$4:$AP$55,4,FALSE))</f>
        <v>0</v>
      </c>
      <c r="P77" s="4">
        <f>(VLOOKUP('17.01'!X77,'17.01'!$AM$4:$AP$55,4,FALSE))</f>
        <v>0</v>
      </c>
      <c r="Q77" s="4">
        <f>(VLOOKUP('17.01'!Y77,'17.01'!$AM$4:$AP$55,4,FALSE))</f>
        <v>0</v>
      </c>
      <c r="R77" s="4">
        <f>(VLOOKUP('17.01'!Z77,'17.01'!$AM$4:$AP$55,4,FALSE))</f>
        <v>0</v>
      </c>
      <c r="S77" s="4">
        <f>(VLOOKUP('17.01'!AA77,'17.01'!$AM$4:$AP$55,4,FALSE))</f>
        <v>0</v>
      </c>
      <c r="T77" s="4">
        <f>(VLOOKUP('17.01'!AB77,'17.01'!$AM$4:$AP$55,4,FALSE))</f>
        <v>0</v>
      </c>
      <c r="U77" s="4">
        <f>(VLOOKUP('17.01'!AC77,'17.01'!$AM$4:$AP$55,4,FALSE))</f>
        <v>0</v>
      </c>
      <c r="V77" s="4">
        <f>(VLOOKUP('17.01'!AD77,'17.01'!$AM$4:$AP$55,4,FALSE))</f>
        <v>0</v>
      </c>
      <c r="W77" s="4">
        <f>(VLOOKUP('17.01'!AE77,'17.01'!$AM$4:$AP$55,4,FALSE))</f>
        <v>0</v>
      </c>
      <c r="X77" s="4">
        <f>(VLOOKUP('17.01'!AF77,'17.01'!$AM$4:$AP$55,4,FALSE))</f>
        <v>0</v>
      </c>
    </row>
    <row r="78" spans="1:24">
      <c r="A78" s="4">
        <f>(VLOOKUP('17.01'!I78,'17.01'!$AM$4:$AP$55,4,FALSE))</f>
        <v>0</v>
      </c>
      <c r="B78" s="4">
        <f>(VLOOKUP('17.01'!J78,'17.01'!$AM$4:$AP$55,4,FALSE))</f>
        <v>0</v>
      </c>
      <c r="C78" s="4">
        <f>(VLOOKUP('17.01'!K78,'17.01'!$AM$4:$AP$55,4,FALSE))</f>
        <v>0</v>
      </c>
      <c r="D78" s="4">
        <f>(VLOOKUP('17.01'!L78,'17.01'!$AM$4:$AP$55,4,FALSE))</f>
        <v>0</v>
      </c>
      <c r="E78" s="4">
        <f>(VLOOKUP('17.01'!M78,'17.01'!$AM$4:$AP$55,4,FALSE))</f>
        <v>0</v>
      </c>
      <c r="F78" s="4">
        <f>(VLOOKUP('17.01'!N78,'17.01'!$AM$4:$AP$55,4,FALSE))</f>
        <v>0</v>
      </c>
      <c r="G78" s="4">
        <f>(VLOOKUP('17.01'!O78,'17.01'!$AM$4:$AP$55,4,FALSE))</f>
        <v>0</v>
      </c>
      <c r="H78" s="4">
        <f>(VLOOKUP('17.01'!P78,'17.01'!$AM$4:$AP$55,4,FALSE))</f>
        <v>0</v>
      </c>
      <c r="I78" s="4">
        <f>(VLOOKUP('17.01'!Q78,'17.01'!$AM$4:$AP$55,4,FALSE))</f>
        <v>0</v>
      </c>
      <c r="J78" s="4">
        <f>(VLOOKUP('17.01'!R78,'17.01'!$AM$4:$AP$55,4,FALSE))</f>
        <v>0</v>
      </c>
      <c r="K78" s="4">
        <f>(VLOOKUP('17.01'!S78,'17.01'!$AM$4:$AP$55,4,FALSE))</f>
        <v>0</v>
      </c>
      <c r="L78" s="4">
        <f>(VLOOKUP('17.01'!T78,'17.01'!$AM$4:$AP$55,4,FALSE))</f>
        <v>0</v>
      </c>
      <c r="M78" s="4">
        <f>(VLOOKUP('17.01'!U78,'17.01'!$AM$4:$AP$55,4,FALSE))</f>
        <v>0</v>
      </c>
      <c r="N78" s="4">
        <f>(VLOOKUP('17.01'!V78,'17.01'!$AM$4:$AP$55,4,FALSE))</f>
        <v>0</v>
      </c>
      <c r="O78" s="4">
        <f>(VLOOKUP('17.01'!W78,'17.01'!$AM$4:$AP$55,4,FALSE))</f>
        <v>0</v>
      </c>
      <c r="P78" s="4">
        <f>(VLOOKUP('17.01'!X78,'17.01'!$AM$4:$AP$55,4,FALSE))</f>
        <v>0</v>
      </c>
      <c r="Q78" s="4">
        <f>(VLOOKUP('17.01'!Y78,'17.01'!$AM$4:$AP$55,4,FALSE))</f>
        <v>0</v>
      </c>
      <c r="R78" s="4">
        <f>(VLOOKUP('17.01'!Z78,'17.01'!$AM$4:$AP$55,4,FALSE))</f>
        <v>0</v>
      </c>
      <c r="S78" s="4">
        <f>(VLOOKUP('17.01'!AA78,'17.01'!$AM$4:$AP$55,4,FALSE))</f>
        <v>0</v>
      </c>
      <c r="T78" s="4">
        <f>(VLOOKUP('17.01'!AB78,'17.01'!$AM$4:$AP$55,4,FALSE))</f>
        <v>0</v>
      </c>
      <c r="U78" s="4">
        <f>(VLOOKUP('17.01'!AC78,'17.01'!$AM$4:$AP$55,4,FALSE))</f>
        <v>0</v>
      </c>
      <c r="V78" s="4">
        <f>(VLOOKUP('17.01'!AD78,'17.01'!$AM$4:$AP$55,4,FALSE))</f>
        <v>0</v>
      </c>
      <c r="W78" s="4">
        <f>(VLOOKUP('17.01'!AE78,'17.01'!$AM$4:$AP$55,4,FALSE))</f>
        <v>0</v>
      </c>
      <c r="X78" s="4">
        <f>(VLOOKUP('17.01'!AF78,'17.01'!$AM$4:$AP$55,4,FALSE))</f>
        <v>0</v>
      </c>
    </row>
    <row r="79" spans="1:24">
      <c r="A79" s="4">
        <f>(VLOOKUP('17.01'!I79,'17.01'!$AM$4:$AP$55,4,FALSE))</f>
        <v>0</v>
      </c>
      <c r="B79" s="4">
        <f>(VLOOKUP('17.01'!J79,'17.01'!$AM$4:$AP$55,4,FALSE))</f>
        <v>0</v>
      </c>
      <c r="C79" s="4">
        <f>(VLOOKUP('17.01'!K79,'17.01'!$AM$4:$AP$55,4,FALSE))</f>
        <v>0</v>
      </c>
      <c r="D79" s="4">
        <f>(VLOOKUP('17.01'!L79,'17.01'!$AM$4:$AP$55,4,FALSE))</f>
        <v>0</v>
      </c>
      <c r="E79" s="4">
        <f>(VLOOKUP('17.01'!M79,'17.01'!$AM$4:$AP$55,4,FALSE))</f>
        <v>0</v>
      </c>
      <c r="F79" s="4">
        <f>(VLOOKUP('17.01'!N79,'17.01'!$AM$4:$AP$55,4,FALSE))</f>
        <v>0</v>
      </c>
      <c r="G79" s="4">
        <f>(VLOOKUP('17.01'!O79,'17.01'!$AM$4:$AP$55,4,FALSE))</f>
        <v>0</v>
      </c>
      <c r="H79" s="4">
        <f>(VLOOKUP('17.01'!P79,'17.01'!$AM$4:$AP$55,4,FALSE))</f>
        <v>0</v>
      </c>
      <c r="I79" s="4">
        <f>(VLOOKUP('17.01'!Q79,'17.01'!$AM$4:$AP$55,4,FALSE))</f>
        <v>0</v>
      </c>
      <c r="J79" s="4">
        <f>(VLOOKUP('17.01'!R79,'17.01'!$AM$4:$AP$55,4,FALSE))</f>
        <v>0</v>
      </c>
      <c r="K79" s="4">
        <f>(VLOOKUP('17.01'!S79,'17.01'!$AM$4:$AP$55,4,FALSE))</f>
        <v>0</v>
      </c>
      <c r="L79" s="4">
        <f>(VLOOKUP('17.01'!T79,'17.01'!$AM$4:$AP$55,4,FALSE))</f>
        <v>0</v>
      </c>
      <c r="M79" s="4">
        <f>(VLOOKUP('17.01'!U79,'17.01'!$AM$4:$AP$55,4,FALSE))</f>
        <v>0</v>
      </c>
      <c r="N79" s="4">
        <f>(VLOOKUP('17.01'!V79,'17.01'!$AM$4:$AP$55,4,FALSE))</f>
        <v>0</v>
      </c>
      <c r="O79" s="4">
        <f>(VLOOKUP('17.01'!W79,'17.01'!$AM$4:$AP$55,4,FALSE))</f>
        <v>0</v>
      </c>
      <c r="P79" s="4">
        <f>(VLOOKUP('17.01'!X79,'17.01'!$AM$4:$AP$55,4,FALSE))</f>
        <v>0</v>
      </c>
      <c r="Q79" s="4">
        <f>(VLOOKUP('17.01'!Y79,'17.01'!$AM$4:$AP$55,4,FALSE))</f>
        <v>0</v>
      </c>
      <c r="R79" s="4">
        <f>(VLOOKUP('17.01'!Z79,'17.01'!$AM$4:$AP$55,4,FALSE))</f>
        <v>0</v>
      </c>
      <c r="S79" s="4">
        <f>(VLOOKUP('17.01'!AA79,'17.01'!$AM$4:$AP$55,4,FALSE))</f>
        <v>0</v>
      </c>
      <c r="T79" s="4">
        <f>(VLOOKUP('17.01'!AB79,'17.01'!$AM$4:$AP$55,4,FALSE))</f>
        <v>0</v>
      </c>
      <c r="U79" s="4">
        <f>(VLOOKUP('17.01'!AC79,'17.01'!$AM$4:$AP$55,4,FALSE))</f>
        <v>0</v>
      </c>
      <c r="V79" s="4">
        <f>(VLOOKUP('17.01'!AD79,'17.01'!$AM$4:$AP$55,4,FALSE))</f>
        <v>0</v>
      </c>
      <c r="W79" s="4">
        <f>(VLOOKUP('17.01'!AE79,'17.01'!$AM$4:$AP$55,4,FALSE))</f>
        <v>0</v>
      </c>
      <c r="X79" s="4">
        <f>(VLOOKUP('17.01'!AF79,'17.01'!$AM$4:$AP$55,4,FALSE))</f>
        <v>0</v>
      </c>
    </row>
    <row r="80" spans="1:24">
      <c r="A80" s="4">
        <f>(VLOOKUP('17.01'!I80,'17.01'!$AM$4:$AP$55,4,FALSE))</f>
        <v>0</v>
      </c>
      <c r="B80" s="4">
        <f>(VLOOKUP('17.01'!J80,'17.01'!$AM$4:$AP$55,4,FALSE))</f>
        <v>0</v>
      </c>
      <c r="C80" s="4">
        <f>(VLOOKUP('17.01'!K80,'17.01'!$AM$4:$AP$55,4,FALSE))</f>
        <v>0</v>
      </c>
      <c r="D80" s="4">
        <f>(VLOOKUP('17.01'!L80,'17.01'!$AM$4:$AP$55,4,FALSE))</f>
        <v>0</v>
      </c>
      <c r="E80" s="4">
        <f>(VLOOKUP('17.01'!M80,'17.01'!$AM$4:$AP$55,4,FALSE))</f>
        <v>0</v>
      </c>
      <c r="F80" s="4">
        <f>(VLOOKUP('17.01'!N80,'17.01'!$AM$4:$AP$55,4,FALSE))</f>
        <v>0</v>
      </c>
      <c r="G80" s="4">
        <f>(VLOOKUP('17.01'!O80,'17.01'!$AM$4:$AP$55,4,FALSE))</f>
        <v>0</v>
      </c>
      <c r="H80" s="4">
        <f>(VLOOKUP('17.01'!P80,'17.01'!$AM$4:$AP$55,4,FALSE))</f>
        <v>0</v>
      </c>
      <c r="I80" s="4">
        <f>(VLOOKUP('17.01'!Q80,'17.01'!$AM$4:$AP$55,4,FALSE))</f>
        <v>0</v>
      </c>
      <c r="J80" s="4">
        <f>(VLOOKUP('17.01'!R80,'17.01'!$AM$4:$AP$55,4,FALSE))</f>
        <v>0</v>
      </c>
      <c r="K80" s="4">
        <f>(VLOOKUP('17.01'!S80,'17.01'!$AM$4:$AP$55,4,FALSE))</f>
        <v>0</v>
      </c>
      <c r="L80" s="4">
        <f>(VLOOKUP('17.01'!T80,'17.01'!$AM$4:$AP$55,4,FALSE))</f>
        <v>0</v>
      </c>
      <c r="M80" s="4">
        <f>(VLOOKUP('17.01'!U80,'17.01'!$AM$4:$AP$55,4,FALSE))</f>
        <v>0</v>
      </c>
      <c r="N80" s="4">
        <f>(VLOOKUP('17.01'!V80,'17.01'!$AM$4:$AP$55,4,FALSE))</f>
        <v>0</v>
      </c>
      <c r="O80" s="4">
        <f>(VLOOKUP('17.01'!W80,'17.01'!$AM$4:$AP$55,4,FALSE))</f>
        <v>0</v>
      </c>
      <c r="P80" s="4">
        <f>(VLOOKUP('17.01'!X80,'17.01'!$AM$4:$AP$55,4,FALSE))</f>
        <v>0</v>
      </c>
      <c r="Q80" s="4">
        <f>(VLOOKUP('17.01'!Y80,'17.01'!$AM$4:$AP$55,4,FALSE))</f>
        <v>0</v>
      </c>
      <c r="R80" s="4">
        <f>(VLOOKUP('17.01'!Z80,'17.01'!$AM$4:$AP$55,4,FALSE))</f>
        <v>0</v>
      </c>
      <c r="S80" s="4">
        <f>(VLOOKUP('17.01'!AA80,'17.01'!$AM$4:$AP$55,4,FALSE))</f>
        <v>0</v>
      </c>
      <c r="T80" s="4">
        <f>(VLOOKUP('17.01'!AB80,'17.01'!$AM$4:$AP$55,4,FALSE))</f>
        <v>0</v>
      </c>
      <c r="U80" s="4">
        <f>(VLOOKUP('17.01'!AC80,'17.01'!$AM$4:$AP$55,4,FALSE))</f>
        <v>0</v>
      </c>
      <c r="V80" s="4">
        <f>(VLOOKUP('17.01'!AD80,'17.01'!$AM$4:$AP$55,4,FALSE))</f>
        <v>0</v>
      </c>
      <c r="W80" s="4">
        <f>(VLOOKUP('17.01'!AE80,'17.01'!$AM$4:$AP$55,4,FALSE))</f>
        <v>0</v>
      </c>
      <c r="X80" s="4">
        <f>(VLOOKUP('17.01'!AF80,'17.01'!$AM$4:$AP$55,4,FALSE))</f>
        <v>0</v>
      </c>
    </row>
    <row r="81" spans="1:24">
      <c r="A81" s="4">
        <f>(VLOOKUP('17.01'!I81,'17.01'!$AM$4:$AP$55,4,FALSE))</f>
        <v>0</v>
      </c>
      <c r="B81" s="4">
        <f>(VLOOKUP('17.01'!J81,'17.01'!$AM$4:$AP$55,4,FALSE))</f>
        <v>0</v>
      </c>
      <c r="C81" s="4">
        <f>(VLOOKUP('17.01'!K81,'17.01'!$AM$4:$AP$55,4,FALSE))</f>
        <v>0</v>
      </c>
      <c r="D81" s="4">
        <f>(VLOOKUP('17.01'!L81,'17.01'!$AM$4:$AP$55,4,FALSE))</f>
        <v>0</v>
      </c>
      <c r="E81" s="4">
        <f>(VLOOKUP('17.01'!M81,'17.01'!$AM$4:$AP$55,4,FALSE))</f>
        <v>0</v>
      </c>
      <c r="F81" s="4">
        <f>(VLOOKUP('17.01'!N81,'17.01'!$AM$4:$AP$55,4,FALSE))</f>
        <v>0</v>
      </c>
      <c r="G81" s="4">
        <f>(VLOOKUP('17.01'!O81,'17.01'!$AM$4:$AP$55,4,FALSE))</f>
        <v>0</v>
      </c>
      <c r="H81" s="4">
        <f>(VLOOKUP('17.01'!P81,'17.01'!$AM$4:$AP$55,4,FALSE))</f>
        <v>0</v>
      </c>
      <c r="I81" s="4">
        <f>(VLOOKUP('17.01'!Q81,'17.01'!$AM$4:$AP$55,4,FALSE))</f>
        <v>0</v>
      </c>
      <c r="J81" s="4">
        <f>(VLOOKUP('17.01'!R81,'17.01'!$AM$4:$AP$55,4,FALSE))</f>
        <v>0</v>
      </c>
      <c r="K81" s="4">
        <f>(VLOOKUP('17.01'!S81,'17.01'!$AM$4:$AP$55,4,FALSE))</f>
        <v>0</v>
      </c>
      <c r="L81" s="4">
        <f>(VLOOKUP('17.01'!T81,'17.01'!$AM$4:$AP$55,4,FALSE))</f>
        <v>0</v>
      </c>
      <c r="M81" s="4">
        <f>(VLOOKUP('17.01'!U81,'17.01'!$AM$4:$AP$55,4,FALSE))</f>
        <v>0</v>
      </c>
      <c r="N81" s="4">
        <f>(VLOOKUP('17.01'!V81,'17.01'!$AM$4:$AP$55,4,FALSE))</f>
        <v>0</v>
      </c>
      <c r="O81" s="4">
        <f>(VLOOKUP('17.01'!W81,'17.01'!$AM$4:$AP$55,4,FALSE))</f>
        <v>0</v>
      </c>
      <c r="P81" s="4">
        <f>(VLOOKUP('17.01'!X81,'17.01'!$AM$4:$AP$55,4,FALSE))</f>
        <v>0</v>
      </c>
      <c r="Q81" s="4">
        <f>(VLOOKUP('17.01'!Y81,'17.01'!$AM$4:$AP$55,4,FALSE))</f>
        <v>0</v>
      </c>
      <c r="R81" s="4">
        <f>(VLOOKUP('17.01'!Z81,'17.01'!$AM$4:$AP$55,4,FALSE))</f>
        <v>0</v>
      </c>
      <c r="S81" s="4">
        <f>(VLOOKUP('17.01'!AA81,'17.01'!$AM$4:$AP$55,4,FALSE))</f>
        <v>0</v>
      </c>
      <c r="T81" s="4">
        <f>(VLOOKUP('17.01'!AB81,'17.01'!$AM$4:$AP$55,4,FALSE))</f>
        <v>0</v>
      </c>
      <c r="U81" s="4">
        <f>(VLOOKUP('17.01'!AC81,'17.01'!$AM$4:$AP$55,4,FALSE))</f>
        <v>0</v>
      </c>
      <c r="V81" s="4">
        <f>(VLOOKUP('17.01'!AD81,'17.01'!$AM$4:$AP$55,4,FALSE))</f>
        <v>0</v>
      </c>
      <c r="W81" s="4">
        <f>(VLOOKUP('17.01'!AE81,'17.01'!$AM$4:$AP$55,4,FALSE))</f>
        <v>0</v>
      </c>
      <c r="X81" s="4">
        <f>(VLOOKUP('17.01'!AF81,'17.01'!$AM$4:$AP$55,4,FALSE))</f>
        <v>0</v>
      </c>
    </row>
    <row r="82" spans="1:24">
      <c r="A82" s="4">
        <f>(VLOOKUP('17.01'!I82,'17.01'!$AM$4:$AP$55,4,FALSE))</f>
        <v>0</v>
      </c>
      <c r="B82" s="4">
        <f>(VLOOKUP('17.01'!J82,'17.01'!$AM$4:$AP$55,4,FALSE))</f>
        <v>0</v>
      </c>
      <c r="C82" s="4">
        <f>(VLOOKUP('17.01'!K82,'17.01'!$AM$4:$AP$55,4,FALSE))</f>
        <v>0</v>
      </c>
      <c r="D82" s="4">
        <f>(VLOOKUP('17.01'!L82,'17.01'!$AM$4:$AP$55,4,FALSE))</f>
        <v>0</v>
      </c>
      <c r="E82" s="4">
        <f>(VLOOKUP('17.01'!M82,'17.01'!$AM$4:$AP$55,4,FALSE))</f>
        <v>0</v>
      </c>
      <c r="F82" s="4">
        <f>(VLOOKUP('17.01'!N82,'17.01'!$AM$4:$AP$55,4,FALSE))</f>
        <v>0</v>
      </c>
      <c r="G82" s="4">
        <f>(VLOOKUP('17.01'!O82,'17.01'!$AM$4:$AP$55,4,FALSE))</f>
        <v>0</v>
      </c>
      <c r="H82" s="4">
        <f>(VLOOKUP('17.01'!P82,'17.01'!$AM$4:$AP$55,4,FALSE))</f>
        <v>0</v>
      </c>
      <c r="I82" s="4">
        <f>(VLOOKUP('17.01'!Q82,'17.01'!$AM$4:$AP$55,4,FALSE))</f>
        <v>0</v>
      </c>
      <c r="J82" s="4">
        <f>(VLOOKUP('17.01'!R82,'17.01'!$AM$4:$AP$55,4,FALSE))</f>
        <v>0</v>
      </c>
      <c r="K82" s="4">
        <f>(VLOOKUP('17.01'!S82,'17.01'!$AM$4:$AP$55,4,FALSE))</f>
        <v>0</v>
      </c>
      <c r="L82" s="4">
        <f>(VLOOKUP('17.01'!T82,'17.01'!$AM$4:$AP$55,4,FALSE))</f>
        <v>0</v>
      </c>
      <c r="M82" s="4">
        <f>(VLOOKUP('17.01'!U82,'17.01'!$AM$4:$AP$55,4,FALSE))</f>
        <v>0</v>
      </c>
      <c r="N82" s="4">
        <f>(VLOOKUP('17.01'!V82,'17.01'!$AM$4:$AP$55,4,FALSE))</f>
        <v>0</v>
      </c>
      <c r="O82" s="4">
        <f>(VLOOKUP('17.01'!W82,'17.01'!$AM$4:$AP$55,4,FALSE))</f>
        <v>0</v>
      </c>
      <c r="P82" s="4">
        <f>(VLOOKUP('17.01'!X82,'17.01'!$AM$4:$AP$55,4,FALSE))</f>
        <v>0</v>
      </c>
      <c r="Q82" s="4">
        <f>(VLOOKUP('17.01'!Y82,'17.01'!$AM$4:$AP$55,4,FALSE))</f>
        <v>0</v>
      </c>
      <c r="R82" s="4">
        <f>(VLOOKUP('17.01'!Z82,'17.01'!$AM$4:$AP$55,4,FALSE))</f>
        <v>0</v>
      </c>
      <c r="S82" s="4">
        <f>(VLOOKUP('17.01'!AA82,'17.01'!$AM$4:$AP$55,4,FALSE))</f>
        <v>0</v>
      </c>
      <c r="T82" s="4">
        <f>(VLOOKUP('17.01'!AB82,'17.01'!$AM$4:$AP$55,4,FALSE))</f>
        <v>0</v>
      </c>
      <c r="U82" s="4">
        <f>(VLOOKUP('17.01'!AC82,'17.01'!$AM$4:$AP$55,4,FALSE))</f>
        <v>0</v>
      </c>
      <c r="V82" s="4">
        <f>(VLOOKUP('17.01'!AD82,'17.01'!$AM$4:$AP$55,4,FALSE))</f>
        <v>0</v>
      </c>
      <c r="W82" s="4">
        <f>(VLOOKUP('17.01'!AE82,'17.01'!$AM$4:$AP$55,4,FALSE))</f>
        <v>0</v>
      </c>
      <c r="X82" s="4">
        <f>(VLOOKUP('17.01'!AF82,'17.01'!$AM$4:$AP$55,4,FALSE))</f>
        <v>0</v>
      </c>
    </row>
    <row r="83" spans="1:24">
      <c r="A83" s="4">
        <f>(VLOOKUP('17.01'!I83,'17.01'!$AM$4:$AP$55,4,FALSE))</f>
        <v>0</v>
      </c>
      <c r="B83" s="4">
        <f>(VLOOKUP('17.01'!J83,'17.01'!$AM$4:$AP$55,4,FALSE))</f>
        <v>0</v>
      </c>
      <c r="C83" s="4">
        <f>(VLOOKUP('17.01'!K83,'17.01'!$AM$4:$AP$55,4,FALSE))</f>
        <v>0</v>
      </c>
      <c r="D83" s="4">
        <f>(VLOOKUP('17.01'!L83,'17.01'!$AM$4:$AP$55,4,FALSE))</f>
        <v>0</v>
      </c>
      <c r="E83" s="4">
        <f>(VLOOKUP('17.01'!M83,'17.01'!$AM$4:$AP$55,4,FALSE))</f>
        <v>0</v>
      </c>
      <c r="F83" s="4">
        <f>(VLOOKUP('17.01'!N83,'17.01'!$AM$4:$AP$55,4,FALSE))</f>
        <v>0</v>
      </c>
      <c r="G83" s="4">
        <f>(VLOOKUP('17.01'!O83,'17.01'!$AM$4:$AP$55,4,FALSE))</f>
        <v>0</v>
      </c>
      <c r="H83" s="4">
        <f>(VLOOKUP('17.01'!P83,'17.01'!$AM$4:$AP$55,4,FALSE))</f>
        <v>0</v>
      </c>
      <c r="I83" s="4">
        <f>(VLOOKUP('17.01'!Q83,'17.01'!$AM$4:$AP$55,4,FALSE))</f>
        <v>0</v>
      </c>
      <c r="J83" s="4">
        <f>(VLOOKUP('17.01'!R83,'17.01'!$AM$4:$AP$55,4,FALSE))</f>
        <v>0</v>
      </c>
      <c r="K83" s="4">
        <f>(VLOOKUP('17.01'!S83,'17.01'!$AM$4:$AP$55,4,FALSE))</f>
        <v>0</v>
      </c>
      <c r="L83" s="4">
        <f>(VLOOKUP('17.01'!T83,'17.01'!$AM$4:$AP$55,4,FALSE))</f>
        <v>0</v>
      </c>
      <c r="M83" s="4">
        <f>(VLOOKUP('17.01'!U83,'17.01'!$AM$4:$AP$55,4,FALSE))</f>
        <v>0</v>
      </c>
      <c r="N83" s="4">
        <f>(VLOOKUP('17.01'!V83,'17.01'!$AM$4:$AP$55,4,FALSE))</f>
        <v>0</v>
      </c>
      <c r="O83" s="4">
        <f>(VLOOKUP('17.01'!W83,'17.01'!$AM$4:$AP$55,4,FALSE))</f>
        <v>0</v>
      </c>
      <c r="P83" s="4">
        <f>(VLOOKUP('17.01'!X83,'17.01'!$AM$4:$AP$55,4,FALSE))</f>
        <v>0</v>
      </c>
      <c r="Q83" s="4">
        <f>(VLOOKUP('17.01'!Y83,'17.01'!$AM$4:$AP$55,4,FALSE))</f>
        <v>0</v>
      </c>
      <c r="R83" s="4">
        <f>(VLOOKUP('17.01'!Z83,'17.01'!$AM$4:$AP$55,4,FALSE))</f>
        <v>0</v>
      </c>
      <c r="S83" s="4">
        <f>(VLOOKUP('17.01'!AA83,'17.01'!$AM$4:$AP$55,4,FALSE))</f>
        <v>0</v>
      </c>
      <c r="T83" s="4">
        <f>(VLOOKUP('17.01'!AB83,'17.01'!$AM$4:$AP$55,4,FALSE))</f>
        <v>0</v>
      </c>
      <c r="U83" s="4">
        <f>(VLOOKUP('17.01'!AC83,'17.01'!$AM$4:$AP$55,4,FALSE))</f>
        <v>0</v>
      </c>
      <c r="V83" s="4">
        <f>(VLOOKUP('17.01'!AD83,'17.01'!$AM$4:$AP$55,4,FALSE))</f>
        <v>0</v>
      </c>
      <c r="W83" s="4">
        <f>(VLOOKUP('17.01'!AE83,'17.01'!$AM$4:$AP$55,4,FALSE))</f>
        <v>0</v>
      </c>
      <c r="X83" s="4">
        <f>(VLOOKUP('17.01'!AF83,'17.01'!$AM$4:$AP$55,4,FALSE))</f>
        <v>0</v>
      </c>
    </row>
    <row r="84" spans="1:24">
      <c r="A84" s="4">
        <f>(VLOOKUP('17.01'!I84,'17.01'!$AM$4:$AP$55,4,FALSE))</f>
        <v>0</v>
      </c>
      <c r="B84" s="4">
        <f>(VLOOKUP('17.01'!J84,'17.01'!$AM$4:$AP$55,4,FALSE))</f>
        <v>0</v>
      </c>
      <c r="C84" s="4">
        <f>(VLOOKUP('17.01'!K84,'17.01'!$AM$4:$AP$55,4,FALSE))</f>
        <v>0</v>
      </c>
      <c r="D84" s="4">
        <f>(VLOOKUP('17.01'!L84,'17.01'!$AM$4:$AP$55,4,FALSE))</f>
        <v>0</v>
      </c>
      <c r="E84" s="4">
        <f>(VLOOKUP('17.01'!M84,'17.01'!$AM$4:$AP$55,4,FALSE))</f>
        <v>0</v>
      </c>
      <c r="F84" s="4">
        <f>(VLOOKUP('17.01'!N84,'17.01'!$AM$4:$AP$55,4,FALSE))</f>
        <v>0</v>
      </c>
      <c r="G84" s="4">
        <f>(VLOOKUP('17.01'!O84,'17.01'!$AM$4:$AP$55,4,FALSE))</f>
        <v>0</v>
      </c>
      <c r="H84" s="4">
        <f>(VLOOKUP('17.01'!P84,'17.01'!$AM$4:$AP$55,4,FALSE))</f>
        <v>0</v>
      </c>
      <c r="I84" s="4">
        <f>(VLOOKUP('17.01'!Q84,'17.01'!$AM$4:$AP$55,4,FALSE))</f>
        <v>0</v>
      </c>
      <c r="J84" s="4">
        <f>(VLOOKUP('17.01'!R84,'17.01'!$AM$4:$AP$55,4,FALSE))</f>
        <v>0</v>
      </c>
      <c r="K84" s="4">
        <f>(VLOOKUP('17.01'!S84,'17.01'!$AM$4:$AP$55,4,FALSE))</f>
        <v>0</v>
      </c>
      <c r="L84" s="4">
        <f>(VLOOKUP('17.01'!T84,'17.01'!$AM$4:$AP$55,4,FALSE))</f>
        <v>0</v>
      </c>
      <c r="M84" s="4">
        <f>(VLOOKUP('17.01'!U84,'17.01'!$AM$4:$AP$55,4,FALSE))</f>
        <v>0</v>
      </c>
      <c r="N84" s="4">
        <f>(VLOOKUP('17.01'!V84,'17.01'!$AM$4:$AP$55,4,FALSE))</f>
        <v>0</v>
      </c>
      <c r="O84" s="4">
        <f>(VLOOKUP('17.01'!W84,'17.01'!$AM$4:$AP$55,4,FALSE))</f>
        <v>0</v>
      </c>
      <c r="P84" s="4">
        <f>(VLOOKUP('17.01'!X84,'17.01'!$AM$4:$AP$55,4,FALSE))</f>
        <v>0</v>
      </c>
      <c r="Q84" s="4">
        <f>(VLOOKUP('17.01'!Y84,'17.01'!$AM$4:$AP$55,4,FALSE))</f>
        <v>0</v>
      </c>
      <c r="R84" s="4">
        <f>(VLOOKUP('17.01'!Z84,'17.01'!$AM$4:$AP$55,4,FALSE))</f>
        <v>0</v>
      </c>
      <c r="S84" s="4">
        <f>(VLOOKUP('17.01'!AA84,'17.01'!$AM$4:$AP$55,4,FALSE))</f>
        <v>0</v>
      </c>
      <c r="T84" s="4">
        <f>(VLOOKUP('17.01'!AB84,'17.01'!$AM$4:$AP$55,4,FALSE))</f>
        <v>0</v>
      </c>
      <c r="U84" s="4">
        <f>(VLOOKUP('17.01'!AC84,'17.01'!$AM$4:$AP$55,4,FALSE))</f>
        <v>0</v>
      </c>
      <c r="V84" s="4">
        <f>(VLOOKUP('17.01'!AD84,'17.01'!$AM$4:$AP$55,4,FALSE))</f>
        <v>0</v>
      </c>
      <c r="W84" s="4">
        <f>(VLOOKUP('17.01'!AE84,'17.01'!$AM$4:$AP$55,4,FALSE))</f>
        <v>0</v>
      </c>
      <c r="X84" s="4">
        <f>(VLOOKUP('17.01'!AF84,'17.01'!$AM$4:$AP$55,4,FALSE))</f>
        <v>0</v>
      </c>
    </row>
    <row r="85" spans="1:24">
      <c r="A85" s="4">
        <f>(VLOOKUP('17.01'!I85,'17.01'!$AM$4:$AP$55,4,FALSE))</f>
        <v>0</v>
      </c>
      <c r="B85" s="4">
        <f>(VLOOKUP('17.01'!J85,'17.01'!$AM$4:$AP$55,4,FALSE))</f>
        <v>0</v>
      </c>
      <c r="C85" s="4">
        <f>(VLOOKUP('17.01'!K85,'17.01'!$AM$4:$AP$55,4,FALSE))</f>
        <v>0</v>
      </c>
      <c r="D85" s="4">
        <f>(VLOOKUP('17.01'!L85,'17.01'!$AM$4:$AP$55,4,FALSE))</f>
        <v>0</v>
      </c>
      <c r="E85" s="4">
        <f>(VLOOKUP('17.01'!M85,'17.01'!$AM$4:$AP$55,4,FALSE))</f>
        <v>0</v>
      </c>
      <c r="F85" s="4">
        <f>(VLOOKUP('17.01'!N85,'17.01'!$AM$4:$AP$55,4,FALSE))</f>
        <v>0</v>
      </c>
      <c r="G85" s="4">
        <f>(VLOOKUP('17.01'!O85,'17.01'!$AM$4:$AP$55,4,FALSE))</f>
        <v>0</v>
      </c>
      <c r="H85" s="4">
        <f>(VLOOKUP('17.01'!P85,'17.01'!$AM$4:$AP$55,4,FALSE))</f>
        <v>0</v>
      </c>
      <c r="I85" s="4">
        <f>(VLOOKUP('17.01'!Q85,'17.01'!$AM$4:$AP$55,4,FALSE))</f>
        <v>0</v>
      </c>
      <c r="J85" s="4">
        <f>(VLOOKUP('17.01'!R85,'17.01'!$AM$4:$AP$55,4,FALSE))</f>
        <v>0</v>
      </c>
      <c r="K85" s="4">
        <f>(VLOOKUP('17.01'!S85,'17.01'!$AM$4:$AP$55,4,FALSE))</f>
        <v>0</v>
      </c>
      <c r="L85" s="4">
        <f>(VLOOKUP('17.01'!T85,'17.01'!$AM$4:$AP$55,4,FALSE))</f>
        <v>0</v>
      </c>
      <c r="M85" s="4">
        <f>(VLOOKUP('17.01'!U85,'17.01'!$AM$4:$AP$55,4,FALSE))</f>
        <v>0</v>
      </c>
      <c r="N85" s="4">
        <f>(VLOOKUP('17.01'!V85,'17.01'!$AM$4:$AP$55,4,FALSE))</f>
        <v>0</v>
      </c>
      <c r="O85" s="4">
        <f>(VLOOKUP('17.01'!W85,'17.01'!$AM$4:$AP$55,4,FALSE))</f>
        <v>0</v>
      </c>
      <c r="P85" s="4">
        <f>(VLOOKUP('17.01'!X85,'17.01'!$AM$4:$AP$55,4,FALSE))</f>
        <v>0</v>
      </c>
      <c r="Q85" s="4">
        <f>(VLOOKUP('17.01'!Y85,'17.01'!$AM$4:$AP$55,4,FALSE))</f>
        <v>0</v>
      </c>
      <c r="R85" s="4">
        <f>(VLOOKUP('17.01'!Z85,'17.01'!$AM$4:$AP$55,4,FALSE))</f>
        <v>0</v>
      </c>
      <c r="S85" s="4">
        <f>(VLOOKUP('17.01'!AA85,'17.01'!$AM$4:$AP$55,4,FALSE))</f>
        <v>0</v>
      </c>
      <c r="T85" s="4">
        <f>(VLOOKUP('17.01'!AB85,'17.01'!$AM$4:$AP$55,4,FALSE))</f>
        <v>0</v>
      </c>
      <c r="U85" s="4">
        <f>(VLOOKUP('17.01'!AC85,'17.01'!$AM$4:$AP$55,4,FALSE))</f>
        <v>0</v>
      </c>
      <c r="V85" s="4">
        <f>(VLOOKUP('17.01'!AD85,'17.01'!$AM$4:$AP$55,4,FALSE))</f>
        <v>0</v>
      </c>
      <c r="W85" s="4">
        <f>(VLOOKUP('17.01'!AE85,'17.01'!$AM$4:$AP$55,4,FALSE))</f>
        <v>0</v>
      </c>
      <c r="X85" s="4">
        <f>(VLOOKUP('17.01'!AF85,'17.01'!$AM$4:$AP$55,4,FALSE))</f>
        <v>0</v>
      </c>
    </row>
    <row r="86" spans="1:24">
      <c r="A86" s="4">
        <f>(VLOOKUP('17.01'!I86,'17.01'!$AM$4:$AP$55,4,FALSE))</f>
        <v>0</v>
      </c>
      <c r="B86" s="4">
        <f>(VLOOKUP('17.01'!J86,'17.01'!$AM$4:$AP$55,4,FALSE))</f>
        <v>0</v>
      </c>
      <c r="C86" s="4">
        <f>(VLOOKUP('17.01'!K86,'17.01'!$AM$4:$AP$55,4,FALSE))</f>
        <v>0</v>
      </c>
      <c r="D86" s="4">
        <f>(VLOOKUP('17.01'!L86,'17.01'!$AM$4:$AP$55,4,FALSE))</f>
        <v>0</v>
      </c>
      <c r="E86" s="4">
        <f>(VLOOKUP('17.01'!M86,'17.01'!$AM$4:$AP$55,4,FALSE))</f>
        <v>0</v>
      </c>
      <c r="F86" s="4">
        <f>(VLOOKUP('17.01'!N86,'17.01'!$AM$4:$AP$55,4,FALSE))</f>
        <v>0</v>
      </c>
      <c r="G86" s="4">
        <f>(VLOOKUP('17.01'!O86,'17.01'!$AM$4:$AP$55,4,FALSE))</f>
        <v>0</v>
      </c>
      <c r="H86" s="4">
        <f>(VLOOKUP('17.01'!P86,'17.01'!$AM$4:$AP$55,4,FALSE))</f>
        <v>0</v>
      </c>
      <c r="I86" s="4">
        <f>(VLOOKUP('17.01'!Q86,'17.01'!$AM$4:$AP$55,4,FALSE))</f>
        <v>0</v>
      </c>
      <c r="J86" s="4">
        <f>(VLOOKUP('17.01'!R86,'17.01'!$AM$4:$AP$55,4,FALSE))</f>
        <v>0</v>
      </c>
      <c r="K86" s="4">
        <f>(VLOOKUP('17.01'!S86,'17.01'!$AM$4:$AP$55,4,FALSE))</f>
        <v>0</v>
      </c>
      <c r="L86" s="4">
        <f>(VLOOKUP('17.01'!T86,'17.01'!$AM$4:$AP$55,4,FALSE))</f>
        <v>0</v>
      </c>
      <c r="M86" s="4">
        <f>(VLOOKUP('17.01'!U86,'17.01'!$AM$4:$AP$55,4,FALSE))</f>
        <v>0</v>
      </c>
      <c r="N86" s="4">
        <f>(VLOOKUP('17.01'!V86,'17.01'!$AM$4:$AP$55,4,FALSE))</f>
        <v>0</v>
      </c>
      <c r="O86" s="4">
        <f>(VLOOKUP('17.01'!W86,'17.01'!$AM$4:$AP$55,4,FALSE))</f>
        <v>0</v>
      </c>
      <c r="P86" s="4">
        <f>(VLOOKUP('17.01'!X86,'17.01'!$AM$4:$AP$55,4,FALSE))</f>
        <v>0</v>
      </c>
      <c r="Q86" s="4">
        <f>(VLOOKUP('17.01'!Y86,'17.01'!$AM$4:$AP$55,4,FALSE))</f>
        <v>0</v>
      </c>
      <c r="R86" s="4">
        <f>(VLOOKUP('17.01'!Z86,'17.01'!$AM$4:$AP$55,4,FALSE))</f>
        <v>0</v>
      </c>
      <c r="S86" s="4">
        <f>(VLOOKUP('17.01'!AA86,'17.01'!$AM$4:$AP$55,4,FALSE))</f>
        <v>0</v>
      </c>
      <c r="T86" s="4">
        <f>(VLOOKUP('17.01'!AB86,'17.01'!$AM$4:$AP$55,4,FALSE))</f>
        <v>0</v>
      </c>
      <c r="U86" s="4">
        <f>(VLOOKUP('17.01'!AC86,'17.01'!$AM$4:$AP$55,4,FALSE))</f>
        <v>0</v>
      </c>
      <c r="V86" s="4">
        <f>(VLOOKUP('17.01'!AD86,'17.01'!$AM$4:$AP$55,4,FALSE))</f>
        <v>0</v>
      </c>
      <c r="W86" s="4">
        <f>(VLOOKUP('17.01'!AE86,'17.01'!$AM$4:$AP$55,4,FALSE))</f>
        <v>0</v>
      </c>
      <c r="X86" s="4">
        <f>(VLOOKUP('17.01'!AF86,'17.01'!$AM$4:$AP$55,4,FALSE))</f>
        <v>0</v>
      </c>
    </row>
    <row r="87" spans="1:24">
      <c r="A87" s="4">
        <f>(VLOOKUP('17.01'!I87,'17.01'!$AM$4:$AP$55,4,FALSE))</f>
        <v>0</v>
      </c>
      <c r="B87" s="4">
        <f>(VLOOKUP('17.01'!J87,'17.01'!$AM$4:$AP$55,4,FALSE))</f>
        <v>0</v>
      </c>
      <c r="C87" s="4">
        <f>(VLOOKUP('17.01'!K87,'17.01'!$AM$4:$AP$55,4,FALSE))</f>
        <v>0</v>
      </c>
      <c r="D87" s="4">
        <f>(VLOOKUP('17.01'!L87,'17.01'!$AM$4:$AP$55,4,FALSE))</f>
        <v>0</v>
      </c>
      <c r="E87" s="4">
        <f>(VLOOKUP('17.01'!M87,'17.01'!$AM$4:$AP$55,4,FALSE))</f>
        <v>0</v>
      </c>
      <c r="F87" s="4">
        <f>(VLOOKUP('17.01'!N87,'17.01'!$AM$4:$AP$55,4,FALSE))</f>
        <v>0</v>
      </c>
      <c r="G87" s="4">
        <f>(VLOOKUP('17.01'!O87,'17.01'!$AM$4:$AP$55,4,FALSE))</f>
        <v>0</v>
      </c>
      <c r="H87" s="4">
        <f>(VLOOKUP('17.01'!P87,'17.01'!$AM$4:$AP$55,4,FALSE))</f>
        <v>0</v>
      </c>
      <c r="I87" s="4">
        <f>(VLOOKUP('17.01'!Q87,'17.01'!$AM$4:$AP$55,4,FALSE))</f>
        <v>0</v>
      </c>
      <c r="J87" s="4">
        <f>(VLOOKUP('17.01'!R87,'17.01'!$AM$4:$AP$55,4,FALSE))</f>
        <v>0</v>
      </c>
      <c r="K87" s="4">
        <f>(VLOOKUP('17.01'!S87,'17.01'!$AM$4:$AP$55,4,FALSE))</f>
        <v>0</v>
      </c>
      <c r="L87" s="4">
        <f>(VLOOKUP('17.01'!T87,'17.01'!$AM$4:$AP$55,4,FALSE))</f>
        <v>0</v>
      </c>
      <c r="M87" s="4">
        <f>(VLOOKUP('17.01'!U87,'17.01'!$AM$4:$AP$55,4,FALSE))</f>
        <v>0</v>
      </c>
      <c r="N87" s="4">
        <f>(VLOOKUP('17.01'!V87,'17.01'!$AM$4:$AP$55,4,FALSE))</f>
        <v>0</v>
      </c>
      <c r="O87" s="4">
        <f>(VLOOKUP('17.01'!W87,'17.01'!$AM$4:$AP$55,4,FALSE))</f>
        <v>0</v>
      </c>
      <c r="P87" s="4">
        <f>(VLOOKUP('17.01'!X87,'17.01'!$AM$4:$AP$55,4,FALSE))</f>
        <v>0</v>
      </c>
      <c r="Q87" s="4">
        <f>(VLOOKUP('17.01'!Y87,'17.01'!$AM$4:$AP$55,4,FALSE))</f>
        <v>0</v>
      </c>
      <c r="R87" s="4">
        <f>(VLOOKUP('17.01'!Z87,'17.01'!$AM$4:$AP$55,4,FALSE))</f>
        <v>0</v>
      </c>
      <c r="S87" s="4">
        <f>(VLOOKUP('17.01'!AA87,'17.01'!$AM$4:$AP$55,4,FALSE))</f>
        <v>0</v>
      </c>
      <c r="T87" s="4">
        <f>(VLOOKUP('17.01'!AB87,'17.01'!$AM$4:$AP$55,4,FALSE))</f>
        <v>0</v>
      </c>
      <c r="U87" s="4">
        <f>(VLOOKUP('17.01'!AC87,'17.01'!$AM$4:$AP$55,4,FALSE))</f>
        <v>0</v>
      </c>
      <c r="V87" s="4">
        <f>(VLOOKUP('17.01'!AD87,'17.01'!$AM$4:$AP$55,4,FALSE))</f>
        <v>0</v>
      </c>
      <c r="W87" s="4">
        <f>(VLOOKUP('17.01'!AE87,'17.01'!$AM$4:$AP$55,4,FALSE))</f>
        <v>0</v>
      </c>
      <c r="X87" s="4">
        <f>(VLOOKUP('17.01'!AF87,'17.01'!$AM$4:$AP$55,4,FALSE))</f>
        <v>0</v>
      </c>
    </row>
    <row r="88" spans="1:24">
      <c r="A88" s="4">
        <f>(VLOOKUP('17.01'!I88,'17.01'!$AM$4:$AP$55,4,FALSE))</f>
        <v>0</v>
      </c>
      <c r="B88" s="4">
        <f>(VLOOKUP('17.01'!J88,'17.01'!$AM$4:$AP$55,4,FALSE))</f>
        <v>0</v>
      </c>
      <c r="C88" s="4">
        <f>(VLOOKUP('17.01'!K88,'17.01'!$AM$4:$AP$55,4,FALSE))</f>
        <v>0</v>
      </c>
      <c r="D88" s="4">
        <f>(VLOOKUP('17.01'!L88,'17.01'!$AM$4:$AP$55,4,FALSE))</f>
        <v>0</v>
      </c>
      <c r="E88" s="4">
        <f>(VLOOKUP('17.01'!M88,'17.01'!$AM$4:$AP$55,4,FALSE))</f>
        <v>0</v>
      </c>
      <c r="F88" s="4">
        <f>(VLOOKUP('17.01'!N88,'17.01'!$AM$4:$AP$55,4,FALSE))</f>
        <v>0</v>
      </c>
      <c r="G88" s="4">
        <f>(VLOOKUP('17.01'!O88,'17.01'!$AM$4:$AP$55,4,FALSE))</f>
        <v>0</v>
      </c>
      <c r="H88" s="4">
        <f>(VLOOKUP('17.01'!P88,'17.01'!$AM$4:$AP$55,4,FALSE))</f>
        <v>0</v>
      </c>
      <c r="I88" s="4">
        <f>(VLOOKUP('17.01'!Q88,'17.01'!$AM$4:$AP$55,4,FALSE))</f>
        <v>0</v>
      </c>
      <c r="J88" s="4">
        <f>(VLOOKUP('17.01'!R88,'17.01'!$AM$4:$AP$55,4,FALSE))</f>
        <v>0</v>
      </c>
      <c r="K88" s="4">
        <f>(VLOOKUP('17.01'!S88,'17.01'!$AM$4:$AP$55,4,FALSE))</f>
        <v>0</v>
      </c>
      <c r="L88" s="4">
        <f>(VLOOKUP('17.01'!T88,'17.01'!$AM$4:$AP$55,4,FALSE))</f>
        <v>0</v>
      </c>
      <c r="M88" s="4">
        <f>(VLOOKUP('17.01'!U88,'17.01'!$AM$4:$AP$55,4,FALSE))</f>
        <v>0</v>
      </c>
      <c r="N88" s="4">
        <f>(VLOOKUP('17.01'!V88,'17.01'!$AM$4:$AP$55,4,FALSE))</f>
        <v>0</v>
      </c>
      <c r="O88" s="4">
        <f>(VLOOKUP('17.01'!W88,'17.01'!$AM$4:$AP$55,4,FALSE))</f>
        <v>0</v>
      </c>
      <c r="P88" s="4">
        <f>(VLOOKUP('17.01'!X88,'17.01'!$AM$4:$AP$55,4,FALSE))</f>
        <v>0</v>
      </c>
      <c r="Q88" s="4">
        <f>(VLOOKUP('17.01'!Y88,'17.01'!$AM$4:$AP$55,4,FALSE))</f>
        <v>0</v>
      </c>
      <c r="R88" s="4">
        <f>(VLOOKUP('17.01'!Z88,'17.01'!$AM$4:$AP$55,4,FALSE))</f>
        <v>0</v>
      </c>
      <c r="S88" s="4">
        <f>(VLOOKUP('17.01'!AA88,'17.01'!$AM$4:$AP$55,4,FALSE))</f>
        <v>0</v>
      </c>
      <c r="T88" s="4">
        <f>(VLOOKUP('17.01'!AB88,'17.01'!$AM$4:$AP$55,4,FALSE))</f>
        <v>0</v>
      </c>
      <c r="U88" s="4">
        <f>(VLOOKUP('17.01'!AC88,'17.01'!$AM$4:$AP$55,4,FALSE))</f>
        <v>0</v>
      </c>
      <c r="V88" s="4">
        <f>(VLOOKUP('17.01'!AD88,'17.01'!$AM$4:$AP$55,4,FALSE))</f>
        <v>0</v>
      </c>
      <c r="W88" s="4">
        <f>(VLOOKUP('17.01'!AE88,'17.01'!$AM$4:$AP$55,4,FALSE))</f>
        <v>0</v>
      </c>
      <c r="X88" s="4">
        <f>(VLOOKUP('17.01'!AF88,'17.01'!$AM$4:$AP$55,4,FALSE))</f>
        <v>0</v>
      </c>
    </row>
    <row r="89" spans="1:24">
      <c r="A89" s="4">
        <f>(VLOOKUP('17.01'!I89,'17.01'!$AM$4:$AP$55,4,FALSE))</f>
        <v>0</v>
      </c>
      <c r="B89" s="4">
        <f>(VLOOKUP('17.01'!J89,'17.01'!$AM$4:$AP$55,4,FALSE))</f>
        <v>0</v>
      </c>
      <c r="C89" s="4">
        <f>(VLOOKUP('17.01'!K89,'17.01'!$AM$4:$AP$55,4,FALSE))</f>
        <v>0</v>
      </c>
      <c r="D89" s="4">
        <f>(VLOOKUP('17.01'!L89,'17.01'!$AM$4:$AP$55,4,FALSE))</f>
        <v>0</v>
      </c>
      <c r="E89" s="4">
        <f>(VLOOKUP('17.01'!M89,'17.01'!$AM$4:$AP$55,4,FALSE))</f>
        <v>0</v>
      </c>
      <c r="F89" s="4">
        <f>(VLOOKUP('17.01'!N89,'17.01'!$AM$4:$AP$55,4,FALSE))</f>
        <v>0</v>
      </c>
      <c r="G89" s="4">
        <f>(VLOOKUP('17.01'!O89,'17.01'!$AM$4:$AP$55,4,FALSE))</f>
        <v>0</v>
      </c>
      <c r="H89" s="4">
        <f>(VLOOKUP('17.01'!P89,'17.01'!$AM$4:$AP$55,4,FALSE))</f>
        <v>0</v>
      </c>
      <c r="I89" s="4">
        <f>(VLOOKUP('17.01'!Q89,'17.01'!$AM$4:$AP$55,4,FALSE))</f>
        <v>0</v>
      </c>
      <c r="J89" s="4">
        <f>(VLOOKUP('17.01'!R89,'17.01'!$AM$4:$AP$55,4,FALSE))</f>
        <v>0</v>
      </c>
      <c r="K89" s="4">
        <f>(VLOOKUP('17.01'!S89,'17.01'!$AM$4:$AP$55,4,FALSE))</f>
        <v>0</v>
      </c>
      <c r="L89" s="4">
        <f>(VLOOKUP('17.01'!T89,'17.01'!$AM$4:$AP$55,4,FALSE))</f>
        <v>0</v>
      </c>
      <c r="M89" s="4">
        <f>(VLOOKUP('17.01'!U89,'17.01'!$AM$4:$AP$55,4,FALSE))</f>
        <v>0</v>
      </c>
      <c r="N89" s="4">
        <f>(VLOOKUP('17.01'!V89,'17.01'!$AM$4:$AP$55,4,FALSE))</f>
        <v>0</v>
      </c>
      <c r="O89" s="4">
        <f>(VLOOKUP('17.01'!W89,'17.01'!$AM$4:$AP$55,4,FALSE))</f>
        <v>0</v>
      </c>
      <c r="P89" s="4">
        <f>(VLOOKUP('17.01'!X89,'17.01'!$AM$4:$AP$55,4,FALSE))</f>
        <v>0</v>
      </c>
      <c r="Q89" s="4">
        <f>(VLOOKUP('17.01'!Y89,'17.01'!$AM$4:$AP$55,4,FALSE))</f>
        <v>0</v>
      </c>
      <c r="R89" s="4">
        <f>(VLOOKUP('17.01'!Z89,'17.01'!$AM$4:$AP$55,4,FALSE))</f>
        <v>0</v>
      </c>
      <c r="S89" s="4">
        <f>(VLOOKUP('17.01'!AA89,'17.01'!$AM$4:$AP$55,4,FALSE))</f>
        <v>0</v>
      </c>
      <c r="T89" s="4">
        <f>(VLOOKUP('17.01'!AB89,'17.01'!$AM$4:$AP$55,4,FALSE))</f>
        <v>0</v>
      </c>
      <c r="U89" s="4">
        <f>(VLOOKUP('17.01'!AC89,'17.01'!$AM$4:$AP$55,4,FALSE))</f>
        <v>0</v>
      </c>
      <c r="V89" s="4">
        <f>(VLOOKUP('17.01'!AD89,'17.01'!$AM$4:$AP$55,4,FALSE))</f>
        <v>0</v>
      </c>
      <c r="W89" s="4">
        <f>(VLOOKUP('17.01'!AE89,'17.01'!$AM$4:$AP$55,4,FALSE))</f>
        <v>0</v>
      </c>
      <c r="X89" s="4">
        <f>(VLOOKUP('17.01'!AF89,'17.01'!$AM$4:$AP$55,4,FALSE))</f>
        <v>0</v>
      </c>
    </row>
    <row r="90" spans="1:24">
      <c r="A90" s="4">
        <f>(VLOOKUP('17.01'!I90,'17.01'!$AM$4:$AP$55,4,FALSE))</f>
        <v>0</v>
      </c>
      <c r="B90" s="4">
        <f>(VLOOKUP('17.01'!J90,'17.01'!$AM$4:$AP$55,4,FALSE))</f>
        <v>0</v>
      </c>
      <c r="C90" s="4">
        <f>(VLOOKUP('17.01'!K90,'17.01'!$AM$4:$AP$55,4,FALSE))</f>
        <v>0</v>
      </c>
      <c r="D90" s="4">
        <f>(VLOOKUP('17.01'!L90,'17.01'!$AM$4:$AP$55,4,FALSE))</f>
        <v>0</v>
      </c>
      <c r="E90" s="4">
        <f>(VLOOKUP('17.01'!M90,'17.01'!$AM$4:$AP$55,4,FALSE))</f>
        <v>0</v>
      </c>
      <c r="F90" s="4">
        <f>(VLOOKUP('17.01'!N90,'17.01'!$AM$4:$AP$55,4,FALSE))</f>
        <v>0</v>
      </c>
      <c r="G90" s="4">
        <f>(VLOOKUP('17.01'!O90,'17.01'!$AM$4:$AP$55,4,FALSE))</f>
        <v>0</v>
      </c>
      <c r="H90" s="4">
        <f>(VLOOKUP('17.01'!P90,'17.01'!$AM$4:$AP$55,4,FALSE))</f>
        <v>0</v>
      </c>
      <c r="I90" s="4">
        <f>(VLOOKUP('17.01'!Q90,'17.01'!$AM$4:$AP$55,4,FALSE))</f>
        <v>0</v>
      </c>
      <c r="J90" s="4">
        <f>(VLOOKUP('17.01'!R90,'17.01'!$AM$4:$AP$55,4,FALSE))</f>
        <v>0</v>
      </c>
      <c r="K90" s="4">
        <f>(VLOOKUP('17.01'!S90,'17.01'!$AM$4:$AP$55,4,FALSE))</f>
        <v>0</v>
      </c>
      <c r="L90" s="4">
        <f>(VLOOKUP('17.01'!T90,'17.01'!$AM$4:$AP$55,4,FALSE))</f>
        <v>0</v>
      </c>
      <c r="M90" s="4">
        <f>(VLOOKUP('17.01'!U90,'17.01'!$AM$4:$AP$55,4,FALSE))</f>
        <v>0</v>
      </c>
      <c r="N90" s="4">
        <f>(VLOOKUP('17.01'!V90,'17.01'!$AM$4:$AP$55,4,FALSE))</f>
        <v>0</v>
      </c>
      <c r="O90" s="4">
        <f>(VLOOKUP('17.01'!W90,'17.01'!$AM$4:$AP$55,4,FALSE))</f>
        <v>0</v>
      </c>
      <c r="P90" s="4">
        <f>(VLOOKUP('17.01'!X90,'17.01'!$AM$4:$AP$55,4,FALSE))</f>
        <v>0</v>
      </c>
      <c r="Q90" s="4">
        <f>(VLOOKUP('17.01'!Y90,'17.01'!$AM$4:$AP$55,4,FALSE))</f>
        <v>0</v>
      </c>
      <c r="R90" s="4">
        <f>(VLOOKUP('17.01'!Z90,'17.01'!$AM$4:$AP$55,4,FALSE))</f>
        <v>0</v>
      </c>
      <c r="S90" s="4">
        <f>(VLOOKUP('17.01'!AA90,'17.01'!$AM$4:$AP$55,4,FALSE))</f>
        <v>0</v>
      </c>
      <c r="T90" s="4">
        <f>(VLOOKUP('17.01'!AB90,'17.01'!$AM$4:$AP$55,4,FALSE))</f>
        <v>0</v>
      </c>
      <c r="U90" s="4">
        <f>(VLOOKUP('17.01'!AC90,'17.01'!$AM$4:$AP$55,4,FALSE))</f>
        <v>0</v>
      </c>
      <c r="V90" s="4">
        <f>(VLOOKUP('17.01'!AD90,'17.01'!$AM$4:$AP$55,4,FALSE))</f>
        <v>0</v>
      </c>
      <c r="W90" s="4">
        <f>(VLOOKUP('17.01'!AE90,'17.01'!$AM$4:$AP$55,4,FALSE))</f>
        <v>0</v>
      </c>
      <c r="X90" s="4">
        <f>(VLOOKUP('17.01'!AF90,'17.01'!$AM$4:$AP$55,4,FALSE))</f>
        <v>0</v>
      </c>
    </row>
    <row r="91" spans="1:24">
      <c r="A91" s="4">
        <f>(VLOOKUP('17.01'!I91,'17.01'!$AM$4:$AP$55,4,FALSE))</f>
        <v>39.110982162825422</v>
      </c>
      <c r="B91" s="4">
        <f>(VLOOKUP('17.01'!J91,'17.01'!$AM$4:$AP$55,4,FALSE))</f>
        <v>39.110982162825422</v>
      </c>
      <c r="C91" s="4">
        <f>(VLOOKUP('17.01'!K91,'17.01'!$AM$4:$AP$55,4,FALSE))</f>
        <v>39.110982162825422</v>
      </c>
      <c r="D91" s="4">
        <f>(VLOOKUP('17.01'!L91,'17.01'!$AM$4:$AP$55,4,FALSE))</f>
        <v>39.110982162825422</v>
      </c>
      <c r="E91" s="4">
        <f>(VLOOKUP('17.01'!M91,'17.01'!$AM$4:$AP$55,4,FALSE))</f>
        <v>39.110982162825422</v>
      </c>
      <c r="F91" s="4">
        <f>(VLOOKUP('17.01'!N91,'17.01'!$AM$4:$AP$55,4,FALSE))</f>
        <v>10</v>
      </c>
      <c r="G91" s="4">
        <f>(VLOOKUP('17.01'!O91,'17.01'!$AM$4:$AP$55,4,FALSE))</f>
        <v>0</v>
      </c>
      <c r="H91" s="4">
        <f>(VLOOKUP('17.01'!P91,'17.01'!$AM$4:$AP$55,4,FALSE))</f>
        <v>0</v>
      </c>
      <c r="I91" s="4">
        <f>(VLOOKUP('17.01'!Q91,'17.01'!$AM$4:$AP$55,4,FALSE))</f>
        <v>39.110982162825422</v>
      </c>
      <c r="J91" s="4">
        <f>(VLOOKUP('17.01'!R91,'17.01'!$AM$4:$AP$55,4,FALSE))</f>
        <v>39.110982162825422</v>
      </c>
      <c r="K91" s="4">
        <f>(VLOOKUP('17.01'!S91,'17.01'!$AM$4:$AP$55,4,FALSE))</f>
        <v>39.110982162825422</v>
      </c>
      <c r="L91" s="4">
        <f>(VLOOKUP('17.01'!T91,'17.01'!$AM$4:$AP$55,4,FALSE))</f>
        <v>39.110982162825422</v>
      </c>
      <c r="M91" s="4">
        <f>(VLOOKUP('17.01'!U91,'17.01'!$AM$4:$AP$55,4,FALSE))</f>
        <v>10</v>
      </c>
      <c r="N91" s="4">
        <f>(VLOOKUP('17.01'!V91,'17.01'!$AM$4:$AP$55,4,FALSE))</f>
        <v>0</v>
      </c>
      <c r="O91" s="4">
        <f>(VLOOKUP('17.01'!W91,'17.01'!$AM$4:$AP$55,4,FALSE))</f>
        <v>0</v>
      </c>
      <c r="P91" s="4">
        <f>(VLOOKUP('17.01'!X91,'17.01'!$AM$4:$AP$55,4,FALSE))</f>
        <v>0</v>
      </c>
      <c r="Q91" s="4">
        <f>(VLOOKUP('17.01'!Y91,'17.01'!$AM$4:$AP$55,4,FALSE))</f>
        <v>39.110982162825422</v>
      </c>
      <c r="R91" s="4">
        <f>(VLOOKUP('17.01'!Z91,'17.01'!$AM$4:$AP$55,4,FALSE))</f>
        <v>10</v>
      </c>
      <c r="S91" s="4">
        <f>(VLOOKUP('17.01'!AA91,'17.01'!$AM$4:$AP$55,4,FALSE))</f>
        <v>39.110982162825422</v>
      </c>
      <c r="T91" s="4">
        <f>(VLOOKUP('17.01'!AB91,'17.01'!$AM$4:$AP$55,4,FALSE))</f>
        <v>29.110982162825422</v>
      </c>
      <c r="U91" s="4">
        <f>(VLOOKUP('17.01'!AC91,'17.01'!$AM$4:$AP$55,4,FALSE))</f>
        <v>39.110982162825422</v>
      </c>
      <c r="V91" s="4">
        <f>(VLOOKUP('17.01'!AD91,'17.01'!$AM$4:$AP$55,4,FALSE))</f>
        <v>0</v>
      </c>
      <c r="W91" s="4">
        <f>(VLOOKUP('17.01'!AE91,'17.01'!$AM$4:$AP$55,4,FALSE))</f>
        <v>0</v>
      </c>
      <c r="X91" s="4">
        <f>(VLOOKUP('17.01'!AF91,'17.01'!$AM$4:$AP$55,4,FALSE))</f>
        <v>0</v>
      </c>
    </row>
    <row r="92" spans="1:24">
      <c r="A92" s="4">
        <f>(VLOOKUP('17.01'!I92,'17.01'!$AM$4:$AP$55,4,FALSE))</f>
        <v>39.110982162825422</v>
      </c>
      <c r="B92" s="4">
        <f>(VLOOKUP('17.01'!J92,'17.01'!$AM$4:$AP$55,4,FALSE))</f>
        <v>39.110982162825422</v>
      </c>
      <c r="C92" s="4">
        <f>(VLOOKUP('17.01'!K92,'17.01'!$AM$4:$AP$55,4,FALSE))</f>
        <v>44.222109392472248</v>
      </c>
      <c r="D92" s="4">
        <f>(VLOOKUP('17.01'!L92,'17.01'!$AM$4:$AP$55,4,FALSE))</f>
        <v>39.110982162825422</v>
      </c>
      <c r="E92" s="4">
        <f>(VLOOKUP('17.01'!M92,'17.01'!$AM$4:$AP$55,4,FALSE))</f>
        <v>39.110982162825422</v>
      </c>
      <c r="F92" s="4">
        <f>(VLOOKUP('17.01'!N92,'17.01'!$AM$4:$AP$55,4,FALSE))</f>
        <v>10</v>
      </c>
      <c r="G92" s="4">
        <f>(VLOOKUP('17.01'!O92,'17.01'!$AM$4:$AP$55,4,FALSE))</f>
        <v>0</v>
      </c>
      <c r="H92" s="4">
        <f>(VLOOKUP('17.01'!P92,'17.01'!$AM$4:$AP$55,4,FALSE))</f>
        <v>0</v>
      </c>
      <c r="I92" s="4">
        <f>(VLOOKUP('17.01'!Q92,'17.01'!$AM$4:$AP$55,4,FALSE))</f>
        <v>0</v>
      </c>
      <c r="J92" s="4">
        <f>(VLOOKUP('17.01'!R92,'17.01'!$AM$4:$AP$55,4,FALSE))</f>
        <v>0</v>
      </c>
      <c r="K92" s="4">
        <f>(VLOOKUP('17.01'!S92,'17.01'!$AM$4:$AP$55,4,FALSE))</f>
        <v>0</v>
      </c>
      <c r="L92" s="4">
        <f>(VLOOKUP('17.01'!T92,'17.01'!$AM$4:$AP$55,4,FALSE))</f>
        <v>0</v>
      </c>
      <c r="M92" s="4">
        <f>(VLOOKUP('17.01'!U92,'17.01'!$AM$4:$AP$55,4,FALSE))</f>
        <v>0</v>
      </c>
      <c r="N92" s="4">
        <f>(VLOOKUP('17.01'!V92,'17.01'!$AM$4:$AP$55,4,FALSE))</f>
        <v>0</v>
      </c>
      <c r="O92" s="4">
        <f>(VLOOKUP('17.01'!W92,'17.01'!$AM$4:$AP$55,4,FALSE))</f>
        <v>0</v>
      </c>
      <c r="P92" s="4">
        <f>(VLOOKUP('17.01'!X92,'17.01'!$AM$4:$AP$55,4,FALSE))</f>
        <v>0</v>
      </c>
      <c r="Q92" s="4">
        <f>(VLOOKUP('17.01'!Y92,'17.01'!$AM$4:$AP$55,4,FALSE))</f>
        <v>0</v>
      </c>
      <c r="R92" s="4">
        <f>(VLOOKUP('17.01'!Z92,'17.01'!$AM$4:$AP$55,4,FALSE))</f>
        <v>0</v>
      </c>
      <c r="S92" s="4">
        <f>(VLOOKUP('17.01'!AA92,'17.01'!$AM$4:$AP$55,4,FALSE))</f>
        <v>0</v>
      </c>
      <c r="T92" s="4">
        <f>(VLOOKUP('17.01'!AB92,'17.01'!$AM$4:$AP$55,4,FALSE))</f>
        <v>0</v>
      </c>
      <c r="U92" s="4">
        <f>(VLOOKUP('17.01'!AC92,'17.01'!$AM$4:$AP$55,4,FALSE))</f>
        <v>0</v>
      </c>
      <c r="V92" s="4">
        <f>(VLOOKUP('17.01'!AD92,'17.01'!$AM$4:$AP$55,4,FALSE))</f>
        <v>0</v>
      </c>
      <c r="W92" s="4">
        <f>(VLOOKUP('17.01'!AE92,'17.01'!$AM$4:$AP$55,4,FALSE))</f>
        <v>0</v>
      </c>
      <c r="X92" s="4">
        <f>(VLOOKUP('17.01'!AF92,'17.01'!$AM$4:$AP$55,4,FALSE))</f>
        <v>0</v>
      </c>
    </row>
    <row r="93" spans="1:24">
      <c r="A93" s="4">
        <f>(VLOOKUP('17.01'!I93,'17.01'!$AM$4:$AP$55,4,FALSE))</f>
        <v>0</v>
      </c>
      <c r="B93" s="4">
        <f>(VLOOKUP('17.01'!J93,'17.01'!$AM$4:$AP$55,4,FALSE))</f>
        <v>0</v>
      </c>
      <c r="C93" s="4">
        <f>(VLOOKUP('17.01'!K93,'17.01'!$AM$4:$AP$55,4,FALSE))</f>
        <v>0</v>
      </c>
      <c r="D93" s="4">
        <f>(VLOOKUP('17.01'!L93,'17.01'!$AM$4:$AP$55,4,FALSE))</f>
        <v>0</v>
      </c>
      <c r="E93" s="4">
        <f>(VLOOKUP('17.01'!M93,'17.01'!$AM$4:$AP$55,4,FALSE))</f>
        <v>0</v>
      </c>
      <c r="F93" s="4">
        <f>(VLOOKUP('17.01'!N93,'17.01'!$AM$4:$AP$55,4,FALSE))</f>
        <v>0</v>
      </c>
      <c r="G93" s="4">
        <f>(VLOOKUP('17.01'!O93,'17.01'!$AM$4:$AP$55,4,FALSE))</f>
        <v>0</v>
      </c>
      <c r="H93" s="4">
        <f>(VLOOKUP('17.01'!P93,'17.01'!$AM$4:$AP$55,4,FALSE))</f>
        <v>0</v>
      </c>
      <c r="I93" s="4">
        <f>(VLOOKUP('17.01'!Q93,'17.01'!$AM$4:$AP$55,4,FALSE))</f>
        <v>0</v>
      </c>
      <c r="J93" s="4">
        <f>(VLOOKUP('17.01'!R93,'17.01'!$AM$4:$AP$55,4,FALSE))</f>
        <v>0</v>
      </c>
      <c r="K93" s="4">
        <f>(VLOOKUP('17.01'!S93,'17.01'!$AM$4:$AP$55,4,FALSE))</f>
        <v>0</v>
      </c>
      <c r="L93" s="4">
        <f>(VLOOKUP('17.01'!T93,'17.01'!$AM$4:$AP$55,4,FALSE))</f>
        <v>0</v>
      </c>
      <c r="M93" s="4">
        <f>(VLOOKUP('17.01'!U93,'17.01'!$AM$4:$AP$55,4,FALSE))</f>
        <v>0</v>
      </c>
      <c r="N93" s="4">
        <f>(VLOOKUP('17.01'!V93,'17.01'!$AM$4:$AP$55,4,FALSE))</f>
        <v>0</v>
      </c>
      <c r="O93" s="4">
        <f>(VLOOKUP('17.01'!W93,'17.01'!$AM$4:$AP$55,4,FALSE))</f>
        <v>0</v>
      </c>
      <c r="P93" s="4">
        <f>(VLOOKUP('17.01'!X93,'17.01'!$AM$4:$AP$55,4,FALSE))</f>
        <v>0</v>
      </c>
      <c r="Q93" s="4">
        <f>(VLOOKUP('17.01'!Y93,'17.01'!$AM$4:$AP$55,4,FALSE))</f>
        <v>0</v>
      </c>
      <c r="R93" s="4">
        <f>(VLOOKUP('17.01'!Z93,'17.01'!$AM$4:$AP$55,4,FALSE))</f>
        <v>0</v>
      </c>
      <c r="S93" s="4">
        <f>(VLOOKUP('17.01'!AA93,'17.01'!$AM$4:$AP$55,4,FALSE))</f>
        <v>0</v>
      </c>
      <c r="T93" s="4">
        <f>(VLOOKUP('17.01'!AB93,'17.01'!$AM$4:$AP$55,4,FALSE))</f>
        <v>0</v>
      </c>
      <c r="U93" s="4">
        <f>(VLOOKUP('17.01'!AC93,'17.01'!$AM$4:$AP$55,4,FALSE))</f>
        <v>0</v>
      </c>
      <c r="V93" s="4">
        <f>(VLOOKUP('17.01'!AD93,'17.01'!$AM$4:$AP$55,4,FALSE))</f>
        <v>0</v>
      </c>
      <c r="W93" s="4">
        <f>(VLOOKUP('17.01'!AE93,'17.01'!$AM$4:$AP$55,4,FALSE))</f>
        <v>0</v>
      </c>
      <c r="X93" s="4">
        <f>(VLOOKUP('17.01'!AF93,'17.01'!$AM$4:$AP$55,4,FALSE))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2024-09-14T04:58:38Z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