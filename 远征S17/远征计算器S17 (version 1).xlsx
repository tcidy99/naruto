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8_{1E74BA09-5BED-49D3-9E78-2269AABA0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7.04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<sst xmlns="http://schemas.openxmlformats.org/spreadsheetml/2006/main" count="2635" uniqueCount="79">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</sst>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topLeftCell="K1" zoomScale="115" zoomScaleNormal="115" workbookViewId="0">
      <pane ySplit="3" topLeftCell="A35" activePane="bottomLeft" state="frozen"/>
      <selection activeCell="AO32" sqref="AO32"/>
      <selection pane="bottomLeft" activeCell="AI18" sqref="AI18"/>
    </sheetView>
  </sheetViews>
  <sheetFormatPr defaultColWidth="9" defaultRowHeight="15"/>
  <cols>
    <col min="1" max="1" width="11.85546875" customWidth="1"/>
    <col min="2" max="2" width="9" customWidth="1"/>
    <col min="3" max="3" width="6.7109375" customWidth="1"/>
    <col min="4" max="4" width="5.7109375" customWidth="1"/>
    <col min="5" max="5" width="7.5703125" customWidth="1"/>
    <col min="6" max="6" width="5.7109375" customWidth="1"/>
    <col min="7" max="7" width="7.710937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12">
        <f ca="1">(_xlfn.DAYS(TODAY(),A4)+2)/((_xlfn.DAYS(A93,A4))+1)</f>
        <v>6.6666666666666666E-2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149999999999999" customHeight="1" thickBot="1">
      <c r="A2" s="56">
        <v>17.04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28115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29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297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238</v>
      </c>
      <c r="AC2" s="129" t="s">
        <v>5</v>
      </c>
      <c r="AD2" s="129"/>
      <c r="AE2" s="129"/>
      <c r="AF2" s="130"/>
      <c r="AG2" s="36">
        <f>SUM(AG4:AG93)</f>
        <v>85</v>
      </c>
      <c r="AH2" s="36">
        <f>SUM(AH4:AH93)</f>
        <v>0</v>
      </c>
      <c r="AI2" s="36">
        <f>SUM(AI4:AI93)</f>
        <v>49</v>
      </c>
      <c r="AJ2" s="18">
        <f>SUM(AJ4:AJ93)</f>
        <v>36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564</v>
      </c>
      <c r="AV2" t="s">
        <v>57</v>
      </c>
      <c r="AW2" s="30">
        <f>SUM(AU4:AW29)+7000</f>
        <v>35115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30</v>
      </c>
      <c r="AU4" s="41">
        <f>AQ4*$AO4</f>
        <v>315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6</v>
      </c>
      <c r="AS5" s="40">
        <f t="shared" si="2"/>
        <v>34</v>
      </c>
      <c r="AT5" s="40">
        <f t="shared" ref="AT5:AT26" si="5">AQ5+AR5+AS5</f>
        <v>54</v>
      </c>
      <c r="AU5" s="41">
        <f t="shared" ref="AU5:AW28" si="6">AQ5*$AO5</f>
        <v>560</v>
      </c>
      <c r="AV5" s="41">
        <f t="shared" si="3"/>
        <v>240</v>
      </c>
      <c r="AW5" s="41">
        <f t="shared" si="3"/>
        <v>1360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89</v>
      </c>
      <c r="AS6" s="40">
        <f t="shared" si="2"/>
        <v>91</v>
      </c>
      <c r="AT6" s="40">
        <f t="shared" si="5"/>
        <v>180</v>
      </c>
      <c r="AU6" s="41">
        <f t="shared" si="6"/>
        <v>0</v>
      </c>
      <c r="AV6" s="41">
        <f t="shared" si="3"/>
        <v>4005</v>
      </c>
      <c r="AW6" s="41">
        <f t="shared" si="3"/>
        <v>4095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74</v>
      </c>
      <c r="AS7" s="22">
        <f t="shared" si="2"/>
        <v>30</v>
      </c>
      <c r="AT7" s="22">
        <f t="shared" si="5"/>
        <v>104</v>
      </c>
      <c r="AU7" s="29">
        <f t="shared" si="6"/>
        <v>0</v>
      </c>
      <c r="AV7" s="29">
        <f t="shared" si="3"/>
        <v>3700</v>
      </c>
      <c r="AW7" s="29">
        <f t="shared" si="3"/>
        <v>1500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30</v>
      </c>
      <c r="AS8" s="22">
        <f t="shared" si="2"/>
        <v>1</v>
      </c>
      <c r="AT8" s="22">
        <f t="shared" si="5"/>
        <v>31</v>
      </c>
      <c r="AU8" s="29">
        <f t="shared" si="6"/>
        <v>0</v>
      </c>
      <c r="AV8" s="29">
        <f t="shared" si="3"/>
        <v>1650</v>
      </c>
      <c r="AW8" s="29">
        <f t="shared" si="3"/>
        <v>55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55</v>
      </c>
      <c r="AS9" s="22">
        <f t="shared" si="2"/>
        <v>43</v>
      </c>
      <c r="AT9" s="22">
        <f t="shared" si="5"/>
        <v>98</v>
      </c>
      <c r="AU9" s="29">
        <f t="shared" si="6"/>
        <v>0</v>
      </c>
      <c r="AV9" s="29">
        <f t="shared" si="3"/>
        <v>3300</v>
      </c>
      <c r="AW9" s="29">
        <f t="shared" si="3"/>
        <v>2580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2</v>
      </c>
      <c r="AS11" s="22">
        <f t="shared" si="2"/>
        <v>0</v>
      </c>
      <c r="AT11" s="22">
        <f t="shared" si="5"/>
        <v>2</v>
      </c>
      <c r="AU11" s="29">
        <f t="shared" si="6"/>
        <v>0</v>
      </c>
      <c r="AV11" s="29">
        <f t="shared" si="3"/>
        <v>80</v>
      </c>
      <c r="AW11" s="29">
        <f t="shared" si="3"/>
        <v>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5"/>
        <v>5</v>
      </c>
      <c r="AU12" s="29">
        <f t="shared" si="6"/>
        <v>0</v>
      </c>
      <c r="AV12" s="29">
        <f t="shared" si="3"/>
        <v>180</v>
      </c>
      <c r="AW12" s="29">
        <f t="shared" si="3"/>
        <v>45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1580</v>
      </c>
      <c r="E16" s="100">
        <f>SUM($B$4:B16)+SUM($C$4:C16)-SUM($D$4:D16)</f>
        <v>1410</v>
      </c>
      <c r="F16" s="65">
        <f>SUM(经验!A16:X16)</f>
        <v>595</v>
      </c>
      <c r="G16" s="65">
        <f>SUM($F$4:F16)+SUM($H$4:H16)</f>
        <v>9175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5" t="s">
        <v>42</v>
      </c>
      <c r="U16" s="75" t="s">
        <v>42</v>
      </c>
      <c r="V16" s="75" t="s">
        <v>42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7</v>
      </c>
      <c r="AH16" s="70"/>
      <c r="AI16" s="70">
        <v>7</v>
      </c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1556</v>
      </c>
      <c r="E17" s="100">
        <f>SUM($B$4:B17)+SUM($C$4:C17)-SUM($D$4:D17)</f>
        <v>1454</v>
      </c>
      <c r="F17" s="65">
        <f>SUM(经验!A17:X17)</f>
        <v>620</v>
      </c>
      <c r="G17" s="65">
        <f>SUM($F$4:F17)+SUM($H$4:H17)</f>
        <v>9795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13</v>
      </c>
      <c r="AS17" s="22">
        <f t="shared" si="2"/>
        <v>16</v>
      </c>
      <c r="AT17" s="22">
        <f t="shared" si="5"/>
        <v>34</v>
      </c>
      <c r="AU17" s="29">
        <f t="shared" si="6"/>
        <v>150</v>
      </c>
      <c r="AV17" s="29">
        <f t="shared" si="3"/>
        <v>390</v>
      </c>
      <c r="AW17" s="29">
        <f t="shared" si="3"/>
        <v>480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1460</v>
      </c>
      <c r="E18" s="100">
        <f>SUM($B$4:B18)+SUM($C$4:C18)-SUM($D$4:D18)</f>
        <v>1594</v>
      </c>
      <c r="F18" s="65">
        <f>SUM(经验!A18:X18)</f>
        <v>570</v>
      </c>
      <c r="G18" s="65">
        <f>SUM($F$4:F18)+SUM($H$4:H18)</f>
        <v>10365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1568</v>
      </c>
      <c r="E19" s="100">
        <f>SUM($B$4:B19)+SUM($C$4:C19)-SUM($D$4:D19)</f>
        <v>1626</v>
      </c>
      <c r="F19" s="65">
        <f>SUM(经验!A19:X19)</f>
        <v>545</v>
      </c>
      <c r="G19" s="65">
        <f>SUM($F$4:F19)+SUM($H$4:H19)</f>
        <v>10910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76" t="s">
        <v>43</v>
      </c>
      <c r="U19" s="76" t="s">
        <v>43</v>
      </c>
      <c r="V19" s="76" t="s">
        <v>43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1462</v>
      </c>
      <c r="E20" s="100">
        <f>SUM($B$4:B20)+SUM($C$4:C20)-SUM($D$4:D20)</f>
        <v>1764</v>
      </c>
      <c r="F20" s="65">
        <f>SUM(经验!A20:X20)</f>
        <v>545</v>
      </c>
      <c r="G20" s="65">
        <f>SUM($F$4:F20)+SUM($H$4:H20)</f>
        <v>11455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6" t="s">
        <v>43</v>
      </c>
      <c r="R20" s="76" t="s">
        <v>43</v>
      </c>
      <c r="S20" s="83" t="s">
        <v>46</v>
      </c>
      <c r="T20" s="76" t="s">
        <v>43</v>
      </c>
      <c r="U20" s="76" t="s">
        <v>43</v>
      </c>
      <c r="V20" s="75" t="s">
        <v>42</v>
      </c>
      <c r="W20" s="73" t="s">
        <v>37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1512</v>
      </c>
      <c r="E21" s="100">
        <f>SUM($B$4:B21)+SUM($C$4:C21)-SUM($D$4:D21)</f>
        <v>1852</v>
      </c>
      <c r="F21" s="65">
        <f>SUM(经验!A21:X21)</f>
        <v>530</v>
      </c>
      <c r="G21" s="65">
        <f>SUM($F$4:F21)+SUM($H$4:H21)</f>
        <v>12185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6" t="s">
        <v>43</v>
      </c>
      <c r="R21" s="76" t="s">
        <v>43</v>
      </c>
      <c r="S21" s="75" t="s">
        <v>42</v>
      </c>
      <c r="T21" s="75" t="s">
        <v>42</v>
      </c>
      <c r="U21" s="75" t="s">
        <v>42</v>
      </c>
      <c r="V21" s="75" t="s">
        <v>42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1292</v>
      </c>
      <c r="E22" s="100">
        <f>SUM($B$4:B22)+SUM($C$4:C22)-SUM($D$4:D22)</f>
        <v>2160</v>
      </c>
      <c r="F22" s="65">
        <f>SUM(经验!A22:X22)</f>
        <v>590</v>
      </c>
      <c r="G22" s="65">
        <f>SUM($F$4:F22)+SUM($H$4:H22)</f>
        <v>12875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5" t="s">
        <v>42</v>
      </c>
      <c r="R22" s="83" t="s">
        <v>46</v>
      </c>
      <c r="S22" s="75" t="s">
        <v>42</v>
      </c>
      <c r="T22" s="75" t="s">
        <v>42</v>
      </c>
      <c r="U22" s="75" t="s">
        <v>42</v>
      </c>
      <c r="V22" s="76" t="s">
        <v>43</v>
      </c>
      <c r="W22" s="75" t="s">
        <v>42</v>
      </c>
      <c r="X22" s="75" t="s">
        <v>42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68" t="s">
        <v>34</v>
      </c>
      <c r="AF22" s="68" t="s">
        <v>34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5"/>
        <v>1</v>
      </c>
      <c r="AU22" s="29">
        <f t="shared" si="6"/>
        <v>0</v>
      </c>
      <c r="AV22" s="29">
        <f t="shared" si="6"/>
        <v>1000</v>
      </c>
      <c r="AW22" s="29">
        <f t="shared" si="6"/>
        <v>0</v>
      </c>
      <c r="BA22">
        <f t="shared" si="7"/>
        <v>200</v>
      </c>
    </row>
    <row r="23" spans="1:53">
      <c r="A23" s="96">
        <v>45567</v>
      </c>
      <c r="B23" s="67">
        <v>1600</v>
      </c>
      <c r="C23" s="67"/>
      <c r="D23" s="65">
        <f>(SUM(粮草!A23:X23)+AG23*10*IF(AK23="是",$AY$4,$AY$3))</f>
        <v>1806</v>
      </c>
      <c r="E23" s="100">
        <f>SUM($B$4:B23)+SUM($C$4:C23)-SUM($D$4:D23)</f>
        <v>1954</v>
      </c>
      <c r="F23" s="65">
        <f>SUM(经验!A23:X23)</f>
        <v>740</v>
      </c>
      <c r="G23" s="65">
        <f>SUM($F$4:F23)+SUM($H$4:H23)</f>
        <v>13815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5" t="s">
        <v>42</v>
      </c>
      <c r="R23" s="76" t="s">
        <v>43</v>
      </c>
      <c r="S23" s="76" t="s">
        <v>43</v>
      </c>
      <c r="T23" s="83" t="s">
        <v>46</v>
      </c>
      <c r="U23" s="76" t="s">
        <v>43</v>
      </c>
      <c r="V23" s="76" t="s">
        <v>43</v>
      </c>
      <c r="W23" s="76" t="s">
        <v>43</v>
      </c>
      <c r="X23" s="76" t="s">
        <v>43</v>
      </c>
      <c r="Y23" s="77" t="s">
        <v>44</v>
      </c>
      <c r="Z23" s="77" t="s">
        <v>44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68" t="s">
        <v>34</v>
      </c>
      <c r="AF23" s="68" t="s">
        <v>34</v>
      </c>
      <c r="AG23" s="69">
        <f t="shared" si="4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1620</v>
      </c>
      <c r="E24" s="100">
        <f>SUM($B$4:B24)+SUM($C$4:C24)-SUM($D$4:D24)</f>
        <v>1934</v>
      </c>
      <c r="F24" s="65">
        <f>SUM(经验!A24:X24)</f>
        <v>755</v>
      </c>
      <c r="G24" s="65">
        <f>SUM($F$4:F24)+SUM($H$4:H24)</f>
        <v>14570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83" t="s">
        <v>46</v>
      </c>
      <c r="S24" s="77" t="s">
        <v>44</v>
      </c>
      <c r="T24" s="76" t="s">
        <v>43</v>
      </c>
      <c r="U24" s="76" t="s">
        <v>43</v>
      </c>
      <c r="V24" s="76" t="s">
        <v>43</v>
      </c>
      <c r="W24" s="76" t="s">
        <v>43</v>
      </c>
      <c r="X24" s="76" t="s">
        <v>43</v>
      </c>
      <c r="Y24" s="77" t="s">
        <v>44</v>
      </c>
      <c r="Z24" s="77" t="s">
        <v>44</v>
      </c>
      <c r="AA24" s="83" t="s">
        <v>46</v>
      </c>
      <c r="AB24" s="77" t="s">
        <v>44</v>
      </c>
      <c r="AC24" s="77" t="s">
        <v>44</v>
      </c>
      <c r="AD24" s="77" t="s">
        <v>44</v>
      </c>
      <c r="AE24" s="77" t="s">
        <v>44</v>
      </c>
      <c r="AF24" s="68" t="s">
        <v>34</v>
      </c>
      <c r="AG24" s="69">
        <f t="shared" si="4"/>
        <v>0</v>
      </c>
      <c r="AH24" s="70"/>
      <c r="AI24" s="70"/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>
      <c r="A25" s="96">
        <v>45569</v>
      </c>
      <c r="B25" s="67">
        <v>1600</v>
      </c>
      <c r="C25" s="67"/>
      <c r="D25" s="65">
        <f>(SUM(粮草!A25:X25)+AG25*10*IF(AK25="是",$AY$4,$AY$3))</f>
        <v>1806</v>
      </c>
      <c r="E25" s="100">
        <f>SUM($B$4:B25)+SUM($C$4:C25)-SUM($D$4:D25)</f>
        <v>1728</v>
      </c>
      <c r="F25" s="65">
        <f>SUM(经验!A25:X25)</f>
        <v>725</v>
      </c>
      <c r="G25" s="65">
        <f>SUM($F$4:F25)+SUM($H$4:H25)</f>
        <v>15295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6" t="s">
        <v>43</v>
      </c>
      <c r="R25" s="76" t="s">
        <v>43</v>
      </c>
      <c r="S25" s="75" t="s">
        <v>42</v>
      </c>
      <c r="T25" s="75" t="s">
        <v>42</v>
      </c>
      <c r="U25" s="76" t="s">
        <v>43</v>
      </c>
      <c r="V25" s="75" t="s">
        <v>42</v>
      </c>
      <c r="W25" s="83" t="s">
        <v>46</v>
      </c>
      <c r="X25" s="75" t="s">
        <v>42</v>
      </c>
      <c r="Y25" s="77" t="s">
        <v>44</v>
      </c>
      <c r="Z25" s="77" t="s">
        <v>44</v>
      </c>
      <c r="AA25" s="77" t="s">
        <v>44</v>
      </c>
      <c r="AB25" s="77" t="s">
        <v>44</v>
      </c>
      <c r="AC25" s="77" t="s">
        <v>44</v>
      </c>
      <c r="AD25" s="77" t="s">
        <v>44</v>
      </c>
      <c r="AE25" s="68" t="s">
        <v>34</v>
      </c>
      <c r="AF25" s="68" t="s">
        <v>34</v>
      </c>
      <c r="AG25" s="69">
        <f t="shared" si="4"/>
        <v>3</v>
      </c>
      <c r="AH25" s="70"/>
      <c r="AI25" s="70"/>
      <c r="AJ25" s="70">
        <v>3</v>
      </c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1648</v>
      </c>
      <c r="E26" s="100">
        <f>SUM($B$4:B26)+SUM($C$4:C26)-SUM($D$4:D26)</f>
        <v>1680</v>
      </c>
      <c r="F26" s="65">
        <f>SUM(经验!A26:X26)</f>
        <v>625</v>
      </c>
      <c r="G26" s="65">
        <f>SUM($F$4:F26)+SUM($H$4:H26)</f>
        <v>15920</v>
      </c>
      <c r="H26" s="67">
        <v>0</v>
      </c>
      <c r="I26" s="67" t="s">
        <v>34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76" t="s">
        <v>43</v>
      </c>
      <c r="R26" s="82" t="s">
        <v>39</v>
      </c>
      <c r="S26" s="75" t="s">
        <v>42</v>
      </c>
      <c r="T26" s="75" t="s">
        <v>42</v>
      </c>
      <c r="U26" s="76" t="s">
        <v>43</v>
      </c>
      <c r="V26" s="76" t="s">
        <v>43</v>
      </c>
      <c r="W26" s="68" t="s">
        <v>34</v>
      </c>
      <c r="X26" s="68" t="s">
        <v>34</v>
      </c>
      <c r="Y26" s="77" t="s">
        <v>44</v>
      </c>
      <c r="Z26" s="82" t="s">
        <v>39</v>
      </c>
      <c r="AA26" s="77" t="s">
        <v>44</v>
      </c>
      <c r="AB26" s="77" t="s">
        <v>44</v>
      </c>
      <c r="AC26" s="77" t="s">
        <v>44</v>
      </c>
      <c r="AD26" s="77" t="s">
        <v>44</v>
      </c>
      <c r="AE26" s="68" t="s">
        <v>34</v>
      </c>
      <c r="AF26" s="68" t="s">
        <v>34</v>
      </c>
      <c r="AG26" s="69">
        <f t="shared" si="4"/>
        <v>3</v>
      </c>
      <c r="AH26" s="70"/>
      <c r="AI26" s="70"/>
      <c r="AJ26" s="70">
        <v>3</v>
      </c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/>
      <c r="D27" s="65">
        <f>(SUM(粮草!A27:X27)+AG27*10*IF(AK27="是",$AY$4,$AY$3))</f>
        <v>1752</v>
      </c>
      <c r="E27" s="100">
        <f>SUM($B$4:B27)+SUM($C$4:C27)-SUM($D$4:D27)</f>
        <v>1528</v>
      </c>
      <c r="F27" s="65">
        <f>SUM(经验!A27:X27)</f>
        <v>635</v>
      </c>
      <c r="G27" s="65">
        <f>SUM($F$4:F27)+SUM($H$4:H27)</f>
        <v>16555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76" t="s">
        <v>43</v>
      </c>
      <c r="R27" s="76" t="s">
        <v>43</v>
      </c>
      <c r="S27" s="76" t="s">
        <v>43</v>
      </c>
      <c r="T27" s="73" t="s">
        <v>37</v>
      </c>
      <c r="U27" s="73" t="s">
        <v>37</v>
      </c>
      <c r="V27" s="82" t="s">
        <v>39</v>
      </c>
      <c r="W27" s="68" t="s">
        <v>34</v>
      </c>
      <c r="X27" s="68" t="s">
        <v>34</v>
      </c>
      <c r="Y27" s="77" t="s">
        <v>44</v>
      </c>
      <c r="Z27" s="77" t="s">
        <v>44</v>
      </c>
      <c r="AA27" s="77" t="s">
        <v>44</v>
      </c>
      <c r="AB27" s="77" t="s">
        <v>44</v>
      </c>
      <c r="AC27" s="77" t="s">
        <v>44</v>
      </c>
      <c r="AD27" s="77" t="s">
        <v>44</v>
      </c>
      <c r="AE27" s="68" t="s">
        <v>34</v>
      </c>
      <c r="AF27" s="68" t="s">
        <v>34</v>
      </c>
      <c r="AG27" s="69">
        <f t="shared" si="4"/>
        <v>5</v>
      </c>
      <c r="AH27" s="70"/>
      <c r="AI27" s="70">
        <v>5</v>
      </c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6">
        <v>45572</v>
      </c>
      <c r="B28" s="65">
        <v>1600</v>
      </c>
      <c r="C28" s="66"/>
      <c r="D28" s="65">
        <f>(SUM(粮草!A28:X28)+AG28*10*IF(AK28="是",$AY$4,$AY$3))</f>
        <v>1960</v>
      </c>
      <c r="E28" s="100">
        <f>SUM($B$4:B28)+SUM($C$4:C28)-SUM($D$4:D28)</f>
        <v>1168</v>
      </c>
      <c r="F28" s="65">
        <f>SUM(经验!A28:X28)</f>
        <v>1220</v>
      </c>
      <c r="G28" s="65">
        <f>SUM($F$4:F28)+SUM($H$4:H28)</f>
        <v>17975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73" t="s">
        <v>37</v>
      </c>
      <c r="R28" s="49" t="s">
        <v>62</v>
      </c>
      <c r="S28" s="77" t="s">
        <v>44</v>
      </c>
      <c r="T28" s="77" t="s">
        <v>44</v>
      </c>
      <c r="U28" s="77" t="s">
        <v>44</v>
      </c>
      <c r="V28" s="77" t="s">
        <v>44</v>
      </c>
      <c r="W28" s="77" t="s">
        <v>44</v>
      </c>
      <c r="X28" s="68" t="s">
        <v>34</v>
      </c>
      <c r="Y28" s="77" t="s">
        <v>44</v>
      </c>
      <c r="Z28" s="77" t="s">
        <v>44</v>
      </c>
      <c r="AA28" s="77" t="s">
        <v>44</v>
      </c>
      <c r="AB28" s="77" t="s">
        <v>44</v>
      </c>
      <c r="AC28" s="77" t="s">
        <v>44</v>
      </c>
      <c r="AD28" s="77" t="s">
        <v>44</v>
      </c>
      <c r="AE28" s="68" t="s">
        <v>34</v>
      </c>
      <c r="AF28" s="68" t="s">
        <v>34</v>
      </c>
      <c r="AG28" s="69">
        <f t="shared" si="4"/>
        <v>4</v>
      </c>
      <c r="AH28" s="70"/>
      <c r="AI28" s="70">
        <v>4</v>
      </c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1800</v>
      </c>
      <c r="E29" s="100">
        <f>SUM($B$4:B29)+SUM($C$4:C29)-SUM($D$4:D29)</f>
        <v>968</v>
      </c>
      <c r="F29" s="65">
        <f>SUM(经验!A29:X29)</f>
        <v>690</v>
      </c>
      <c r="G29" s="65">
        <f>SUM($F$4:F29)+SUM($H$4:H29)</f>
        <v>18765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77" t="s">
        <v>44</v>
      </c>
      <c r="U29" s="82" t="s">
        <v>39</v>
      </c>
      <c r="V29" s="77" t="s">
        <v>44</v>
      </c>
      <c r="W29" s="68" t="s">
        <v>34</v>
      </c>
      <c r="X29" s="68" t="s">
        <v>34</v>
      </c>
      <c r="Y29" s="77" t="s">
        <v>44</v>
      </c>
      <c r="Z29" s="77" t="s">
        <v>44</v>
      </c>
      <c r="AA29" s="77" t="s">
        <v>44</v>
      </c>
      <c r="AB29" s="77" t="s">
        <v>44</v>
      </c>
      <c r="AC29" s="77" t="s">
        <v>44</v>
      </c>
      <c r="AD29" s="77" t="s">
        <v>44</v>
      </c>
      <c r="AE29" s="68" t="s">
        <v>34</v>
      </c>
      <c r="AF29" s="68" t="s">
        <v>34</v>
      </c>
      <c r="AG29" s="69">
        <f t="shared" si="4"/>
        <v>0</v>
      </c>
      <c r="AH29" s="70"/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>AQ29*$AO29</f>
        <v>0</v>
      </c>
      <c r="AV29" s="29">
        <f>AR29*$AO29</f>
        <v>520</v>
      </c>
      <c r="AW29" s="29">
        <f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1840</v>
      </c>
      <c r="E30" s="100">
        <f>SUM($B$4:B30)+SUM($C$4:C30)-SUM($D$4:D30)</f>
        <v>728</v>
      </c>
      <c r="F30" s="65">
        <f>SUM(经验!A30:X30)</f>
        <v>670</v>
      </c>
      <c r="G30" s="65">
        <f>SUM($F$4:F30)+SUM($H$4:H30)</f>
        <v>19635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77" t="s">
        <v>44</v>
      </c>
      <c r="R30" s="77" t="s">
        <v>44</v>
      </c>
      <c r="S30" s="77" t="s">
        <v>44</v>
      </c>
      <c r="T30" s="77" t="s">
        <v>44</v>
      </c>
      <c r="U30" s="77" t="s">
        <v>44</v>
      </c>
      <c r="V30" s="77" t="s">
        <v>44</v>
      </c>
      <c r="W30" s="68" t="s">
        <v>34</v>
      </c>
      <c r="X30" s="68" t="s">
        <v>34</v>
      </c>
      <c r="Y30" s="77" t="s">
        <v>44</v>
      </c>
      <c r="Z30" s="75" t="s">
        <v>42</v>
      </c>
      <c r="AA30" s="75" t="s">
        <v>42</v>
      </c>
      <c r="AB30" s="75" t="s">
        <v>42</v>
      </c>
      <c r="AC30" s="75" t="s">
        <v>42</v>
      </c>
      <c r="AD30" s="75" t="s">
        <v>42</v>
      </c>
      <c r="AE30" s="68" t="s">
        <v>34</v>
      </c>
      <c r="AF30" s="68" t="s">
        <v>34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1628</v>
      </c>
      <c r="E31" s="100">
        <f>SUM($B$4:B31)+SUM($C$4:C31)-SUM($D$4:D31)</f>
        <v>700</v>
      </c>
      <c r="F31" s="65">
        <f>SUM(经验!A31:X31)</f>
        <v>750</v>
      </c>
      <c r="G31" s="65">
        <f>SUM($F$4:F31)+SUM($H$4:H31)</f>
        <v>20385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77" t="s">
        <v>44</v>
      </c>
      <c r="R31" s="77" t="s">
        <v>44</v>
      </c>
      <c r="S31" s="77" t="s">
        <v>44</v>
      </c>
      <c r="T31" s="77" t="s">
        <v>44</v>
      </c>
      <c r="U31" s="77" t="s">
        <v>44</v>
      </c>
      <c r="V31" s="77" t="s">
        <v>44</v>
      </c>
      <c r="W31" s="83" t="s">
        <v>46</v>
      </c>
      <c r="X31" s="77" t="s">
        <v>44</v>
      </c>
      <c r="Y31" s="82" t="s">
        <v>39</v>
      </c>
      <c r="Z31" s="75" t="s">
        <v>42</v>
      </c>
      <c r="AA31" s="83" t="s">
        <v>46</v>
      </c>
      <c r="AB31" s="75" t="s">
        <v>42</v>
      </c>
      <c r="AC31" s="75" t="s">
        <v>42</v>
      </c>
      <c r="AD31" s="75" t="s">
        <v>42</v>
      </c>
      <c r="AE31" s="75" t="s">
        <v>42</v>
      </c>
      <c r="AF31" s="75" t="s">
        <v>42</v>
      </c>
      <c r="AG31" s="69">
        <f t="shared" si="4"/>
        <v>3</v>
      </c>
      <c r="AH31" s="70"/>
      <c r="AI31" s="70"/>
      <c r="AJ31" s="70">
        <v>3</v>
      </c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2296</v>
      </c>
      <c r="E32" s="100">
        <f>SUM($B$4:B32)+SUM($C$4:C32)-SUM($D$4:D32)</f>
        <v>4</v>
      </c>
      <c r="F32" s="65">
        <f>SUM(经验!A32:X32)</f>
        <v>1745</v>
      </c>
      <c r="G32" s="65">
        <f>SUM($F$4:F32)+SUM($H$4:H32)</f>
        <v>22130</v>
      </c>
      <c r="H32" s="65">
        <v>0</v>
      </c>
      <c r="I32" s="72" t="s">
        <v>33</v>
      </c>
      <c r="J32" s="72" t="s">
        <v>33</v>
      </c>
      <c r="K32" s="82" t="s">
        <v>39</v>
      </c>
      <c r="L32" s="72" t="s">
        <v>33</v>
      </c>
      <c r="M32" s="72" t="s">
        <v>33</v>
      </c>
      <c r="N32" s="72" t="s">
        <v>33</v>
      </c>
      <c r="O32" s="82" t="s">
        <v>39</v>
      </c>
      <c r="P32" s="68" t="s">
        <v>34</v>
      </c>
      <c r="Q32" s="77" t="s">
        <v>44</v>
      </c>
      <c r="R32" s="77" t="s">
        <v>44</v>
      </c>
      <c r="S32" s="77" t="s">
        <v>44</v>
      </c>
      <c r="T32" s="77" t="s">
        <v>44</v>
      </c>
      <c r="U32" s="84" t="s">
        <v>53</v>
      </c>
      <c r="V32" s="77" t="s">
        <v>44</v>
      </c>
      <c r="W32" s="77" t="s">
        <v>44</v>
      </c>
      <c r="X32" s="68" t="s">
        <v>34</v>
      </c>
      <c r="Y32" s="75" t="s">
        <v>42</v>
      </c>
      <c r="Z32" s="75" t="s">
        <v>42</v>
      </c>
      <c r="AA32" s="75" t="s">
        <v>42</v>
      </c>
      <c r="AB32" s="67" t="s">
        <v>34</v>
      </c>
      <c r="AC32" s="67" t="s">
        <v>34</v>
      </c>
      <c r="AD32" s="67" t="s">
        <v>34</v>
      </c>
      <c r="AE32" s="68" t="s">
        <v>34</v>
      </c>
      <c r="AF32" s="68" t="s">
        <v>34</v>
      </c>
      <c r="AG32" s="69">
        <f t="shared" si="4"/>
        <v>3</v>
      </c>
      <c r="AH32" s="70"/>
      <c r="AI32" s="70">
        <v>3</v>
      </c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78</v>
      </c>
    </row>
    <row r="33" spans="1:43">
      <c r="A33" s="96">
        <v>45577</v>
      </c>
      <c r="B33" s="65">
        <v>1600</v>
      </c>
      <c r="C33" s="66">
        <v>40</v>
      </c>
      <c r="D33" s="65">
        <f>(SUM(粮草!A33:X33)+AG33*10*IF(AK33="是",$AY$4,$AY$3))</f>
        <v>1636</v>
      </c>
      <c r="E33" s="100">
        <f>SUM($B$4:B33)+SUM($C$4:C33)-SUM($D$4:D33)</f>
        <v>8</v>
      </c>
      <c r="F33" s="65">
        <f>SUM(经验!A33:X33)</f>
        <v>725</v>
      </c>
      <c r="G33" s="65">
        <f>SUM($F$4:F33)+SUM($H$4:H33)</f>
        <v>22855</v>
      </c>
      <c r="H33" s="65">
        <v>0</v>
      </c>
      <c r="I33" s="73" t="s">
        <v>37</v>
      </c>
      <c r="J33" s="73" t="s">
        <v>37</v>
      </c>
      <c r="K33" s="73" t="s">
        <v>37</v>
      </c>
      <c r="L33" s="82" t="s">
        <v>39</v>
      </c>
      <c r="M33" s="73" t="s">
        <v>37</v>
      </c>
      <c r="N33" s="73" t="s">
        <v>37</v>
      </c>
      <c r="O33" s="83" t="s">
        <v>46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74" t="s">
        <v>40</v>
      </c>
      <c r="Y33" s="74" t="s">
        <v>40</v>
      </c>
      <c r="Z33" s="74" t="s">
        <v>40</v>
      </c>
      <c r="AA33" s="67" t="s">
        <v>34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4"/>
        <v>1</v>
      </c>
      <c r="AH33" s="70"/>
      <c r="AI33" s="70"/>
      <c r="AJ33" s="70">
        <v>1</v>
      </c>
      <c r="AK33" s="71" t="s">
        <v>52</v>
      </c>
      <c r="AM33" s="74" t="s">
        <v>40</v>
      </c>
      <c r="AN33" s="22">
        <v>187</v>
      </c>
      <c r="AO33" s="22">
        <f>AN33-AT6</f>
        <v>7</v>
      </c>
      <c r="AP33" s="29">
        <f>AO33*AN6*0.8</f>
        <v>952</v>
      </c>
      <c r="AQ33" s="29">
        <f>AO33*AO6</f>
        <v>315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1256</v>
      </c>
      <c r="E34" s="100">
        <f>SUM($B$4:B34)+SUM($C$4:C34)-SUM($D$4:D34)</f>
        <v>352</v>
      </c>
      <c r="F34" s="65">
        <f>SUM(经验!A34:X34)</f>
        <v>435</v>
      </c>
      <c r="G34" s="65">
        <f>SUM($F$4:F34)+SUM($H$4:H34)</f>
        <v>23290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82" t="s">
        <v>39</v>
      </c>
      <c r="S34" s="74" t="s">
        <v>40</v>
      </c>
      <c r="T34" s="79" t="s">
        <v>47</v>
      </c>
      <c r="U34" s="74" t="s">
        <v>40</v>
      </c>
      <c r="V34" s="74" t="s">
        <v>40</v>
      </c>
      <c r="W34" s="68" t="s">
        <v>34</v>
      </c>
      <c r="X34" s="68" t="s">
        <v>34</v>
      </c>
      <c r="Y34" s="74" t="s">
        <v>40</v>
      </c>
      <c r="Z34" s="74" t="s">
        <v>40</v>
      </c>
      <c r="AA34" s="74" t="s">
        <v>40</v>
      </c>
      <c r="AB34" s="74" t="s">
        <v>40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1</v>
      </c>
      <c r="AH34" s="70"/>
      <c r="AI34" s="70"/>
      <c r="AJ34" s="70">
        <v>1</v>
      </c>
      <c r="AK34" s="71" t="s">
        <v>52</v>
      </c>
      <c r="AM34" s="75" t="s">
        <v>42</v>
      </c>
      <c r="AN34" s="22">
        <v>276</v>
      </c>
      <c r="AO34" s="22">
        <f>AN34-AT7</f>
        <v>172</v>
      </c>
      <c r="AP34" s="29">
        <f>AO34*AN7*0.8</f>
        <v>24768</v>
      </c>
      <c r="AQ34" s="29">
        <f>AO34*AO7</f>
        <v>8600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1680</v>
      </c>
      <c r="E35" s="100">
        <f>SUM($B$4:B35)+SUM($C$4:C35)-SUM($D$4:D35)</f>
        <v>272</v>
      </c>
      <c r="F35" s="65">
        <f>SUM(经验!A35:X35)</f>
        <v>615</v>
      </c>
      <c r="G35" s="65">
        <f>SUM($F$4:F35)+SUM($H$4:H35)</f>
        <v>24105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7" t="s">
        <v>44</v>
      </c>
      <c r="R35" s="77" t="s">
        <v>44</v>
      </c>
      <c r="S35" s="77" t="s">
        <v>44</v>
      </c>
      <c r="T35" s="77" t="s">
        <v>44</v>
      </c>
      <c r="U35" s="77" t="s">
        <v>44</v>
      </c>
      <c r="V35" s="77" t="s">
        <v>44</v>
      </c>
      <c r="W35" s="68" t="s">
        <v>34</v>
      </c>
      <c r="X35" s="68" t="s">
        <v>34</v>
      </c>
      <c r="Y35" s="74" t="s">
        <v>40</v>
      </c>
      <c r="Z35" s="74" t="s">
        <v>40</v>
      </c>
      <c r="AA35" s="74" t="s">
        <v>40</v>
      </c>
      <c r="AB35" s="74" t="s">
        <v>40</v>
      </c>
      <c r="AC35" s="74" t="s">
        <v>40</v>
      </c>
      <c r="AD35" s="82" t="s">
        <v>39</v>
      </c>
      <c r="AE35" s="68" t="s">
        <v>34</v>
      </c>
      <c r="AF35" s="68" t="s">
        <v>34</v>
      </c>
      <c r="AG35" s="69">
        <f t="shared" si="4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207</v>
      </c>
      <c r="AP35" s="29">
        <f>AO35*AN8*0.8</f>
        <v>31464</v>
      </c>
      <c r="AQ35" s="29">
        <f t="shared" ref="AQ35:AQ42" si="8">AO35*AO8</f>
        <v>11385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1640</v>
      </c>
      <c r="E36" s="100">
        <f>SUM($B$4:B36)+SUM($C$4:C36)-SUM($D$4:D36)</f>
        <v>232</v>
      </c>
      <c r="F36" s="65">
        <f>SUM(经验!A36:X36)</f>
        <v>585</v>
      </c>
      <c r="G36" s="65">
        <f>SUM($F$4:F36)+SUM($H$4:H36)</f>
        <v>24790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74" t="s">
        <v>40</v>
      </c>
      <c r="Z36" s="74" t="s">
        <v>40</v>
      </c>
      <c r="AA36" s="74" t="s">
        <v>40</v>
      </c>
      <c r="AB36" s="74" t="s">
        <v>40</v>
      </c>
      <c r="AC36" s="74" t="s">
        <v>40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92</v>
      </c>
      <c r="AP36" s="29">
        <f>AO36*AN9*0.8</f>
        <v>14720</v>
      </c>
      <c r="AQ36" s="29">
        <f t="shared" si="8"/>
        <v>5520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1528</v>
      </c>
      <c r="E37" s="100">
        <f>SUM($B$4:B37)+SUM($C$4:C37)-SUM($D$4:D37)</f>
        <v>304</v>
      </c>
      <c r="F37" s="65">
        <f>SUM(经验!A37:X37)</f>
        <v>555</v>
      </c>
      <c r="G37" s="65">
        <f>SUM($F$4:F37)+SUM($H$4:H37)</f>
        <v>25545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74" t="s">
        <v>40</v>
      </c>
      <c r="Z37" s="75" t="s">
        <v>42</v>
      </c>
      <c r="AA37" s="75" t="s">
        <v>42</v>
      </c>
      <c r="AB37" s="75" t="s">
        <v>42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5</v>
      </c>
      <c r="AP37" s="29">
        <f>AO37*AN17*0.8</f>
        <v>200</v>
      </c>
      <c r="AQ37" s="29">
        <f>AO37*AO17</f>
        <v>150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1536</v>
      </c>
      <c r="E38" s="100">
        <f>SUM($B$4:B38)+SUM($C$4:C38)-SUM($D$4:D38)</f>
        <v>368</v>
      </c>
      <c r="F38" s="65">
        <f>SUM(经验!A38:X38)</f>
        <v>520</v>
      </c>
      <c r="G38" s="65">
        <f>SUM($F$4:F38)+SUM($H$4:H38)</f>
        <v>26065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74" t="s">
        <v>40</v>
      </c>
      <c r="R38" s="74" t="s">
        <v>40</v>
      </c>
      <c r="S38" s="74" t="s">
        <v>40</v>
      </c>
      <c r="T38" s="74" t="s">
        <v>40</v>
      </c>
      <c r="U38" s="74" t="s">
        <v>40</v>
      </c>
      <c r="V38" s="74" t="s">
        <v>40</v>
      </c>
      <c r="W38" s="68" t="s">
        <v>34</v>
      </c>
      <c r="X38" s="68" t="s">
        <v>34</v>
      </c>
      <c r="Y38" s="75" t="s">
        <v>42</v>
      </c>
      <c r="Z38" s="75" t="s">
        <v>42</v>
      </c>
      <c r="AA38" s="75" t="s">
        <v>42</v>
      </c>
      <c r="AB38" s="75" t="s">
        <v>42</v>
      </c>
      <c r="AC38" s="75" t="s">
        <v>42</v>
      </c>
      <c r="AD38" s="67" t="s">
        <v>34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2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1696</v>
      </c>
      <c r="E39" s="100">
        <f>SUM($B$4:B39)+SUM($C$4:C39)-SUM($D$4:D39)</f>
        <v>272</v>
      </c>
      <c r="F39" s="65">
        <f>SUM(经验!A39:X39)</f>
        <v>570</v>
      </c>
      <c r="G39" s="65">
        <f>SUM($F$4:F39)+SUM($H$4:H39)</f>
        <v>26635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75" t="s">
        <v>42</v>
      </c>
      <c r="Z39" s="75" t="s">
        <v>42</v>
      </c>
      <c r="AA39" s="75" t="s">
        <v>42</v>
      </c>
      <c r="AB39" s="75" t="s">
        <v>42</v>
      </c>
      <c r="AC39" s="75" t="s">
        <v>42</v>
      </c>
      <c r="AD39" s="75" t="s">
        <v>42</v>
      </c>
      <c r="AE39" s="68" t="s">
        <v>34</v>
      </c>
      <c r="AF39" s="68" t="s">
        <v>34</v>
      </c>
      <c r="AG39" s="69">
        <f t="shared" si="4"/>
        <v>2</v>
      </c>
      <c r="AH39" s="70"/>
      <c r="AI39" s="70"/>
      <c r="AJ39" s="70">
        <v>2</v>
      </c>
      <c r="AK39" s="71" t="s">
        <v>52</v>
      </c>
      <c r="AM39" s="79" t="s">
        <v>47</v>
      </c>
      <c r="AN39" s="103">
        <v>5</v>
      </c>
      <c r="AO39" s="22">
        <f>AN39-AT12</f>
        <v>0</v>
      </c>
      <c r="AP39" s="29">
        <f>AO39*AN12*0.8</f>
        <v>0</v>
      </c>
      <c r="AQ39" s="29">
        <f t="shared" si="8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1504</v>
      </c>
      <c r="E40" s="100">
        <f>SUM($B$4:B40)+SUM($C$4:C40)-SUM($D$4:D40)</f>
        <v>368</v>
      </c>
      <c r="F40" s="65">
        <f>SUM(经验!A40:X40)</f>
        <v>505</v>
      </c>
      <c r="G40" s="65">
        <f>SUM($F$4:F40)+SUM($H$4:H40)</f>
        <v>27140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9" t="s">
        <v>47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75" t="s">
        <v>42</v>
      </c>
      <c r="Z40" s="75" t="s">
        <v>42</v>
      </c>
      <c r="AA40" s="74" t="s">
        <v>40</v>
      </c>
      <c r="AB40" s="74" t="s">
        <v>40</v>
      </c>
      <c r="AC40" s="74" t="s">
        <v>40</v>
      </c>
      <c r="AD40" s="67" t="s">
        <v>34</v>
      </c>
      <c r="AE40" s="68" t="s">
        <v>34</v>
      </c>
      <c r="AF40" s="68" t="s">
        <v>34</v>
      </c>
      <c r="AG40" s="69">
        <f t="shared" si="4"/>
        <v>1</v>
      </c>
      <c r="AH40" s="70"/>
      <c r="AI40" s="70"/>
      <c r="AJ40" s="70">
        <v>1</v>
      </c>
      <c r="AK40" s="71" t="s">
        <v>52</v>
      </c>
      <c r="AM40" s="80" t="s">
        <v>48</v>
      </c>
      <c r="AN40" s="103">
        <v>3</v>
      </c>
      <c r="AO40" s="22">
        <f>AN40-AT13</f>
        <v>2</v>
      </c>
      <c r="AP40" s="29">
        <f>AO40*AN13*0.8</f>
        <v>240</v>
      </c>
      <c r="AQ40" s="29">
        <f t="shared" si="8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1136</v>
      </c>
      <c r="E41" s="100">
        <f>SUM($B$4:B41)+SUM($C$4:C41)-SUM($D$4:D41)</f>
        <v>832</v>
      </c>
      <c r="F41" s="65">
        <f>SUM(经验!A41:X41)</f>
        <v>390</v>
      </c>
      <c r="G41" s="65">
        <f>SUM($F$4:F41)+SUM($H$4:H41)</f>
        <v>27530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4" t="s">
        <v>40</v>
      </c>
      <c r="R41" s="74" t="s">
        <v>40</v>
      </c>
      <c r="S41" s="74" t="s">
        <v>40</v>
      </c>
      <c r="T41" s="74" t="s">
        <v>40</v>
      </c>
      <c r="U41" s="74" t="s">
        <v>40</v>
      </c>
      <c r="V41" s="82" t="s">
        <v>39</v>
      </c>
      <c r="W41" s="68" t="s">
        <v>34</v>
      </c>
      <c r="X41" s="68" t="s">
        <v>34</v>
      </c>
      <c r="Y41" s="74" t="s">
        <v>40</v>
      </c>
      <c r="Z41" s="74" t="s">
        <v>40</v>
      </c>
      <c r="AA41" s="74" t="s">
        <v>40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1</v>
      </c>
      <c r="AH41" s="70"/>
      <c r="AI41" s="70"/>
      <c r="AJ41" s="70">
        <v>1</v>
      </c>
      <c r="AK41" s="71" t="s">
        <v>52</v>
      </c>
      <c r="AM41" s="97" t="s">
        <v>49</v>
      </c>
      <c r="AN41" s="103">
        <v>3</v>
      </c>
      <c r="AO41" s="22">
        <f>AN41-AT14</f>
        <v>3</v>
      </c>
      <c r="AP41" s="29">
        <f>AO41*AN14*0.8</f>
        <v>360</v>
      </c>
      <c r="AQ41" s="29">
        <f t="shared" si="8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1616</v>
      </c>
      <c r="E42" s="100">
        <f>SUM($B$4:B42)+SUM($C$4:C42)-SUM($D$4:D42)</f>
        <v>816</v>
      </c>
      <c r="F42" s="65">
        <f>SUM(经验!A42:X42)</f>
        <v>540</v>
      </c>
      <c r="G42" s="65">
        <f>SUM($F$4:F42)+SUM($H$4:H42)</f>
        <v>28370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74" t="s">
        <v>40</v>
      </c>
      <c r="W42" s="68" t="s">
        <v>34</v>
      </c>
      <c r="X42" s="68" t="s">
        <v>34</v>
      </c>
      <c r="Y42" s="74" t="s">
        <v>40</v>
      </c>
      <c r="Z42" s="74" t="s">
        <v>40</v>
      </c>
      <c r="AA42" s="74" t="s">
        <v>40</v>
      </c>
      <c r="AB42" s="79" t="s">
        <v>47</v>
      </c>
      <c r="AC42" s="74" t="s">
        <v>40</v>
      </c>
      <c r="AD42" s="74" t="s">
        <v>40</v>
      </c>
      <c r="AE42" s="68" t="s">
        <v>34</v>
      </c>
      <c r="AF42" s="68" t="s">
        <v>34</v>
      </c>
      <c r="AG42" s="69">
        <f t="shared" si="4"/>
        <v>0</v>
      </c>
      <c r="AH42" s="70"/>
      <c r="AI42" s="70"/>
      <c r="AJ42" s="70"/>
      <c r="AK42" s="71" t="s">
        <v>52</v>
      </c>
      <c r="AM42" s="98" t="s">
        <v>50</v>
      </c>
      <c r="AN42" s="103">
        <v>1</v>
      </c>
      <c r="AO42" s="22">
        <f>AN42-AT15</f>
        <v>1</v>
      </c>
      <c r="AP42" s="29">
        <f>AO42*AN15*0.8</f>
        <v>120</v>
      </c>
      <c r="AQ42" s="29">
        <f t="shared" si="8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1440</v>
      </c>
      <c r="E43" s="100">
        <f>SUM($B$4:B43)+SUM($C$4:C43)-SUM($D$4:D43)</f>
        <v>976</v>
      </c>
      <c r="F43" s="65">
        <f>SUM(经验!A43:X43)</f>
        <v>510</v>
      </c>
      <c r="G43" s="65">
        <f>SUM($F$4:F43)+SUM($H$4:H43)</f>
        <v>28880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82" t="s">
        <v>39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74" t="s">
        <v>40</v>
      </c>
      <c r="Z43" s="74" t="s">
        <v>40</v>
      </c>
      <c r="AA43" s="82" t="s">
        <v>39</v>
      </c>
      <c r="AB43" s="74" t="s">
        <v>40</v>
      </c>
      <c r="AC43" s="74" t="s">
        <v>40</v>
      </c>
      <c r="AD43" s="74" t="s">
        <v>40</v>
      </c>
      <c r="AE43" s="68" t="s">
        <v>34</v>
      </c>
      <c r="AF43" s="68" t="s">
        <v>34</v>
      </c>
      <c r="AG43" s="69">
        <f t="shared" si="4"/>
        <v>0</v>
      </c>
      <c r="AH43" s="70"/>
      <c r="AI43" s="70"/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1232</v>
      </c>
      <c r="E44" s="100">
        <f>SUM($B$4:B44)+SUM($C$4:C44)-SUM($D$4:D44)</f>
        <v>1344</v>
      </c>
      <c r="F44" s="65">
        <f>SUM(经验!A44:X44)</f>
        <v>405</v>
      </c>
      <c r="G44" s="65">
        <f>SUM($F$4:F44)+SUM($H$4:H44)</f>
        <v>29485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74" t="s">
        <v>40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74" t="s">
        <v>40</v>
      </c>
      <c r="Z44" s="74" t="s">
        <v>40</v>
      </c>
      <c r="AA44" s="74" t="s">
        <v>40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1</v>
      </c>
      <c r="AH44" s="70"/>
      <c r="AI44" s="70"/>
      <c r="AJ44" s="70">
        <v>1</v>
      </c>
      <c r="AK44" s="71" t="s">
        <v>52</v>
      </c>
      <c r="AM44" s="49" t="s">
        <v>62</v>
      </c>
      <c r="AN44" s="103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816</v>
      </c>
      <c r="E45" s="100">
        <f>SUM($B$4:B45)+SUM($C$4:C45)-SUM($D$4:D45)</f>
        <v>2128</v>
      </c>
      <c r="F45" s="65">
        <f>SUM(经验!A45:X45)</f>
        <v>270</v>
      </c>
      <c r="G45" s="65">
        <f>SUM($F$4:F45)+SUM($H$4:H45)</f>
        <v>29755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1</v>
      </c>
      <c r="AP45" s="30">
        <f>AO45*AN22*0.8</f>
        <v>200</v>
      </c>
      <c r="AQ45" s="29">
        <f>AO45*AO22</f>
        <v>1000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496</v>
      </c>
      <c r="E46" s="100">
        <f>SUM($B$4:B46)+SUM($C$4:C46)-SUM($D$4:D46)</f>
        <v>3232</v>
      </c>
      <c r="F46" s="65">
        <f>SUM(经验!A46:X46)</f>
        <v>175</v>
      </c>
      <c r="G46" s="65">
        <f>SUM($F$4:F46)+SUM($H$4:H46)</f>
        <v>29930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82" t="s">
        <v>39</v>
      </c>
      <c r="R46" s="74" t="s">
        <v>40</v>
      </c>
      <c r="S46" s="75" t="s">
        <v>42</v>
      </c>
      <c r="T46" s="75" t="s">
        <v>42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4</v>
      </c>
      <c r="AH46" s="70"/>
      <c r="AI46" s="70">
        <v>4</v>
      </c>
      <c r="AJ46" s="70"/>
      <c r="AK46" s="71" t="s">
        <v>52</v>
      </c>
      <c r="AM46" t="s">
        <v>74</v>
      </c>
      <c r="AO46" s="30">
        <f>SUM(AO33:AO43)</f>
        <v>491</v>
      </c>
      <c r="AP46" s="30">
        <f>SUM(AP33:AP45)</f>
        <v>73504</v>
      </c>
      <c r="AQ46" s="30">
        <f>SUM(AQ33:AQ45)</f>
        <v>29335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896</v>
      </c>
      <c r="E47" s="100">
        <f>SUM($B$4:B47)+SUM($C$4:C47)-SUM($D$4:D47)</f>
        <v>3936</v>
      </c>
      <c r="F47" s="65">
        <f>SUM(经验!A47:X47)</f>
        <v>300</v>
      </c>
      <c r="G47" s="65">
        <f>SUM($F$4:F47)+SUM($H$4:H47)</f>
        <v>30230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75" t="s">
        <v>42</v>
      </c>
      <c r="R47" s="75" t="s">
        <v>42</v>
      </c>
      <c r="S47" s="75" t="s">
        <v>42</v>
      </c>
      <c r="T47" s="75" t="s">
        <v>42</v>
      </c>
      <c r="U47" s="75" t="s">
        <v>42</v>
      </c>
      <c r="V47" s="75" t="s">
        <v>42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4</v>
      </c>
      <c r="AH47" s="70"/>
      <c r="AI47" s="70">
        <v>4</v>
      </c>
      <c r="AJ47" s="70"/>
      <c r="AK47" s="71" t="s">
        <v>52</v>
      </c>
      <c r="AN47" t="s">
        <v>77</v>
      </c>
      <c r="AP47">
        <f>E93-AP46</f>
        <v>0</v>
      </c>
      <c r="AQ47">
        <f>AQ46+G93</f>
        <v>64450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864</v>
      </c>
      <c r="E48" s="100">
        <f>SUM($B$4:B48)+SUM($C$4:C48)-SUM($D$4:D48)</f>
        <v>4672</v>
      </c>
      <c r="F48" s="65">
        <f>SUM(经验!A48:X48)</f>
        <v>300</v>
      </c>
      <c r="G48" s="65">
        <f>SUM($F$4:F48)+SUM($H$4:H48)</f>
        <v>30530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75" t="s">
        <v>42</v>
      </c>
      <c r="R48" s="75" t="s">
        <v>42</v>
      </c>
      <c r="S48" s="75" t="s">
        <v>42</v>
      </c>
      <c r="T48" s="75" t="s">
        <v>42</v>
      </c>
      <c r="U48" s="75" t="s">
        <v>42</v>
      </c>
      <c r="V48" s="75" t="s">
        <v>42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728</v>
      </c>
      <c r="E49" s="100">
        <f>SUM($B$4:B49)+SUM($C$4:C49)-SUM($D$4:D49)</f>
        <v>5544</v>
      </c>
      <c r="F49" s="65">
        <f>SUM(经验!A49:X49)</f>
        <v>250</v>
      </c>
      <c r="G49" s="65">
        <f>SUM($F$4:F49)+SUM($H$4:H49)</f>
        <v>30980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75" t="s">
        <v>42</v>
      </c>
      <c r="R49" s="75" t="s">
        <v>42</v>
      </c>
      <c r="S49" s="75" t="s">
        <v>42</v>
      </c>
      <c r="T49" s="75" t="s">
        <v>42</v>
      </c>
      <c r="U49" s="75" t="s">
        <v>42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1</v>
      </c>
      <c r="AH49" s="70"/>
      <c r="AI49" s="70">
        <v>1</v>
      </c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0</v>
      </c>
      <c r="E50" s="100">
        <f>SUM($B$4:B50)+SUM($C$4:C50)-SUM($D$4:D50)</f>
        <v>7144</v>
      </c>
      <c r="F50" s="65">
        <f>SUM(经验!A50:X50)</f>
        <v>0</v>
      </c>
      <c r="G50" s="65">
        <f>SUM($F$4:F50)+SUM($H$4:H50)</f>
        <v>31080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0</v>
      </c>
      <c r="E51" s="100">
        <f>SUM($B$4:B51)+SUM($C$4:C51)-SUM($D$4:D51)</f>
        <v>8744</v>
      </c>
      <c r="F51" s="65">
        <f>SUM(经验!A51:X51)</f>
        <v>0</v>
      </c>
      <c r="G51" s="65">
        <f>SUM($F$4:F51)+SUM($H$4:H51)</f>
        <v>31280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>AN51-50</f>
        <v>200</v>
      </c>
      <c r="AP51">
        <f>AN51-40</f>
        <v>210</v>
      </c>
      <c r="AQ51" s="102">
        <f>COUNTIF(I19:AF33,$AM$18)</f>
        <v>11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10344</v>
      </c>
      <c r="F52" s="65">
        <f>SUM(经验!A52:X52)</f>
        <v>0</v>
      </c>
      <c r="G52" s="65">
        <f>SUM($F$4:F52)+SUM($H$4:H52)</f>
        <v>31280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>AN52-50</f>
        <v>150</v>
      </c>
      <c r="AP52">
        <f>AN52-40</f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11944</v>
      </c>
      <c r="F53" s="65">
        <f>SUM(经验!A53:X53)</f>
        <v>0</v>
      </c>
      <c r="G53" s="65">
        <f>SUM($F$4:F53)+SUM($H$4:H53)</f>
        <v>31280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>AN53-50</f>
        <v>100</v>
      </c>
      <c r="AP53">
        <f>AN53-40</f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0</v>
      </c>
      <c r="E54" s="100">
        <f>SUM($B$4:B54)+SUM($C$4:C54)-SUM($D$4:D54)</f>
        <v>13544</v>
      </c>
      <c r="F54" s="65">
        <f>SUM(经验!A54:X54)</f>
        <v>0</v>
      </c>
      <c r="G54" s="65">
        <f>SUM($F$4:F54)+SUM($H$4:H54)</f>
        <v>31280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>AN54-50</f>
        <v>50</v>
      </c>
      <c r="AP54">
        <f>AN54-40</f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15144</v>
      </c>
      <c r="F55" s="65">
        <f>SUM(经验!A55:X55)</f>
        <v>0</v>
      </c>
      <c r="G55" s="65">
        <f>SUM($F$4:F55)+SUM($H$4:H55)</f>
        <v>31280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16744</v>
      </c>
      <c r="F56" s="65">
        <f>SUM(经验!A56:X56)</f>
        <v>0</v>
      </c>
      <c r="G56" s="65">
        <f>SUM($F$4:F56)+SUM($H$4:H56)</f>
        <v>31580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18344</v>
      </c>
      <c r="F57" s="65">
        <f>SUM(经验!A57:X57)</f>
        <v>0</v>
      </c>
      <c r="G57" s="65">
        <f>SUM($F$4:F57)+SUM($H$4:H57)</f>
        <v>31580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19944</v>
      </c>
      <c r="F58" s="65">
        <f>SUM(经验!A58:X58)</f>
        <v>0</v>
      </c>
      <c r="G58" s="65">
        <f>SUM($F$4:F58)+SUM($H$4:H58)</f>
        <v>31780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21544</v>
      </c>
      <c r="F59" s="65">
        <f>SUM(经验!A59:X59)</f>
        <v>0</v>
      </c>
      <c r="G59" s="65">
        <f>SUM($F$4:F59)+SUM($H$4:H59)</f>
        <v>31780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23144</v>
      </c>
      <c r="F60" s="65">
        <f>SUM(经验!A60:X60)</f>
        <v>0</v>
      </c>
      <c r="G60" s="65">
        <f>SUM($F$4:F60)+SUM($H$4:H60)</f>
        <v>31780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24744</v>
      </c>
      <c r="F61" s="65">
        <f>SUM(经验!A61:X61)</f>
        <v>0</v>
      </c>
      <c r="G61" s="65">
        <f>SUM($F$4:F61)+SUM($H$4:H61)</f>
        <v>31780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26344</v>
      </c>
      <c r="F62" s="65">
        <f>SUM(经验!A62:X62)</f>
        <v>0</v>
      </c>
      <c r="G62" s="65">
        <f>SUM($F$4:F62)+SUM($H$4:H62)</f>
        <v>31780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27944</v>
      </c>
      <c r="F63" s="65">
        <f>SUM(经验!A63:X63)</f>
        <v>0</v>
      </c>
      <c r="G63" s="65">
        <f>SUM($F$4:F63)+SUM($H$4:H63)</f>
        <v>32080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29544</v>
      </c>
      <c r="F64" s="65">
        <f>SUM(经验!A64:X64)</f>
        <v>0</v>
      </c>
      <c r="G64" s="65">
        <f>SUM($F$4:F64)+SUM($H$4:H64)</f>
        <v>32080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31144</v>
      </c>
      <c r="F65" s="65">
        <f>SUM(经验!A65:X65)</f>
        <v>0</v>
      </c>
      <c r="G65" s="65">
        <f>SUM($F$4:F65)+SUM($H$4:H65)</f>
        <v>32280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32744</v>
      </c>
      <c r="F66" s="65">
        <f>SUM(经验!A66:X66)</f>
        <v>0</v>
      </c>
      <c r="G66" s="65">
        <f>SUM($F$4:F66)+SUM($H$4:H66)</f>
        <v>32280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34344</v>
      </c>
      <c r="F67" s="65">
        <f>SUM(经验!A67:X67)</f>
        <v>0</v>
      </c>
      <c r="G67" s="65">
        <f>SUM($F$4:F67)+SUM($H$4:H67)</f>
        <v>32280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35944</v>
      </c>
      <c r="F68" s="65">
        <f>SUM(经验!A68:X68)</f>
        <v>0</v>
      </c>
      <c r="G68" s="65">
        <f>SUM($F$4:F68)+SUM($H$4:H68)</f>
        <v>32280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37544</v>
      </c>
      <c r="F69" s="65">
        <f>SUM(经验!A69:X69)</f>
        <v>0</v>
      </c>
      <c r="G69" s="65">
        <f>SUM($F$4:F69)+SUM($H$4:H69)</f>
        <v>32280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9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39144</v>
      </c>
      <c r="F70" s="65">
        <f>SUM(经验!A70:X70)</f>
        <v>0</v>
      </c>
      <c r="G70" s="65">
        <f>SUM($F$4:F70)+SUM($H$4:H70)</f>
        <v>32580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9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40744</v>
      </c>
      <c r="F71" s="65">
        <f>SUM(经验!A71:X71)</f>
        <v>0</v>
      </c>
      <c r="G71" s="65">
        <f>SUM($F$4:F71)+SUM($H$4:H71)</f>
        <v>32580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9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42344</v>
      </c>
      <c r="F72" s="65">
        <f>SUM(经验!A72:X72)</f>
        <v>0</v>
      </c>
      <c r="G72" s="65">
        <f>SUM($F$4:F72)+SUM($H$4:H72)</f>
        <v>32780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9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43944</v>
      </c>
      <c r="F73" s="65">
        <f>SUM(经验!A73:X73)</f>
        <v>0</v>
      </c>
      <c r="G73" s="65">
        <f>SUM($F$4:F73)+SUM($H$4:H73)</f>
        <v>32780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9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45544</v>
      </c>
      <c r="F74" s="65">
        <f>SUM(经验!A74:X74)</f>
        <v>0</v>
      </c>
      <c r="G74" s="65">
        <f>SUM($F$4:F74)+SUM($H$4:H74)</f>
        <v>32780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9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47144</v>
      </c>
      <c r="F75" s="65">
        <f>SUM(经验!A75:X75)</f>
        <v>0</v>
      </c>
      <c r="G75" s="65">
        <f>SUM($F$4:F75)+SUM($H$4:H75)</f>
        <v>32780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9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48744</v>
      </c>
      <c r="F76" s="65">
        <f>SUM(经验!A76:X76)</f>
        <v>0</v>
      </c>
      <c r="G76" s="65">
        <f>SUM($F$4:F76)+SUM($H$4:H76)</f>
        <v>32780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9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50344</v>
      </c>
      <c r="F77" s="65">
        <f>SUM(经验!A77:X77)</f>
        <v>0</v>
      </c>
      <c r="G77" s="65">
        <f>SUM($F$4:F77)+SUM($H$4:H77)</f>
        <v>33080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9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51944</v>
      </c>
      <c r="F78" s="65">
        <f>SUM(经验!A78:X78)</f>
        <v>0</v>
      </c>
      <c r="G78" s="65">
        <f>SUM($F$4:F78)+SUM($H$4:H78)</f>
        <v>33080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9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53544</v>
      </c>
      <c r="F79" s="65">
        <f>SUM(经验!A79:X79)</f>
        <v>0</v>
      </c>
      <c r="G79" s="65">
        <f>SUM($F$4:F79)+SUM($H$4:H79)</f>
        <v>33280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9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55144</v>
      </c>
      <c r="F80" s="65">
        <f>SUM(经验!A80:X80)</f>
        <v>0</v>
      </c>
      <c r="G80" s="65">
        <f>SUM($F$4:F80)+SUM($H$4:H80)</f>
        <v>33280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9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56744</v>
      </c>
      <c r="F81" s="65">
        <f>SUM(经验!A81:X81)</f>
        <v>0</v>
      </c>
      <c r="G81" s="65">
        <f>SUM($F$4:F81)+SUM($H$4:H81)</f>
        <v>33280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9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58344</v>
      </c>
      <c r="F82" s="65">
        <f>SUM(经验!A82:X82)</f>
        <v>0</v>
      </c>
      <c r="G82" s="65">
        <f>SUM($F$4:F82)+SUM($H$4:H82)</f>
        <v>33280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9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59944</v>
      </c>
      <c r="F83" s="65">
        <f>SUM(经验!A83:X83)</f>
        <v>0</v>
      </c>
      <c r="G83" s="65">
        <f>SUM($F$4:F83)+SUM($H$4:H83)</f>
        <v>33280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9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61544</v>
      </c>
      <c r="F84" s="65">
        <f>SUM(经验!A84:X84)</f>
        <v>0</v>
      </c>
      <c r="G84" s="65">
        <f>SUM($F$4:F84)+SUM($H$4:H84)</f>
        <v>33480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9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63144</v>
      </c>
      <c r="F85" s="65">
        <f>SUM(经验!A85:X85)</f>
        <v>0</v>
      </c>
      <c r="G85" s="65">
        <f>SUM($F$4:F85)+SUM($H$4:H85)</f>
        <v>33480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9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64744</v>
      </c>
      <c r="F86" s="65">
        <f>SUM(经验!A86:X86)</f>
        <v>0</v>
      </c>
      <c r="G86" s="65">
        <f>SUM($F$4:F86)+SUM($H$4:H86)</f>
        <v>33780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9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66344</v>
      </c>
      <c r="F87" s="65">
        <f>SUM(经验!A87:X87)</f>
        <v>0</v>
      </c>
      <c r="G87" s="65">
        <f>SUM($F$4:F87)+SUM($H$4:H87)</f>
        <v>33780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9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67944</v>
      </c>
      <c r="F88" s="65">
        <f>SUM(经验!A88:X88)</f>
        <v>0</v>
      </c>
      <c r="G88" s="65">
        <f>SUM($F$4:F88)+SUM($H$4:H88)</f>
        <v>33780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9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69544</v>
      </c>
      <c r="F89" s="65">
        <f>SUM(经验!A89:X89)</f>
        <v>0</v>
      </c>
      <c r="G89" s="65">
        <f>SUM($F$4:F89)+SUM($H$4:H89)</f>
        <v>33780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9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536</v>
      </c>
      <c r="E90" s="100">
        <f>SUM($B$4:B90)+SUM($C$4:C90)-SUM($D$4:D90)</f>
        <v>70608</v>
      </c>
      <c r="F90" s="65">
        <f>SUM(经验!A90:X90)</f>
        <v>190</v>
      </c>
      <c r="G90" s="65">
        <f>SUM($F$4:F90)+SUM($H$4:H90)</f>
        <v>33970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78" t="s">
        <v>41</v>
      </c>
      <c r="R90" s="78" t="s">
        <v>41</v>
      </c>
      <c r="S90" s="67" t="s">
        <v>34</v>
      </c>
      <c r="T90" s="73" t="s">
        <v>37</v>
      </c>
      <c r="U90" s="82" t="s">
        <v>39</v>
      </c>
      <c r="V90" s="73" t="s">
        <v>37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9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680</v>
      </c>
      <c r="E91" s="100">
        <f>SUM($B$4:B91)+SUM($C$4:C91)-SUM($D$4:D91)</f>
        <v>71528</v>
      </c>
      <c r="F91" s="65">
        <f>SUM(经验!A91:X91)</f>
        <v>230</v>
      </c>
      <c r="G91" s="65">
        <f>SUM($F$4:F91)+SUM($H$4:H91)</f>
        <v>34400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9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1264</v>
      </c>
      <c r="E92" s="100">
        <f>SUM($B$4:B92)+SUM($C$4:C92)-SUM($D$4:D92)</f>
        <v>71864</v>
      </c>
      <c r="F92" s="65">
        <f>SUM(经验!A92:X92)</f>
        <v>415</v>
      </c>
      <c r="G92" s="65">
        <f>SUM($F$4:F92)+SUM($H$4:H92)</f>
        <v>34915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3" t="s">
        <v>37</v>
      </c>
      <c r="Z92" s="73" t="s">
        <v>37</v>
      </c>
      <c r="AA92" s="73" t="s">
        <v>37</v>
      </c>
      <c r="AB92" s="73" t="s">
        <v>37</v>
      </c>
      <c r="AC92" s="82" t="s">
        <v>39</v>
      </c>
      <c r="AD92" s="67" t="s">
        <v>34</v>
      </c>
      <c r="AE92" s="68" t="s">
        <v>34</v>
      </c>
      <c r="AF92" s="68" t="s">
        <v>34</v>
      </c>
      <c r="AG92" s="69">
        <f t="shared" si="9"/>
        <v>5</v>
      </c>
      <c r="AH92" s="70"/>
      <c r="AI92" s="70">
        <v>3</v>
      </c>
      <c r="AJ92" s="70">
        <v>2</v>
      </c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(SUM(粮草!A93:X93)+AG93*10*IF(AK93="是",$AY$4,$AY$3))</f>
        <v>0</v>
      </c>
      <c r="E93" s="100">
        <f>SUM($B$4:B93)+SUM($C$4:C93)-SUM($D$4:D93)</f>
        <v>73504</v>
      </c>
      <c r="F93" s="65">
        <f>SUM(经验!A93:X93)</f>
        <v>0</v>
      </c>
      <c r="G93" s="65">
        <f>SUM($F$4:F93)+SUM($H$4:H93)</f>
        <v>35115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9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IF(ISNUMBER(SEARCH("营",'17.04'!I4)),(-$Y4+50*IF('17.04'!$AK4="是",'17.04'!$AY$4,'17.04'!$AY$3)),(VLOOKUP('17.04'!I4,'17.04'!$AM$4:$AO$55,2,FALSE))*IF('17.04'!$AK4="是",'17.04'!$AY$4,'17.04'!$AY$3))</f>
        <v>150</v>
      </c>
      <c r="B4" s="4">
        <f>IF(ISNUMBER(SEARCH("营",'17.04'!J4)),(-$Y4+50*IF('17.04'!$AK4="是",'17.04'!$AY$4,'17.04'!$AY$3)),(VLOOKUP('17.04'!J4,'17.04'!$AM$4:$AO$55,2,FALSE))*IF('17.04'!$AK4="是",'17.04'!$AY$4,'17.04'!$AY$3))</f>
        <v>150</v>
      </c>
      <c r="C4" s="4">
        <f>IF(ISNUMBER(SEARCH("营",'17.04'!K4)),(-$Y4+50*IF('17.04'!$AK4="是",'17.04'!$AY$4,'17.04'!$AY$3)),(VLOOKUP('17.04'!K4,'17.04'!$AM$4:$AO$55,2,FALSE))*IF('17.04'!$AK4="是",'17.04'!$AY$4,'17.04'!$AY$3))</f>
        <v>150</v>
      </c>
      <c r="D4" s="4">
        <f>IF(ISNUMBER(SEARCH("营",'17.04'!L4)),(-$Y4+50*IF('17.04'!$AK4="是",'17.04'!$AY$4,'17.04'!$AY$3)),(VLOOKUP('17.04'!L4,'17.04'!$AM$4:$AO$55,2,FALSE))*IF('17.04'!$AK4="是",'17.04'!$AY$4,'17.04'!$AY$3))</f>
        <v>0</v>
      </c>
      <c r="E4" s="4">
        <f>IF(ISNUMBER(SEARCH("营",'17.04'!M4)),(-$Y4+50*IF('17.04'!$AK4="是",'17.04'!$AY$4,'17.04'!$AY$3)),(VLOOKUP('17.04'!M4,'17.04'!$AM$4:$AO$55,2,FALSE))*IF('17.04'!$AK4="是",'17.04'!$AY$4,'17.04'!$AY$3))</f>
        <v>0</v>
      </c>
      <c r="F4" s="4">
        <f>IF(ISNUMBER(SEARCH("营",'17.04'!N4)),(-$Y4+50*IF('17.04'!$AK4="是",'17.04'!$AY$4,'17.04'!$AY$3)),(VLOOKUP('17.04'!N4,'17.04'!$AM$4:$AO$55,2,FALSE))*IF('17.04'!$AK4="是",'17.04'!$AY$4,'17.04'!$AY$3))</f>
        <v>0</v>
      </c>
      <c r="G4" s="4">
        <f>IF(ISNUMBER(SEARCH("营",'17.04'!O4)),(-$Y4+50*IF('17.04'!$AK4="是",'17.04'!$AY$4,'17.04'!$AY$3)),(VLOOKUP('17.04'!O4,'17.04'!$AM$4:$AO$55,2,FALSE))*IF('17.04'!$AK4="是",'17.04'!$AY$4,'17.04'!$AY$3))</f>
        <v>0</v>
      </c>
      <c r="H4" s="4">
        <f>IF(ISNUMBER(SEARCH("营",'17.04'!P4)),(-$Y4+50*IF('17.04'!$AK4="是",'17.04'!$AY$4,'17.04'!$AY$3)),(VLOOKUP('17.04'!P4,'17.04'!$AM$4:$AO$55,2,FALSE))*IF('17.04'!$AK4="是",'17.04'!$AY$4,'17.04'!$AY$3))</f>
        <v>0</v>
      </c>
      <c r="I4" s="4">
        <f>IF(ISNUMBER(SEARCH("营",'17.04'!Q4)),(-$Y4+50*IF('17.04'!$AK4="是",'17.04'!$AY$4,'17.04'!$AY$3)),(VLOOKUP('17.04'!Q4,'17.04'!$AM$4:$AO$55,2,FALSE))*IF('17.04'!$AK4="是",'17.04'!$AY$4,'17.04'!$AY$3))</f>
        <v>150</v>
      </c>
      <c r="J4" s="4">
        <f>IF(ISNUMBER(SEARCH("营",'17.04'!R4)),(-$Y4+50*IF('17.04'!$AK4="是",'17.04'!$AY$4,'17.04'!$AY$3)),(VLOOKUP('17.04'!R4,'17.04'!$AM$4:$AO$55,2,FALSE))*IF('17.04'!$AK4="是",'17.04'!$AY$4,'17.04'!$AY$3))</f>
        <v>150</v>
      </c>
      <c r="K4" s="4">
        <f>IF(ISNUMBER(SEARCH("营",'17.04'!S4)),(-$Y4+50*IF('17.04'!$AK4="是",'17.04'!$AY$4,'17.04'!$AY$3)),(VLOOKUP('17.04'!S4,'17.04'!$AM$4:$AO$55,2,FALSE))*IF('17.04'!$AK4="是",'17.04'!$AY$4,'17.04'!$AY$3))</f>
        <v>50</v>
      </c>
      <c r="L4" s="4">
        <f>IF(ISNUMBER(SEARCH("营",'17.04'!T4)),(-$Y4+50*IF('17.04'!$AK4="是",'17.04'!$AY$4,'17.04'!$AY$3)),(VLOOKUP('17.04'!T4,'17.04'!$AM$4:$AO$55,2,FALSE))*IF('17.04'!$AK4="是",'17.04'!$AY$4,'17.04'!$AY$3))</f>
        <v>150</v>
      </c>
      <c r="M4" s="4">
        <f>IF(ISNUMBER(SEARCH("营",'17.04'!U4)),(-$Y4+50*IF('17.04'!$AK4="是",'17.04'!$AY$4,'17.04'!$AY$3)),(VLOOKUP('17.04'!U4,'17.04'!$AM$4:$AO$55,2,FALSE))*IF('17.04'!$AK4="是",'17.04'!$AY$4,'17.04'!$AY$3))</f>
        <v>150</v>
      </c>
      <c r="N4" s="4">
        <f>IF(ISNUMBER(SEARCH("营",'17.04'!V4)),(-$Y4+50*IF('17.04'!$AK4="是",'17.04'!$AY$4,'17.04'!$AY$3)),(VLOOKUP('17.04'!V4,'17.04'!$AM$4:$AO$55,2,FALSE))*IF('17.04'!$AK4="是",'17.04'!$AY$4,'17.04'!$AY$3))</f>
        <v>150</v>
      </c>
      <c r="O4" s="4">
        <f>IF(ISNUMBER(SEARCH("营",'17.04'!W4)),(-$Y4+50*IF('17.04'!$AK4="是",'17.04'!$AY$4,'17.04'!$AY$3)),(VLOOKUP('17.04'!W4,'17.04'!$AM$4:$AO$55,2,FALSE))*IF('17.04'!$AK4="是",'17.04'!$AY$4,'17.04'!$AY$3))</f>
        <v>0</v>
      </c>
      <c r="P4" s="4">
        <f>IF(ISNUMBER(SEARCH("营",'17.04'!X4)),(-$Y4+50*IF('17.04'!$AK4="是",'17.04'!$AY$4,'17.04'!$AY$3)),(VLOOKUP('17.04'!X4,'17.04'!$AM$4:$AO$55,2,FALSE))*IF('17.04'!$AK4="是",'17.04'!$AY$4,'17.04'!$AY$3))</f>
        <v>0</v>
      </c>
      <c r="Q4" s="4">
        <f>IF(ISNUMBER(SEARCH("营",'17.04'!Y4)),(-$Y4+50*IF('17.04'!$AK4="是",'17.04'!$AY$4,'17.04'!$AY$3)),(VLOOKUP('17.04'!Y4,'17.04'!$AM$4:$AO$55,2,FALSE))*IF('17.04'!$AK4="是",'17.04'!$AY$4,'17.04'!$AY$3))</f>
        <v>150</v>
      </c>
      <c r="R4" s="4">
        <f>IF(ISNUMBER(SEARCH("营",'17.04'!Z4)),(-$Y4+50*IF('17.04'!$AK4="是",'17.04'!$AY$4,'17.04'!$AY$3)),(VLOOKUP('17.04'!Z4,'17.04'!$AM$4:$AO$55,2,FALSE))*IF('17.04'!$AK4="是",'17.04'!$AY$4,'17.04'!$AY$3))</f>
        <v>150</v>
      </c>
      <c r="S4" s="4">
        <f>IF(ISNUMBER(SEARCH("营",'17.04'!AA4)),(-$Y4+50*IF('17.04'!$AK4="是",'17.04'!$AY$4,'17.04'!$AY$3)),(VLOOKUP('17.04'!AA4,'17.04'!$AM$4:$AO$55,2,FALSE))*IF('17.04'!$AK4="是",'17.04'!$AY$4,'17.04'!$AY$3))</f>
        <v>150</v>
      </c>
      <c r="T4" s="4">
        <f>IF(ISNUMBER(SEARCH("营",'17.04'!AB4)),(-$Y4+50*IF('17.04'!$AK4="是",'17.04'!$AY$4,'17.04'!$AY$3)),(VLOOKUP('17.04'!AB4,'17.04'!$AM$4:$AO$55,2,FALSE))*IF('17.04'!$AK4="是",'17.04'!$AY$4,'17.04'!$AY$3))</f>
        <v>150</v>
      </c>
      <c r="U4" s="4">
        <f>IF(ISNUMBER(SEARCH("营",'17.04'!AC4)),(-$Y4+50*IF('17.04'!$AK4="是",'17.04'!$AY$4,'17.04'!$AY$3)),(VLOOKUP('17.04'!AC4,'17.04'!$AM$4:$AO$55,2,FALSE))*IF('17.04'!$AK4="是",'17.04'!$AY$4,'17.04'!$AY$3))</f>
        <v>150</v>
      </c>
      <c r="V4" s="4">
        <f>IF(ISNUMBER(SEARCH("营",'17.04'!AD4)),(-$Y4+50*IF('17.04'!$AK4="是",'17.04'!$AY$4,'17.04'!$AY$3)),(VLOOKUP('17.04'!AD4,'17.04'!$AM$4:$AO$55,2,FALSE))*IF('17.04'!$AK4="是",'17.04'!$AY$4,'17.04'!$AY$3))</f>
        <v>50</v>
      </c>
      <c r="W4" s="4">
        <f>IF(ISNUMBER(SEARCH("营",'17.04'!AE4)),(-$Y4+50*IF('17.04'!$AK4="是",'17.04'!$AY$4,'17.04'!$AY$3)),(VLOOKUP('17.04'!AE4,'17.04'!$AM$4:$AO$55,2,FALSE))*IF('17.04'!$AK4="是",'17.04'!$AY$4,'17.04'!$AY$3))</f>
        <v>0</v>
      </c>
      <c r="X4" s="4">
        <f>IF(ISNUMBER(SEARCH("营",'17.04'!AF4)),(-$Y4+50*IF('17.04'!$AK4="是",'17.04'!$AY$4,'17.04'!$AY$3)),(VLOOKUP('17.04'!AF4,'17.04'!$AM$4:$AO$55,2,FALSE))*IF('17.04'!$AK4="是",'17.04'!$AY$4,'17.04'!$AY$3))</f>
        <v>0</v>
      </c>
      <c r="Y4" s="88">
        <v>300</v>
      </c>
    </row>
    <row r="5" spans="1:25">
      <c r="A5" s="4">
        <f>IF(ISNUMBER(SEARCH("营",'17.04'!I5)),(-$Y5+50*IF('17.04'!$AK5="是",'17.04'!$AY$4,'17.04'!$AY$3)),(VLOOKUP('17.04'!I5,'17.04'!$AM$4:$AO$55,2,FALSE))*IF('17.04'!$AK5="是",'17.04'!$AY$4,'17.04'!$AY$3))</f>
        <v>0</v>
      </c>
      <c r="B5" s="4">
        <f>IF(ISNUMBER(SEARCH("营",'17.04'!J5)),(-$Y5+50*IF('17.04'!$AK5="是",'17.04'!$AY$4,'17.04'!$AY$3)),(VLOOKUP('17.04'!J5,'17.04'!$AM$4:$AO$55,2,FALSE))*IF('17.04'!$AK5="是",'17.04'!$AY$4,'17.04'!$AY$3))</f>
        <v>0</v>
      </c>
      <c r="C5" s="4">
        <f>IF(ISNUMBER(SEARCH("营",'17.04'!K5)),(-$Y5+50*IF('17.04'!$AK5="是",'17.04'!$AY$4,'17.04'!$AY$3)),(VLOOKUP('17.04'!K5,'17.04'!$AM$4:$AO$55,2,FALSE))*IF('17.04'!$AK5="是",'17.04'!$AY$4,'17.04'!$AY$3))</f>
        <v>0</v>
      </c>
      <c r="D5" s="4">
        <f>IF(ISNUMBER(SEARCH("营",'17.04'!L5)),(-$Y5+50*IF('17.04'!$AK5="是",'17.04'!$AY$4,'17.04'!$AY$3)),(VLOOKUP('17.04'!L5,'17.04'!$AM$4:$AO$55,2,FALSE))*IF('17.04'!$AK5="是",'17.04'!$AY$4,'17.04'!$AY$3))</f>
        <v>0</v>
      </c>
      <c r="E5" s="4">
        <f>IF(ISNUMBER(SEARCH("营",'17.04'!M5)),(-$Y5+50*IF('17.04'!$AK5="是",'17.04'!$AY$4,'17.04'!$AY$3)),(VLOOKUP('17.04'!M5,'17.04'!$AM$4:$AO$55,2,FALSE))*IF('17.04'!$AK5="是",'17.04'!$AY$4,'17.04'!$AY$3))</f>
        <v>0</v>
      </c>
      <c r="F5" s="4">
        <f>IF(ISNUMBER(SEARCH("营",'17.04'!N5)),(-$Y5+50*IF('17.04'!$AK5="是",'17.04'!$AY$4,'17.04'!$AY$3)),(VLOOKUP('17.04'!N5,'17.04'!$AM$4:$AO$55,2,FALSE))*IF('17.04'!$AK5="是",'17.04'!$AY$4,'17.04'!$AY$3))</f>
        <v>0</v>
      </c>
      <c r="G5" s="4">
        <f>IF(ISNUMBER(SEARCH("营",'17.04'!O5)),(-$Y5+50*IF('17.04'!$AK5="是",'17.04'!$AY$4,'17.04'!$AY$3)),(VLOOKUP('17.04'!O5,'17.04'!$AM$4:$AO$55,2,FALSE))*IF('17.04'!$AK5="是",'17.04'!$AY$4,'17.04'!$AY$3))</f>
        <v>0</v>
      </c>
      <c r="H5" s="4">
        <f>IF(ISNUMBER(SEARCH("营",'17.04'!P5)),(-$Y5+50*IF('17.04'!$AK5="是",'17.04'!$AY$4,'17.04'!$AY$3)),(VLOOKUP('17.04'!P5,'17.04'!$AM$4:$AO$55,2,FALSE))*IF('17.04'!$AK5="是",'17.04'!$AY$4,'17.04'!$AY$3))</f>
        <v>0</v>
      </c>
      <c r="I5" s="4">
        <f>IF(ISNUMBER(SEARCH("营",'17.04'!Q5)),(-$Y5+50*IF('17.04'!$AK5="是",'17.04'!$AY$4,'17.04'!$AY$3)),(VLOOKUP('17.04'!Q5,'17.04'!$AM$4:$AO$55,2,FALSE))*IF('17.04'!$AK5="是",'17.04'!$AY$4,'17.04'!$AY$3))</f>
        <v>150</v>
      </c>
      <c r="J5" s="4">
        <f>IF(ISNUMBER(SEARCH("营",'17.04'!R5)),(-$Y5+50*IF('17.04'!$AK5="是",'17.04'!$AY$4,'17.04'!$AY$3)),(VLOOKUP('17.04'!R5,'17.04'!$AM$4:$AO$55,2,FALSE))*IF('17.04'!$AK5="是",'17.04'!$AY$4,'17.04'!$AY$3))</f>
        <v>50</v>
      </c>
      <c r="K5" s="4">
        <f>IF(ISNUMBER(SEARCH("营",'17.04'!S5)),(-$Y5+50*IF('17.04'!$AK5="是",'17.04'!$AY$4,'17.04'!$AY$3)),(VLOOKUP('17.04'!S5,'17.04'!$AM$4:$AO$55,2,FALSE))*IF('17.04'!$AK5="是",'17.04'!$AY$4,'17.04'!$AY$3))</f>
        <v>0</v>
      </c>
      <c r="L5" s="4">
        <f>IF(ISNUMBER(SEARCH("营",'17.04'!T5)),(-$Y5+50*IF('17.04'!$AK5="是",'17.04'!$AY$4,'17.04'!$AY$3)),(VLOOKUP('17.04'!T5,'17.04'!$AM$4:$AO$55,2,FALSE))*IF('17.04'!$AK5="是",'17.04'!$AY$4,'17.04'!$AY$3))</f>
        <v>0</v>
      </c>
      <c r="M5" s="4">
        <f>IF(ISNUMBER(SEARCH("营",'17.04'!U5)),(-$Y5+50*IF('17.04'!$AK5="是",'17.04'!$AY$4,'17.04'!$AY$3)),(VLOOKUP('17.04'!U5,'17.04'!$AM$4:$AO$55,2,FALSE))*IF('17.04'!$AK5="是",'17.04'!$AY$4,'17.04'!$AY$3))</f>
        <v>0</v>
      </c>
      <c r="N5" s="4">
        <f>IF(ISNUMBER(SEARCH("营",'17.04'!V5)),(-$Y5+50*IF('17.04'!$AK5="是",'17.04'!$AY$4,'17.04'!$AY$3)),(VLOOKUP('17.04'!V5,'17.04'!$AM$4:$AO$55,2,FALSE))*IF('17.04'!$AK5="是",'17.04'!$AY$4,'17.04'!$AY$3))</f>
        <v>0</v>
      </c>
      <c r="O5" s="4">
        <f>IF(ISNUMBER(SEARCH("营",'17.04'!W5)),(-$Y5+50*IF('17.04'!$AK5="是",'17.04'!$AY$4,'17.04'!$AY$3)),(VLOOKUP('17.04'!W5,'17.04'!$AM$4:$AO$55,2,FALSE))*IF('17.04'!$AK5="是",'17.04'!$AY$4,'17.04'!$AY$3))</f>
        <v>0</v>
      </c>
      <c r="P5" s="4">
        <f>IF(ISNUMBER(SEARCH("营",'17.04'!X5)),(-$Y5+50*IF('17.04'!$AK5="是",'17.04'!$AY$4,'17.04'!$AY$3)),(VLOOKUP('17.04'!X5,'17.04'!$AM$4:$AO$55,2,FALSE))*IF('17.04'!$AK5="是",'17.04'!$AY$4,'17.04'!$AY$3))</f>
        <v>0</v>
      </c>
      <c r="Q5" s="4">
        <f>IF(ISNUMBER(SEARCH("营",'17.04'!Y5)),(-$Y5+50*IF('17.04'!$AK5="是",'17.04'!$AY$4,'17.04'!$AY$3)),(VLOOKUP('17.04'!Y5,'17.04'!$AM$4:$AO$55,2,FALSE))*IF('17.04'!$AK5="是",'17.04'!$AY$4,'17.04'!$AY$3))</f>
        <v>150</v>
      </c>
      <c r="R5" s="4">
        <f>IF(ISNUMBER(SEARCH("营",'17.04'!Z5)),(-$Y5+50*IF('17.04'!$AK5="是",'17.04'!$AY$4,'17.04'!$AY$3)),(VLOOKUP('17.04'!Z5,'17.04'!$AM$4:$AO$55,2,FALSE))*IF('17.04'!$AK5="是",'17.04'!$AY$4,'17.04'!$AY$3))</f>
        <v>150</v>
      </c>
      <c r="S5" s="4">
        <f>IF(ISNUMBER(SEARCH("营",'17.04'!AA5)),(-$Y5+50*IF('17.04'!$AK5="是",'17.04'!$AY$4,'17.04'!$AY$3)),(VLOOKUP('17.04'!AA5,'17.04'!$AM$4:$AO$55,2,FALSE))*IF('17.04'!$AK5="是",'17.04'!$AY$4,'17.04'!$AY$3))</f>
        <v>150</v>
      </c>
      <c r="T5" s="4">
        <f>IF(ISNUMBER(SEARCH("营",'17.04'!AB5)),(-$Y5+50*IF('17.04'!$AK5="是",'17.04'!$AY$4,'17.04'!$AY$3)),(VLOOKUP('17.04'!AB5,'17.04'!$AM$4:$AO$55,2,FALSE))*IF('17.04'!$AK5="是",'17.04'!$AY$4,'17.04'!$AY$3))</f>
        <v>150</v>
      </c>
      <c r="U5" s="4">
        <f>IF(ISNUMBER(SEARCH("营",'17.04'!AC5)),(-$Y5+50*IF('17.04'!$AK5="是",'17.04'!$AY$4,'17.04'!$AY$3)),(VLOOKUP('17.04'!AC5,'17.04'!$AM$4:$AO$55,2,FALSE))*IF('17.04'!$AK5="是",'17.04'!$AY$4,'17.04'!$AY$3))</f>
        <v>150</v>
      </c>
      <c r="V5" s="4">
        <f>IF(ISNUMBER(SEARCH("营",'17.04'!AD5)),(-$Y5+50*IF('17.04'!$AK5="是",'17.04'!$AY$4,'17.04'!$AY$3)),(VLOOKUP('17.04'!AD5,'17.04'!$AM$4:$AO$55,2,FALSE))*IF('17.04'!$AK5="是",'17.04'!$AY$4,'17.04'!$AY$3))</f>
        <v>150</v>
      </c>
      <c r="W5" s="4">
        <f>IF(ISNUMBER(SEARCH("营",'17.04'!AE5)),(-$Y5+50*IF('17.04'!$AK5="是",'17.04'!$AY$4,'17.04'!$AY$3)),(VLOOKUP('17.04'!AE5,'17.04'!$AM$4:$AO$55,2,FALSE))*IF('17.04'!$AK5="是",'17.04'!$AY$4,'17.04'!$AY$3))</f>
        <v>0</v>
      </c>
      <c r="X5" s="4">
        <f>IF(ISNUMBER(SEARCH("营",'17.04'!AF5)),(-$Y5+50*IF('17.04'!$AK5="是",'17.04'!$AY$4,'17.04'!$AY$3)),(VLOOKUP('17.04'!AF5,'17.04'!$AM$4:$AO$55,2,FALSE))*IF('17.04'!$AK5="是",'17.04'!$AY$4,'17.04'!$AY$3))</f>
        <v>0</v>
      </c>
      <c r="Y5" s="88">
        <v>300</v>
      </c>
    </row>
    <row r="6" spans="1:25">
      <c r="A6" s="4">
        <f>IF(ISNUMBER(SEARCH("营",'17.04'!I6)),(-$Y6+50*IF('17.04'!$AK6="是",'17.04'!$AY$4,'17.04'!$AY$3)),(VLOOKUP('17.04'!I6,'17.04'!$AM$4:$AO$55,2,FALSE))*IF('17.04'!$AK6="是",'17.04'!$AY$4,'17.04'!$AY$3))</f>
        <v>0</v>
      </c>
      <c r="B6" s="4">
        <f>IF(ISNUMBER(SEARCH("营",'17.04'!J6)),(-$Y6+50*IF('17.04'!$AK6="是",'17.04'!$AY$4,'17.04'!$AY$3)),(VLOOKUP('17.04'!J6,'17.04'!$AM$4:$AO$55,2,FALSE))*IF('17.04'!$AK6="是",'17.04'!$AY$4,'17.04'!$AY$3))</f>
        <v>0</v>
      </c>
      <c r="C6" s="4">
        <f>IF(ISNUMBER(SEARCH("营",'17.04'!K6)),(-$Y6+50*IF('17.04'!$AK6="是",'17.04'!$AY$4,'17.04'!$AY$3)),(VLOOKUP('17.04'!K6,'17.04'!$AM$4:$AO$55,2,FALSE))*IF('17.04'!$AK6="是",'17.04'!$AY$4,'17.04'!$AY$3))</f>
        <v>0</v>
      </c>
      <c r="D6" s="4">
        <f>IF(ISNUMBER(SEARCH("营",'17.04'!L6)),(-$Y6+50*IF('17.04'!$AK6="是",'17.04'!$AY$4,'17.04'!$AY$3)),(VLOOKUP('17.04'!L6,'17.04'!$AM$4:$AO$55,2,FALSE))*IF('17.04'!$AK6="是",'17.04'!$AY$4,'17.04'!$AY$3))</f>
        <v>0</v>
      </c>
      <c r="E6" s="4">
        <f>IF(ISNUMBER(SEARCH("营",'17.04'!M6)),(-$Y6+50*IF('17.04'!$AK6="是",'17.04'!$AY$4,'17.04'!$AY$3)),(VLOOKUP('17.04'!M6,'17.04'!$AM$4:$AO$55,2,FALSE))*IF('17.04'!$AK6="是",'17.04'!$AY$4,'17.04'!$AY$3))</f>
        <v>0</v>
      </c>
      <c r="F6" s="4">
        <f>IF(ISNUMBER(SEARCH("营",'17.04'!N6)),(-$Y6+50*IF('17.04'!$AK6="是",'17.04'!$AY$4,'17.04'!$AY$3)),(VLOOKUP('17.04'!N6,'17.04'!$AM$4:$AO$55,2,FALSE))*IF('17.04'!$AK6="是",'17.04'!$AY$4,'17.04'!$AY$3))</f>
        <v>0</v>
      </c>
      <c r="G6" s="4">
        <f>IF(ISNUMBER(SEARCH("营",'17.04'!O6)),(-$Y6+50*IF('17.04'!$AK6="是",'17.04'!$AY$4,'17.04'!$AY$3)),(VLOOKUP('17.04'!O6,'17.04'!$AM$4:$AO$55,2,FALSE))*IF('17.04'!$AK6="是",'17.04'!$AY$4,'17.04'!$AY$3))</f>
        <v>0</v>
      </c>
      <c r="H6" s="4">
        <f>IF(ISNUMBER(SEARCH("营",'17.04'!P6)),(-$Y6+50*IF('17.04'!$AK6="是",'17.04'!$AY$4,'17.04'!$AY$3)),(VLOOKUP('17.04'!P6,'17.04'!$AM$4:$AO$55,2,FALSE))*IF('17.04'!$AK6="是",'17.04'!$AY$4,'17.04'!$AY$3))</f>
        <v>0</v>
      </c>
      <c r="I6" s="4">
        <f>IF(ISNUMBER(SEARCH("营",'17.04'!Q6)),(-$Y6+50*IF('17.04'!$AK6="是",'17.04'!$AY$4,'17.04'!$AY$3)),(VLOOKUP('17.04'!Q6,'17.04'!$AM$4:$AO$55,2,FALSE))*IF('17.04'!$AK6="是",'17.04'!$AY$4,'17.04'!$AY$3))</f>
        <v>170</v>
      </c>
      <c r="J6" s="4">
        <f>IF(ISNUMBER(SEARCH("营",'17.04'!R6)),(-$Y6+50*IF('17.04'!$AK6="是",'17.04'!$AY$4,'17.04'!$AY$3)),(VLOOKUP('17.04'!R6,'17.04'!$AM$4:$AO$55,2,FALSE))*IF('17.04'!$AK6="是",'17.04'!$AY$4,'17.04'!$AY$3))</f>
        <v>170</v>
      </c>
      <c r="K6" s="4">
        <f>IF(ISNUMBER(SEARCH("营",'17.04'!S6)),(-$Y6+50*IF('17.04'!$AK6="是",'17.04'!$AY$4,'17.04'!$AY$3)),(VLOOKUP('17.04'!S6,'17.04'!$AM$4:$AO$55,2,FALSE))*IF('17.04'!$AK6="是",'17.04'!$AY$4,'17.04'!$AY$3))</f>
        <v>170</v>
      </c>
      <c r="L6" s="4">
        <f>IF(ISNUMBER(SEARCH("营",'17.04'!T6)),(-$Y6+50*IF('17.04'!$AK6="是",'17.04'!$AY$4,'17.04'!$AY$3)),(VLOOKUP('17.04'!T6,'17.04'!$AM$4:$AO$55,2,FALSE))*IF('17.04'!$AK6="是",'17.04'!$AY$4,'17.04'!$AY$3))</f>
        <v>170</v>
      </c>
      <c r="M6" s="4">
        <f>IF(ISNUMBER(SEARCH("营",'17.04'!U6)),(-$Y6+50*IF('17.04'!$AK6="是",'17.04'!$AY$4,'17.04'!$AY$3)),(VLOOKUP('17.04'!U6,'17.04'!$AM$4:$AO$55,2,FALSE))*IF('17.04'!$AK6="是",'17.04'!$AY$4,'17.04'!$AY$3))</f>
        <v>170</v>
      </c>
      <c r="N6" s="4">
        <f>IF(ISNUMBER(SEARCH("营",'17.04'!V6)),(-$Y6+50*IF('17.04'!$AK6="是",'17.04'!$AY$4,'17.04'!$AY$3)),(VLOOKUP('17.04'!V6,'17.04'!$AM$4:$AO$55,2,FALSE))*IF('17.04'!$AK6="是",'17.04'!$AY$4,'17.04'!$AY$3))</f>
        <v>170</v>
      </c>
      <c r="O6" s="4">
        <f>IF(ISNUMBER(SEARCH("营",'17.04'!W6)),(-$Y6+50*IF('17.04'!$AK6="是",'17.04'!$AY$4,'17.04'!$AY$3)),(VLOOKUP('17.04'!W6,'17.04'!$AM$4:$AO$55,2,FALSE))*IF('17.04'!$AK6="是",'17.04'!$AY$4,'17.04'!$AY$3))</f>
        <v>170</v>
      </c>
      <c r="P6" s="4">
        <f>IF(ISNUMBER(SEARCH("营",'17.04'!X6)),(-$Y6+50*IF('17.04'!$AK6="是",'17.04'!$AY$4,'17.04'!$AY$3)),(VLOOKUP('17.04'!X6,'17.04'!$AM$4:$AO$55,2,FALSE))*IF('17.04'!$AK6="是",'17.04'!$AY$4,'17.04'!$AY$3))</f>
        <v>0</v>
      </c>
      <c r="Q6" s="4">
        <f>IF(ISNUMBER(SEARCH("营",'17.04'!Y6)),(-$Y6+50*IF('17.04'!$AK6="是",'17.04'!$AY$4,'17.04'!$AY$3)),(VLOOKUP('17.04'!Y6,'17.04'!$AM$4:$AO$55,2,FALSE))*IF('17.04'!$AK6="是",'17.04'!$AY$4,'17.04'!$AY$3))</f>
        <v>50</v>
      </c>
      <c r="R6" s="4">
        <f>IF(ISNUMBER(SEARCH("营",'17.04'!Z6)),(-$Y6+50*IF('17.04'!$AK6="是",'17.04'!$AY$4,'17.04'!$AY$3)),(VLOOKUP('17.04'!Z6,'17.04'!$AM$4:$AO$55,2,FALSE))*IF('17.04'!$AK6="是",'17.04'!$AY$4,'17.04'!$AY$3))</f>
        <v>150</v>
      </c>
      <c r="S6" s="4">
        <f>IF(ISNUMBER(SEARCH("营",'17.04'!AA6)),(-$Y6+50*IF('17.04'!$AK6="是",'17.04'!$AY$4,'17.04'!$AY$3)),(VLOOKUP('17.04'!AA6,'17.04'!$AM$4:$AO$55,2,FALSE))*IF('17.04'!$AK6="是",'17.04'!$AY$4,'17.04'!$AY$3))</f>
        <v>150</v>
      </c>
      <c r="T6" s="4">
        <f>IF(ISNUMBER(SEARCH("营",'17.04'!AB6)),(-$Y6+50*IF('17.04'!$AK6="是",'17.04'!$AY$4,'17.04'!$AY$3)),(VLOOKUP('17.04'!AB6,'17.04'!$AM$4:$AO$55,2,FALSE))*IF('17.04'!$AK6="是",'17.04'!$AY$4,'17.04'!$AY$3))</f>
        <v>170</v>
      </c>
      <c r="U6" s="4">
        <f>IF(ISNUMBER(SEARCH("营",'17.04'!AC6)),(-$Y6+50*IF('17.04'!$AK6="是",'17.04'!$AY$4,'17.04'!$AY$3)),(VLOOKUP('17.04'!AC6,'17.04'!$AM$4:$AO$55,2,FALSE))*IF('17.04'!$AK6="是",'17.04'!$AY$4,'17.04'!$AY$3))</f>
        <v>170</v>
      </c>
      <c r="V6" s="4">
        <f>IF(ISNUMBER(SEARCH("营",'17.04'!AD6)),(-$Y6+50*IF('17.04'!$AK6="是",'17.04'!$AY$4,'17.04'!$AY$3)),(VLOOKUP('17.04'!AD6,'17.04'!$AM$4:$AO$55,2,FALSE))*IF('17.04'!$AK6="是",'17.04'!$AY$4,'17.04'!$AY$3))</f>
        <v>170</v>
      </c>
      <c r="W6" s="4">
        <f>IF(ISNUMBER(SEARCH("营",'17.04'!AE6)),(-$Y6+50*IF('17.04'!$AK6="是",'17.04'!$AY$4,'17.04'!$AY$3)),(VLOOKUP('17.04'!AE6,'17.04'!$AM$4:$AO$55,2,FALSE))*IF('17.04'!$AK6="是",'17.04'!$AY$4,'17.04'!$AY$3))</f>
        <v>0</v>
      </c>
      <c r="X6" s="4">
        <f>IF(ISNUMBER(SEARCH("营",'17.04'!AF6)),(-$Y6+50*IF('17.04'!$AK6="是",'17.04'!$AY$4,'17.04'!$AY$3)),(VLOOKUP('17.04'!AF6,'17.04'!$AM$4:$AO$55,2,FALSE))*IF('17.04'!$AK6="是",'17.04'!$AY$4,'17.04'!$AY$3))</f>
        <v>0</v>
      </c>
      <c r="Y6" s="88">
        <v>300</v>
      </c>
    </row>
    <row r="7" spans="1:25">
      <c r="A7" s="4">
        <f>IF(ISNUMBER(SEARCH("营",'17.04'!I7)),(-$Y7+50*IF('17.04'!$AK7="是",'17.04'!$AY$4,'17.04'!$AY$3)),(VLOOKUP('17.04'!I7,'17.04'!$AM$4:$AO$55,2,FALSE))*IF('17.04'!$AK7="是",'17.04'!$AY$4,'17.04'!$AY$3))</f>
        <v>0</v>
      </c>
      <c r="B7" s="4">
        <f>IF(ISNUMBER(SEARCH("营",'17.04'!J7)),(-$Y7+50*IF('17.04'!$AK7="是",'17.04'!$AY$4,'17.04'!$AY$3)),(VLOOKUP('17.04'!J7,'17.04'!$AM$4:$AO$55,2,FALSE))*IF('17.04'!$AK7="是",'17.04'!$AY$4,'17.04'!$AY$3))</f>
        <v>0</v>
      </c>
      <c r="C7" s="4">
        <f>IF(ISNUMBER(SEARCH("营",'17.04'!K7)),(-$Y7+50*IF('17.04'!$AK7="是",'17.04'!$AY$4,'17.04'!$AY$3)),(VLOOKUP('17.04'!K7,'17.04'!$AM$4:$AO$55,2,FALSE))*IF('17.04'!$AK7="是",'17.04'!$AY$4,'17.04'!$AY$3))</f>
        <v>0</v>
      </c>
      <c r="D7" s="4">
        <f>IF(ISNUMBER(SEARCH("营",'17.04'!L7)),(-$Y7+50*IF('17.04'!$AK7="是",'17.04'!$AY$4,'17.04'!$AY$3)),(VLOOKUP('17.04'!L7,'17.04'!$AM$4:$AO$55,2,FALSE))*IF('17.04'!$AK7="是",'17.04'!$AY$4,'17.04'!$AY$3))</f>
        <v>0</v>
      </c>
      <c r="E7" s="4">
        <f>IF(ISNUMBER(SEARCH("营",'17.04'!M7)),(-$Y7+50*IF('17.04'!$AK7="是",'17.04'!$AY$4,'17.04'!$AY$3)),(VLOOKUP('17.04'!M7,'17.04'!$AM$4:$AO$55,2,FALSE))*IF('17.04'!$AK7="是",'17.04'!$AY$4,'17.04'!$AY$3))</f>
        <v>0</v>
      </c>
      <c r="F7" s="4">
        <f>IF(ISNUMBER(SEARCH("营",'17.04'!N7)),(-$Y7+50*IF('17.04'!$AK7="是",'17.04'!$AY$4,'17.04'!$AY$3)),(VLOOKUP('17.04'!N7,'17.04'!$AM$4:$AO$55,2,FALSE))*IF('17.04'!$AK7="是",'17.04'!$AY$4,'17.04'!$AY$3))</f>
        <v>0</v>
      </c>
      <c r="G7" s="4">
        <f>IF(ISNUMBER(SEARCH("营",'17.04'!O7)),(-$Y7+50*IF('17.04'!$AK7="是",'17.04'!$AY$4,'17.04'!$AY$3)),(VLOOKUP('17.04'!O7,'17.04'!$AM$4:$AO$55,2,FALSE))*IF('17.04'!$AK7="是",'17.04'!$AY$4,'17.04'!$AY$3))</f>
        <v>0</v>
      </c>
      <c r="H7" s="4">
        <f>IF(ISNUMBER(SEARCH("营",'17.04'!P7)),(-$Y7+50*IF('17.04'!$AK7="是",'17.04'!$AY$4,'17.04'!$AY$3)),(VLOOKUP('17.04'!P7,'17.04'!$AM$4:$AO$55,2,FALSE))*IF('17.04'!$AK7="是",'17.04'!$AY$4,'17.04'!$AY$3))</f>
        <v>0</v>
      </c>
      <c r="I7" s="4">
        <f>IF(ISNUMBER(SEARCH("营",'17.04'!Q7)),(-$Y7+50*IF('17.04'!$AK7="是",'17.04'!$AY$4,'17.04'!$AY$3)),(VLOOKUP('17.04'!Q7,'17.04'!$AM$4:$AO$55,2,FALSE))*IF('17.04'!$AK7="是",'17.04'!$AY$4,'17.04'!$AY$3))</f>
        <v>150</v>
      </c>
      <c r="J7" s="4">
        <f>IF(ISNUMBER(SEARCH("营",'17.04'!R7)),(-$Y7+50*IF('17.04'!$AK7="是",'17.04'!$AY$4,'17.04'!$AY$3)),(VLOOKUP('17.04'!R7,'17.04'!$AM$4:$AO$55,2,FALSE))*IF('17.04'!$AK7="是",'17.04'!$AY$4,'17.04'!$AY$3))</f>
        <v>170</v>
      </c>
      <c r="K7" s="4">
        <f>IF(ISNUMBER(SEARCH("营",'17.04'!S7)),(-$Y7+50*IF('17.04'!$AK7="是",'17.04'!$AY$4,'17.04'!$AY$3)),(VLOOKUP('17.04'!S7,'17.04'!$AM$4:$AO$55,2,FALSE))*IF('17.04'!$AK7="是",'17.04'!$AY$4,'17.04'!$AY$3))</f>
        <v>170</v>
      </c>
      <c r="L7" s="4">
        <f>IF(ISNUMBER(SEARCH("营",'17.04'!T7)),(-$Y7+50*IF('17.04'!$AK7="是",'17.04'!$AY$4,'17.04'!$AY$3)),(VLOOKUP('17.04'!T7,'17.04'!$AM$4:$AO$55,2,FALSE))*IF('17.04'!$AK7="是",'17.04'!$AY$4,'17.04'!$AY$3))</f>
        <v>170</v>
      </c>
      <c r="M7" s="4">
        <f>IF(ISNUMBER(SEARCH("营",'17.04'!U7)),(-$Y7+50*IF('17.04'!$AK7="是",'17.04'!$AY$4,'17.04'!$AY$3)),(VLOOKUP('17.04'!U7,'17.04'!$AM$4:$AO$55,2,FALSE))*IF('17.04'!$AK7="是",'17.04'!$AY$4,'17.04'!$AY$3))</f>
        <v>250</v>
      </c>
      <c r="N7" s="4">
        <f>IF(ISNUMBER(SEARCH("营",'17.04'!V7)),(-$Y7+50*IF('17.04'!$AK7="是",'17.04'!$AY$4,'17.04'!$AY$3)),(VLOOKUP('17.04'!V7,'17.04'!$AM$4:$AO$55,2,FALSE))*IF('17.04'!$AK7="是",'17.04'!$AY$4,'17.04'!$AY$3))</f>
        <v>170</v>
      </c>
      <c r="O7" s="4">
        <f>IF(ISNUMBER(SEARCH("营",'17.04'!W7)),(-$Y7+50*IF('17.04'!$AK7="是",'17.04'!$AY$4,'17.04'!$AY$3)),(VLOOKUP('17.04'!W7,'17.04'!$AM$4:$AO$55,2,FALSE))*IF('17.04'!$AK7="是",'17.04'!$AY$4,'17.04'!$AY$3))</f>
        <v>170</v>
      </c>
      <c r="P7" s="4">
        <f>IF(ISNUMBER(SEARCH("营",'17.04'!X7)),(-$Y7+50*IF('17.04'!$AK7="是",'17.04'!$AY$4,'17.04'!$AY$3)),(VLOOKUP('17.04'!X7,'17.04'!$AM$4:$AO$55,2,FALSE))*IF('17.04'!$AK7="是",'17.04'!$AY$4,'17.04'!$AY$3))</f>
        <v>170</v>
      </c>
      <c r="Q7" s="4">
        <f>IF(ISNUMBER(SEARCH("营",'17.04'!Y7)),(-$Y7+50*IF('17.04'!$AK7="是",'17.04'!$AY$4,'17.04'!$AY$3)),(VLOOKUP('17.04'!Y7,'17.04'!$AM$4:$AO$55,2,FALSE))*IF('17.04'!$AK7="是",'17.04'!$AY$4,'17.04'!$AY$3))</f>
        <v>170</v>
      </c>
      <c r="R7" s="4">
        <f>IF(ISNUMBER(SEARCH("营",'17.04'!Z7)),(-$Y7+50*IF('17.04'!$AK7="是",'17.04'!$AY$4,'17.04'!$AY$3)),(VLOOKUP('17.04'!Z7,'17.04'!$AM$4:$AO$55,2,FALSE))*IF('17.04'!$AK7="是",'17.04'!$AY$4,'17.04'!$AY$3))</f>
        <v>170</v>
      </c>
      <c r="S7" s="4">
        <f>IF(ISNUMBER(SEARCH("营",'17.04'!AA7)),(-$Y7+50*IF('17.04'!$AK7="是",'17.04'!$AY$4,'17.04'!$AY$3)),(VLOOKUP('17.04'!AA7,'17.04'!$AM$4:$AO$55,2,FALSE))*IF('17.04'!$AK7="是",'17.04'!$AY$4,'17.04'!$AY$3))</f>
        <v>50</v>
      </c>
      <c r="T7" s="4">
        <f>IF(ISNUMBER(SEARCH("营",'17.04'!AB7)),(-$Y7+50*IF('17.04'!$AK7="是",'17.04'!$AY$4,'17.04'!$AY$3)),(VLOOKUP('17.04'!AB7,'17.04'!$AM$4:$AO$55,2,FALSE))*IF('17.04'!$AK7="是",'17.04'!$AY$4,'17.04'!$AY$3))</f>
        <v>170</v>
      </c>
      <c r="U7" s="4">
        <f>IF(ISNUMBER(SEARCH("营",'17.04'!AC7)),(-$Y7+50*IF('17.04'!$AK7="是",'17.04'!$AY$4,'17.04'!$AY$3)),(VLOOKUP('17.04'!AC7,'17.04'!$AM$4:$AO$55,2,FALSE))*IF('17.04'!$AK7="是",'17.04'!$AY$4,'17.04'!$AY$3))</f>
        <v>170</v>
      </c>
      <c r="V7" s="4">
        <f>IF(ISNUMBER(SEARCH("营",'17.04'!AD7)),(-$Y7+50*IF('17.04'!$AK7="是",'17.04'!$AY$4,'17.04'!$AY$3)),(VLOOKUP('17.04'!AD7,'17.04'!$AM$4:$AO$55,2,FALSE))*IF('17.04'!$AK7="是",'17.04'!$AY$4,'17.04'!$AY$3))</f>
        <v>170</v>
      </c>
      <c r="W7" s="4">
        <f>IF(ISNUMBER(SEARCH("营",'17.04'!AE7)),(-$Y7+50*IF('17.04'!$AK7="是",'17.04'!$AY$4,'17.04'!$AY$3)),(VLOOKUP('17.04'!AE7,'17.04'!$AM$4:$AO$55,2,FALSE))*IF('17.04'!$AK7="是",'17.04'!$AY$4,'17.04'!$AY$3))</f>
        <v>0</v>
      </c>
      <c r="X7" s="4">
        <f>IF(ISNUMBER(SEARCH("营",'17.04'!AF7)),(-$Y7+50*IF('17.04'!$AK7="是",'17.04'!$AY$4,'17.04'!$AY$3)),(VLOOKUP('17.04'!AF7,'17.04'!$AM$4:$AO$55,2,FALSE))*IF('17.04'!$AK7="是",'17.04'!$AY$4,'17.04'!$AY$3))</f>
        <v>0</v>
      </c>
      <c r="Y7" s="88">
        <v>300</v>
      </c>
    </row>
    <row r="8" spans="1:25">
      <c r="A8" s="4">
        <f>IF(ISNUMBER(SEARCH("营",'17.04'!I8)),(-$Y8+50*IF('17.04'!$AK8="是",'17.04'!$AY$4,'17.04'!$AY$3)),(VLOOKUP('17.04'!I8,'17.04'!$AM$4:$AO$55,2,FALSE))*IF('17.04'!$AK8="是",'17.04'!$AY$4,'17.04'!$AY$3))</f>
        <v>0</v>
      </c>
      <c r="B8" s="4">
        <f>IF(ISNUMBER(SEARCH("营",'17.04'!J8)),(-$Y8+50*IF('17.04'!$AK8="是",'17.04'!$AY$4,'17.04'!$AY$3)),(VLOOKUP('17.04'!J8,'17.04'!$AM$4:$AO$55,2,FALSE))*IF('17.04'!$AK8="是",'17.04'!$AY$4,'17.04'!$AY$3))</f>
        <v>0</v>
      </c>
      <c r="C8" s="4">
        <f>IF(ISNUMBER(SEARCH("营",'17.04'!K8)),(-$Y8+50*IF('17.04'!$AK8="是",'17.04'!$AY$4,'17.04'!$AY$3)),(VLOOKUP('17.04'!K8,'17.04'!$AM$4:$AO$55,2,FALSE))*IF('17.04'!$AK8="是",'17.04'!$AY$4,'17.04'!$AY$3))</f>
        <v>0</v>
      </c>
      <c r="D8" s="4">
        <f>IF(ISNUMBER(SEARCH("营",'17.04'!L8)),(-$Y8+50*IF('17.04'!$AK8="是",'17.04'!$AY$4,'17.04'!$AY$3)),(VLOOKUP('17.04'!L8,'17.04'!$AM$4:$AO$55,2,FALSE))*IF('17.04'!$AK8="是",'17.04'!$AY$4,'17.04'!$AY$3))</f>
        <v>0</v>
      </c>
      <c r="E8" s="4">
        <f>IF(ISNUMBER(SEARCH("营",'17.04'!M8)),(-$Y8+50*IF('17.04'!$AK8="是",'17.04'!$AY$4,'17.04'!$AY$3)),(VLOOKUP('17.04'!M8,'17.04'!$AM$4:$AO$55,2,FALSE))*IF('17.04'!$AK8="是",'17.04'!$AY$4,'17.04'!$AY$3))</f>
        <v>0</v>
      </c>
      <c r="F8" s="4">
        <f>IF(ISNUMBER(SEARCH("营",'17.04'!N8)),(-$Y8+50*IF('17.04'!$AK8="是",'17.04'!$AY$4,'17.04'!$AY$3)),(VLOOKUP('17.04'!N8,'17.04'!$AM$4:$AO$55,2,FALSE))*IF('17.04'!$AK8="是",'17.04'!$AY$4,'17.04'!$AY$3))</f>
        <v>0</v>
      </c>
      <c r="G8" s="4">
        <f>IF(ISNUMBER(SEARCH("营",'17.04'!O8)),(-$Y8+50*IF('17.04'!$AK8="是",'17.04'!$AY$4,'17.04'!$AY$3)),(VLOOKUP('17.04'!O8,'17.04'!$AM$4:$AO$55,2,FALSE))*IF('17.04'!$AK8="是",'17.04'!$AY$4,'17.04'!$AY$3))</f>
        <v>0</v>
      </c>
      <c r="H8" s="4">
        <f>IF(ISNUMBER(SEARCH("营",'17.04'!P8)),(-$Y8+50*IF('17.04'!$AK8="是",'17.04'!$AY$4,'17.04'!$AY$3)),(VLOOKUP('17.04'!P8,'17.04'!$AM$4:$AO$55,2,FALSE))*IF('17.04'!$AK8="是",'17.04'!$AY$4,'17.04'!$AY$3))</f>
        <v>0</v>
      </c>
      <c r="I8" s="4">
        <f>IF(ISNUMBER(SEARCH("营",'17.04'!Q8)),(-$Y8+50*IF('17.04'!$AK8="是",'17.04'!$AY$4,'17.04'!$AY$3)),(VLOOKUP('17.04'!Q8,'17.04'!$AM$4:$AO$55,2,FALSE))*IF('17.04'!$AK8="是",'17.04'!$AY$4,'17.04'!$AY$3))</f>
        <v>170</v>
      </c>
      <c r="J8" s="4">
        <f>IF(ISNUMBER(SEARCH("营",'17.04'!R8)),(-$Y8+50*IF('17.04'!$AK8="是",'17.04'!$AY$4,'17.04'!$AY$3)),(VLOOKUP('17.04'!R8,'17.04'!$AM$4:$AO$55,2,FALSE))*IF('17.04'!$AK8="是",'17.04'!$AY$4,'17.04'!$AY$3))</f>
        <v>170</v>
      </c>
      <c r="K8" s="4">
        <f>IF(ISNUMBER(SEARCH("营",'17.04'!S8)),(-$Y8+50*IF('17.04'!$AK8="是",'17.04'!$AY$4,'17.04'!$AY$3)),(VLOOKUP('17.04'!S8,'17.04'!$AM$4:$AO$55,2,FALSE))*IF('17.04'!$AK8="是",'17.04'!$AY$4,'17.04'!$AY$3))</f>
        <v>170</v>
      </c>
      <c r="L8" s="4">
        <f>IF(ISNUMBER(SEARCH("营",'17.04'!T8)),(-$Y8+50*IF('17.04'!$AK8="是",'17.04'!$AY$4,'17.04'!$AY$3)),(VLOOKUP('17.04'!T8,'17.04'!$AM$4:$AO$55,2,FALSE))*IF('17.04'!$AK8="是",'17.04'!$AY$4,'17.04'!$AY$3))</f>
        <v>50</v>
      </c>
      <c r="M8" s="4">
        <f>IF(ISNUMBER(SEARCH("营",'17.04'!U8)),(-$Y8+50*IF('17.04'!$AK8="是",'17.04'!$AY$4,'17.04'!$AY$3)),(VLOOKUP('17.04'!U8,'17.04'!$AM$4:$AO$55,2,FALSE))*IF('17.04'!$AK8="是",'17.04'!$AY$4,'17.04'!$AY$3))</f>
        <v>170</v>
      </c>
      <c r="N8" s="4">
        <f>IF(ISNUMBER(SEARCH("营",'17.04'!V8)),(-$Y8+50*IF('17.04'!$AK8="是",'17.04'!$AY$4,'17.04'!$AY$3)),(VLOOKUP('17.04'!V8,'17.04'!$AM$4:$AO$55,2,FALSE))*IF('17.04'!$AK8="是",'17.04'!$AY$4,'17.04'!$AY$3))</f>
        <v>170</v>
      </c>
      <c r="O8" s="4">
        <f>IF(ISNUMBER(SEARCH("营",'17.04'!W8)),(-$Y8+50*IF('17.04'!$AK8="是",'17.04'!$AY$4,'17.04'!$AY$3)),(VLOOKUP('17.04'!W8,'17.04'!$AM$4:$AO$55,2,FALSE))*IF('17.04'!$AK8="是",'17.04'!$AY$4,'17.04'!$AY$3))</f>
        <v>0</v>
      </c>
      <c r="P8" s="4">
        <f>IF(ISNUMBER(SEARCH("营",'17.04'!X8)),(-$Y8+50*IF('17.04'!$AK8="是",'17.04'!$AY$4,'17.04'!$AY$3)),(VLOOKUP('17.04'!X8,'17.04'!$AM$4:$AO$55,2,FALSE))*IF('17.04'!$AK8="是",'17.04'!$AY$4,'17.04'!$AY$3))</f>
        <v>0</v>
      </c>
      <c r="Q8" s="4">
        <f>IF(ISNUMBER(SEARCH("营",'17.04'!Y8)),(-$Y8+50*IF('17.04'!$AK8="是",'17.04'!$AY$4,'17.04'!$AY$3)),(VLOOKUP('17.04'!Y8,'17.04'!$AM$4:$AO$55,2,FALSE))*IF('17.04'!$AK8="是",'17.04'!$AY$4,'17.04'!$AY$3))</f>
        <v>170</v>
      </c>
      <c r="R8" s="4">
        <f>IF(ISNUMBER(SEARCH("营",'17.04'!Z8)),(-$Y8+50*IF('17.04'!$AK8="是",'17.04'!$AY$4,'17.04'!$AY$3)),(VLOOKUP('17.04'!Z8,'17.04'!$AM$4:$AO$55,2,FALSE))*IF('17.04'!$AK8="是",'17.04'!$AY$4,'17.04'!$AY$3))</f>
        <v>170</v>
      </c>
      <c r="S8" s="4">
        <f>IF(ISNUMBER(SEARCH("营",'17.04'!AA8)),(-$Y8+50*IF('17.04'!$AK8="是",'17.04'!$AY$4,'17.04'!$AY$3)),(VLOOKUP('17.04'!AA8,'17.04'!$AM$4:$AO$55,2,FALSE))*IF('17.04'!$AK8="是",'17.04'!$AY$4,'17.04'!$AY$3))</f>
        <v>170</v>
      </c>
      <c r="T8" s="4">
        <f>IF(ISNUMBER(SEARCH("营",'17.04'!AB8)),(-$Y8+50*IF('17.04'!$AK8="是",'17.04'!$AY$4,'17.04'!$AY$3)),(VLOOKUP('17.04'!AB8,'17.04'!$AM$4:$AO$55,2,FALSE))*IF('17.04'!$AK8="是",'17.04'!$AY$4,'17.04'!$AY$3))</f>
        <v>170</v>
      </c>
      <c r="U8" s="4">
        <f>IF(ISNUMBER(SEARCH("营",'17.04'!AC8)),(-$Y8+50*IF('17.04'!$AK8="是",'17.04'!$AY$4,'17.04'!$AY$3)),(VLOOKUP('17.04'!AC8,'17.04'!$AM$4:$AO$55,2,FALSE))*IF('17.04'!$AK8="是",'17.04'!$AY$4,'17.04'!$AY$3))</f>
        <v>250</v>
      </c>
      <c r="V8" s="4">
        <f>IF(ISNUMBER(SEARCH("营",'17.04'!AD8)),(-$Y8+50*IF('17.04'!$AK8="是",'17.04'!$AY$4,'17.04'!$AY$3)),(VLOOKUP('17.04'!AD8,'17.04'!$AM$4:$AO$55,2,FALSE))*IF('17.04'!$AK8="是",'17.04'!$AY$4,'17.04'!$AY$3))</f>
        <v>170</v>
      </c>
      <c r="W8" s="4">
        <f>IF(ISNUMBER(SEARCH("营",'17.04'!AE8)),(-$Y8+50*IF('17.04'!$AK8="是",'17.04'!$AY$4,'17.04'!$AY$3)),(VLOOKUP('17.04'!AE8,'17.04'!$AM$4:$AO$55,2,FALSE))*IF('17.04'!$AK8="是",'17.04'!$AY$4,'17.04'!$AY$3))</f>
        <v>0</v>
      </c>
      <c r="X8" s="4">
        <f>IF(ISNUMBER(SEARCH("营",'17.04'!AF8)),(-$Y8+50*IF('17.04'!$AK8="是",'17.04'!$AY$4,'17.04'!$AY$3)),(VLOOKUP('17.04'!AF8,'17.04'!$AM$4:$AO$55,2,FALSE))*IF('17.04'!$AK8="是",'17.04'!$AY$4,'17.04'!$AY$3))</f>
        <v>0</v>
      </c>
      <c r="Y8" s="88">
        <v>300</v>
      </c>
    </row>
    <row r="9" spans="1:25">
      <c r="A9" s="4">
        <f>IF(ISNUMBER(SEARCH("营",'17.04'!I9)),(-$Y9+50*IF('17.04'!$AK9="是",'17.04'!$AY$4,'17.04'!$AY$3)),(VLOOKUP('17.04'!I9,'17.04'!$AM$4:$AO$55,2,FALSE))*IF('17.04'!$AK9="是",'17.04'!$AY$4,'17.04'!$AY$3))</f>
        <v>0</v>
      </c>
      <c r="B9" s="4">
        <f>IF(ISNUMBER(SEARCH("营",'17.04'!J9)),(-$Y9+50*IF('17.04'!$AK9="是",'17.04'!$AY$4,'17.04'!$AY$3)),(VLOOKUP('17.04'!J9,'17.04'!$AM$4:$AO$55,2,FALSE))*IF('17.04'!$AK9="是",'17.04'!$AY$4,'17.04'!$AY$3))</f>
        <v>0</v>
      </c>
      <c r="C9" s="4">
        <f>IF(ISNUMBER(SEARCH("营",'17.04'!K9)),(-$Y9+50*IF('17.04'!$AK9="是",'17.04'!$AY$4,'17.04'!$AY$3)),(VLOOKUP('17.04'!K9,'17.04'!$AM$4:$AO$55,2,FALSE))*IF('17.04'!$AK9="是",'17.04'!$AY$4,'17.04'!$AY$3))</f>
        <v>0</v>
      </c>
      <c r="D9" s="4">
        <f>IF(ISNUMBER(SEARCH("营",'17.04'!L9)),(-$Y9+50*IF('17.04'!$AK9="是",'17.04'!$AY$4,'17.04'!$AY$3)),(VLOOKUP('17.04'!L9,'17.04'!$AM$4:$AO$55,2,FALSE))*IF('17.04'!$AK9="是",'17.04'!$AY$4,'17.04'!$AY$3))</f>
        <v>0</v>
      </c>
      <c r="E9" s="4">
        <f>IF(ISNUMBER(SEARCH("营",'17.04'!M9)),(-$Y9+50*IF('17.04'!$AK9="是",'17.04'!$AY$4,'17.04'!$AY$3)),(VLOOKUP('17.04'!M9,'17.04'!$AM$4:$AO$55,2,FALSE))*IF('17.04'!$AK9="是",'17.04'!$AY$4,'17.04'!$AY$3))</f>
        <v>0</v>
      </c>
      <c r="F9" s="4">
        <f>IF(ISNUMBER(SEARCH("营",'17.04'!N9)),(-$Y9+50*IF('17.04'!$AK9="是",'17.04'!$AY$4,'17.04'!$AY$3)),(VLOOKUP('17.04'!N9,'17.04'!$AM$4:$AO$55,2,FALSE))*IF('17.04'!$AK9="是",'17.04'!$AY$4,'17.04'!$AY$3))</f>
        <v>0</v>
      </c>
      <c r="G9" s="4">
        <f>IF(ISNUMBER(SEARCH("营",'17.04'!O9)),(-$Y9+50*IF('17.04'!$AK9="是",'17.04'!$AY$4,'17.04'!$AY$3)),(VLOOKUP('17.04'!O9,'17.04'!$AM$4:$AO$55,2,FALSE))*IF('17.04'!$AK9="是",'17.04'!$AY$4,'17.04'!$AY$3))</f>
        <v>0</v>
      </c>
      <c r="H9" s="4">
        <f>IF(ISNUMBER(SEARCH("营",'17.04'!P9)),(-$Y9+50*IF('17.04'!$AK9="是",'17.04'!$AY$4,'17.04'!$AY$3)),(VLOOKUP('17.04'!P9,'17.04'!$AM$4:$AO$55,2,FALSE))*IF('17.04'!$AK9="是",'17.04'!$AY$4,'17.04'!$AY$3))</f>
        <v>0</v>
      </c>
      <c r="I9" s="4">
        <f>IF(ISNUMBER(SEARCH("营",'17.04'!Q9)),(-$Y9+50*IF('17.04'!$AK9="是",'17.04'!$AY$4,'17.04'!$AY$3)),(VLOOKUP('17.04'!Q9,'17.04'!$AM$4:$AO$55,2,FALSE))*IF('17.04'!$AK9="是",'17.04'!$AY$4,'17.04'!$AY$3))</f>
        <v>170</v>
      </c>
      <c r="J9" s="4">
        <f>IF(ISNUMBER(SEARCH("营",'17.04'!R9)),(-$Y9+50*IF('17.04'!$AK9="是",'17.04'!$AY$4,'17.04'!$AY$3)),(VLOOKUP('17.04'!R9,'17.04'!$AM$4:$AO$55,2,FALSE))*IF('17.04'!$AK9="是",'17.04'!$AY$4,'17.04'!$AY$3))</f>
        <v>180</v>
      </c>
      <c r="K9" s="4">
        <f>IF(ISNUMBER(SEARCH("营",'17.04'!S9)),(-$Y9+50*IF('17.04'!$AK9="是",'17.04'!$AY$4,'17.04'!$AY$3)),(VLOOKUP('17.04'!S9,'17.04'!$AM$4:$AO$55,2,FALSE))*IF('17.04'!$AK9="是",'17.04'!$AY$4,'17.04'!$AY$3))</f>
        <v>180</v>
      </c>
      <c r="L9" s="4">
        <f>IF(ISNUMBER(SEARCH("营",'17.04'!T9)),(-$Y9+50*IF('17.04'!$AK9="是",'17.04'!$AY$4,'17.04'!$AY$3)),(VLOOKUP('17.04'!T9,'17.04'!$AM$4:$AO$55,2,FALSE))*IF('17.04'!$AK9="是",'17.04'!$AY$4,'17.04'!$AY$3))</f>
        <v>180</v>
      </c>
      <c r="M9" s="4">
        <f>IF(ISNUMBER(SEARCH("营",'17.04'!U9)),(-$Y9+50*IF('17.04'!$AK9="是",'17.04'!$AY$4,'17.04'!$AY$3)),(VLOOKUP('17.04'!U9,'17.04'!$AM$4:$AO$55,2,FALSE))*IF('17.04'!$AK9="是",'17.04'!$AY$4,'17.04'!$AY$3))</f>
        <v>180</v>
      </c>
      <c r="N9" s="4">
        <f>IF(ISNUMBER(SEARCH("营",'17.04'!V9)),(-$Y9+50*IF('17.04'!$AK9="是",'17.04'!$AY$4,'17.04'!$AY$3)),(VLOOKUP('17.04'!V9,'17.04'!$AM$4:$AO$55,2,FALSE))*IF('17.04'!$AK9="是",'17.04'!$AY$4,'17.04'!$AY$3))</f>
        <v>180</v>
      </c>
      <c r="O9" s="4">
        <f>IF(ISNUMBER(SEARCH("营",'17.04'!W9)),(-$Y9+50*IF('17.04'!$AK9="是",'17.04'!$AY$4,'17.04'!$AY$3)),(VLOOKUP('17.04'!W9,'17.04'!$AM$4:$AO$55,2,FALSE))*IF('17.04'!$AK9="是",'17.04'!$AY$4,'17.04'!$AY$3))</f>
        <v>0</v>
      </c>
      <c r="P9" s="4">
        <f>IF(ISNUMBER(SEARCH("营",'17.04'!X9)),(-$Y9+50*IF('17.04'!$AK9="是",'17.04'!$AY$4,'17.04'!$AY$3)),(VLOOKUP('17.04'!X9,'17.04'!$AM$4:$AO$55,2,FALSE))*IF('17.04'!$AK9="是",'17.04'!$AY$4,'17.04'!$AY$3))</f>
        <v>0</v>
      </c>
      <c r="Q9" s="4">
        <f>IF(ISNUMBER(SEARCH("营",'17.04'!Y9)),(-$Y9+50*IF('17.04'!$AK9="是",'17.04'!$AY$4,'17.04'!$AY$3)),(VLOOKUP('17.04'!Y9,'17.04'!$AM$4:$AO$55,2,FALSE))*IF('17.04'!$AK9="是",'17.04'!$AY$4,'17.04'!$AY$3))</f>
        <v>170</v>
      </c>
      <c r="R9" s="4">
        <f>IF(ISNUMBER(SEARCH("营",'17.04'!Z9)),(-$Y9+50*IF('17.04'!$AK9="是",'17.04'!$AY$4,'17.04'!$AY$3)),(VLOOKUP('17.04'!Z9,'17.04'!$AM$4:$AO$55,2,FALSE))*IF('17.04'!$AK9="是",'17.04'!$AY$4,'17.04'!$AY$3))</f>
        <v>170</v>
      </c>
      <c r="S9" s="4">
        <f>IF(ISNUMBER(SEARCH("营",'17.04'!AA9)),(-$Y9+50*IF('17.04'!$AK9="是",'17.04'!$AY$4,'17.04'!$AY$3)),(VLOOKUP('17.04'!AA9,'17.04'!$AM$4:$AO$55,2,FALSE))*IF('17.04'!$AK9="是",'17.04'!$AY$4,'17.04'!$AY$3))</f>
        <v>170</v>
      </c>
      <c r="T9" s="4">
        <f>IF(ISNUMBER(SEARCH("营",'17.04'!AB9)),(-$Y9+50*IF('17.04'!$AK9="是",'17.04'!$AY$4,'17.04'!$AY$3)),(VLOOKUP('17.04'!AB9,'17.04'!$AM$4:$AO$55,2,FALSE))*IF('17.04'!$AK9="是",'17.04'!$AY$4,'17.04'!$AY$3))</f>
        <v>170</v>
      </c>
      <c r="U9" s="4">
        <f>IF(ISNUMBER(SEARCH("营",'17.04'!AC9)),(-$Y9+50*IF('17.04'!$AK9="是",'17.04'!$AY$4,'17.04'!$AY$3)),(VLOOKUP('17.04'!AC9,'17.04'!$AM$4:$AO$55,2,FALSE))*IF('17.04'!$AK9="是",'17.04'!$AY$4,'17.04'!$AY$3))</f>
        <v>50</v>
      </c>
      <c r="V9" s="4">
        <f>IF(ISNUMBER(SEARCH("营",'17.04'!AD9)),(-$Y9+50*IF('17.04'!$AK9="是",'17.04'!$AY$4,'17.04'!$AY$3)),(VLOOKUP('17.04'!AD9,'17.04'!$AM$4:$AO$55,2,FALSE))*IF('17.04'!$AK9="是",'17.04'!$AY$4,'17.04'!$AY$3))</f>
        <v>170</v>
      </c>
      <c r="W9" s="4">
        <f>IF(ISNUMBER(SEARCH("营",'17.04'!AE9)),(-$Y9+50*IF('17.04'!$AK9="是",'17.04'!$AY$4,'17.04'!$AY$3)),(VLOOKUP('17.04'!AE9,'17.04'!$AM$4:$AO$55,2,FALSE))*IF('17.04'!$AK9="是",'17.04'!$AY$4,'17.04'!$AY$3))</f>
        <v>0</v>
      </c>
      <c r="X9" s="4">
        <f>IF(ISNUMBER(SEARCH("营",'17.04'!AF9)),(-$Y9+50*IF('17.04'!$AK9="是",'17.04'!$AY$4,'17.04'!$AY$3)),(VLOOKUP('17.04'!AF9,'17.04'!$AM$4:$AO$55,2,FALSE))*IF('17.04'!$AK9="是",'17.04'!$AY$4,'17.04'!$AY$3))</f>
        <v>0</v>
      </c>
      <c r="Y9" s="88">
        <v>300</v>
      </c>
    </row>
    <row r="10" spans="1:25">
      <c r="A10" s="4">
        <f>IF(ISNUMBER(SEARCH("营",'17.04'!I10)),(-$Y10+50*IF('17.04'!$AK10="是",'17.04'!$AY$4,'17.04'!$AY$3)),(VLOOKUP('17.04'!I10,'17.04'!$AM$4:$AO$55,2,FALSE))*IF('17.04'!$AK10="是",'17.04'!$AY$4,'17.04'!$AY$3))</f>
        <v>0</v>
      </c>
      <c r="B10" s="4">
        <f>IF(ISNUMBER(SEARCH("营",'17.04'!J10)),(-$Y10+50*IF('17.04'!$AK10="是",'17.04'!$AY$4,'17.04'!$AY$3)),(VLOOKUP('17.04'!J10,'17.04'!$AM$4:$AO$55,2,FALSE))*IF('17.04'!$AK10="是",'17.04'!$AY$4,'17.04'!$AY$3))</f>
        <v>0</v>
      </c>
      <c r="C10" s="4">
        <f>IF(ISNUMBER(SEARCH("营",'17.04'!K10)),(-$Y10+50*IF('17.04'!$AK10="是",'17.04'!$AY$4,'17.04'!$AY$3)),(VLOOKUP('17.04'!K10,'17.04'!$AM$4:$AO$55,2,FALSE))*IF('17.04'!$AK10="是",'17.04'!$AY$4,'17.04'!$AY$3))</f>
        <v>0</v>
      </c>
      <c r="D10" s="4">
        <f>IF(ISNUMBER(SEARCH("营",'17.04'!L10)),(-$Y10+50*IF('17.04'!$AK10="是",'17.04'!$AY$4,'17.04'!$AY$3)),(VLOOKUP('17.04'!L10,'17.04'!$AM$4:$AO$55,2,FALSE))*IF('17.04'!$AK10="是",'17.04'!$AY$4,'17.04'!$AY$3))</f>
        <v>0</v>
      </c>
      <c r="E10" s="4">
        <f>IF(ISNUMBER(SEARCH("营",'17.04'!M10)),(-$Y10+50*IF('17.04'!$AK10="是",'17.04'!$AY$4,'17.04'!$AY$3)),(VLOOKUP('17.04'!M10,'17.04'!$AM$4:$AO$55,2,FALSE))*IF('17.04'!$AK10="是",'17.04'!$AY$4,'17.04'!$AY$3))</f>
        <v>0</v>
      </c>
      <c r="F10" s="4">
        <f>IF(ISNUMBER(SEARCH("营",'17.04'!N10)),(-$Y10+50*IF('17.04'!$AK10="是",'17.04'!$AY$4,'17.04'!$AY$3)),(VLOOKUP('17.04'!N10,'17.04'!$AM$4:$AO$55,2,FALSE))*IF('17.04'!$AK10="是",'17.04'!$AY$4,'17.04'!$AY$3))</f>
        <v>0</v>
      </c>
      <c r="G10" s="4">
        <f>IF(ISNUMBER(SEARCH("营",'17.04'!O10)),(-$Y10+50*IF('17.04'!$AK10="是",'17.04'!$AY$4,'17.04'!$AY$3)),(VLOOKUP('17.04'!O10,'17.04'!$AM$4:$AO$55,2,FALSE))*IF('17.04'!$AK10="是",'17.04'!$AY$4,'17.04'!$AY$3))</f>
        <v>0</v>
      </c>
      <c r="H10" s="4">
        <f>IF(ISNUMBER(SEARCH("营",'17.04'!P10)),(-$Y10+50*IF('17.04'!$AK10="是",'17.04'!$AY$4,'17.04'!$AY$3)),(VLOOKUP('17.04'!P10,'17.04'!$AM$4:$AO$55,2,FALSE))*IF('17.04'!$AK10="是",'17.04'!$AY$4,'17.04'!$AY$3))</f>
        <v>0</v>
      </c>
      <c r="I10" s="4">
        <f>IF(ISNUMBER(SEARCH("营",'17.04'!Q10)),(-$Y10+50*IF('17.04'!$AK10="是",'17.04'!$AY$4,'17.04'!$AY$3)),(VLOOKUP('17.04'!Q10,'17.04'!$AM$4:$AO$55,2,FALSE))*IF('17.04'!$AK10="是",'17.04'!$AY$4,'17.04'!$AY$3))</f>
        <v>150</v>
      </c>
      <c r="J10" s="4">
        <f>IF(ISNUMBER(SEARCH("营",'17.04'!R10)),(-$Y10+50*IF('17.04'!$AK10="是",'17.04'!$AY$4,'17.04'!$AY$3)),(VLOOKUP('17.04'!R10,'17.04'!$AM$4:$AO$55,2,FALSE))*IF('17.04'!$AK10="是",'17.04'!$AY$4,'17.04'!$AY$3))</f>
        <v>180</v>
      </c>
      <c r="K10" s="4">
        <f>IF(ISNUMBER(SEARCH("营",'17.04'!S10)),(-$Y10+50*IF('17.04'!$AK10="是",'17.04'!$AY$4,'17.04'!$AY$3)),(VLOOKUP('17.04'!S10,'17.04'!$AM$4:$AO$55,2,FALSE))*IF('17.04'!$AK10="是",'17.04'!$AY$4,'17.04'!$AY$3))</f>
        <v>180</v>
      </c>
      <c r="L10" s="4">
        <f>IF(ISNUMBER(SEARCH("营",'17.04'!T10)),(-$Y10+50*IF('17.04'!$AK10="是",'17.04'!$AY$4,'17.04'!$AY$3)),(VLOOKUP('17.04'!T10,'17.04'!$AM$4:$AO$55,2,FALSE))*IF('17.04'!$AK10="是",'17.04'!$AY$4,'17.04'!$AY$3))</f>
        <v>170</v>
      </c>
      <c r="M10" s="4">
        <f>IF(ISNUMBER(SEARCH("营",'17.04'!U10)),(-$Y10+50*IF('17.04'!$AK10="是",'17.04'!$AY$4,'17.04'!$AY$3)),(VLOOKUP('17.04'!U10,'17.04'!$AM$4:$AO$55,2,FALSE))*IF('17.04'!$AK10="是",'17.04'!$AY$4,'17.04'!$AY$3))</f>
        <v>170</v>
      </c>
      <c r="N10" s="4">
        <f>IF(ISNUMBER(SEARCH("营",'17.04'!V10)),(-$Y10+50*IF('17.04'!$AK10="是",'17.04'!$AY$4,'17.04'!$AY$3)),(VLOOKUP('17.04'!V10,'17.04'!$AM$4:$AO$55,2,FALSE))*IF('17.04'!$AK10="是",'17.04'!$AY$4,'17.04'!$AY$3))</f>
        <v>170</v>
      </c>
      <c r="O10" s="4">
        <f>IF(ISNUMBER(SEARCH("营",'17.04'!W10)),(-$Y10+50*IF('17.04'!$AK10="是",'17.04'!$AY$4,'17.04'!$AY$3)),(VLOOKUP('17.04'!W10,'17.04'!$AM$4:$AO$55,2,FALSE))*IF('17.04'!$AK10="是",'17.04'!$AY$4,'17.04'!$AY$3))</f>
        <v>0</v>
      </c>
      <c r="P10" s="4">
        <f>IF(ISNUMBER(SEARCH("营",'17.04'!X10)),(-$Y10+50*IF('17.04'!$AK10="是",'17.04'!$AY$4,'17.04'!$AY$3)),(VLOOKUP('17.04'!X10,'17.04'!$AM$4:$AO$55,2,FALSE))*IF('17.04'!$AK10="是",'17.04'!$AY$4,'17.04'!$AY$3))</f>
        <v>0</v>
      </c>
      <c r="Q10" s="4">
        <f>IF(ISNUMBER(SEARCH("营",'17.04'!Y10)),(-$Y10+50*IF('17.04'!$AK10="是",'17.04'!$AY$4,'17.04'!$AY$3)),(VLOOKUP('17.04'!Y10,'17.04'!$AM$4:$AO$55,2,FALSE))*IF('17.04'!$AK10="是",'17.04'!$AY$4,'17.04'!$AY$3))</f>
        <v>170</v>
      </c>
      <c r="R10" s="4">
        <f>IF(ISNUMBER(SEARCH("营",'17.04'!Z10)),(-$Y10+50*IF('17.04'!$AK10="是",'17.04'!$AY$4,'17.04'!$AY$3)),(VLOOKUP('17.04'!Z10,'17.04'!$AM$4:$AO$55,2,FALSE))*IF('17.04'!$AK10="是",'17.04'!$AY$4,'17.04'!$AY$3))</f>
        <v>170</v>
      </c>
      <c r="S10" s="4">
        <f>IF(ISNUMBER(SEARCH("营",'17.04'!AA10)),(-$Y10+50*IF('17.04'!$AK10="是",'17.04'!$AY$4,'17.04'!$AY$3)),(VLOOKUP('17.04'!AA10,'17.04'!$AM$4:$AO$55,2,FALSE))*IF('17.04'!$AK10="是",'17.04'!$AY$4,'17.04'!$AY$3))</f>
        <v>170</v>
      </c>
      <c r="T10" s="4">
        <f>IF(ISNUMBER(SEARCH("营",'17.04'!AB10)),(-$Y10+50*IF('17.04'!$AK10="是",'17.04'!$AY$4,'17.04'!$AY$3)),(VLOOKUP('17.04'!AB10,'17.04'!$AM$4:$AO$55,2,FALSE))*IF('17.04'!$AK10="是",'17.04'!$AY$4,'17.04'!$AY$3))</f>
        <v>170</v>
      </c>
      <c r="U10" s="4">
        <f>IF(ISNUMBER(SEARCH("营",'17.04'!AC10)),(-$Y10+50*IF('17.04'!$AK10="是",'17.04'!$AY$4,'17.04'!$AY$3)),(VLOOKUP('17.04'!AC10,'17.04'!$AM$4:$AO$55,2,FALSE))*IF('17.04'!$AK10="是",'17.04'!$AY$4,'17.04'!$AY$3))</f>
        <v>170</v>
      </c>
      <c r="V10" s="4">
        <f>IF(ISNUMBER(SEARCH("营",'17.04'!AD10)),(-$Y10+50*IF('17.04'!$AK10="是",'17.04'!$AY$4,'17.04'!$AY$3)),(VLOOKUP('17.04'!AD10,'17.04'!$AM$4:$AO$55,2,FALSE))*IF('17.04'!$AK10="是",'17.04'!$AY$4,'17.04'!$AY$3))</f>
        <v>170</v>
      </c>
      <c r="W10" s="4">
        <f>IF(ISNUMBER(SEARCH("营",'17.04'!AE10)),(-$Y10+50*IF('17.04'!$AK10="是",'17.04'!$AY$4,'17.04'!$AY$3)),(VLOOKUP('17.04'!AE10,'17.04'!$AM$4:$AO$55,2,FALSE))*IF('17.04'!$AK10="是",'17.04'!$AY$4,'17.04'!$AY$3))</f>
        <v>0</v>
      </c>
      <c r="X10" s="4">
        <f>IF(ISNUMBER(SEARCH("营",'17.04'!AF10)),(-$Y10+50*IF('17.04'!$AK10="是",'17.04'!$AY$4,'17.04'!$AY$3)),(VLOOKUP('17.04'!AF10,'17.04'!$AM$4:$AO$55,2,FALSE))*IF('17.04'!$AK10="是",'17.04'!$AY$4,'17.04'!$AY$3))</f>
        <v>0</v>
      </c>
      <c r="Y10" s="88">
        <v>300</v>
      </c>
    </row>
    <row r="11" spans="1:25">
      <c r="A11" s="4">
        <f>IF(ISNUMBER(SEARCH("营",'17.04'!I11)),(-$Y11+50*IF('17.04'!$AK11="是",'17.04'!$AY$4,'17.04'!$AY$3)),(VLOOKUP('17.04'!I11,'17.04'!$AM$4:$AO$55,2,FALSE))*IF('17.04'!$AK11="是",'17.04'!$AY$4,'17.04'!$AY$3))</f>
        <v>0</v>
      </c>
      <c r="B11" s="4">
        <f>IF(ISNUMBER(SEARCH("营",'17.04'!J11)),(-$Y11+50*IF('17.04'!$AK11="是",'17.04'!$AY$4,'17.04'!$AY$3)),(VLOOKUP('17.04'!J11,'17.04'!$AM$4:$AO$55,2,FALSE))*IF('17.04'!$AK11="是",'17.04'!$AY$4,'17.04'!$AY$3))</f>
        <v>0</v>
      </c>
      <c r="C11" s="4">
        <f>IF(ISNUMBER(SEARCH("营",'17.04'!K11)),(-$Y11+50*IF('17.04'!$AK11="是",'17.04'!$AY$4,'17.04'!$AY$3)),(VLOOKUP('17.04'!K11,'17.04'!$AM$4:$AO$55,2,FALSE))*IF('17.04'!$AK11="是",'17.04'!$AY$4,'17.04'!$AY$3))</f>
        <v>0</v>
      </c>
      <c r="D11" s="4">
        <f>IF(ISNUMBER(SEARCH("营",'17.04'!L11)),(-$Y11+50*IF('17.04'!$AK11="是",'17.04'!$AY$4,'17.04'!$AY$3)),(VLOOKUP('17.04'!L11,'17.04'!$AM$4:$AO$55,2,FALSE))*IF('17.04'!$AK11="是",'17.04'!$AY$4,'17.04'!$AY$3))</f>
        <v>0</v>
      </c>
      <c r="E11" s="4">
        <f>IF(ISNUMBER(SEARCH("营",'17.04'!M11)),(-$Y11+50*IF('17.04'!$AK11="是",'17.04'!$AY$4,'17.04'!$AY$3)),(VLOOKUP('17.04'!M11,'17.04'!$AM$4:$AO$55,2,FALSE))*IF('17.04'!$AK11="是",'17.04'!$AY$4,'17.04'!$AY$3))</f>
        <v>0</v>
      </c>
      <c r="F11" s="4">
        <f>IF(ISNUMBER(SEARCH("营",'17.04'!N11)),(-$Y11+50*IF('17.04'!$AK11="是",'17.04'!$AY$4,'17.04'!$AY$3)),(VLOOKUP('17.04'!N11,'17.04'!$AM$4:$AO$55,2,FALSE))*IF('17.04'!$AK11="是",'17.04'!$AY$4,'17.04'!$AY$3))</f>
        <v>0</v>
      </c>
      <c r="G11" s="4">
        <f>IF(ISNUMBER(SEARCH("营",'17.04'!O11)),(-$Y11+50*IF('17.04'!$AK11="是",'17.04'!$AY$4,'17.04'!$AY$3)),(VLOOKUP('17.04'!O11,'17.04'!$AM$4:$AO$55,2,FALSE))*IF('17.04'!$AK11="是",'17.04'!$AY$4,'17.04'!$AY$3))</f>
        <v>0</v>
      </c>
      <c r="H11" s="4">
        <f>IF(ISNUMBER(SEARCH("营",'17.04'!P11)),(-$Y11+50*IF('17.04'!$AK11="是",'17.04'!$AY$4,'17.04'!$AY$3)),(VLOOKUP('17.04'!P11,'17.04'!$AM$4:$AO$55,2,FALSE))*IF('17.04'!$AK11="是",'17.04'!$AY$4,'17.04'!$AY$3))</f>
        <v>0</v>
      </c>
      <c r="I11" s="4">
        <f>IF(ISNUMBER(SEARCH("营",'17.04'!Q11)),(-$Y11+50*IF('17.04'!$AK11="是",'17.04'!$AY$4,'17.04'!$AY$3)),(VLOOKUP('17.04'!Q11,'17.04'!$AM$4:$AO$55,2,FALSE))*IF('17.04'!$AK11="是",'17.04'!$AY$4,'17.04'!$AY$3))</f>
        <v>170</v>
      </c>
      <c r="J11" s="4">
        <f>IF(ISNUMBER(SEARCH("营",'17.04'!R11)),(-$Y11+50*IF('17.04'!$AK11="是",'17.04'!$AY$4,'17.04'!$AY$3)),(VLOOKUP('17.04'!R11,'17.04'!$AM$4:$AO$55,2,FALSE))*IF('17.04'!$AK11="是",'17.04'!$AY$4,'17.04'!$AY$3))</f>
        <v>170</v>
      </c>
      <c r="K11" s="4">
        <f>IF(ISNUMBER(SEARCH("营",'17.04'!S11)),(-$Y11+50*IF('17.04'!$AK11="是",'17.04'!$AY$4,'17.04'!$AY$3)),(VLOOKUP('17.04'!S11,'17.04'!$AM$4:$AO$55,2,FALSE))*IF('17.04'!$AK11="是",'17.04'!$AY$4,'17.04'!$AY$3))</f>
        <v>150</v>
      </c>
      <c r="L11" s="4">
        <f>IF(ISNUMBER(SEARCH("营",'17.04'!T11)),(-$Y11+50*IF('17.04'!$AK11="是",'17.04'!$AY$4,'17.04'!$AY$3)),(VLOOKUP('17.04'!T11,'17.04'!$AM$4:$AO$55,2,FALSE))*IF('17.04'!$AK11="是",'17.04'!$AY$4,'17.04'!$AY$3))</f>
        <v>170</v>
      </c>
      <c r="M11" s="4">
        <f>IF(ISNUMBER(SEARCH("营",'17.04'!U11)),(-$Y11+50*IF('17.04'!$AK11="是",'17.04'!$AY$4,'17.04'!$AY$3)),(VLOOKUP('17.04'!U11,'17.04'!$AM$4:$AO$55,2,FALSE))*IF('17.04'!$AK11="是",'17.04'!$AY$4,'17.04'!$AY$3))</f>
        <v>-250</v>
      </c>
      <c r="N11" s="4">
        <f>IF(ISNUMBER(SEARCH("营",'17.04'!V11)),(-$Y11+50*IF('17.04'!$AK11="是",'17.04'!$AY$4,'17.04'!$AY$3)),(VLOOKUP('17.04'!V11,'17.04'!$AM$4:$AO$55,2,FALSE))*IF('17.04'!$AK11="是",'17.04'!$AY$4,'17.04'!$AY$3))</f>
        <v>170</v>
      </c>
      <c r="O11" s="4">
        <f>IF(ISNUMBER(SEARCH("营",'17.04'!W11)),(-$Y11+50*IF('17.04'!$AK11="是",'17.04'!$AY$4,'17.04'!$AY$3)),(VLOOKUP('17.04'!W11,'17.04'!$AM$4:$AO$55,2,FALSE))*IF('17.04'!$AK11="是",'17.04'!$AY$4,'17.04'!$AY$3))</f>
        <v>170</v>
      </c>
      <c r="P11" s="4">
        <f>IF(ISNUMBER(SEARCH("营",'17.04'!X11)),(-$Y11+50*IF('17.04'!$AK11="是",'17.04'!$AY$4,'17.04'!$AY$3)),(VLOOKUP('17.04'!X11,'17.04'!$AM$4:$AO$55,2,FALSE))*IF('17.04'!$AK11="是",'17.04'!$AY$4,'17.04'!$AY$3))</f>
        <v>170</v>
      </c>
      <c r="Q11" s="4">
        <f>IF(ISNUMBER(SEARCH("营",'17.04'!Y11)),(-$Y11+50*IF('17.04'!$AK11="是",'17.04'!$AY$4,'17.04'!$AY$3)),(VLOOKUP('17.04'!Y11,'17.04'!$AM$4:$AO$55,2,FALSE))*IF('17.04'!$AK11="是",'17.04'!$AY$4,'17.04'!$AY$3))</f>
        <v>170</v>
      </c>
      <c r="R11" s="4">
        <f>IF(ISNUMBER(SEARCH("营",'17.04'!Z11)),(-$Y11+50*IF('17.04'!$AK11="是",'17.04'!$AY$4,'17.04'!$AY$3)),(VLOOKUP('17.04'!Z11,'17.04'!$AM$4:$AO$55,2,FALSE))*IF('17.04'!$AK11="是",'17.04'!$AY$4,'17.04'!$AY$3))</f>
        <v>170</v>
      </c>
      <c r="S11" s="4">
        <f>IF(ISNUMBER(SEARCH("营",'17.04'!AA11)),(-$Y11+50*IF('17.04'!$AK11="是",'17.04'!$AY$4,'17.04'!$AY$3)),(VLOOKUP('17.04'!AA11,'17.04'!$AM$4:$AO$55,2,FALSE))*IF('17.04'!$AK11="是",'17.04'!$AY$4,'17.04'!$AY$3))</f>
        <v>170</v>
      </c>
      <c r="T11" s="4">
        <f>IF(ISNUMBER(SEARCH("营",'17.04'!AB11)),(-$Y11+50*IF('17.04'!$AK11="是",'17.04'!$AY$4,'17.04'!$AY$3)),(VLOOKUP('17.04'!AB11,'17.04'!$AM$4:$AO$55,2,FALSE))*IF('17.04'!$AK11="是",'17.04'!$AY$4,'17.04'!$AY$3))</f>
        <v>170</v>
      </c>
      <c r="U11" s="4">
        <f>IF(ISNUMBER(SEARCH("营",'17.04'!AC11)),(-$Y11+50*IF('17.04'!$AK11="是",'17.04'!$AY$4,'17.04'!$AY$3)),(VLOOKUP('17.04'!AC11,'17.04'!$AM$4:$AO$55,2,FALSE))*IF('17.04'!$AK11="是",'17.04'!$AY$4,'17.04'!$AY$3))</f>
        <v>170</v>
      </c>
      <c r="V11" s="4">
        <f>IF(ISNUMBER(SEARCH("营",'17.04'!AD11)),(-$Y11+50*IF('17.04'!$AK11="是",'17.04'!$AY$4,'17.04'!$AY$3)),(VLOOKUP('17.04'!AD11,'17.04'!$AM$4:$AO$55,2,FALSE))*IF('17.04'!$AK11="是",'17.04'!$AY$4,'17.04'!$AY$3))</f>
        <v>170</v>
      </c>
      <c r="W11" s="4">
        <f>IF(ISNUMBER(SEARCH("营",'17.04'!AE11)),(-$Y11+50*IF('17.04'!$AK11="是",'17.04'!$AY$4,'17.04'!$AY$3)),(VLOOKUP('17.04'!AE11,'17.04'!$AM$4:$AO$55,2,FALSE))*IF('17.04'!$AK11="是",'17.04'!$AY$4,'17.04'!$AY$3))</f>
        <v>0</v>
      </c>
      <c r="X11" s="4">
        <f>IF(ISNUMBER(SEARCH("营",'17.04'!AF11)),(-$Y11+50*IF('17.04'!$AK11="是",'17.04'!$AY$4,'17.04'!$AY$3)),(VLOOKUP('17.04'!AF11,'17.04'!$AM$4:$AO$55,2,FALSE))*IF('17.04'!$AK11="是",'17.04'!$AY$4,'17.04'!$AY$3))</f>
        <v>0</v>
      </c>
      <c r="Y11" s="88">
        <v>300</v>
      </c>
    </row>
    <row r="12" spans="1:25">
      <c r="A12" s="4">
        <f>IF(ISNUMBER(SEARCH("营",'17.04'!I12)),(-$Y12+50*IF('17.04'!$AK12="是",'17.04'!$AY$4,'17.04'!$AY$3)),(VLOOKUP('17.04'!I12,'17.04'!$AM$4:$AO$55,2,FALSE))*IF('17.04'!$AK12="是",'17.04'!$AY$4,'17.04'!$AY$3))</f>
        <v>0</v>
      </c>
      <c r="B12" s="4">
        <f>IF(ISNUMBER(SEARCH("营",'17.04'!J12)),(-$Y12+50*IF('17.04'!$AK12="是",'17.04'!$AY$4,'17.04'!$AY$3)),(VLOOKUP('17.04'!J12,'17.04'!$AM$4:$AO$55,2,FALSE))*IF('17.04'!$AK12="是",'17.04'!$AY$4,'17.04'!$AY$3))</f>
        <v>0</v>
      </c>
      <c r="C12" s="4">
        <f>IF(ISNUMBER(SEARCH("营",'17.04'!K12)),(-$Y12+50*IF('17.04'!$AK12="是",'17.04'!$AY$4,'17.04'!$AY$3)),(VLOOKUP('17.04'!K12,'17.04'!$AM$4:$AO$55,2,FALSE))*IF('17.04'!$AK12="是",'17.04'!$AY$4,'17.04'!$AY$3))</f>
        <v>0</v>
      </c>
      <c r="D12" s="4">
        <f>IF(ISNUMBER(SEARCH("营",'17.04'!L12)),(-$Y12+50*IF('17.04'!$AK12="是",'17.04'!$AY$4,'17.04'!$AY$3)),(VLOOKUP('17.04'!L12,'17.04'!$AM$4:$AO$55,2,FALSE))*IF('17.04'!$AK12="是",'17.04'!$AY$4,'17.04'!$AY$3))</f>
        <v>0</v>
      </c>
      <c r="E12" s="4">
        <f>IF(ISNUMBER(SEARCH("营",'17.04'!M12)),(-$Y12+50*IF('17.04'!$AK12="是",'17.04'!$AY$4,'17.04'!$AY$3)),(VLOOKUP('17.04'!M12,'17.04'!$AM$4:$AO$55,2,FALSE))*IF('17.04'!$AK12="是",'17.04'!$AY$4,'17.04'!$AY$3))</f>
        <v>0</v>
      </c>
      <c r="F12" s="4">
        <f>IF(ISNUMBER(SEARCH("营",'17.04'!N12)),(-$Y12+50*IF('17.04'!$AK12="是",'17.04'!$AY$4,'17.04'!$AY$3)),(VLOOKUP('17.04'!N12,'17.04'!$AM$4:$AO$55,2,FALSE))*IF('17.04'!$AK12="是",'17.04'!$AY$4,'17.04'!$AY$3))</f>
        <v>0</v>
      </c>
      <c r="G12" s="4">
        <f>IF(ISNUMBER(SEARCH("营",'17.04'!O12)),(-$Y12+50*IF('17.04'!$AK12="是",'17.04'!$AY$4,'17.04'!$AY$3)),(VLOOKUP('17.04'!O12,'17.04'!$AM$4:$AO$55,2,FALSE))*IF('17.04'!$AK12="是",'17.04'!$AY$4,'17.04'!$AY$3))</f>
        <v>0</v>
      </c>
      <c r="H12" s="4">
        <f>IF(ISNUMBER(SEARCH("营",'17.04'!P12)),(-$Y12+50*IF('17.04'!$AK12="是",'17.04'!$AY$4,'17.04'!$AY$3)),(VLOOKUP('17.04'!P12,'17.04'!$AM$4:$AO$55,2,FALSE))*IF('17.04'!$AK12="是",'17.04'!$AY$4,'17.04'!$AY$3))</f>
        <v>0</v>
      </c>
      <c r="I12" s="4">
        <f>IF(ISNUMBER(SEARCH("营",'17.04'!Q12)),(-$Y12+50*IF('17.04'!$AK12="是",'17.04'!$AY$4,'17.04'!$AY$3)),(VLOOKUP('17.04'!Q12,'17.04'!$AM$4:$AO$55,2,FALSE))*IF('17.04'!$AK12="是",'17.04'!$AY$4,'17.04'!$AY$3))</f>
        <v>170</v>
      </c>
      <c r="J12" s="4">
        <f>IF(ISNUMBER(SEARCH("营",'17.04'!R12)),(-$Y12+50*IF('17.04'!$AK12="是",'17.04'!$AY$4,'17.04'!$AY$3)),(VLOOKUP('17.04'!R12,'17.04'!$AM$4:$AO$55,2,FALSE))*IF('17.04'!$AK12="是",'17.04'!$AY$4,'17.04'!$AY$3))</f>
        <v>170</v>
      </c>
      <c r="K12" s="4">
        <f>IF(ISNUMBER(SEARCH("营",'17.04'!S12)),(-$Y12+50*IF('17.04'!$AK12="是",'17.04'!$AY$4,'17.04'!$AY$3)),(VLOOKUP('17.04'!S12,'17.04'!$AM$4:$AO$55,2,FALSE))*IF('17.04'!$AK12="是",'17.04'!$AY$4,'17.04'!$AY$3))</f>
        <v>150</v>
      </c>
      <c r="L12" s="4">
        <f>IF(ISNUMBER(SEARCH("营",'17.04'!T12)),(-$Y12+50*IF('17.04'!$AK12="是",'17.04'!$AY$4,'17.04'!$AY$3)),(VLOOKUP('17.04'!T12,'17.04'!$AM$4:$AO$55,2,FALSE))*IF('17.04'!$AK12="是",'17.04'!$AY$4,'17.04'!$AY$3))</f>
        <v>170</v>
      </c>
      <c r="M12" s="4">
        <f>IF(ISNUMBER(SEARCH("营",'17.04'!U12)),(-$Y12+50*IF('17.04'!$AK12="是",'17.04'!$AY$4,'17.04'!$AY$3)),(VLOOKUP('17.04'!U12,'17.04'!$AM$4:$AO$55,2,FALSE))*IF('17.04'!$AK12="是",'17.04'!$AY$4,'17.04'!$AY$3))</f>
        <v>170</v>
      </c>
      <c r="N12" s="4">
        <f>IF(ISNUMBER(SEARCH("营",'17.04'!V12)),(-$Y12+50*IF('17.04'!$AK12="是",'17.04'!$AY$4,'17.04'!$AY$3)),(VLOOKUP('17.04'!V12,'17.04'!$AM$4:$AO$55,2,FALSE))*IF('17.04'!$AK12="是",'17.04'!$AY$4,'17.04'!$AY$3))</f>
        <v>170</v>
      </c>
      <c r="O12" s="4">
        <f>IF(ISNUMBER(SEARCH("营",'17.04'!W12)),(-$Y12+50*IF('17.04'!$AK12="是",'17.04'!$AY$4,'17.04'!$AY$3)),(VLOOKUP('17.04'!W12,'17.04'!$AM$4:$AO$55,2,FALSE))*IF('17.04'!$AK12="是",'17.04'!$AY$4,'17.04'!$AY$3))</f>
        <v>0</v>
      </c>
      <c r="P12" s="4">
        <f>IF(ISNUMBER(SEARCH("营",'17.04'!X12)),(-$Y12+50*IF('17.04'!$AK12="是",'17.04'!$AY$4,'17.04'!$AY$3)),(VLOOKUP('17.04'!X12,'17.04'!$AM$4:$AO$55,2,FALSE))*IF('17.04'!$AK12="是",'17.04'!$AY$4,'17.04'!$AY$3))</f>
        <v>0</v>
      </c>
      <c r="Q12" s="4">
        <f>IF(ISNUMBER(SEARCH("营",'17.04'!Y12)),(-$Y12+50*IF('17.04'!$AK12="是",'17.04'!$AY$4,'17.04'!$AY$3)),(VLOOKUP('17.04'!Y12,'17.04'!$AM$4:$AO$55,2,FALSE))*IF('17.04'!$AK12="是",'17.04'!$AY$4,'17.04'!$AY$3))</f>
        <v>170</v>
      </c>
      <c r="R12" s="4">
        <f>IF(ISNUMBER(SEARCH("营",'17.04'!Z12)),(-$Y12+50*IF('17.04'!$AK12="是",'17.04'!$AY$4,'17.04'!$AY$3)),(VLOOKUP('17.04'!Z12,'17.04'!$AM$4:$AO$55,2,FALSE))*IF('17.04'!$AK12="是",'17.04'!$AY$4,'17.04'!$AY$3))</f>
        <v>50</v>
      </c>
      <c r="S12" s="4">
        <f>IF(ISNUMBER(SEARCH("营",'17.04'!AA12)),(-$Y12+50*IF('17.04'!$AK12="是",'17.04'!$AY$4,'17.04'!$AY$3)),(VLOOKUP('17.04'!AA12,'17.04'!$AM$4:$AO$55,2,FALSE))*IF('17.04'!$AK12="是",'17.04'!$AY$4,'17.04'!$AY$3))</f>
        <v>170</v>
      </c>
      <c r="T12" s="4">
        <f>IF(ISNUMBER(SEARCH("营",'17.04'!AB12)),(-$Y12+50*IF('17.04'!$AK12="是",'17.04'!$AY$4,'17.04'!$AY$3)),(VLOOKUP('17.04'!AB12,'17.04'!$AM$4:$AO$55,2,FALSE))*IF('17.04'!$AK12="是",'17.04'!$AY$4,'17.04'!$AY$3))</f>
        <v>170</v>
      </c>
      <c r="U12" s="4">
        <f>IF(ISNUMBER(SEARCH("营",'17.04'!AC12)),(-$Y12+50*IF('17.04'!$AK12="是",'17.04'!$AY$4,'17.04'!$AY$3)),(VLOOKUP('17.04'!AC12,'17.04'!$AM$4:$AO$55,2,FALSE))*IF('17.04'!$AK12="是",'17.04'!$AY$4,'17.04'!$AY$3))</f>
        <v>170</v>
      </c>
      <c r="V12" s="4">
        <f>IF(ISNUMBER(SEARCH("营",'17.04'!AD12)),(-$Y12+50*IF('17.04'!$AK12="是",'17.04'!$AY$4,'17.04'!$AY$3)),(VLOOKUP('17.04'!AD12,'17.04'!$AM$4:$AO$55,2,FALSE))*IF('17.04'!$AK12="是",'17.04'!$AY$4,'17.04'!$AY$3))</f>
        <v>170</v>
      </c>
      <c r="W12" s="4">
        <f>IF(ISNUMBER(SEARCH("营",'17.04'!AE12)),(-$Y12+50*IF('17.04'!$AK12="是",'17.04'!$AY$4,'17.04'!$AY$3)),(VLOOKUP('17.04'!AE12,'17.04'!$AM$4:$AO$55,2,FALSE))*IF('17.04'!$AK12="是",'17.04'!$AY$4,'17.04'!$AY$3))</f>
        <v>0</v>
      </c>
      <c r="X12" s="4">
        <f>IF(ISNUMBER(SEARCH("营",'17.04'!AF12)),(-$Y12+50*IF('17.04'!$AK12="是",'17.04'!$AY$4,'17.04'!$AY$3)),(VLOOKUP('17.04'!AF12,'17.04'!$AM$4:$AO$55,2,FALSE))*IF('17.04'!$AK12="是",'17.04'!$AY$4,'17.04'!$AY$3))</f>
        <v>0</v>
      </c>
      <c r="Y12" s="88">
        <v>300</v>
      </c>
    </row>
    <row r="13" spans="1:25">
      <c r="A13" s="4">
        <f>IF(ISNUMBER(SEARCH("营",'17.04'!I13)),(-$Y13+50*IF('17.04'!$AK13="是",'17.04'!$AY$4,'17.04'!$AY$3)),(VLOOKUP('17.04'!I13,'17.04'!$AM$4:$AO$55,2,FALSE))*IF('17.04'!$AK13="是",'17.04'!$AY$4,'17.04'!$AY$3))</f>
        <v>0</v>
      </c>
      <c r="B13" s="4">
        <f>IF(ISNUMBER(SEARCH("营",'17.04'!J13)),(-$Y13+50*IF('17.04'!$AK13="是",'17.04'!$AY$4,'17.04'!$AY$3)),(VLOOKUP('17.04'!J13,'17.04'!$AM$4:$AO$55,2,FALSE))*IF('17.04'!$AK13="是",'17.04'!$AY$4,'17.04'!$AY$3))</f>
        <v>0</v>
      </c>
      <c r="C13" s="4">
        <f>IF(ISNUMBER(SEARCH("营",'17.04'!K13)),(-$Y13+50*IF('17.04'!$AK13="是",'17.04'!$AY$4,'17.04'!$AY$3)),(VLOOKUP('17.04'!K13,'17.04'!$AM$4:$AO$55,2,FALSE))*IF('17.04'!$AK13="是",'17.04'!$AY$4,'17.04'!$AY$3))</f>
        <v>0</v>
      </c>
      <c r="D13" s="4">
        <f>IF(ISNUMBER(SEARCH("营",'17.04'!L13)),(-$Y13+50*IF('17.04'!$AK13="是",'17.04'!$AY$4,'17.04'!$AY$3)),(VLOOKUP('17.04'!L13,'17.04'!$AM$4:$AO$55,2,FALSE))*IF('17.04'!$AK13="是",'17.04'!$AY$4,'17.04'!$AY$3))</f>
        <v>0</v>
      </c>
      <c r="E13" s="4">
        <f>IF(ISNUMBER(SEARCH("营",'17.04'!M13)),(-$Y13+50*IF('17.04'!$AK13="是",'17.04'!$AY$4,'17.04'!$AY$3)),(VLOOKUP('17.04'!M13,'17.04'!$AM$4:$AO$55,2,FALSE))*IF('17.04'!$AK13="是",'17.04'!$AY$4,'17.04'!$AY$3))</f>
        <v>0</v>
      </c>
      <c r="F13" s="4">
        <f>IF(ISNUMBER(SEARCH("营",'17.04'!N13)),(-$Y13+50*IF('17.04'!$AK13="是",'17.04'!$AY$4,'17.04'!$AY$3)),(VLOOKUP('17.04'!N13,'17.04'!$AM$4:$AO$55,2,FALSE))*IF('17.04'!$AK13="是",'17.04'!$AY$4,'17.04'!$AY$3))</f>
        <v>0</v>
      </c>
      <c r="G13" s="4">
        <f>IF(ISNUMBER(SEARCH("营",'17.04'!O13)),(-$Y13+50*IF('17.04'!$AK13="是",'17.04'!$AY$4,'17.04'!$AY$3)),(VLOOKUP('17.04'!O13,'17.04'!$AM$4:$AO$55,2,FALSE))*IF('17.04'!$AK13="是",'17.04'!$AY$4,'17.04'!$AY$3))</f>
        <v>0</v>
      </c>
      <c r="H13" s="4">
        <f>IF(ISNUMBER(SEARCH("营",'17.04'!P13)),(-$Y13+50*IF('17.04'!$AK13="是",'17.04'!$AY$4,'17.04'!$AY$3)),(VLOOKUP('17.04'!P13,'17.04'!$AM$4:$AO$55,2,FALSE))*IF('17.04'!$AK13="是",'17.04'!$AY$4,'17.04'!$AY$3))</f>
        <v>0</v>
      </c>
      <c r="I13" s="4">
        <f>IF(ISNUMBER(SEARCH("营",'17.04'!Q13)),(-$Y13+50*IF('17.04'!$AK13="是",'17.04'!$AY$4,'17.04'!$AY$3)),(VLOOKUP('17.04'!Q13,'17.04'!$AM$4:$AO$55,2,FALSE))*IF('17.04'!$AK13="是",'17.04'!$AY$4,'17.04'!$AY$3))</f>
        <v>180</v>
      </c>
      <c r="J13" s="4">
        <f>IF(ISNUMBER(SEARCH("营",'17.04'!R13)),(-$Y13+50*IF('17.04'!$AK13="是",'17.04'!$AY$4,'17.04'!$AY$3)),(VLOOKUP('17.04'!R13,'17.04'!$AM$4:$AO$55,2,FALSE))*IF('17.04'!$AK13="是",'17.04'!$AY$4,'17.04'!$AY$3))</f>
        <v>50</v>
      </c>
      <c r="K13" s="4">
        <f>IF(ISNUMBER(SEARCH("营",'17.04'!S13)),(-$Y13+50*IF('17.04'!$AK13="是",'17.04'!$AY$4,'17.04'!$AY$3)),(VLOOKUP('17.04'!S13,'17.04'!$AM$4:$AO$55,2,FALSE))*IF('17.04'!$AK13="是",'17.04'!$AY$4,'17.04'!$AY$3))</f>
        <v>180</v>
      </c>
      <c r="L13" s="4">
        <f>IF(ISNUMBER(SEARCH("营",'17.04'!T13)),(-$Y13+50*IF('17.04'!$AK13="是",'17.04'!$AY$4,'17.04'!$AY$3)),(VLOOKUP('17.04'!T13,'17.04'!$AM$4:$AO$55,2,FALSE))*IF('17.04'!$AK13="是",'17.04'!$AY$4,'17.04'!$AY$3))</f>
        <v>180</v>
      </c>
      <c r="M13" s="4">
        <f>IF(ISNUMBER(SEARCH("营",'17.04'!U13)),(-$Y13+50*IF('17.04'!$AK13="是",'17.04'!$AY$4,'17.04'!$AY$3)),(VLOOKUP('17.04'!U13,'17.04'!$AM$4:$AO$55,2,FALSE))*IF('17.04'!$AK13="是",'17.04'!$AY$4,'17.04'!$AY$3))</f>
        <v>180</v>
      </c>
      <c r="N13" s="4">
        <f>IF(ISNUMBER(SEARCH("营",'17.04'!V13)),(-$Y13+50*IF('17.04'!$AK13="是",'17.04'!$AY$4,'17.04'!$AY$3)),(VLOOKUP('17.04'!V13,'17.04'!$AM$4:$AO$55,2,FALSE))*IF('17.04'!$AK13="是",'17.04'!$AY$4,'17.04'!$AY$3))</f>
        <v>180</v>
      </c>
      <c r="O13" s="4">
        <f>IF(ISNUMBER(SEARCH("营",'17.04'!W13)),(-$Y13+50*IF('17.04'!$AK13="是",'17.04'!$AY$4,'17.04'!$AY$3)),(VLOOKUP('17.04'!W13,'17.04'!$AM$4:$AO$55,2,FALSE))*IF('17.04'!$AK13="是",'17.04'!$AY$4,'17.04'!$AY$3))</f>
        <v>0</v>
      </c>
      <c r="P13" s="4">
        <f>IF(ISNUMBER(SEARCH("营",'17.04'!X13)),(-$Y13+50*IF('17.04'!$AK13="是",'17.04'!$AY$4,'17.04'!$AY$3)),(VLOOKUP('17.04'!X13,'17.04'!$AM$4:$AO$55,2,FALSE))*IF('17.04'!$AK13="是",'17.04'!$AY$4,'17.04'!$AY$3))</f>
        <v>0</v>
      </c>
      <c r="Q13" s="4">
        <f>IF(ISNUMBER(SEARCH("营",'17.04'!Y13)),(-$Y13+50*IF('17.04'!$AK13="是",'17.04'!$AY$4,'17.04'!$AY$3)),(VLOOKUP('17.04'!Y13,'17.04'!$AM$4:$AO$55,2,FALSE))*IF('17.04'!$AK13="是",'17.04'!$AY$4,'17.04'!$AY$3))</f>
        <v>250</v>
      </c>
      <c r="R13" s="4">
        <f>IF(ISNUMBER(SEARCH("营",'17.04'!Z13)),(-$Y13+50*IF('17.04'!$AK13="是",'17.04'!$AY$4,'17.04'!$AY$3)),(VLOOKUP('17.04'!Z13,'17.04'!$AM$4:$AO$55,2,FALSE))*IF('17.04'!$AK13="是",'17.04'!$AY$4,'17.04'!$AY$3))</f>
        <v>0</v>
      </c>
      <c r="S13" s="4">
        <f>IF(ISNUMBER(SEARCH("营",'17.04'!AA13)),(-$Y13+50*IF('17.04'!$AK13="是",'17.04'!$AY$4,'17.04'!$AY$3)),(VLOOKUP('17.04'!AA13,'17.04'!$AM$4:$AO$55,2,FALSE))*IF('17.04'!$AK13="是",'17.04'!$AY$4,'17.04'!$AY$3))</f>
        <v>0</v>
      </c>
      <c r="T13" s="4">
        <f>IF(ISNUMBER(SEARCH("营",'17.04'!AB13)),(-$Y13+50*IF('17.04'!$AK13="是",'17.04'!$AY$4,'17.04'!$AY$3)),(VLOOKUP('17.04'!AB13,'17.04'!$AM$4:$AO$55,2,FALSE))*IF('17.04'!$AK13="是",'17.04'!$AY$4,'17.04'!$AY$3))</f>
        <v>0</v>
      </c>
      <c r="U13" s="4">
        <f>IF(ISNUMBER(SEARCH("营",'17.04'!AC13)),(-$Y13+50*IF('17.04'!$AK13="是",'17.04'!$AY$4,'17.04'!$AY$3)),(VLOOKUP('17.04'!AC13,'17.04'!$AM$4:$AO$55,2,FALSE))*IF('17.04'!$AK13="是",'17.04'!$AY$4,'17.04'!$AY$3))</f>
        <v>0</v>
      </c>
      <c r="V13" s="4">
        <f>IF(ISNUMBER(SEARCH("营",'17.04'!AD13)),(-$Y13+50*IF('17.04'!$AK13="是",'17.04'!$AY$4,'17.04'!$AY$3)),(VLOOKUP('17.04'!AD13,'17.04'!$AM$4:$AO$55,2,FALSE))*IF('17.04'!$AK13="是",'17.04'!$AY$4,'17.04'!$AY$3))</f>
        <v>0</v>
      </c>
      <c r="W13" s="4">
        <f>IF(ISNUMBER(SEARCH("营",'17.04'!AE13)),(-$Y13+50*IF('17.04'!$AK13="是",'17.04'!$AY$4,'17.04'!$AY$3)),(VLOOKUP('17.04'!AE13,'17.04'!$AM$4:$AO$55,2,FALSE))*IF('17.04'!$AK13="是",'17.04'!$AY$4,'17.04'!$AY$3))</f>
        <v>0</v>
      </c>
      <c r="X13" s="4">
        <f>IF(ISNUMBER(SEARCH("营",'17.04'!AF13)),(-$Y13+50*IF('17.04'!$AK13="是",'17.04'!$AY$4,'17.04'!$AY$3)),(VLOOKUP('17.04'!AF13,'17.04'!$AM$4:$AO$55,2,FALSE))*IF('17.04'!$AK13="是",'17.04'!$AY$4,'17.04'!$AY$3))</f>
        <v>0</v>
      </c>
      <c r="Y13" s="88">
        <v>300</v>
      </c>
    </row>
    <row r="14" spans="1:25">
      <c r="A14" s="4">
        <f>IF(ISNUMBER(SEARCH("营",'17.04'!I14)),(-$Y14+50*IF('17.04'!$AK14="是",'17.04'!$AY$4,'17.04'!$AY$3)),(VLOOKUP('17.04'!I14,'17.04'!$AM$4:$AO$55,2,FALSE))*IF('17.04'!$AK14="是",'17.04'!$AY$4,'17.04'!$AY$3))</f>
        <v>0</v>
      </c>
      <c r="B14" s="4">
        <f>IF(ISNUMBER(SEARCH("营",'17.04'!J14)),(-$Y14+50*IF('17.04'!$AK14="是",'17.04'!$AY$4,'17.04'!$AY$3)),(VLOOKUP('17.04'!J14,'17.04'!$AM$4:$AO$55,2,FALSE))*IF('17.04'!$AK14="是",'17.04'!$AY$4,'17.04'!$AY$3))</f>
        <v>0</v>
      </c>
      <c r="C14" s="4">
        <f>IF(ISNUMBER(SEARCH("营",'17.04'!K14)),(-$Y14+50*IF('17.04'!$AK14="是",'17.04'!$AY$4,'17.04'!$AY$3)),(VLOOKUP('17.04'!K14,'17.04'!$AM$4:$AO$55,2,FALSE))*IF('17.04'!$AK14="是",'17.04'!$AY$4,'17.04'!$AY$3))</f>
        <v>0</v>
      </c>
      <c r="D14" s="4">
        <f>IF(ISNUMBER(SEARCH("营",'17.04'!L14)),(-$Y14+50*IF('17.04'!$AK14="是",'17.04'!$AY$4,'17.04'!$AY$3)),(VLOOKUP('17.04'!L14,'17.04'!$AM$4:$AO$55,2,FALSE))*IF('17.04'!$AK14="是",'17.04'!$AY$4,'17.04'!$AY$3))</f>
        <v>0</v>
      </c>
      <c r="E14" s="4">
        <f>IF(ISNUMBER(SEARCH("营",'17.04'!M14)),(-$Y14+50*IF('17.04'!$AK14="是",'17.04'!$AY$4,'17.04'!$AY$3)),(VLOOKUP('17.04'!M14,'17.04'!$AM$4:$AO$55,2,FALSE))*IF('17.04'!$AK14="是",'17.04'!$AY$4,'17.04'!$AY$3))</f>
        <v>0</v>
      </c>
      <c r="F14" s="4">
        <f>IF(ISNUMBER(SEARCH("营",'17.04'!N14)),(-$Y14+50*IF('17.04'!$AK14="是",'17.04'!$AY$4,'17.04'!$AY$3)),(VLOOKUP('17.04'!N14,'17.04'!$AM$4:$AO$55,2,FALSE))*IF('17.04'!$AK14="是",'17.04'!$AY$4,'17.04'!$AY$3))</f>
        <v>0</v>
      </c>
      <c r="G14" s="4">
        <f>IF(ISNUMBER(SEARCH("营",'17.04'!O14)),(-$Y14+50*IF('17.04'!$AK14="是",'17.04'!$AY$4,'17.04'!$AY$3)),(VLOOKUP('17.04'!O14,'17.04'!$AM$4:$AO$55,2,FALSE))*IF('17.04'!$AK14="是",'17.04'!$AY$4,'17.04'!$AY$3))</f>
        <v>0</v>
      </c>
      <c r="H14" s="4">
        <f>IF(ISNUMBER(SEARCH("营",'17.04'!P14)),(-$Y14+50*IF('17.04'!$AK14="是",'17.04'!$AY$4,'17.04'!$AY$3)),(VLOOKUP('17.04'!P14,'17.04'!$AM$4:$AO$55,2,FALSE))*IF('17.04'!$AK14="是",'17.04'!$AY$4,'17.04'!$AY$3))</f>
        <v>0</v>
      </c>
      <c r="I14" s="4">
        <f>IF(ISNUMBER(SEARCH("营",'17.04'!Q14)),(-$Y14+50*IF('17.04'!$AK14="是",'17.04'!$AY$4,'17.04'!$AY$3)),(VLOOKUP('17.04'!Q14,'17.04'!$AM$4:$AO$55,2,FALSE))*IF('17.04'!$AK14="是",'17.04'!$AY$4,'17.04'!$AY$3))</f>
        <v>180</v>
      </c>
      <c r="J14" s="4">
        <f>IF(ISNUMBER(SEARCH("营",'17.04'!R14)),(-$Y14+50*IF('17.04'!$AK14="是",'17.04'!$AY$4,'17.04'!$AY$3)),(VLOOKUP('17.04'!R14,'17.04'!$AM$4:$AO$55,2,FALSE))*IF('17.04'!$AK14="是",'17.04'!$AY$4,'17.04'!$AY$3))</f>
        <v>180</v>
      </c>
      <c r="K14" s="4">
        <f>IF(ISNUMBER(SEARCH("营",'17.04'!S14)),(-$Y14+50*IF('17.04'!$AK14="是",'17.04'!$AY$4,'17.04'!$AY$3)),(VLOOKUP('17.04'!S14,'17.04'!$AM$4:$AO$55,2,FALSE))*IF('17.04'!$AK14="是",'17.04'!$AY$4,'17.04'!$AY$3))</f>
        <v>180</v>
      </c>
      <c r="L14" s="4">
        <f>IF(ISNUMBER(SEARCH("营",'17.04'!T14)),(-$Y14+50*IF('17.04'!$AK14="是",'17.04'!$AY$4,'17.04'!$AY$3)),(VLOOKUP('17.04'!T14,'17.04'!$AM$4:$AO$55,2,FALSE))*IF('17.04'!$AK14="是",'17.04'!$AY$4,'17.04'!$AY$3))</f>
        <v>180</v>
      </c>
      <c r="M14" s="4">
        <f>IF(ISNUMBER(SEARCH("营",'17.04'!U14)),(-$Y14+50*IF('17.04'!$AK14="是",'17.04'!$AY$4,'17.04'!$AY$3)),(VLOOKUP('17.04'!U14,'17.04'!$AM$4:$AO$55,2,FALSE))*IF('17.04'!$AK14="是",'17.04'!$AY$4,'17.04'!$AY$3))</f>
        <v>180</v>
      </c>
      <c r="N14" s="4">
        <f>IF(ISNUMBER(SEARCH("营",'17.04'!V14)),(-$Y14+50*IF('17.04'!$AK14="是",'17.04'!$AY$4,'17.04'!$AY$3)),(VLOOKUP('17.04'!V14,'17.04'!$AM$4:$AO$55,2,FALSE))*IF('17.04'!$AK14="是",'17.04'!$AY$4,'17.04'!$AY$3))</f>
        <v>50</v>
      </c>
      <c r="O14" s="4">
        <f>IF(ISNUMBER(SEARCH("营",'17.04'!W14)),(-$Y14+50*IF('17.04'!$AK14="是",'17.04'!$AY$4,'17.04'!$AY$3)),(VLOOKUP('17.04'!W14,'17.04'!$AM$4:$AO$55,2,FALSE))*IF('17.04'!$AK14="是",'17.04'!$AY$4,'17.04'!$AY$3))</f>
        <v>0</v>
      </c>
      <c r="P14" s="4">
        <f>IF(ISNUMBER(SEARCH("营",'17.04'!X14)),(-$Y14+50*IF('17.04'!$AK14="是",'17.04'!$AY$4,'17.04'!$AY$3)),(VLOOKUP('17.04'!X14,'17.04'!$AM$4:$AO$55,2,FALSE))*IF('17.04'!$AK14="是",'17.04'!$AY$4,'17.04'!$AY$3))</f>
        <v>0</v>
      </c>
      <c r="Q14" s="4">
        <f>IF(ISNUMBER(SEARCH("营",'17.04'!Y14)),(-$Y14+50*IF('17.04'!$AK14="是",'17.04'!$AY$4,'17.04'!$AY$3)),(VLOOKUP('17.04'!Y14,'17.04'!$AM$4:$AO$55,2,FALSE))*IF('17.04'!$AK14="是",'17.04'!$AY$4,'17.04'!$AY$3))</f>
        <v>170</v>
      </c>
      <c r="R14" s="4">
        <f>IF(ISNUMBER(SEARCH("营",'17.04'!Z14)),(-$Y14+50*IF('17.04'!$AK14="是",'17.04'!$AY$4,'17.04'!$AY$3)),(VLOOKUP('17.04'!Z14,'17.04'!$AM$4:$AO$55,2,FALSE))*IF('17.04'!$AK14="是",'17.04'!$AY$4,'17.04'!$AY$3))</f>
        <v>170</v>
      </c>
      <c r="S14" s="4">
        <f>IF(ISNUMBER(SEARCH("营",'17.04'!AA14)),(-$Y14+50*IF('17.04'!$AK14="是",'17.04'!$AY$4,'17.04'!$AY$3)),(VLOOKUP('17.04'!AA14,'17.04'!$AM$4:$AO$55,2,FALSE))*IF('17.04'!$AK14="是",'17.04'!$AY$4,'17.04'!$AY$3))</f>
        <v>170</v>
      </c>
      <c r="T14" s="4">
        <f>IF(ISNUMBER(SEARCH("营",'17.04'!AB14)),(-$Y14+50*IF('17.04'!$AK14="是",'17.04'!$AY$4,'17.04'!$AY$3)),(VLOOKUP('17.04'!AB14,'17.04'!$AM$4:$AO$55,2,FALSE))*IF('17.04'!$AK14="是",'17.04'!$AY$4,'17.04'!$AY$3))</f>
        <v>170</v>
      </c>
      <c r="U14" s="4">
        <f>IF(ISNUMBER(SEARCH("营",'17.04'!AC14)),(-$Y14+50*IF('17.04'!$AK14="是",'17.04'!$AY$4,'17.04'!$AY$3)),(VLOOKUP('17.04'!AC14,'17.04'!$AM$4:$AO$55,2,FALSE))*IF('17.04'!$AK14="是",'17.04'!$AY$4,'17.04'!$AY$3))</f>
        <v>170</v>
      </c>
      <c r="V14" s="4">
        <f>IF(ISNUMBER(SEARCH("营",'17.04'!AD14)),(-$Y14+50*IF('17.04'!$AK14="是",'17.04'!$AY$4,'17.04'!$AY$3)),(VLOOKUP('17.04'!AD14,'17.04'!$AM$4:$AO$55,2,FALSE))*IF('17.04'!$AK14="是",'17.04'!$AY$4,'17.04'!$AY$3))</f>
        <v>170</v>
      </c>
      <c r="W14" s="4">
        <f>IF(ISNUMBER(SEARCH("营",'17.04'!AE14)),(-$Y14+50*IF('17.04'!$AK14="是",'17.04'!$AY$4,'17.04'!$AY$3)),(VLOOKUP('17.04'!AE14,'17.04'!$AM$4:$AO$55,2,FALSE))*IF('17.04'!$AK14="是",'17.04'!$AY$4,'17.04'!$AY$3))</f>
        <v>170</v>
      </c>
      <c r="X14" s="4">
        <f>IF(ISNUMBER(SEARCH("营",'17.04'!AF14)),(-$Y14+50*IF('17.04'!$AK14="是",'17.04'!$AY$4,'17.04'!$AY$3)),(VLOOKUP('17.04'!AF14,'17.04'!$AM$4:$AO$55,2,FALSE))*IF('17.04'!$AK14="是",'17.04'!$AY$4,'17.04'!$AY$3))</f>
        <v>170</v>
      </c>
      <c r="Y14" s="88">
        <v>300</v>
      </c>
    </row>
    <row r="15" spans="1:25">
      <c r="A15" s="4">
        <f>IF(ISNUMBER(SEARCH("营",'17.04'!I15)),(-$Y15+50*IF('17.04'!$AK15="是",'17.04'!$AY$4,'17.04'!$AY$3)),(VLOOKUP('17.04'!I15,'17.04'!$AM$4:$AO$55,2,FALSE))*IF('17.04'!$AK15="是",'17.04'!$AY$4,'17.04'!$AY$3))</f>
        <v>0</v>
      </c>
      <c r="B15" s="4">
        <f>IF(ISNUMBER(SEARCH("营",'17.04'!J15)),(-$Y15+50*IF('17.04'!$AK15="是",'17.04'!$AY$4,'17.04'!$AY$3)),(VLOOKUP('17.04'!J15,'17.04'!$AM$4:$AO$55,2,FALSE))*IF('17.04'!$AK15="是",'17.04'!$AY$4,'17.04'!$AY$3))</f>
        <v>0</v>
      </c>
      <c r="C15" s="4">
        <f>IF(ISNUMBER(SEARCH("营",'17.04'!K15)),(-$Y15+50*IF('17.04'!$AK15="是",'17.04'!$AY$4,'17.04'!$AY$3)),(VLOOKUP('17.04'!K15,'17.04'!$AM$4:$AO$55,2,FALSE))*IF('17.04'!$AK15="是",'17.04'!$AY$4,'17.04'!$AY$3))</f>
        <v>0</v>
      </c>
      <c r="D15" s="4">
        <f>IF(ISNUMBER(SEARCH("营",'17.04'!L15)),(-$Y15+50*IF('17.04'!$AK15="是",'17.04'!$AY$4,'17.04'!$AY$3)),(VLOOKUP('17.04'!L15,'17.04'!$AM$4:$AO$55,2,FALSE))*IF('17.04'!$AK15="是",'17.04'!$AY$4,'17.04'!$AY$3))</f>
        <v>0</v>
      </c>
      <c r="E15" s="4">
        <f>IF(ISNUMBER(SEARCH("营",'17.04'!M15)),(-$Y15+50*IF('17.04'!$AK15="是",'17.04'!$AY$4,'17.04'!$AY$3)),(VLOOKUP('17.04'!M15,'17.04'!$AM$4:$AO$55,2,FALSE))*IF('17.04'!$AK15="是",'17.04'!$AY$4,'17.04'!$AY$3))</f>
        <v>0</v>
      </c>
      <c r="F15" s="4">
        <f>IF(ISNUMBER(SEARCH("营",'17.04'!N15)),(-$Y15+50*IF('17.04'!$AK15="是",'17.04'!$AY$4,'17.04'!$AY$3)),(VLOOKUP('17.04'!N15,'17.04'!$AM$4:$AO$55,2,FALSE))*IF('17.04'!$AK15="是",'17.04'!$AY$4,'17.04'!$AY$3))</f>
        <v>0</v>
      </c>
      <c r="G15" s="4">
        <f>IF(ISNUMBER(SEARCH("营",'17.04'!O15)),(-$Y15+50*IF('17.04'!$AK15="是",'17.04'!$AY$4,'17.04'!$AY$3)),(VLOOKUP('17.04'!O15,'17.04'!$AM$4:$AO$55,2,FALSE))*IF('17.04'!$AK15="是",'17.04'!$AY$4,'17.04'!$AY$3))</f>
        <v>0</v>
      </c>
      <c r="H15" s="4">
        <f>IF(ISNUMBER(SEARCH("营",'17.04'!P15)),(-$Y15+50*IF('17.04'!$AK15="是",'17.04'!$AY$4,'17.04'!$AY$3)),(VLOOKUP('17.04'!P15,'17.04'!$AM$4:$AO$55,2,FALSE))*IF('17.04'!$AK15="是",'17.04'!$AY$4,'17.04'!$AY$3))</f>
        <v>0</v>
      </c>
      <c r="I15" s="4">
        <f>IF(ISNUMBER(SEARCH("营",'17.04'!Q15)),(-$Y15+50*IF('17.04'!$AK15="是",'17.04'!$AY$4,'17.04'!$AY$3)),(VLOOKUP('17.04'!Q15,'17.04'!$AM$4:$AO$55,2,FALSE))*IF('17.04'!$AK15="是",'17.04'!$AY$4,'17.04'!$AY$3))</f>
        <v>180</v>
      </c>
      <c r="J15" s="4">
        <f>IF(ISNUMBER(SEARCH("营",'17.04'!R15)),(-$Y15+50*IF('17.04'!$AK15="是",'17.04'!$AY$4,'17.04'!$AY$3)),(VLOOKUP('17.04'!R15,'17.04'!$AM$4:$AO$55,2,FALSE))*IF('17.04'!$AK15="是",'17.04'!$AY$4,'17.04'!$AY$3))</f>
        <v>170</v>
      </c>
      <c r="K15" s="4">
        <f>IF(ISNUMBER(SEARCH("营",'17.04'!S15)),(-$Y15+50*IF('17.04'!$AK15="是",'17.04'!$AY$4,'17.04'!$AY$3)),(VLOOKUP('17.04'!S15,'17.04'!$AM$4:$AO$55,2,FALSE))*IF('17.04'!$AK15="是",'17.04'!$AY$4,'17.04'!$AY$3))</f>
        <v>170</v>
      </c>
      <c r="L15" s="4">
        <f>IF(ISNUMBER(SEARCH("营",'17.04'!T15)),(-$Y15+50*IF('17.04'!$AK15="是",'17.04'!$AY$4,'17.04'!$AY$3)),(VLOOKUP('17.04'!T15,'17.04'!$AM$4:$AO$55,2,FALSE))*IF('17.04'!$AK15="是",'17.04'!$AY$4,'17.04'!$AY$3))</f>
        <v>170</v>
      </c>
      <c r="M15" s="4">
        <f>IF(ISNUMBER(SEARCH("营",'17.04'!U15)),(-$Y15+50*IF('17.04'!$AK15="是",'17.04'!$AY$4,'17.04'!$AY$3)),(VLOOKUP('17.04'!U15,'17.04'!$AM$4:$AO$55,2,FALSE))*IF('17.04'!$AK15="是",'17.04'!$AY$4,'17.04'!$AY$3))</f>
        <v>170</v>
      </c>
      <c r="N15" s="4">
        <f>IF(ISNUMBER(SEARCH("营",'17.04'!V15)),(-$Y15+50*IF('17.04'!$AK15="是",'17.04'!$AY$4,'17.04'!$AY$3)),(VLOOKUP('17.04'!V15,'17.04'!$AM$4:$AO$55,2,FALSE))*IF('17.04'!$AK15="是",'17.04'!$AY$4,'17.04'!$AY$3))</f>
        <v>170</v>
      </c>
      <c r="O15" s="4">
        <f>IF(ISNUMBER(SEARCH("营",'17.04'!W15)),(-$Y15+50*IF('17.04'!$AK15="是",'17.04'!$AY$4,'17.04'!$AY$3)),(VLOOKUP('17.04'!W15,'17.04'!$AM$4:$AO$55,2,FALSE))*IF('17.04'!$AK15="是",'17.04'!$AY$4,'17.04'!$AY$3))</f>
        <v>170</v>
      </c>
      <c r="P15" s="4">
        <f>IF(ISNUMBER(SEARCH("营",'17.04'!X15)),(-$Y15+50*IF('17.04'!$AK15="是",'17.04'!$AY$4,'17.04'!$AY$3)),(VLOOKUP('17.04'!X15,'17.04'!$AM$4:$AO$55,2,FALSE))*IF('17.04'!$AK15="是",'17.04'!$AY$4,'17.04'!$AY$3))</f>
        <v>0</v>
      </c>
      <c r="Q15" s="4">
        <f>IF(ISNUMBER(SEARCH("营",'17.04'!Y15)),(-$Y15+50*IF('17.04'!$AK15="是",'17.04'!$AY$4,'17.04'!$AY$3)),(VLOOKUP('17.04'!Y15,'17.04'!$AM$4:$AO$55,2,FALSE))*IF('17.04'!$AK15="是",'17.04'!$AY$4,'17.04'!$AY$3))</f>
        <v>170</v>
      </c>
      <c r="R15" s="4">
        <f>IF(ISNUMBER(SEARCH("营",'17.04'!Z15)),(-$Y15+50*IF('17.04'!$AK15="是",'17.04'!$AY$4,'17.04'!$AY$3)),(VLOOKUP('17.04'!Z15,'17.04'!$AM$4:$AO$55,2,FALSE))*IF('17.04'!$AK15="是",'17.04'!$AY$4,'17.04'!$AY$3))</f>
        <v>170</v>
      </c>
      <c r="S15" s="4">
        <f>IF(ISNUMBER(SEARCH("营",'17.04'!AA15)),(-$Y15+50*IF('17.04'!$AK15="是",'17.04'!$AY$4,'17.04'!$AY$3)),(VLOOKUP('17.04'!AA15,'17.04'!$AM$4:$AO$55,2,FALSE))*IF('17.04'!$AK15="是",'17.04'!$AY$4,'17.04'!$AY$3))</f>
        <v>50</v>
      </c>
      <c r="T15" s="4">
        <f>IF(ISNUMBER(SEARCH("营",'17.04'!AB15)),(-$Y15+50*IF('17.04'!$AK15="是",'17.04'!$AY$4,'17.04'!$AY$3)),(VLOOKUP('17.04'!AB15,'17.04'!$AM$4:$AO$55,2,FALSE))*IF('17.04'!$AK15="是",'17.04'!$AY$4,'17.04'!$AY$3))</f>
        <v>170</v>
      </c>
      <c r="U15" s="4">
        <f>IF(ISNUMBER(SEARCH("营",'17.04'!AC15)),(-$Y15+50*IF('17.04'!$AK15="是",'17.04'!$AY$4,'17.04'!$AY$3)),(VLOOKUP('17.04'!AC15,'17.04'!$AM$4:$AO$55,2,FALSE))*IF('17.04'!$AK15="是",'17.04'!$AY$4,'17.04'!$AY$3))</f>
        <v>170</v>
      </c>
      <c r="V15" s="4">
        <f>IF(ISNUMBER(SEARCH("营",'17.04'!AD15)),(-$Y15+50*IF('17.04'!$AK15="是",'17.04'!$AY$4,'17.04'!$AY$3)),(VLOOKUP('17.04'!AD15,'17.04'!$AM$4:$AO$55,2,FALSE))*IF('17.04'!$AK15="是",'17.04'!$AY$4,'17.04'!$AY$3))</f>
        <v>170</v>
      </c>
      <c r="W15" s="4">
        <f>IF(ISNUMBER(SEARCH("营",'17.04'!AE15)),(-$Y15+50*IF('17.04'!$AK15="是",'17.04'!$AY$4,'17.04'!$AY$3)),(VLOOKUP('17.04'!AE15,'17.04'!$AM$4:$AO$55,2,FALSE))*IF('17.04'!$AK15="是",'17.04'!$AY$4,'17.04'!$AY$3))</f>
        <v>170</v>
      </c>
      <c r="X15" s="4">
        <f>IF(ISNUMBER(SEARCH("营",'17.04'!AF15)),(-$Y15+50*IF('17.04'!$AK15="是",'17.04'!$AY$4,'17.04'!$AY$3)),(VLOOKUP('17.04'!AF15,'17.04'!$AM$4:$AO$55,2,FALSE))*IF('17.04'!$AK15="是",'17.04'!$AY$4,'17.04'!$AY$3))</f>
        <v>170</v>
      </c>
      <c r="Y15" s="88">
        <v>300</v>
      </c>
    </row>
    <row r="16" spans="1:25">
      <c r="A16" s="4">
        <f>IF(ISNUMBER(SEARCH("营",'17.04'!I16)),(-$Y16+50*IF('17.04'!$AK16="是",'17.04'!$AY$4,'17.04'!$AY$3)),(VLOOKUP('17.04'!I16,'17.04'!$AM$4:$AO$55,2,FALSE))*IF('17.04'!$AK16="是",'17.04'!$AY$4,'17.04'!$AY$3))</f>
        <v>0</v>
      </c>
      <c r="B16" s="4">
        <f>IF(ISNUMBER(SEARCH("营",'17.04'!J16)),(-$Y16+50*IF('17.04'!$AK16="是",'17.04'!$AY$4,'17.04'!$AY$3)),(VLOOKUP('17.04'!J16,'17.04'!$AM$4:$AO$55,2,FALSE))*IF('17.04'!$AK16="是",'17.04'!$AY$4,'17.04'!$AY$3))</f>
        <v>0</v>
      </c>
      <c r="C16" s="4">
        <f>IF(ISNUMBER(SEARCH("营",'17.04'!K16)),(-$Y16+50*IF('17.04'!$AK16="是",'17.04'!$AY$4,'17.04'!$AY$3)),(VLOOKUP('17.04'!K16,'17.04'!$AM$4:$AO$55,2,FALSE))*IF('17.04'!$AK16="是",'17.04'!$AY$4,'17.04'!$AY$3))</f>
        <v>0</v>
      </c>
      <c r="D16" s="4">
        <f>IF(ISNUMBER(SEARCH("营",'17.04'!L16)),(-$Y16+50*IF('17.04'!$AK16="是",'17.04'!$AY$4,'17.04'!$AY$3)),(VLOOKUP('17.04'!L16,'17.04'!$AM$4:$AO$55,2,FALSE))*IF('17.04'!$AK16="是",'17.04'!$AY$4,'17.04'!$AY$3))</f>
        <v>0</v>
      </c>
      <c r="E16" s="4">
        <f>IF(ISNUMBER(SEARCH("营",'17.04'!M16)),(-$Y16+50*IF('17.04'!$AK16="是",'17.04'!$AY$4,'17.04'!$AY$3)),(VLOOKUP('17.04'!M16,'17.04'!$AM$4:$AO$55,2,FALSE))*IF('17.04'!$AK16="是",'17.04'!$AY$4,'17.04'!$AY$3))</f>
        <v>0</v>
      </c>
      <c r="F16" s="4">
        <f>IF(ISNUMBER(SEARCH("营",'17.04'!N16)),(-$Y16+50*IF('17.04'!$AK16="是",'17.04'!$AY$4,'17.04'!$AY$3)),(VLOOKUP('17.04'!N16,'17.04'!$AM$4:$AO$55,2,FALSE))*IF('17.04'!$AK16="是",'17.04'!$AY$4,'17.04'!$AY$3))</f>
        <v>0</v>
      </c>
      <c r="G16" s="4">
        <f>IF(ISNUMBER(SEARCH("营",'17.04'!O16)),(-$Y16+50*IF('17.04'!$AK16="是",'17.04'!$AY$4,'17.04'!$AY$3)),(VLOOKUP('17.04'!O16,'17.04'!$AM$4:$AO$55,2,FALSE))*IF('17.04'!$AK16="是",'17.04'!$AY$4,'17.04'!$AY$3))</f>
        <v>0</v>
      </c>
      <c r="H16" s="4">
        <f>IF(ISNUMBER(SEARCH("营",'17.04'!P16)),(-$Y16+50*IF('17.04'!$AK16="是",'17.04'!$AY$4,'17.04'!$AY$3)),(VLOOKUP('17.04'!P16,'17.04'!$AM$4:$AO$55,2,FALSE))*IF('17.04'!$AK16="是",'17.04'!$AY$4,'17.04'!$AY$3))</f>
        <v>0</v>
      </c>
      <c r="I16" s="4">
        <f>IF(ISNUMBER(SEARCH("营",'17.04'!Q16)),(-$Y16+50*IF('17.04'!$AK16="是",'17.04'!$AY$4,'17.04'!$AY$3)),(VLOOKUP('17.04'!Q16,'17.04'!$AM$4:$AO$55,2,FALSE))*IF('17.04'!$AK16="是",'17.04'!$AY$4,'17.04'!$AY$3))</f>
        <v>136</v>
      </c>
      <c r="J16" s="4">
        <f>IF(ISNUMBER(SEARCH("营",'17.04'!R16)),(-$Y16+50*IF('17.04'!$AK16="是",'17.04'!$AY$4,'17.04'!$AY$3)),(VLOOKUP('17.04'!R16,'17.04'!$AM$4:$AO$55,2,FALSE))*IF('17.04'!$AK16="是",'17.04'!$AY$4,'17.04'!$AY$3))</f>
        <v>136</v>
      </c>
      <c r="K16" s="4">
        <f>IF(ISNUMBER(SEARCH("营",'17.04'!S16)),(-$Y16+50*IF('17.04'!$AK16="是",'17.04'!$AY$4,'17.04'!$AY$3)),(VLOOKUP('17.04'!S16,'17.04'!$AM$4:$AO$55,2,FALSE))*IF('17.04'!$AK16="是",'17.04'!$AY$4,'17.04'!$AY$3))</f>
        <v>136</v>
      </c>
      <c r="L16" s="4">
        <f>IF(ISNUMBER(SEARCH("营",'17.04'!T16)),(-$Y16+50*IF('17.04'!$AK16="是",'17.04'!$AY$4,'17.04'!$AY$3)),(VLOOKUP('17.04'!T16,'17.04'!$AM$4:$AO$55,2,FALSE))*IF('17.04'!$AK16="是",'17.04'!$AY$4,'17.04'!$AY$3))</f>
        <v>144</v>
      </c>
      <c r="M16" s="4">
        <f>IF(ISNUMBER(SEARCH("营",'17.04'!U16)),(-$Y16+50*IF('17.04'!$AK16="是",'17.04'!$AY$4,'17.04'!$AY$3)),(VLOOKUP('17.04'!U16,'17.04'!$AM$4:$AO$55,2,FALSE))*IF('17.04'!$AK16="是",'17.04'!$AY$4,'17.04'!$AY$3))</f>
        <v>144</v>
      </c>
      <c r="N16" s="4">
        <f>IF(ISNUMBER(SEARCH("营",'17.04'!V16)),(-$Y16+50*IF('17.04'!$AK16="是",'17.04'!$AY$4,'17.04'!$AY$3)),(VLOOKUP('17.04'!V16,'17.04'!$AM$4:$AO$55,2,FALSE))*IF('17.04'!$AK16="是",'17.04'!$AY$4,'17.04'!$AY$3))</f>
        <v>144</v>
      </c>
      <c r="O16" s="4">
        <f>IF(ISNUMBER(SEARCH("营",'17.04'!W16)),(-$Y16+50*IF('17.04'!$AK16="是",'17.04'!$AY$4,'17.04'!$AY$3)),(VLOOKUP('17.04'!W16,'17.04'!$AM$4:$AO$55,2,FALSE))*IF('17.04'!$AK16="是",'17.04'!$AY$4,'17.04'!$AY$3))</f>
        <v>0</v>
      </c>
      <c r="P16" s="4">
        <f>IF(ISNUMBER(SEARCH("营",'17.04'!X16)),(-$Y16+50*IF('17.04'!$AK16="是",'17.04'!$AY$4,'17.04'!$AY$3)),(VLOOKUP('17.04'!X16,'17.04'!$AM$4:$AO$55,2,FALSE))*IF('17.04'!$AK16="是",'17.04'!$AY$4,'17.04'!$AY$3))</f>
        <v>0</v>
      </c>
      <c r="Q16" s="4">
        <f>IF(ISNUMBER(SEARCH("营",'17.04'!Y16)),(-$Y16+50*IF('17.04'!$AK16="是",'17.04'!$AY$4,'17.04'!$AY$3)),(VLOOKUP('17.04'!Y16,'17.04'!$AM$4:$AO$55,2,FALSE))*IF('17.04'!$AK16="是",'17.04'!$AY$4,'17.04'!$AY$3))</f>
        <v>136</v>
      </c>
      <c r="R16" s="4">
        <f>IF(ISNUMBER(SEARCH("营",'17.04'!Z16)),(-$Y16+50*IF('17.04'!$AK16="是",'17.04'!$AY$4,'17.04'!$AY$3)),(VLOOKUP('17.04'!Z16,'17.04'!$AM$4:$AO$55,2,FALSE))*IF('17.04'!$AK16="是",'17.04'!$AY$4,'17.04'!$AY$3))</f>
        <v>136</v>
      </c>
      <c r="S16" s="4">
        <f>IF(ISNUMBER(SEARCH("营",'17.04'!AA16)),(-$Y16+50*IF('17.04'!$AK16="是",'17.04'!$AY$4,'17.04'!$AY$3)),(VLOOKUP('17.04'!AA16,'17.04'!$AM$4:$AO$55,2,FALSE))*IF('17.04'!$AK16="是",'17.04'!$AY$4,'17.04'!$AY$3))</f>
        <v>-260</v>
      </c>
      <c r="T16" s="4">
        <f>IF(ISNUMBER(SEARCH("营",'17.04'!AB16)),(-$Y16+50*IF('17.04'!$AK16="是",'17.04'!$AY$4,'17.04'!$AY$3)),(VLOOKUP('17.04'!AB16,'17.04'!$AM$4:$AO$55,2,FALSE))*IF('17.04'!$AK16="是",'17.04'!$AY$4,'17.04'!$AY$3))</f>
        <v>136</v>
      </c>
      <c r="U16" s="4">
        <f>IF(ISNUMBER(SEARCH("营",'17.04'!AC16)),(-$Y16+50*IF('17.04'!$AK16="是",'17.04'!$AY$4,'17.04'!$AY$3)),(VLOOKUP('17.04'!AC16,'17.04'!$AM$4:$AO$55,2,FALSE))*IF('17.04'!$AK16="是",'17.04'!$AY$4,'17.04'!$AY$3))</f>
        <v>136</v>
      </c>
      <c r="V16" s="4">
        <f>IF(ISNUMBER(SEARCH("营",'17.04'!AD16)),(-$Y16+50*IF('17.04'!$AK16="是",'17.04'!$AY$4,'17.04'!$AY$3)),(VLOOKUP('17.04'!AD16,'17.04'!$AM$4:$AO$55,2,FALSE))*IF('17.04'!$AK16="是",'17.04'!$AY$4,'17.04'!$AY$3))</f>
        <v>136</v>
      </c>
      <c r="W16" s="4">
        <f>IF(ISNUMBER(SEARCH("营",'17.04'!AE16)),(-$Y16+50*IF('17.04'!$AK16="是",'17.04'!$AY$4,'17.04'!$AY$3)),(VLOOKUP('17.04'!AE16,'17.04'!$AM$4:$AO$55,2,FALSE))*IF('17.04'!$AK16="是",'17.04'!$AY$4,'17.04'!$AY$3))</f>
        <v>136</v>
      </c>
      <c r="X16" s="4">
        <f>IF(ISNUMBER(SEARCH("营",'17.04'!AF16)),(-$Y16+50*IF('17.04'!$AK16="是",'17.04'!$AY$4,'17.04'!$AY$3)),(VLOOKUP('17.04'!AF16,'17.04'!$AM$4:$AO$55,2,FALSE))*IF('17.04'!$AK16="是",'17.04'!$AY$4,'17.04'!$AY$3))</f>
        <v>128</v>
      </c>
      <c r="Y16" s="88">
        <v>300</v>
      </c>
    </row>
    <row r="17" spans="1:25">
      <c r="A17" s="4">
        <f>IF(ISNUMBER(SEARCH("营",'17.04'!I17)),(-$Y17+50*IF('17.04'!$AK17="是",'17.04'!$AY$4,'17.04'!$AY$3)),(VLOOKUP('17.04'!I17,'17.04'!$AM$4:$AO$55,2,FALSE))*IF('17.04'!$AK17="是",'17.04'!$AY$4,'17.04'!$AY$3))</f>
        <v>0</v>
      </c>
      <c r="B17" s="4">
        <f>IF(ISNUMBER(SEARCH("营",'17.04'!J17)),(-$Y17+50*IF('17.04'!$AK17="是",'17.04'!$AY$4,'17.04'!$AY$3)),(VLOOKUP('17.04'!J17,'17.04'!$AM$4:$AO$55,2,FALSE))*IF('17.04'!$AK17="是",'17.04'!$AY$4,'17.04'!$AY$3))</f>
        <v>0</v>
      </c>
      <c r="C17" s="4">
        <f>IF(ISNUMBER(SEARCH("营",'17.04'!K17)),(-$Y17+50*IF('17.04'!$AK17="是",'17.04'!$AY$4,'17.04'!$AY$3)),(VLOOKUP('17.04'!K17,'17.04'!$AM$4:$AO$55,2,FALSE))*IF('17.04'!$AK17="是",'17.04'!$AY$4,'17.04'!$AY$3))</f>
        <v>0</v>
      </c>
      <c r="D17" s="4">
        <f>IF(ISNUMBER(SEARCH("营",'17.04'!L17)),(-$Y17+50*IF('17.04'!$AK17="是",'17.04'!$AY$4,'17.04'!$AY$3)),(VLOOKUP('17.04'!L17,'17.04'!$AM$4:$AO$55,2,FALSE))*IF('17.04'!$AK17="是",'17.04'!$AY$4,'17.04'!$AY$3))</f>
        <v>0</v>
      </c>
      <c r="E17" s="4">
        <f>IF(ISNUMBER(SEARCH("营",'17.04'!M17)),(-$Y17+50*IF('17.04'!$AK17="是",'17.04'!$AY$4,'17.04'!$AY$3)),(VLOOKUP('17.04'!M17,'17.04'!$AM$4:$AO$55,2,FALSE))*IF('17.04'!$AK17="是",'17.04'!$AY$4,'17.04'!$AY$3))</f>
        <v>0</v>
      </c>
      <c r="F17" s="4">
        <f>IF(ISNUMBER(SEARCH("营",'17.04'!N17)),(-$Y17+50*IF('17.04'!$AK17="是",'17.04'!$AY$4,'17.04'!$AY$3)),(VLOOKUP('17.04'!N17,'17.04'!$AM$4:$AO$55,2,FALSE))*IF('17.04'!$AK17="是",'17.04'!$AY$4,'17.04'!$AY$3))</f>
        <v>0</v>
      </c>
      <c r="G17" s="4">
        <f>IF(ISNUMBER(SEARCH("营",'17.04'!O17)),(-$Y17+50*IF('17.04'!$AK17="是",'17.04'!$AY$4,'17.04'!$AY$3)),(VLOOKUP('17.04'!O17,'17.04'!$AM$4:$AO$55,2,FALSE))*IF('17.04'!$AK17="是",'17.04'!$AY$4,'17.04'!$AY$3))</f>
        <v>0</v>
      </c>
      <c r="H17" s="4">
        <f>IF(ISNUMBER(SEARCH("营",'17.04'!P17)),(-$Y17+50*IF('17.04'!$AK17="是",'17.04'!$AY$4,'17.04'!$AY$3)),(VLOOKUP('17.04'!P17,'17.04'!$AM$4:$AO$55,2,FALSE))*IF('17.04'!$AK17="是",'17.04'!$AY$4,'17.04'!$AY$3))</f>
        <v>0</v>
      </c>
      <c r="I17" s="4">
        <f>IF(ISNUMBER(SEARCH("营",'17.04'!Q17)),(-$Y17+50*IF('17.04'!$AK17="是",'17.04'!$AY$4,'17.04'!$AY$3)),(VLOOKUP('17.04'!Q17,'17.04'!$AM$4:$AO$55,2,FALSE))*IF('17.04'!$AK17="是",'17.04'!$AY$4,'17.04'!$AY$3))</f>
        <v>144</v>
      </c>
      <c r="J17" s="4">
        <f>IF(ISNUMBER(SEARCH("营",'17.04'!R17)),(-$Y17+50*IF('17.04'!$AK17="是",'17.04'!$AY$4,'17.04'!$AY$3)),(VLOOKUP('17.04'!R17,'17.04'!$AM$4:$AO$55,2,FALSE))*IF('17.04'!$AK17="是",'17.04'!$AY$4,'17.04'!$AY$3))</f>
        <v>144</v>
      </c>
      <c r="K17" s="4">
        <f>IF(ISNUMBER(SEARCH("营",'17.04'!S17)),(-$Y17+50*IF('17.04'!$AK17="是",'17.04'!$AY$4,'17.04'!$AY$3)),(VLOOKUP('17.04'!S17,'17.04'!$AM$4:$AO$55,2,FALSE))*IF('17.04'!$AK17="是",'17.04'!$AY$4,'17.04'!$AY$3))</f>
        <v>-260</v>
      </c>
      <c r="L17" s="4">
        <f>IF(ISNUMBER(SEARCH("营",'17.04'!T17)),(-$Y17+50*IF('17.04'!$AK17="是",'17.04'!$AY$4,'17.04'!$AY$3)),(VLOOKUP('17.04'!T17,'17.04'!$AM$4:$AO$55,2,FALSE))*IF('17.04'!$AK17="是",'17.04'!$AY$4,'17.04'!$AY$3))</f>
        <v>144</v>
      </c>
      <c r="M17" s="4">
        <f>IF(ISNUMBER(SEARCH("营",'17.04'!U17)),(-$Y17+50*IF('17.04'!$AK17="是",'17.04'!$AY$4,'17.04'!$AY$3)),(VLOOKUP('17.04'!U17,'17.04'!$AM$4:$AO$55,2,FALSE))*IF('17.04'!$AK17="是",'17.04'!$AY$4,'17.04'!$AY$3))</f>
        <v>144</v>
      </c>
      <c r="N17" s="4">
        <f>IF(ISNUMBER(SEARCH("营",'17.04'!V17)),(-$Y17+50*IF('17.04'!$AK17="是",'17.04'!$AY$4,'17.04'!$AY$3)),(VLOOKUP('17.04'!V17,'17.04'!$AM$4:$AO$55,2,FALSE))*IF('17.04'!$AK17="是",'17.04'!$AY$4,'17.04'!$AY$3))</f>
        <v>144</v>
      </c>
      <c r="O17" s="4">
        <f>IF(ISNUMBER(SEARCH("营",'17.04'!W17)),(-$Y17+50*IF('17.04'!$AK17="是",'17.04'!$AY$4,'17.04'!$AY$3)),(VLOOKUP('17.04'!W17,'17.04'!$AM$4:$AO$55,2,FALSE))*IF('17.04'!$AK17="是",'17.04'!$AY$4,'17.04'!$AY$3))</f>
        <v>144</v>
      </c>
      <c r="P17" s="4">
        <f>IF(ISNUMBER(SEARCH("营",'17.04'!X17)),(-$Y17+50*IF('17.04'!$AK17="是",'17.04'!$AY$4,'17.04'!$AY$3)),(VLOOKUP('17.04'!X17,'17.04'!$AM$4:$AO$55,2,FALSE))*IF('17.04'!$AK17="是",'17.04'!$AY$4,'17.04'!$AY$3))</f>
        <v>144</v>
      </c>
      <c r="Q17" s="4">
        <f>IF(ISNUMBER(SEARCH("营",'17.04'!Y17)),(-$Y17+50*IF('17.04'!$AK17="是",'17.04'!$AY$4,'17.04'!$AY$3)),(VLOOKUP('17.04'!Y17,'17.04'!$AM$4:$AO$55,2,FALSE))*IF('17.04'!$AK17="是",'17.04'!$AY$4,'17.04'!$AY$3))</f>
        <v>128</v>
      </c>
      <c r="R17" s="4">
        <f>IF(ISNUMBER(SEARCH("营",'17.04'!Z17)),(-$Y17+50*IF('17.04'!$AK17="是",'17.04'!$AY$4,'17.04'!$AY$3)),(VLOOKUP('17.04'!Z17,'17.04'!$AM$4:$AO$55,2,FALSE))*IF('17.04'!$AK17="是",'17.04'!$AY$4,'17.04'!$AY$3))</f>
        <v>128</v>
      </c>
      <c r="S17" s="4">
        <f>IF(ISNUMBER(SEARCH("营",'17.04'!AA17)),(-$Y17+50*IF('17.04'!$AK17="是",'17.04'!$AY$4,'17.04'!$AY$3)),(VLOOKUP('17.04'!AA17,'17.04'!$AM$4:$AO$55,2,FALSE))*IF('17.04'!$AK17="是",'17.04'!$AY$4,'17.04'!$AY$3))</f>
        <v>128</v>
      </c>
      <c r="T17" s="4">
        <f>IF(ISNUMBER(SEARCH("营",'17.04'!AB17)),(-$Y17+50*IF('17.04'!$AK17="是",'17.04'!$AY$4,'17.04'!$AY$3)),(VLOOKUP('17.04'!AB17,'17.04'!$AM$4:$AO$55,2,FALSE))*IF('17.04'!$AK17="是",'17.04'!$AY$4,'17.04'!$AY$3))</f>
        <v>40</v>
      </c>
      <c r="U17" s="4">
        <f>IF(ISNUMBER(SEARCH("营",'17.04'!AC17)),(-$Y17+50*IF('17.04'!$AK17="是",'17.04'!$AY$4,'17.04'!$AY$3)),(VLOOKUP('17.04'!AC17,'17.04'!$AM$4:$AO$55,2,FALSE))*IF('17.04'!$AK17="是",'17.04'!$AY$4,'17.04'!$AY$3))</f>
        <v>128</v>
      </c>
      <c r="V17" s="4">
        <f>IF(ISNUMBER(SEARCH("营",'17.04'!AD17)),(-$Y17+50*IF('17.04'!$AK17="是",'17.04'!$AY$4,'17.04'!$AY$3)),(VLOOKUP('17.04'!AD17,'17.04'!$AM$4:$AO$55,2,FALSE))*IF('17.04'!$AK17="是",'17.04'!$AY$4,'17.04'!$AY$3))</f>
        <v>128</v>
      </c>
      <c r="W17" s="4">
        <f>IF(ISNUMBER(SEARCH("营",'17.04'!AE17)),(-$Y17+50*IF('17.04'!$AK17="是",'17.04'!$AY$4,'17.04'!$AY$3)),(VLOOKUP('17.04'!AE17,'17.04'!$AM$4:$AO$55,2,FALSE))*IF('17.04'!$AK17="是",'17.04'!$AY$4,'17.04'!$AY$3))</f>
        <v>128</v>
      </c>
      <c r="X17" s="4">
        <f>IF(ISNUMBER(SEARCH("营",'17.04'!AF17)),(-$Y17+50*IF('17.04'!$AK17="是",'17.04'!$AY$4,'17.04'!$AY$3)),(VLOOKUP('17.04'!AF17,'17.04'!$AM$4:$AO$55,2,FALSE))*IF('17.04'!$AK17="是",'17.04'!$AY$4,'17.04'!$AY$3))</f>
        <v>0</v>
      </c>
      <c r="Y17" s="88">
        <v>300</v>
      </c>
    </row>
    <row r="18" spans="1:25">
      <c r="A18" s="4">
        <f>IF(ISNUMBER(SEARCH("营",'17.04'!I18)),(-$Y18+50*IF('17.04'!$AK18="是",'17.04'!$AY$4,'17.04'!$AY$3)),(VLOOKUP('17.04'!I18,'17.04'!$AM$4:$AO$55,2,FALSE))*IF('17.04'!$AK18="是",'17.04'!$AY$4,'17.04'!$AY$3))</f>
        <v>0</v>
      </c>
      <c r="B18" s="4">
        <f>IF(ISNUMBER(SEARCH("营",'17.04'!J18)),(-$Y18+50*IF('17.04'!$AK18="是",'17.04'!$AY$4,'17.04'!$AY$3)),(VLOOKUP('17.04'!J18,'17.04'!$AM$4:$AO$55,2,FALSE))*IF('17.04'!$AK18="是",'17.04'!$AY$4,'17.04'!$AY$3))</f>
        <v>0</v>
      </c>
      <c r="C18" s="4">
        <f>IF(ISNUMBER(SEARCH("营",'17.04'!K18)),(-$Y18+50*IF('17.04'!$AK18="是",'17.04'!$AY$4,'17.04'!$AY$3)),(VLOOKUP('17.04'!K18,'17.04'!$AM$4:$AO$55,2,FALSE))*IF('17.04'!$AK18="是",'17.04'!$AY$4,'17.04'!$AY$3))</f>
        <v>0</v>
      </c>
      <c r="D18" s="4">
        <f>IF(ISNUMBER(SEARCH("营",'17.04'!L18)),(-$Y18+50*IF('17.04'!$AK18="是",'17.04'!$AY$4,'17.04'!$AY$3)),(VLOOKUP('17.04'!L18,'17.04'!$AM$4:$AO$55,2,FALSE))*IF('17.04'!$AK18="是",'17.04'!$AY$4,'17.04'!$AY$3))</f>
        <v>0</v>
      </c>
      <c r="E18" s="4">
        <f>IF(ISNUMBER(SEARCH("营",'17.04'!M18)),(-$Y18+50*IF('17.04'!$AK18="是",'17.04'!$AY$4,'17.04'!$AY$3)),(VLOOKUP('17.04'!M18,'17.04'!$AM$4:$AO$55,2,FALSE))*IF('17.04'!$AK18="是",'17.04'!$AY$4,'17.04'!$AY$3))</f>
        <v>0</v>
      </c>
      <c r="F18" s="4">
        <f>IF(ISNUMBER(SEARCH("营",'17.04'!N18)),(-$Y18+50*IF('17.04'!$AK18="是",'17.04'!$AY$4,'17.04'!$AY$3)),(VLOOKUP('17.04'!N18,'17.04'!$AM$4:$AO$55,2,FALSE))*IF('17.04'!$AK18="是",'17.04'!$AY$4,'17.04'!$AY$3))</f>
        <v>0</v>
      </c>
      <c r="G18" s="4">
        <f>IF(ISNUMBER(SEARCH("营",'17.04'!O18)),(-$Y18+50*IF('17.04'!$AK18="是",'17.04'!$AY$4,'17.04'!$AY$3)),(VLOOKUP('17.04'!O18,'17.04'!$AM$4:$AO$55,2,FALSE))*IF('17.04'!$AK18="是",'17.04'!$AY$4,'17.04'!$AY$3))</f>
        <v>0</v>
      </c>
      <c r="H18" s="4">
        <f>IF(ISNUMBER(SEARCH("营",'17.04'!P18)),(-$Y18+50*IF('17.04'!$AK18="是",'17.04'!$AY$4,'17.04'!$AY$3)),(VLOOKUP('17.04'!P18,'17.04'!$AM$4:$AO$55,2,FALSE))*IF('17.04'!$AK18="是",'17.04'!$AY$4,'17.04'!$AY$3))</f>
        <v>0</v>
      </c>
      <c r="I18" s="4">
        <f>IF(ISNUMBER(SEARCH("营",'17.04'!Q18)),(-$Y18+50*IF('17.04'!$AK18="是",'17.04'!$AY$4,'17.04'!$AY$3)),(VLOOKUP('17.04'!Q18,'17.04'!$AM$4:$AO$55,2,FALSE))*IF('17.04'!$AK18="是",'17.04'!$AY$4,'17.04'!$AY$3))</f>
        <v>144</v>
      </c>
      <c r="J18" s="4">
        <f>IF(ISNUMBER(SEARCH("营",'17.04'!R18)),(-$Y18+50*IF('17.04'!$AK18="是",'17.04'!$AY$4,'17.04'!$AY$3)),(VLOOKUP('17.04'!R18,'17.04'!$AM$4:$AO$55,2,FALSE))*IF('17.04'!$AK18="是",'17.04'!$AY$4,'17.04'!$AY$3))</f>
        <v>144</v>
      </c>
      <c r="K18" s="4">
        <f>IF(ISNUMBER(SEARCH("营",'17.04'!S18)),(-$Y18+50*IF('17.04'!$AK18="是",'17.04'!$AY$4,'17.04'!$AY$3)),(VLOOKUP('17.04'!S18,'17.04'!$AM$4:$AO$55,2,FALSE))*IF('17.04'!$AK18="是",'17.04'!$AY$4,'17.04'!$AY$3))</f>
        <v>144</v>
      </c>
      <c r="L18" s="4">
        <f>IF(ISNUMBER(SEARCH("营",'17.04'!T18)),(-$Y18+50*IF('17.04'!$AK18="是",'17.04'!$AY$4,'17.04'!$AY$3)),(VLOOKUP('17.04'!T18,'17.04'!$AM$4:$AO$55,2,FALSE))*IF('17.04'!$AK18="是",'17.04'!$AY$4,'17.04'!$AY$3))</f>
        <v>144</v>
      </c>
      <c r="M18" s="4">
        <f>IF(ISNUMBER(SEARCH("营",'17.04'!U18)),(-$Y18+50*IF('17.04'!$AK18="是",'17.04'!$AY$4,'17.04'!$AY$3)),(VLOOKUP('17.04'!U18,'17.04'!$AM$4:$AO$55,2,FALSE))*IF('17.04'!$AK18="是",'17.04'!$AY$4,'17.04'!$AY$3))</f>
        <v>144</v>
      </c>
      <c r="N18" s="4">
        <f>IF(ISNUMBER(SEARCH("营",'17.04'!V18)),(-$Y18+50*IF('17.04'!$AK18="是",'17.04'!$AY$4,'17.04'!$AY$3)),(VLOOKUP('17.04'!V18,'17.04'!$AM$4:$AO$55,2,FALSE))*IF('17.04'!$AK18="是",'17.04'!$AY$4,'17.04'!$AY$3))</f>
        <v>144</v>
      </c>
      <c r="O18" s="4">
        <f>IF(ISNUMBER(SEARCH("营",'17.04'!W18)),(-$Y18+50*IF('17.04'!$AK18="是",'17.04'!$AY$4,'17.04'!$AY$3)),(VLOOKUP('17.04'!W18,'17.04'!$AM$4:$AO$55,2,FALSE))*IF('17.04'!$AK18="是",'17.04'!$AY$4,'17.04'!$AY$3))</f>
        <v>0</v>
      </c>
      <c r="P18" s="4">
        <f>IF(ISNUMBER(SEARCH("营",'17.04'!X18)),(-$Y18+50*IF('17.04'!$AK18="是",'17.04'!$AY$4,'17.04'!$AY$3)),(VLOOKUP('17.04'!X18,'17.04'!$AM$4:$AO$55,2,FALSE))*IF('17.04'!$AK18="是",'17.04'!$AY$4,'17.04'!$AY$3))</f>
        <v>0</v>
      </c>
      <c r="Q18" s="4">
        <f>IF(ISNUMBER(SEARCH("营",'17.04'!Y18)),(-$Y18+50*IF('17.04'!$AK18="是",'17.04'!$AY$4,'17.04'!$AY$3)),(VLOOKUP('17.04'!Y18,'17.04'!$AM$4:$AO$55,2,FALSE))*IF('17.04'!$AK18="是",'17.04'!$AY$4,'17.04'!$AY$3))</f>
        <v>128</v>
      </c>
      <c r="R18" s="4">
        <f>IF(ISNUMBER(SEARCH("营",'17.04'!Z18)),(-$Y18+50*IF('17.04'!$AK18="是",'17.04'!$AY$4,'17.04'!$AY$3)),(VLOOKUP('17.04'!Z18,'17.04'!$AM$4:$AO$55,2,FALSE))*IF('17.04'!$AK18="是",'17.04'!$AY$4,'17.04'!$AY$3))</f>
        <v>128</v>
      </c>
      <c r="S18" s="4">
        <f>IF(ISNUMBER(SEARCH("营",'17.04'!AA18)),(-$Y18+50*IF('17.04'!$AK18="是",'17.04'!$AY$4,'17.04'!$AY$3)),(VLOOKUP('17.04'!AA18,'17.04'!$AM$4:$AO$55,2,FALSE))*IF('17.04'!$AK18="是",'17.04'!$AY$4,'17.04'!$AY$3))</f>
        <v>128</v>
      </c>
      <c r="T18" s="4">
        <f>IF(ISNUMBER(SEARCH("营",'17.04'!AB18)),(-$Y18+50*IF('17.04'!$AK18="是",'17.04'!$AY$4,'17.04'!$AY$3)),(VLOOKUP('17.04'!AB18,'17.04'!$AM$4:$AO$55,2,FALSE))*IF('17.04'!$AK18="是",'17.04'!$AY$4,'17.04'!$AY$3))</f>
        <v>128</v>
      </c>
      <c r="U18" s="4">
        <f>IF(ISNUMBER(SEARCH("营",'17.04'!AC18)),(-$Y18+50*IF('17.04'!$AK18="是",'17.04'!$AY$4,'17.04'!$AY$3)),(VLOOKUP('17.04'!AC18,'17.04'!$AM$4:$AO$55,2,FALSE))*IF('17.04'!$AK18="是",'17.04'!$AY$4,'17.04'!$AY$3))</f>
        <v>128</v>
      </c>
      <c r="V18" s="4">
        <f>IF(ISNUMBER(SEARCH("营",'17.04'!AD18)),(-$Y18+50*IF('17.04'!$AK18="是",'17.04'!$AY$4,'17.04'!$AY$3)),(VLOOKUP('17.04'!AD18,'17.04'!$AM$4:$AO$55,2,FALSE))*IF('17.04'!$AK18="是",'17.04'!$AY$4,'17.04'!$AY$3))</f>
        <v>128</v>
      </c>
      <c r="W18" s="4">
        <f>IF(ISNUMBER(SEARCH("营",'17.04'!AE18)),(-$Y18+50*IF('17.04'!$AK18="是",'17.04'!$AY$4,'17.04'!$AY$3)),(VLOOKUP('17.04'!AE18,'17.04'!$AM$4:$AO$55,2,FALSE))*IF('17.04'!$AK18="是",'17.04'!$AY$4,'17.04'!$AY$3))</f>
        <v>-260</v>
      </c>
      <c r="X18" s="4">
        <f>IF(ISNUMBER(SEARCH("营",'17.04'!AF18)),(-$Y18+50*IF('17.04'!$AK18="是",'17.04'!$AY$4,'17.04'!$AY$3)),(VLOOKUP('17.04'!AF18,'17.04'!$AM$4:$AO$55,2,FALSE))*IF('17.04'!$AK18="是",'17.04'!$AY$4,'17.04'!$AY$3))</f>
        <v>40</v>
      </c>
      <c r="Y18" s="88">
        <v>300</v>
      </c>
    </row>
    <row r="19" spans="1:25">
      <c r="A19" s="4">
        <f>IF(ISNUMBER(SEARCH("营",'17.04'!I19)),(-$Y19+50*IF('17.04'!$AK19="是",'17.04'!$AY$4,'17.04'!$AY$3)),(VLOOKUP('17.04'!I19,'17.04'!$AM$4:$AO$55,2,FALSE))*IF('17.04'!$AK19="是",'17.04'!$AY$4,'17.04'!$AY$3))</f>
        <v>0</v>
      </c>
      <c r="B19" s="4">
        <f>IF(ISNUMBER(SEARCH("营",'17.04'!J19)),(-$Y19+50*IF('17.04'!$AK19="是",'17.04'!$AY$4,'17.04'!$AY$3)),(VLOOKUP('17.04'!J19,'17.04'!$AM$4:$AO$55,2,FALSE))*IF('17.04'!$AK19="是",'17.04'!$AY$4,'17.04'!$AY$3))</f>
        <v>0</v>
      </c>
      <c r="C19" s="4">
        <f>IF(ISNUMBER(SEARCH("营",'17.04'!K19)),(-$Y19+50*IF('17.04'!$AK19="是",'17.04'!$AY$4,'17.04'!$AY$3)),(VLOOKUP('17.04'!K19,'17.04'!$AM$4:$AO$55,2,FALSE))*IF('17.04'!$AK19="是",'17.04'!$AY$4,'17.04'!$AY$3))</f>
        <v>0</v>
      </c>
      <c r="D19" s="4">
        <f>IF(ISNUMBER(SEARCH("营",'17.04'!L19)),(-$Y19+50*IF('17.04'!$AK19="是",'17.04'!$AY$4,'17.04'!$AY$3)),(VLOOKUP('17.04'!L19,'17.04'!$AM$4:$AO$55,2,FALSE))*IF('17.04'!$AK19="是",'17.04'!$AY$4,'17.04'!$AY$3))</f>
        <v>0</v>
      </c>
      <c r="E19" s="4">
        <f>IF(ISNUMBER(SEARCH("营",'17.04'!M19)),(-$Y19+50*IF('17.04'!$AK19="是",'17.04'!$AY$4,'17.04'!$AY$3)),(VLOOKUP('17.04'!M19,'17.04'!$AM$4:$AO$55,2,FALSE))*IF('17.04'!$AK19="是",'17.04'!$AY$4,'17.04'!$AY$3))</f>
        <v>0</v>
      </c>
      <c r="F19" s="4">
        <f>IF(ISNUMBER(SEARCH("营",'17.04'!N19)),(-$Y19+50*IF('17.04'!$AK19="是",'17.04'!$AY$4,'17.04'!$AY$3)),(VLOOKUP('17.04'!N19,'17.04'!$AM$4:$AO$55,2,FALSE))*IF('17.04'!$AK19="是",'17.04'!$AY$4,'17.04'!$AY$3))</f>
        <v>0</v>
      </c>
      <c r="G19" s="4">
        <f>IF(ISNUMBER(SEARCH("营",'17.04'!O19)),(-$Y19+50*IF('17.04'!$AK19="是",'17.04'!$AY$4,'17.04'!$AY$3)),(VLOOKUP('17.04'!O19,'17.04'!$AM$4:$AO$55,2,FALSE))*IF('17.04'!$AK19="是",'17.04'!$AY$4,'17.04'!$AY$3))</f>
        <v>0</v>
      </c>
      <c r="H19" s="4">
        <f>IF(ISNUMBER(SEARCH("营",'17.04'!P19)),(-$Y19+50*IF('17.04'!$AK19="是",'17.04'!$AY$4,'17.04'!$AY$3)),(VLOOKUP('17.04'!P19,'17.04'!$AM$4:$AO$55,2,FALSE))*IF('17.04'!$AK19="是",'17.04'!$AY$4,'17.04'!$AY$3))</f>
        <v>0</v>
      </c>
      <c r="I19" s="4">
        <f>IF(ISNUMBER(SEARCH("营",'17.04'!Q19)),(-$Y19+50*IF('17.04'!$AK19="是",'17.04'!$AY$4,'17.04'!$AY$3)),(VLOOKUP('17.04'!Q19,'17.04'!$AM$4:$AO$55,2,FALSE))*IF('17.04'!$AK19="是",'17.04'!$AY$4,'17.04'!$AY$3))</f>
        <v>144</v>
      </c>
      <c r="J19" s="4">
        <f>IF(ISNUMBER(SEARCH("营",'17.04'!R19)),(-$Y19+50*IF('17.04'!$AK19="是",'17.04'!$AY$4,'17.04'!$AY$3)),(VLOOKUP('17.04'!R19,'17.04'!$AM$4:$AO$55,2,FALSE))*IF('17.04'!$AK19="是",'17.04'!$AY$4,'17.04'!$AY$3))</f>
        <v>144</v>
      </c>
      <c r="K19" s="4">
        <f>IF(ISNUMBER(SEARCH("营",'17.04'!S19)),(-$Y19+50*IF('17.04'!$AK19="是",'17.04'!$AY$4,'17.04'!$AY$3)),(VLOOKUP('17.04'!S19,'17.04'!$AM$4:$AO$55,2,FALSE))*IF('17.04'!$AK19="是",'17.04'!$AY$4,'17.04'!$AY$3))</f>
        <v>144</v>
      </c>
      <c r="L19" s="4">
        <f>IF(ISNUMBER(SEARCH("营",'17.04'!T19)),(-$Y19+50*IF('17.04'!$AK19="是",'17.04'!$AY$4,'17.04'!$AY$3)),(VLOOKUP('17.04'!T19,'17.04'!$AM$4:$AO$55,2,FALSE))*IF('17.04'!$AK19="是",'17.04'!$AY$4,'17.04'!$AY$3))</f>
        <v>152</v>
      </c>
      <c r="M19" s="4">
        <f>IF(ISNUMBER(SEARCH("营",'17.04'!U19)),(-$Y19+50*IF('17.04'!$AK19="是",'17.04'!$AY$4,'17.04'!$AY$3)),(VLOOKUP('17.04'!U19,'17.04'!$AM$4:$AO$55,2,FALSE))*IF('17.04'!$AK19="是",'17.04'!$AY$4,'17.04'!$AY$3))</f>
        <v>152</v>
      </c>
      <c r="N19" s="4">
        <f>IF(ISNUMBER(SEARCH("营",'17.04'!V19)),(-$Y19+50*IF('17.04'!$AK19="是",'17.04'!$AY$4,'17.04'!$AY$3)),(VLOOKUP('17.04'!V19,'17.04'!$AM$4:$AO$55,2,FALSE))*IF('17.04'!$AK19="是",'17.04'!$AY$4,'17.04'!$AY$3))</f>
        <v>152</v>
      </c>
      <c r="O19" s="4">
        <f>IF(ISNUMBER(SEARCH("营",'17.04'!W19)),(-$Y19+50*IF('17.04'!$AK19="是",'17.04'!$AY$4,'17.04'!$AY$3)),(VLOOKUP('17.04'!W19,'17.04'!$AM$4:$AO$55,2,FALSE))*IF('17.04'!$AK19="是",'17.04'!$AY$4,'17.04'!$AY$3))</f>
        <v>0</v>
      </c>
      <c r="P19" s="4">
        <f>IF(ISNUMBER(SEARCH("营",'17.04'!X19)),(-$Y19+50*IF('17.04'!$AK19="是",'17.04'!$AY$4,'17.04'!$AY$3)),(VLOOKUP('17.04'!X19,'17.04'!$AM$4:$AO$55,2,FALSE))*IF('17.04'!$AK19="是",'17.04'!$AY$4,'17.04'!$AY$3))</f>
        <v>0</v>
      </c>
      <c r="Q19" s="4">
        <f>IF(ISNUMBER(SEARCH("营",'17.04'!Y19)),(-$Y19+50*IF('17.04'!$AK19="是",'17.04'!$AY$4,'17.04'!$AY$3)),(VLOOKUP('17.04'!Y19,'17.04'!$AM$4:$AO$55,2,FALSE))*IF('17.04'!$AK19="是",'17.04'!$AY$4,'17.04'!$AY$3))</f>
        <v>128</v>
      </c>
      <c r="R19" s="4">
        <f>IF(ISNUMBER(SEARCH("营",'17.04'!Z19)),(-$Y19+50*IF('17.04'!$AK19="是",'17.04'!$AY$4,'17.04'!$AY$3)),(VLOOKUP('17.04'!Z19,'17.04'!$AM$4:$AO$55,2,FALSE))*IF('17.04'!$AK19="是",'17.04'!$AY$4,'17.04'!$AY$3))</f>
        <v>128</v>
      </c>
      <c r="S19" s="4">
        <f>IF(ISNUMBER(SEARCH("营",'17.04'!AA19)),(-$Y19+50*IF('17.04'!$AK19="是",'17.04'!$AY$4,'17.04'!$AY$3)),(VLOOKUP('17.04'!AA19,'17.04'!$AM$4:$AO$55,2,FALSE))*IF('17.04'!$AK19="是",'17.04'!$AY$4,'17.04'!$AY$3))</f>
        <v>128</v>
      </c>
      <c r="T19" s="4">
        <f>IF(ISNUMBER(SEARCH("营",'17.04'!AB19)),(-$Y19+50*IF('17.04'!$AK19="是",'17.04'!$AY$4,'17.04'!$AY$3)),(VLOOKUP('17.04'!AB19,'17.04'!$AM$4:$AO$55,2,FALSE))*IF('17.04'!$AK19="是",'17.04'!$AY$4,'17.04'!$AY$3))</f>
        <v>128</v>
      </c>
      <c r="U19" s="4">
        <f>IF(ISNUMBER(SEARCH("营",'17.04'!AC19)),(-$Y19+50*IF('17.04'!$AK19="是",'17.04'!$AY$4,'17.04'!$AY$3)),(VLOOKUP('17.04'!AC19,'17.04'!$AM$4:$AO$55,2,FALSE))*IF('17.04'!$AK19="是",'17.04'!$AY$4,'17.04'!$AY$3))</f>
        <v>128</v>
      </c>
      <c r="V19" s="4">
        <f>IF(ISNUMBER(SEARCH("营",'17.04'!AD19)),(-$Y19+50*IF('17.04'!$AK19="是",'17.04'!$AY$4,'17.04'!$AY$3)),(VLOOKUP('17.04'!AD19,'17.04'!$AM$4:$AO$55,2,FALSE))*IF('17.04'!$AK19="是",'17.04'!$AY$4,'17.04'!$AY$3))</f>
        <v>40</v>
      </c>
      <c r="W19" s="4">
        <f>IF(ISNUMBER(SEARCH("营",'17.04'!AE19)),(-$Y19+50*IF('17.04'!$AK19="是",'17.04'!$AY$4,'17.04'!$AY$3)),(VLOOKUP('17.04'!AE19,'17.04'!$AM$4:$AO$55,2,FALSE))*IF('17.04'!$AK19="是",'17.04'!$AY$4,'17.04'!$AY$3))</f>
        <v>0</v>
      </c>
      <c r="X19" s="4">
        <f>IF(ISNUMBER(SEARCH("营",'17.04'!AF19)),(-$Y19+50*IF('17.04'!$AK19="是",'17.04'!$AY$4,'17.04'!$AY$3)),(VLOOKUP('17.04'!AF19,'17.04'!$AM$4:$AO$55,2,FALSE))*IF('17.04'!$AK19="是",'17.04'!$AY$4,'17.04'!$AY$3))</f>
        <v>0</v>
      </c>
      <c r="Y19" s="90">
        <v>250</v>
      </c>
    </row>
    <row r="20" spans="1:25">
      <c r="A20" s="4">
        <f>IF(ISNUMBER(SEARCH("营",'17.04'!I20)),(-$Y20+50*IF('17.04'!$AK20="是",'17.04'!$AY$4,'17.04'!$AY$3)),(VLOOKUP('17.04'!I20,'17.04'!$AM$4:$AO$55,2,FALSE))*IF('17.04'!$AK20="是",'17.04'!$AY$4,'17.04'!$AY$3))</f>
        <v>0</v>
      </c>
      <c r="B20" s="4">
        <f>IF(ISNUMBER(SEARCH("营",'17.04'!J20)),(-$Y20+50*IF('17.04'!$AK20="是",'17.04'!$AY$4,'17.04'!$AY$3)),(VLOOKUP('17.04'!J20,'17.04'!$AM$4:$AO$55,2,FALSE))*IF('17.04'!$AK20="是",'17.04'!$AY$4,'17.04'!$AY$3))</f>
        <v>0</v>
      </c>
      <c r="C20" s="4">
        <f>IF(ISNUMBER(SEARCH("营",'17.04'!K20)),(-$Y20+50*IF('17.04'!$AK20="是",'17.04'!$AY$4,'17.04'!$AY$3)),(VLOOKUP('17.04'!K20,'17.04'!$AM$4:$AO$55,2,FALSE))*IF('17.04'!$AK20="是",'17.04'!$AY$4,'17.04'!$AY$3))</f>
        <v>0</v>
      </c>
      <c r="D20" s="4">
        <f>IF(ISNUMBER(SEARCH("营",'17.04'!L20)),(-$Y20+50*IF('17.04'!$AK20="是",'17.04'!$AY$4,'17.04'!$AY$3)),(VLOOKUP('17.04'!L20,'17.04'!$AM$4:$AO$55,2,FALSE))*IF('17.04'!$AK20="是",'17.04'!$AY$4,'17.04'!$AY$3))</f>
        <v>0</v>
      </c>
      <c r="E20" s="4">
        <f>IF(ISNUMBER(SEARCH("营",'17.04'!M20)),(-$Y20+50*IF('17.04'!$AK20="是",'17.04'!$AY$4,'17.04'!$AY$3)),(VLOOKUP('17.04'!M20,'17.04'!$AM$4:$AO$55,2,FALSE))*IF('17.04'!$AK20="是",'17.04'!$AY$4,'17.04'!$AY$3))</f>
        <v>0</v>
      </c>
      <c r="F20" s="4">
        <f>IF(ISNUMBER(SEARCH("营",'17.04'!N20)),(-$Y20+50*IF('17.04'!$AK20="是",'17.04'!$AY$4,'17.04'!$AY$3)),(VLOOKUP('17.04'!N20,'17.04'!$AM$4:$AO$55,2,FALSE))*IF('17.04'!$AK20="是",'17.04'!$AY$4,'17.04'!$AY$3))</f>
        <v>0</v>
      </c>
      <c r="G20" s="4">
        <f>IF(ISNUMBER(SEARCH("营",'17.04'!O20)),(-$Y20+50*IF('17.04'!$AK20="是",'17.04'!$AY$4,'17.04'!$AY$3)),(VLOOKUP('17.04'!O20,'17.04'!$AM$4:$AO$55,2,FALSE))*IF('17.04'!$AK20="是",'17.04'!$AY$4,'17.04'!$AY$3))</f>
        <v>0</v>
      </c>
      <c r="H20" s="4">
        <f>IF(ISNUMBER(SEARCH("营",'17.04'!P20)),(-$Y20+50*IF('17.04'!$AK20="是",'17.04'!$AY$4,'17.04'!$AY$3)),(VLOOKUP('17.04'!P20,'17.04'!$AM$4:$AO$55,2,FALSE))*IF('17.04'!$AK20="是",'17.04'!$AY$4,'17.04'!$AY$3))</f>
        <v>0</v>
      </c>
      <c r="I20" s="4">
        <f>IF(ISNUMBER(SEARCH("营",'17.04'!Q20)),(-$Y20+50*IF('17.04'!$AK20="是",'17.04'!$AY$4,'17.04'!$AY$3)),(VLOOKUP('17.04'!Q20,'17.04'!$AM$4:$AO$55,2,FALSE))*IF('17.04'!$AK20="是",'17.04'!$AY$4,'17.04'!$AY$3))</f>
        <v>152</v>
      </c>
      <c r="J20" s="4">
        <f>IF(ISNUMBER(SEARCH("营",'17.04'!R20)),(-$Y20+50*IF('17.04'!$AK20="是",'17.04'!$AY$4,'17.04'!$AY$3)),(VLOOKUP('17.04'!R20,'17.04'!$AM$4:$AO$55,2,FALSE))*IF('17.04'!$AK20="是",'17.04'!$AY$4,'17.04'!$AY$3))</f>
        <v>152</v>
      </c>
      <c r="K20" s="4">
        <f>IF(ISNUMBER(SEARCH("营",'17.04'!S20)),(-$Y20+50*IF('17.04'!$AK20="是",'17.04'!$AY$4,'17.04'!$AY$3)),(VLOOKUP('17.04'!S20,'17.04'!$AM$4:$AO$55,2,FALSE))*IF('17.04'!$AK20="是",'17.04'!$AY$4,'17.04'!$AY$3))</f>
        <v>-210</v>
      </c>
      <c r="L20" s="4">
        <f>IF(ISNUMBER(SEARCH("营",'17.04'!T20)),(-$Y20+50*IF('17.04'!$AK20="是",'17.04'!$AY$4,'17.04'!$AY$3)),(VLOOKUP('17.04'!T20,'17.04'!$AM$4:$AO$55,2,FALSE))*IF('17.04'!$AK20="是",'17.04'!$AY$4,'17.04'!$AY$3))</f>
        <v>152</v>
      </c>
      <c r="M20" s="4">
        <f>IF(ISNUMBER(SEARCH("营",'17.04'!U20)),(-$Y20+50*IF('17.04'!$AK20="是",'17.04'!$AY$4,'17.04'!$AY$3)),(VLOOKUP('17.04'!U20,'17.04'!$AM$4:$AO$55,2,FALSE))*IF('17.04'!$AK20="是",'17.04'!$AY$4,'17.04'!$AY$3))</f>
        <v>152</v>
      </c>
      <c r="N20" s="4">
        <f>IF(ISNUMBER(SEARCH("营",'17.04'!V20)),(-$Y20+50*IF('17.04'!$AK20="是",'17.04'!$AY$4,'17.04'!$AY$3)),(VLOOKUP('17.04'!V20,'17.04'!$AM$4:$AO$55,2,FALSE))*IF('17.04'!$AK20="是",'17.04'!$AY$4,'17.04'!$AY$3))</f>
        <v>144</v>
      </c>
      <c r="O20" s="4">
        <f>IF(ISNUMBER(SEARCH("营",'17.04'!W20)),(-$Y20+50*IF('17.04'!$AK20="是",'17.04'!$AY$4,'17.04'!$AY$3)),(VLOOKUP('17.04'!W20,'17.04'!$AM$4:$AO$55,2,FALSE))*IF('17.04'!$AK20="是",'17.04'!$AY$4,'17.04'!$AY$3))</f>
        <v>128</v>
      </c>
      <c r="P20" s="4">
        <f>IF(ISNUMBER(SEARCH("营",'17.04'!X20)),(-$Y20+50*IF('17.04'!$AK20="是",'17.04'!$AY$4,'17.04'!$AY$3)),(VLOOKUP('17.04'!X20,'17.04'!$AM$4:$AO$55,2,FALSE))*IF('17.04'!$AK20="是",'17.04'!$AY$4,'17.04'!$AY$3))</f>
        <v>0</v>
      </c>
      <c r="Q20" s="4">
        <f>IF(ISNUMBER(SEARCH("营",'17.04'!Y20)),(-$Y20+50*IF('17.04'!$AK20="是",'17.04'!$AY$4,'17.04'!$AY$3)),(VLOOKUP('17.04'!Y20,'17.04'!$AM$4:$AO$55,2,FALSE))*IF('17.04'!$AK20="是",'17.04'!$AY$4,'17.04'!$AY$3))</f>
        <v>128</v>
      </c>
      <c r="R20" s="4">
        <f>IF(ISNUMBER(SEARCH("营",'17.04'!Z20)),(-$Y20+50*IF('17.04'!$AK20="是",'17.04'!$AY$4,'17.04'!$AY$3)),(VLOOKUP('17.04'!Z20,'17.04'!$AM$4:$AO$55,2,FALSE))*IF('17.04'!$AK20="是",'17.04'!$AY$4,'17.04'!$AY$3))</f>
        <v>128</v>
      </c>
      <c r="S20" s="4">
        <f>IF(ISNUMBER(SEARCH("营",'17.04'!AA20)),(-$Y20+50*IF('17.04'!$AK20="是",'17.04'!$AY$4,'17.04'!$AY$3)),(VLOOKUP('17.04'!AA20,'17.04'!$AM$4:$AO$55,2,FALSE))*IF('17.04'!$AK20="是",'17.04'!$AY$4,'17.04'!$AY$3))</f>
        <v>128</v>
      </c>
      <c r="T20" s="4">
        <f>IF(ISNUMBER(SEARCH("营",'17.04'!AB20)),(-$Y20+50*IF('17.04'!$AK20="是",'17.04'!$AY$4,'17.04'!$AY$3)),(VLOOKUP('17.04'!AB20,'17.04'!$AM$4:$AO$55,2,FALSE))*IF('17.04'!$AK20="是",'17.04'!$AY$4,'17.04'!$AY$3))</f>
        <v>120</v>
      </c>
      <c r="U20" s="4">
        <f>IF(ISNUMBER(SEARCH("营",'17.04'!AC20)),(-$Y20+50*IF('17.04'!$AK20="是",'17.04'!$AY$4,'17.04'!$AY$3)),(VLOOKUP('17.04'!AC20,'17.04'!$AM$4:$AO$55,2,FALSE))*IF('17.04'!$AK20="是",'17.04'!$AY$4,'17.04'!$AY$3))</f>
        <v>128</v>
      </c>
      <c r="V20" s="4">
        <f>IF(ISNUMBER(SEARCH("营",'17.04'!AD20)),(-$Y20+50*IF('17.04'!$AK20="是",'17.04'!$AY$4,'17.04'!$AY$3)),(VLOOKUP('17.04'!AD20,'17.04'!$AM$4:$AO$55,2,FALSE))*IF('17.04'!$AK20="是",'17.04'!$AY$4,'17.04'!$AY$3))</f>
        <v>128</v>
      </c>
      <c r="W20" s="4">
        <f>IF(ISNUMBER(SEARCH("营",'17.04'!AE20)),(-$Y20+50*IF('17.04'!$AK20="是",'17.04'!$AY$4,'17.04'!$AY$3)),(VLOOKUP('17.04'!AE20,'17.04'!$AM$4:$AO$55,2,FALSE))*IF('17.04'!$AK20="是",'17.04'!$AY$4,'17.04'!$AY$3))</f>
        <v>0</v>
      </c>
      <c r="X20" s="4">
        <f>IF(ISNUMBER(SEARCH("营",'17.04'!AF20)),(-$Y20+50*IF('17.04'!$AK20="是",'17.04'!$AY$4,'17.04'!$AY$3)),(VLOOKUP('17.04'!AF20,'17.04'!$AM$4:$AO$55,2,FALSE))*IF('17.04'!$AK20="是",'17.04'!$AY$4,'17.04'!$AY$3))</f>
        <v>0</v>
      </c>
      <c r="Y20" s="90">
        <v>250</v>
      </c>
    </row>
    <row r="21" spans="1:25">
      <c r="A21" s="4">
        <f>IF(ISNUMBER(SEARCH("营",'17.04'!I21)),(-$Y21+50*IF('17.04'!$AK21="是",'17.04'!$AY$4,'17.04'!$AY$3)),(VLOOKUP('17.04'!I21,'17.04'!$AM$4:$AO$55,2,FALSE))*IF('17.04'!$AK21="是",'17.04'!$AY$4,'17.04'!$AY$3))</f>
        <v>0</v>
      </c>
      <c r="B21" s="4">
        <f>IF(ISNUMBER(SEARCH("营",'17.04'!J21)),(-$Y21+50*IF('17.04'!$AK21="是",'17.04'!$AY$4,'17.04'!$AY$3)),(VLOOKUP('17.04'!J21,'17.04'!$AM$4:$AO$55,2,FALSE))*IF('17.04'!$AK21="是",'17.04'!$AY$4,'17.04'!$AY$3))</f>
        <v>0</v>
      </c>
      <c r="C21" s="4">
        <f>IF(ISNUMBER(SEARCH("营",'17.04'!K21)),(-$Y21+50*IF('17.04'!$AK21="是",'17.04'!$AY$4,'17.04'!$AY$3)),(VLOOKUP('17.04'!K21,'17.04'!$AM$4:$AO$55,2,FALSE))*IF('17.04'!$AK21="是",'17.04'!$AY$4,'17.04'!$AY$3))</f>
        <v>0</v>
      </c>
      <c r="D21" s="4">
        <f>IF(ISNUMBER(SEARCH("营",'17.04'!L21)),(-$Y21+50*IF('17.04'!$AK21="是",'17.04'!$AY$4,'17.04'!$AY$3)),(VLOOKUP('17.04'!L21,'17.04'!$AM$4:$AO$55,2,FALSE))*IF('17.04'!$AK21="是",'17.04'!$AY$4,'17.04'!$AY$3))</f>
        <v>0</v>
      </c>
      <c r="E21" s="4">
        <f>IF(ISNUMBER(SEARCH("营",'17.04'!M21)),(-$Y21+50*IF('17.04'!$AK21="是",'17.04'!$AY$4,'17.04'!$AY$3)),(VLOOKUP('17.04'!M21,'17.04'!$AM$4:$AO$55,2,FALSE))*IF('17.04'!$AK21="是",'17.04'!$AY$4,'17.04'!$AY$3))</f>
        <v>0</v>
      </c>
      <c r="F21" s="4">
        <f>IF(ISNUMBER(SEARCH("营",'17.04'!N21)),(-$Y21+50*IF('17.04'!$AK21="是",'17.04'!$AY$4,'17.04'!$AY$3)),(VLOOKUP('17.04'!N21,'17.04'!$AM$4:$AO$55,2,FALSE))*IF('17.04'!$AK21="是",'17.04'!$AY$4,'17.04'!$AY$3))</f>
        <v>0</v>
      </c>
      <c r="G21" s="4">
        <f>IF(ISNUMBER(SEARCH("营",'17.04'!O21)),(-$Y21+50*IF('17.04'!$AK21="是",'17.04'!$AY$4,'17.04'!$AY$3)),(VLOOKUP('17.04'!O21,'17.04'!$AM$4:$AO$55,2,FALSE))*IF('17.04'!$AK21="是",'17.04'!$AY$4,'17.04'!$AY$3))</f>
        <v>0</v>
      </c>
      <c r="H21" s="4">
        <f>IF(ISNUMBER(SEARCH("营",'17.04'!P21)),(-$Y21+50*IF('17.04'!$AK21="是",'17.04'!$AY$4,'17.04'!$AY$3)),(VLOOKUP('17.04'!P21,'17.04'!$AM$4:$AO$55,2,FALSE))*IF('17.04'!$AK21="是",'17.04'!$AY$4,'17.04'!$AY$3))</f>
        <v>0</v>
      </c>
      <c r="I21" s="4">
        <f>IF(ISNUMBER(SEARCH("营",'17.04'!Q21)),(-$Y21+50*IF('17.04'!$AK21="是",'17.04'!$AY$4,'17.04'!$AY$3)),(VLOOKUP('17.04'!Q21,'17.04'!$AM$4:$AO$55,2,FALSE))*IF('17.04'!$AK21="是",'17.04'!$AY$4,'17.04'!$AY$3))</f>
        <v>152</v>
      </c>
      <c r="J21" s="4">
        <f>IF(ISNUMBER(SEARCH("营",'17.04'!R21)),(-$Y21+50*IF('17.04'!$AK21="是",'17.04'!$AY$4,'17.04'!$AY$3)),(VLOOKUP('17.04'!R21,'17.04'!$AM$4:$AO$55,2,FALSE))*IF('17.04'!$AK21="是",'17.04'!$AY$4,'17.04'!$AY$3))</f>
        <v>152</v>
      </c>
      <c r="K21" s="4">
        <f>IF(ISNUMBER(SEARCH("营",'17.04'!S21)),(-$Y21+50*IF('17.04'!$AK21="是",'17.04'!$AY$4,'17.04'!$AY$3)),(VLOOKUP('17.04'!S21,'17.04'!$AM$4:$AO$55,2,FALSE))*IF('17.04'!$AK21="是",'17.04'!$AY$4,'17.04'!$AY$3))</f>
        <v>144</v>
      </c>
      <c r="L21" s="4">
        <f>IF(ISNUMBER(SEARCH("营",'17.04'!T21)),(-$Y21+50*IF('17.04'!$AK21="是",'17.04'!$AY$4,'17.04'!$AY$3)),(VLOOKUP('17.04'!T21,'17.04'!$AM$4:$AO$55,2,FALSE))*IF('17.04'!$AK21="是",'17.04'!$AY$4,'17.04'!$AY$3))</f>
        <v>144</v>
      </c>
      <c r="M21" s="4">
        <f>IF(ISNUMBER(SEARCH("营",'17.04'!U21)),(-$Y21+50*IF('17.04'!$AK21="是",'17.04'!$AY$4,'17.04'!$AY$3)),(VLOOKUP('17.04'!U21,'17.04'!$AM$4:$AO$55,2,FALSE))*IF('17.04'!$AK21="是",'17.04'!$AY$4,'17.04'!$AY$3))</f>
        <v>144</v>
      </c>
      <c r="N21" s="4">
        <f>IF(ISNUMBER(SEARCH("营",'17.04'!V21)),(-$Y21+50*IF('17.04'!$AK21="是",'17.04'!$AY$4,'17.04'!$AY$3)),(VLOOKUP('17.04'!V21,'17.04'!$AM$4:$AO$55,2,FALSE))*IF('17.04'!$AK21="是",'17.04'!$AY$4,'17.04'!$AY$3))</f>
        <v>144</v>
      </c>
      <c r="O21" s="4">
        <f>IF(ISNUMBER(SEARCH("营",'17.04'!W21)),(-$Y21+50*IF('17.04'!$AK21="是",'17.04'!$AY$4,'17.04'!$AY$3)),(VLOOKUP('17.04'!W21,'17.04'!$AM$4:$AO$55,2,FALSE))*IF('17.04'!$AK21="是",'17.04'!$AY$4,'17.04'!$AY$3))</f>
        <v>0</v>
      </c>
      <c r="P21" s="4">
        <f>IF(ISNUMBER(SEARCH("营",'17.04'!X21)),(-$Y21+50*IF('17.04'!$AK21="是",'17.04'!$AY$4,'17.04'!$AY$3)),(VLOOKUP('17.04'!X21,'17.04'!$AM$4:$AO$55,2,FALSE))*IF('17.04'!$AK21="是",'17.04'!$AY$4,'17.04'!$AY$3))</f>
        <v>0</v>
      </c>
      <c r="Q21" s="4">
        <f>IF(ISNUMBER(SEARCH("营",'17.04'!Y21)),(-$Y21+50*IF('17.04'!$AK21="是",'17.04'!$AY$4,'17.04'!$AY$3)),(VLOOKUP('17.04'!Y21,'17.04'!$AM$4:$AO$55,2,FALSE))*IF('17.04'!$AK21="是",'17.04'!$AY$4,'17.04'!$AY$3))</f>
        <v>128</v>
      </c>
      <c r="R21" s="4">
        <f>IF(ISNUMBER(SEARCH("营",'17.04'!Z21)),(-$Y21+50*IF('17.04'!$AK21="是",'17.04'!$AY$4,'17.04'!$AY$3)),(VLOOKUP('17.04'!Z21,'17.04'!$AM$4:$AO$55,2,FALSE))*IF('17.04'!$AK21="是",'17.04'!$AY$4,'17.04'!$AY$3))</f>
        <v>40</v>
      </c>
      <c r="S21" s="4">
        <f>IF(ISNUMBER(SEARCH("营",'17.04'!AA21)),(-$Y21+50*IF('17.04'!$AK21="是",'17.04'!$AY$4,'17.04'!$AY$3)),(VLOOKUP('17.04'!AA21,'17.04'!$AM$4:$AO$55,2,FALSE))*IF('17.04'!$AK21="是",'17.04'!$AY$4,'17.04'!$AY$3))</f>
        <v>128</v>
      </c>
      <c r="T21" s="4">
        <f>IF(ISNUMBER(SEARCH("营",'17.04'!AB21)),(-$Y21+50*IF('17.04'!$AK21="是",'17.04'!$AY$4,'17.04'!$AY$3)),(VLOOKUP('17.04'!AB21,'17.04'!$AM$4:$AO$55,2,FALSE))*IF('17.04'!$AK21="是",'17.04'!$AY$4,'17.04'!$AY$3))</f>
        <v>128</v>
      </c>
      <c r="U21" s="4">
        <f>IF(ISNUMBER(SEARCH("营",'17.04'!AC21)),(-$Y21+50*IF('17.04'!$AK21="是",'17.04'!$AY$4,'17.04'!$AY$3)),(VLOOKUP('17.04'!AC21,'17.04'!$AM$4:$AO$55,2,FALSE))*IF('17.04'!$AK21="是",'17.04'!$AY$4,'17.04'!$AY$3))</f>
        <v>128</v>
      </c>
      <c r="V21" s="4">
        <f>IF(ISNUMBER(SEARCH("营",'17.04'!AD21)),(-$Y21+50*IF('17.04'!$AK21="是",'17.04'!$AY$4,'17.04'!$AY$3)),(VLOOKUP('17.04'!AD21,'17.04'!$AM$4:$AO$55,2,FALSE))*IF('17.04'!$AK21="是",'17.04'!$AY$4,'17.04'!$AY$3))</f>
        <v>40</v>
      </c>
      <c r="W21" s="4">
        <f>IF(ISNUMBER(SEARCH("营",'17.04'!AE21)),(-$Y21+50*IF('17.04'!$AK21="是",'17.04'!$AY$4,'17.04'!$AY$3)),(VLOOKUP('17.04'!AE21,'17.04'!$AM$4:$AO$55,2,FALSE))*IF('17.04'!$AK21="是",'17.04'!$AY$4,'17.04'!$AY$3))</f>
        <v>0</v>
      </c>
      <c r="X21" s="4">
        <f>IF(ISNUMBER(SEARCH("营",'17.04'!AF21)),(-$Y21+50*IF('17.04'!$AK21="是",'17.04'!$AY$4,'17.04'!$AY$3)),(VLOOKUP('17.04'!AF21,'17.04'!$AM$4:$AO$55,2,FALSE))*IF('17.04'!$AK21="是",'17.04'!$AY$4,'17.04'!$AY$3))</f>
        <v>0</v>
      </c>
      <c r="Y21" s="90">
        <v>250</v>
      </c>
    </row>
    <row r="22" spans="1:25">
      <c r="A22" s="4">
        <f>IF(ISNUMBER(SEARCH("营",'17.04'!I22)),(-$Y22+50*IF('17.04'!$AK22="是",'17.04'!$AY$4,'17.04'!$AY$3)),(VLOOKUP('17.04'!I22,'17.04'!$AM$4:$AO$55,2,FALSE))*IF('17.04'!$AK22="是",'17.04'!$AY$4,'17.04'!$AY$3))</f>
        <v>0</v>
      </c>
      <c r="B22" s="4">
        <f>IF(ISNUMBER(SEARCH("营",'17.04'!J22)),(-$Y22+50*IF('17.04'!$AK22="是",'17.04'!$AY$4,'17.04'!$AY$3)),(VLOOKUP('17.04'!J22,'17.04'!$AM$4:$AO$55,2,FALSE))*IF('17.04'!$AK22="是",'17.04'!$AY$4,'17.04'!$AY$3))</f>
        <v>0</v>
      </c>
      <c r="C22" s="4">
        <f>IF(ISNUMBER(SEARCH("营",'17.04'!K22)),(-$Y22+50*IF('17.04'!$AK22="是",'17.04'!$AY$4,'17.04'!$AY$3)),(VLOOKUP('17.04'!K22,'17.04'!$AM$4:$AO$55,2,FALSE))*IF('17.04'!$AK22="是",'17.04'!$AY$4,'17.04'!$AY$3))</f>
        <v>0</v>
      </c>
      <c r="D22" s="4">
        <f>IF(ISNUMBER(SEARCH("营",'17.04'!L22)),(-$Y22+50*IF('17.04'!$AK22="是",'17.04'!$AY$4,'17.04'!$AY$3)),(VLOOKUP('17.04'!L22,'17.04'!$AM$4:$AO$55,2,FALSE))*IF('17.04'!$AK22="是",'17.04'!$AY$4,'17.04'!$AY$3))</f>
        <v>0</v>
      </c>
      <c r="E22" s="4">
        <f>IF(ISNUMBER(SEARCH("营",'17.04'!M22)),(-$Y22+50*IF('17.04'!$AK22="是",'17.04'!$AY$4,'17.04'!$AY$3)),(VLOOKUP('17.04'!M22,'17.04'!$AM$4:$AO$55,2,FALSE))*IF('17.04'!$AK22="是",'17.04'!$AY$4,'17.04'!$AY$3))</f>
        <v>0</v>
      </c>
      <c r="F22" s="4">
        <f>IF(ISNUMBER(SEARCH("营",'17.04'!N22)),(-$Y22+50*IF('17.04'!$AK22="是",'17.04'!$AY$4,'17.04'!$AY$3)),(VLOOKUP('17.04'!N22,'17.04'!$AM$4:$AO$55,2,FALSE))*IF('17.04'!$AK22="是",'17.04'!$AY$4,'17.04'!$AY$3))</f>
        <v>0</v>
      </c>
      <c r="G22" s="4">
        <f>IF(ISNUMBER(SEARCH("营",'17.04'!O22)),(-$Y22+50*IF('17.04'!$AK22="是",'17.04'!$AY$4,'17.04'!$AY$3)),(VLOOKUP('17.04'!O22,'17.04'!$AM$4:$AO$55,2,FALSE))*IF('17.04'!$AK22="是",'17.04'!$AY$4,'17.04'!$AY$3))</f>
        <v>0</v>
      </c>
      <c r="H22" s="4">
        <f>IF(ISNUMBER(SEARCH("营",'17.04'!P22)),(-$Y22+50*IF('17.04'!$AK22="是",'17.04'!$AY$4,'17.04'!$AY$3)),(VLOOKUP('17.04'!P22,'17.04'!$AM$4:$AO$55,2,FALSE))*IF('17.04'!$AK22="是",'17.04'!$AY$4,'17.04'!$AY$3))</f>
        <v>0</v>
      </c>
      <c r="I22" s="4">
        <f>IF(ISNUMBER(SEARCH("营",'17.04'!Q22)),(-$Y22+50*IF('17.04'!$AK22="是",'17.04'!$AY$4,'17.04'!$AY$3)),(VLOOKUP('17.04'!Q22,'17.04'!$AM$4:$AO$55,2,FALSE))*IF('17.04'!$AK22="是",'17.04'!$AY$4,'17.04'!$AY$3))</f>
        <v>144</v>
      </c>
      <c r="J22" s="4">
        <f>IF(ISNUMBER(SEARCH("营",'17.04'!R22)),(-$Y22+50*IF('17.04'!$AK22="是",'17.04'!$AY$4,'17.04'!$AY$3)),(VLOOKUP('17.04'!R22,'17.04'!$AM$4:$AO$55,2,FALSE))*IF('17.04'!$AK22="是",'17.04'!$AY$4,'17.04'!$AY$3))</f>
        <v>-210</v>
      </c>
      <c r="K22" s="4">
        <f>IF(ISNUMBER(SEARCH("营",'17.04'!S22)),(-$Y22+50*IF('17.04'!$AK22="是",'17.04'!$AY$4,'17.04'!$AY$3)),(VLOOKUP('17.04'!S22,'17.04'!$AM$4:$AO$55,2,FALSE))*IF('17.04'!$AK22="是",'17.04'!$AY$4,'17.04'!$AY$3))</f>
        <v>144</v>
      </c>
      <c r="L22" s="4">
        <f>IF(ISNUMBER(SEARCH("营",'17.04'!T22)),(-$Y22+50*IF('17.04'!$AK22="是",'17.04'!$AY$4,'17.04'!$AY$3)),(VLOOKUP('17.04'!T22,'17.04'!$AM$4:$AO$55,2,FALSE))*IF('17.04'!$AK22="是",'17.04'!$AY$4,'17.04'!$AY$3))</f>
        <v>144</v>
      </c>
      <c r="M22" s="4">
        <f>IF(ISNUMBER(SEARCH("营",'17.04'!U22)),(-$Y22+50*IF('17.04'!$AK22="是",'17.04'!$AY$4,'17.04'!$AY$3)),(VLOOKUP('17.04'!U22,'17.04'!$AM$4:$AO$55,2,FALSE))*IF('17.04'!$AK22="是",'17.04'!$AY$4,'17.04'!$AY$3))</f>
        <v>144</v>
      </c>
      <c r="N22" s="4">
        <f>IF(ISNUMBER(SEARCH("营",'17.04'!V22)),(-$Y22+50*IF('17.04'!$AK22="是",'17.04'!$AY$4,'17.04'!$AY$3)),(VLOOKUP('17.04'!V22,'17.04'!$AM$4:$AO$55,2,FALSE))*IF('17.04'!$AK22="是",'17.04'!$AY$4,'17.04'!$AY$3))</f>
        <v>152</v>
      </c>
      <c r="O22" s="4">
        <f>IF(ISNUMBER(SEARCH("营",'17.04'!W22)),(-$Y22+50*IF('17.04'!$AK22="是",'17.04'!$AY$4,'17.04'!$AY$3)),(VLOOKUP('17.04'!W22,'17.04'!$AM$4:$AO$55,2,FALSE))*IF('17.04'!$AK22="是",'17.04'!$AY$4,'17.04'!$AY$3))</f>
        <v>144</v>
      </c>
      <c r="P22" s="4">
        <f>IF(ISNUMBER(SEARCH("营",'17.04'!X22)),(-$Y22+50*IF('17.04'!$AK22="是",'17.04'!$AY$4,'17.04'!$AY$3)),(VLOOKUP('17.04'!X22,'17.04'!$AM$4:$AO$55,2,FALSE))*IF('17.04'!$AK22="是",'17.04'!$AY$4,'17.04'!$AY$3))</f>
        <v>144</v>
      </c>
      <c r="Q22" s="4">
        <f>IF(ISNUMBER(SEARCH("营",'17.04'!Y22)),(-$Y22+50*IF('17.04'!$AK22="是",'17.04'!$AY$4,'17.04'!$AY$3)),(VLOOKUP('17.04'!Y22,'17.04'!$AM$4:$AO$55,2,FALSE))*IF('17.04'!$AK22="是",'17.04'!$AY$4,'17.04'!$AY$3))</f>
        <v>128</v>
      </c>
      <c r="R22" s="4">
        <f>IF(ISNUMBER(SEARCH("营",'17.04'!Z22)),(-$Y22+50*IF('17.04'!$AK22="是",'17.04'!$AY$4,'17.04'!$AY$3)),(VLOOKUP('17.04'!Z22,'17.04'!$AM$4:$AO$55,2,FALSE))*IF('17.04'!$AK22="是",'17.04'!$AY$4,'17.04'!$AY$3))</f>
        <v>-210</v>
      </c>
      <c r="S22" s="4">
        <f>IF(ISNUMBER(SEARCH("营",'17.04'!AA22)),(-$Y22+50*IF('17.04'!$AK22="是",'17.04'!$AY$4,'17.04'!$AY$3)),(VLOOKUP('17.04'!AA22,'17.04'!$AM$4:$AO$55,2,FALSE))*IF('17.04'!$AK22="是",'17.04'!$AY$4,'17.04'!$AY$3))</f>
        <v>128</v>
      </c>
      <c r="T22" s="4">
        <f>IF(ISNUMBER(SEARCH("营",'17.04'!AB22)),(-$Y22+50*IF('17.04'!$AK22="是",'17.04'!$AY$4,'17.04'!$AY$3)),(VLOOKUP('17.04'!AB22,'17.04'!$AM$4:$AO$55,2,FALSE))*IF('17.04'!$AK22="是",'17.04'!$AY$4,'17.04'!$AY$3))</f>
        <v>128</v>
      </c>
      <c r="U22" s="4">
        <f>IF(ISNUMBER(SEARCH("营",'17.04'!AC22)),(-$Y22+50*IF('17.04'!$AK22="是",'17.04'!$AY$4,'17.04'!$AY$3)),(VLOOKUP('17.04'!AC22,'17.04'!$AM$4:$AO$55,2,FALSE))*IF('17.04'!$AK22="是",'17.04'!$AY$4,'17.04'!$AY$3))</f>
        <v>152</v>
      </c>
      <c r="V22" s="4">
        <f>IF(ISNUMBER(SEARCH("营",'17.04'!AD22)),(-$Y22+50*IF('17.04'!$AK22="是",'17.04'!$AY$4,'17.04'!$AY$3)),(VLOOKUP('17.04'!AD22,'17.04'!$AM$4:$AO$55,2,FALSE))*IF('17.04'!$AK22="是",'17.04'!$AY$4,'17.04'!$AY$3))</f>
        <v>160</v>
      </c>
      <c r="W22" s="4">
        <f>IF(ISNUMBER(SEARCH("营",'17.04'!AE22)),(-$Y22+50*IF('17.04'!$AK22="是",'17.04'!$AY$4,'17.04'!$AY$3)),(VLOOKUP('17.04'!AE22,'17.04'!$AM$4:$AO$55,2,FALSE))*IF('17.04'!$AK22="是",'17.04'!$AY$4,'17.04'!$AY$3))</f>
        <v>0</v>
      </c>
      <c r="X22" s="4">
        <f>IF(ISNUMBER(SEARCH("营",'17.04'!AF22)),(-$Y22+50*IF('17.04'!$AK22="是",'17.04'!$AY$4,'17.04'!$AY$3)),(VLOOKUP('17.04'!AF22,'17.04'!$AM$4:$AO$55,2,FALSE))*IF('17.04'!$AK22="是",'17.04'!$AY$4,'17.04'!$AY$3))</f>
        <v>0</v>
      </c>
      <c r="Y22" s="90">
        <v>250</v>
      </c>
    </row>
    <row r="23" spans="1:25">
      <c r="A23" s="4">
        <f>IF(ISNUMBER(SEARCH("营",'17.04'!I23)),(-$Y23+50*IF('17.04'!$AK23="是",'17.04'!$AY$4,'17.04'!$AY$3)),(VLOOKUP('17.04'!I23,'17.04'!$AM$4:$AO$55,2,FALSE))*IF('17.04'!$AK23="是",'17.04'!$AY$4,'17.04'!$AY$3))</f>
        <v>0</v>
      </c>
      <c r="B23" s="4">
        <f>IF(ISNUMBER(SEARCH("营",'17.04'!J23)),(-$Y23+50*IF('17.04'!$AK23="是",'17.04'!$AY$4,'17.04'!$AY$3)),(VLOOKUP('17.04'!J23,'17.04'!$AM$4:$AO$55,2,FALSE))*IF('17.04'!$AK23="是",'17.04'!$AY$4,'17.04'!$AY$3))</f>
        <v>0</v>
      </c>
      <c r="C23" s="4">
        <f>IF(ISNUMBER(SEARCH("营",'17.04'!K23)),(-$Y23+50*IF('17.04'!$AK23="是",'17.04'!$AY$4,'17.04'!$AY$3)),(VLOOKUP('17.04'!K23,'17.04'!$AM$4:$AO$55,2,FALSE))*IF('17.04'!$AK23="是",'17.04'!$AY$4,'17.04'!$AY$3))</f>
        <v>0</v>
      </c>
      <c r="D23" s="4">
        <f>IF(ISNUMBER(SEARCH("营",'17.04'!L23)),(-$Y23+50*IF('17.04'!$AK23="是",'17.04'!$AY$4,'17.04'!$AY$3)),(VLOOKUP('17.04'!L23,'17.04'!$AM$4:$AO$55,2,FALSE))*IF('17.04'!$AK23="是",'17.04'!$AY$4,'17.04'!$AY$3))</f>
        <v>0</v>
      </c>
      <c r="E23" s="4">
        <f>IF(ISNUMBER(SEARCH("营",'17.04'!M23)),(-$Y23+50*IF('17.04'!$AK23="是",'17.04'!$AY$4,'17.04'!$AY$3)),(VLOOKUP('17.04'!M23,'17.04'!$AM$4:$AO$55,2,FALSE))*IF('17.04'!$AK23="是",'17.04'!$AY$4,'17.04'!$AY$3))</f>
        <v>0</v>
      </c>
      <c r="F23" s="4">
        <f>IF(ISNUMBER(SEARCH("营",'17.04'!N23)),(-$Y23+50*IF('17.04'!$AK23="是",'17.04'!$AY$4,'17.04'!$AY$3)),(VLOOKUP('17.04'!N23,'17.04'!$AM$4:$AO$55,2,FALSE))*IF('17.04'!$AK23="是",'17.04'!$AY$4,'17.04'!$AY$3))</f>
        <v>0</v>
      </c>
      <c r="G23" s="4">
        <f>IF(ISNUMBER(SEARCH("营",'17.04'!O23)),(-$Y23+50*IF('17.04'!$AK23="是",'17.04'!$AY$4,'17.04'!$AY$3)),(VLOOKUP('17.04'!O23,'17.04'!$AM$4:$AO$55,2,FALSE))*IF('17.04'!$AK23="是",'17.04'!$AY$4,'17.04'!$AY$3))</f>
        <v>0</v>
      </c>
      <c r="H23" s="4">
        <f>IF(ISNUMBER(SEARCH("营",'17.04'!P23)),(-$Y23+50*IF('17.04'!$AK23="是",'17.04'!$AY$4,'17.04'!$AY$3)),(VLOOKUP('17.04'!P23,'17.04'!$AM$4:$AO$55,2,FALSE))*IF('17.04'!$AK23="是",'17.04'!$AY$4,'17.04'!$AY$3))</f>
        <v>0</v>
      </c>
      <c r="I23" s="4">
        <f>IF(ISNUMBER(SEARCH("营",'17.04'!Q23)),(-$Y23+50*IF('17.04'!$AK23="是",'17.04'!$AY$4,'17.04'!$AY$3)),(VLOOKUP('17.04'!Q23,'17.04'!$AM$4:$AO$55,2,FALSE))*IF('17.04'!$AK23="是",'17.04'!$AY$4,'17.04'!$AY$3))</f>
        <v>144</v>
      </c>
      <c r="J23" s="4">
        <f>IF(ISNUMBER(SEARCH("营",'17.04'!R23)),(-$Y23+50*IF('17.04'!$AK23="是",'17.04'!$AY$4,'17.04'!$AY$3)),(VLOOKUP('17.04'!R23,'17.04'!$AM$4:$AO$55,2,FALSE))*IF('17.04'!$AK23="是",'17.04'!$AY$4,'17.04'!$AY$3))</f>
        <v>152</v>
      </c>
      <c r="K23" s="4">
        <f>IF(ISNUMBER(SEARCH("营",'17.04'!S23)),(-$Y23+50*IF('17.04'!$AK23="是",'17.04'!$AY$4,'17.04'!$AY$3)),(VLOOKUP('17.04'!S23,'17.04'!$AM$4:$AO$55,2,FALSE))*IF('17.04'!$AK23="是",'17.04'!$AY$4,'17.04'!$AY$3))</f>
        <v>152</v>
      </c>
      <c r="L23" s="4">
        <f>IF(ISNUMBER(SEARCH("营",'17.04'!T23)),(-$Y23+50*IF('17.04'!$AK23="是",'17.04'!$AY$4,'17.04'!$AY$3)),(VLOOKUP('17.04'!T23,'17.04'!$AM$4:$AO$55,2,FALSE))*IF('17.04'!$AK23="是",'17.04'!$AY$4,'17.04'!$AY$3))</f>
        <v>-210</v>
      </c>
      <c r="M23" s="4">
        <f>IF(ISNUMBER(SEARCH("营",'17.04'!U23)),(-$Y23+50*IF('17.04'!$AK23="是",'17.04'!$AY$4,'17.04'!$AY$3)),(VLOOKUP('17.04'!U23,'17.04'!$AM$4:$AO$55,2,FALSE))*IF('17.04'!$AK23="是",'17.04'!$AY$4,'17.04'!$AY$3))</f>
        <v>152</v>
      </c>
      <c r="N23" s="4">
        <f>IF(ISNUMBER(SEARCH("营",'17.04'!V23)),(-$Y23+50*IF('17.04'!$AK23="是",'17.04'!$AY$4,'17.04'!$AY$3)),(VLOOKUP('17.04'!V23,'17.04'!$AM$4:$AO$55,2,FALSE))*IF('17.04'!$AK23="是",'17.04'!$AY$4,'17.04'!$AY$3))</f>
        <v>152</v>
      </c>
      <c r="O23" s="4">
        <f>IF(ISNUMBER(SEARCH("营",'17.04'!W23)),(-$Y23+50*IF('17.04'!$AK23="是",'17.04'!$AY$4,'17.04'!$AY$3)),(VLOOKUP('17.04'!W23,'17.04'!$AM$4:$AO$55,2,FALSE))*IF('17.04'!$AK23="是",'17.04'!$AY$4,'17.04'!$AY$3))</f>
        <v>152</v>
      </c>
      <c r="P23" s="4">
        <f>IF(ISNUMBER(SEARCH("营",'17.04'!X23)),(-$Y23+50*IF('17.04'!$AK23="是",'17.04'!$AY$4,'17.04'!$AY$3)),(VLOOKUP('17.04'!X23,'17.04'!$AM$4:$AO$55,2,FALSE))*IF('17.04'!$AK23="是",'17.04'!$AY$4,'17.04'!$AY$3))</f>
        <v>152</v>
      </c>
      <c r="Q23" s="4">
        <f>IF(ISNUMBER(SEARCH("营",'17.04'!Y23)),(-$Y23+50*IF('17.04'!$AK23="是",'17.04'!$AY$4,'17.04'!$AY$3)),(VLOOKUP('17.04'!Y23,'17.04'!$AM$4:$AO$55,2,FALSE))*IF('17.04'!$AK23="是",'17.04'!$AY$4,'17.04'!$AY$3))</f>
        <v>160</v>
      </c>
      <c r="R23" s="4">
        <f>IF(ISNUMBER(SEARCH("营",'17.04'!Z23)),(-$Y23+50*IF('17.04'!$AK23="是",'17.04'!$AY$4,'17.04'!$AY$3)),(VLOOKUP('17.04'!Z23,'17.04'!$AM$4:$AO$55,2,FALSE))*IF('17.04'!$AK23="是",'17.04'!$AY$4,'17.04'!$AY$3))</f>
        <v>160</v>
      </c>
      <c r="S23" s="4">
        <f>IF(ISNUMBER(SEARCH("营",'17.04'!AA23)),(-$Y23+50*IF('17.04'!$AK23="是",'17.04'!$AY$4,'17.04'!$AY$3)),(VLOOKUP('17.04'!AA23,'17.04'!$AM$4:$AO$55,2,FALSE))*IF('17.04'!$AK23="是",'17.04'!$AY$4,'17.04'!$AY$3))</f>
        <v>160</v>
      </c>
      <c r="T23" s="4">
        <f>IF(ISNUMBER(SEARCH("营",'17.04'!AB23)),(-$Y23+50*IF('17.04'!$AK23="是",'17.04'!$AY$4,'17.04'!$AY$3)),(VLOOKUP('17.04'!AB23,'17.04'!$AM$4:$AO$55,2,FALSE))*IF('17.04'!$AK23="是",'17.04'!$AY$4,'17.04'!$AY$3))</f>
        <v>160</v>
      </c>
      <c r="U23" s="4">
        <f>IF(ISNUMBER(SEARCH("营",'17.04'!AC23)),(-$Y23+50*IF('17.04'!$AK23="是",'17.04'!$AY$4,'17.04'!$AY$3)),(VLOOKUP('17.04'!AC23,'17.04'!$AM$4:$AO$55,2,FALSE))*IF('17.04'!$AK23="是",'17.04'!$AY$4,'17.04'!$AY$3))</f>
        <v>160</v>
      </c>
      <c r="V23" s="4">
        <f>IF(ISNUMBER(SEARCH("营",'17.04'!AD23)),(-$Y23+50*IF('17.04'!$AK23="是",'17.04'!$AY$4,'17.04'!$AY$3)),(VLOOKUP('17.04'!AD23,'17.04'!$AM$4:$AO$55,2,FALSE))*IF('17.04'!$AK23="是",'17.04'!$AY$4,'17.04'!$AY$3))</f>
        <v>160</v>
      </c>
      <c r="W23" s="4">
        <f>IF(ISNUMBER(SEARCH("营",'17.04'!AE23)),(-$Y23+50*IF('17.04'!$AK23="是",'17.04'!$AY$4,'17.04'!$AY$3)),(VLOOKUP('17.04'!AE23,'17.04'!$AM$4:$AO$55,2,FALSE))*IF('17.04'!$AK23="是",'17.04'!$AY$4,'17.04'!$AY$3))</f>
        <v>0</v>
      </c>
      <c r="X23" s="4">
        <f>IF(ISNUMBER(SEARCH("营",'17.04'!AF23)),(-$Y23+50*IF('17.04'!$AK23="是",'17.04'!$AY$4,'17.04'!$AY$3)),(VLOOKUP('17.04'!AF23,'17.04'!$AM$4:$AO$55,2,FALSE))*IF('17.04'!$AK23="是",'17.04'!$AY$4,'17.04'!$AY$3))</f>
        <v>0</v>
      </c>
      <c r="Y23" s="90">
        <v>250</v>
      </c>
    </row>
    <row r="24" spans="1:25">
      <c r="A24" s="4">
        <f>IF(ISNUMBER(SEARCH("营",'17.04'!I24)),(-$Y24+50*IF('17.04'!$AK24="是",'17.04'!$AY$4,'17.04'!$AY$3)),(VLOOKUP('17.04'!I24,'17.04'!$AM$4:$AO$55,2,FALSE))*IF('17.04'!$AK24="是",'17.04'!$AY$4,'17.04'!$AY$3))</f>
        <v>0</v>
      </c>
      <c r="B24" s="4">
        <f>IF(ISNUMBER(SEARCH("营",'17.04'!J24)),(-$Y24+50*IF('17.04'!$AK24="是",'17.04'!$AY$4,'17.04'!$AY$3)),(VLOOKUP('17.04'!J24,'17.04'!$AM$4:$AO$55,2,FALSE))*IF('17.04'!$AK24="是",'17.04'!$AY$4,'17.04'!$AY$3))</f>
        <v>0</v>
      </c>
      <c r="C24" s="4">
        <f>IF(ISNUMBER(SEARCH("营",'17.04'!K24)),(-$Y24+50*IF('17.04'!$AK24="是",'17.04'!$AY$4,'17.04'!$AY$3)),(VLOOKUP('17.04'!K24,'17.04'!$AM$4:$AO$55,2,FALSE))*IF('17.04'!$AK24="是",'17.04'!$AY$4,'17.04'!$AY$3))</f>
        <v>0</v>
      </c>
      <c r="D24" s="4">
        <f>IF(ISNUMBER(SEARCH("营",'17.04'!L24)),(-$Y24+50*IF('17.04'!$AK24="是",'17.04'!$AY$4,'17.04'!$AY$3)),(VLOOKUP('17.04'!L24,'17.04'!$AM$4:$AO$55,2,FALSE))*IF('17.04'!$AK24="是",'17.04'!$AY$4,'17.04'!$AY$3))</f>
        <v>0</v>
      </c>
      <c r="E24" s="4">
        <f>IF(ISNUMBER(SEARCH("营",'17.04'!M24)),(-$Y24+50*IF('17.04'!$AK24="是",'17.04'!$AY$4,'17.04'!$AY$3)),(VLOOKUP('17.04'!M24,'17.04'!$AM$4:$AO$55,2,FALSE))*IF('17.04'!$AK24="是",'17.04'!$AY$4,'17.04'!$AY$3))</f>
        <v>0</v>
      </c>
      <c r="F24" s="4">
        <f>IF(ISNUMBER(SEARCH("营",'17.04'!N24)),(-$Y24+50*IF('17.04'!$AK24="是",'17.04'!$AY$4,'17.04'!$AY$3)),(VLOOKUP('17.04'!N24,'17.04'!$AM$4:$AO$55,2,FALSE))*IF('17.04'!$AK24="是",'17.04'!$AY$4,'17.04'!$AY$3))</f>
        <v>0</v>
      </c>
      <c r="G24" s="4">
        <f>IF(ISNUMBER(SEARCH("营",'17.04'!O24)),(-$Y24+50*IF('17.04'!$AK24="是",'17.04'!$AY$4,'17.04'!$AY$3)),(VLOOKUP('17.04'!O24,'17.04'!$AM$4:$AO$55,2,FALSE))*IF('17.04'!$AK24="是",'17.04'!$AY$4,'17.04'!$AY$3))</f>
        <v>0</v>
      </c>
      <c r="H24" s="4">
        <f>IF(ISNUMBER(SEARCH("营",'17.04'!P24)),(-$Y24+50*IF('17.04'!$AK24="是",'17.04'!$AY$4,'17.04'!$AY$3)),(VLOOKUP('17.04'!P24,'17.04'!$AM$4:$AO$55,2,FALSE))*IF('17.04'!$AK24="是",'17.04'!$AY$4,'17.04'!$AY$3))</f>
        <v>0</v>
      </c>
      <c r="I24" s="4">
        <f>IF(ISNUMBER(SEARCH("营",'17.04'!Q24)),(-$Y24+50*IF('17.04'!$AK24="是",'17.04'!$AY$4,'17.04'!$AY$3)),(VLOOKUP('17.04'!Q24,'17.04'!$AM$4:$AO$55,2,FALSE))*IF('17.04'!$AK24="是",'17.04'!$AY$4,'17.04'!$AY$3))</f>
        <v>160</v>
      </c>
      <c r="J24" s="4">
        <f>IF(ISNUMBER(SEARCH("营",'17.04'!R24)),(-$Y24+50*IF('17.04'!$AK24="是",'17.04'!$AY$4,'17.04'!$AY$3)),(VLOOKUP('17.04'!R24,'17.04'!$AM$4:$AO$55,2,FALSE))*IF('17.04'!$AK24="是",'17.04'!$AY$4,'17.04'!$AY$3))</f>
        <v>-210</v>
      </c>
      <c r="K24" s="4">
        <f>IF(ISNUMBER(SEARCH("营",'17.04'!S24)),(-$Y24+50*IF('17.04'!$AK24="是",'17.04'!$AY$4,'17.04'!$AY$3)),(VLOOKUP('17.04'!S24,'17.04'!$AM$4:$AO$55,2,FALSE))*IF('17.04'!$AK24="是",'17.04'!$AY$4,'17.04'!$AY$3))</f>
        <v>160</v>
      </c>
      <c r="L24" s="4">
        <f>IF(ISNUMBER(SEARCH("营",'17.04'!T24)),(-$Y24+50*IF('17.04'!$AK24="是",'17.04'!$AY$4,'17.04'!$AY$3)),(VLOOKUP('17.04'!T24,'17.04'!$AM$4:$AO$55,2,FALSE))*IF('17.04'!$AK24="是",'17.04'!$AY$4,'17.04'!$AY$3))</f>
        <v>152</v>
      </c>
      <c r="M24" s="4">
        <f>IF(ISNUMBER(SEARCH("营",'17.04'!U24)),(-$Y24+50*IF('17.04'!$AK24="是",'17.04'!$AY$4,'17.04'!$AY$3)),(VLOOKUP('17.04'!U24,'17.04'!$AM$4:$AO$55,2,FALSE))*IF('17.04'!$AK24="是",'17.04'!$AY$4,'17.04'!$AY$3))</f>
        <v>152</v>
      </c>
      <c r="N24" s="4">
        <f>IF(ISNUMBER(SEARCH("营",'17.04'!V24)),(-$Y24+50*IF('17.04'!$AK24="是",'17.04'!$AY$4,'17.04'!$AY$3)),(VLOOKUP('17.04'!V24,'17.04'!$AM$4:$AO$55,2,FALSE))*IF('17.04'!$AK24="是",'17.04'!$AY$4,'17.04'!$AY$3))</f>
        <v>152</v>
      </c>
      <c r="O24" s="4">
        <f>IF(ISNUMBER(SEARCH("营",'17.04'!W24)),(-$Y24+50*IF('17.04'!$AK24="是",'17.04'!$AY$4,'17.04'!$AY$3)),(VLOOKUP('17.04'!W24,'17.04'!$AM$4:$AO$55,2,FALSE))*IF('17.04'!$AK24="是",'17.04'!$AY$4,'17.04'!$AY$3))</f>
        <v>152</v>
      </c>
      <c r="P24" s="4">
        <f>IF(ISNUMBER(SEARCH("营",'17.04'!X24)),(-$Y24+50*IF('17.04'!$AK24="是",'17.04'!$AY$4,'17.04'!$AY$3)),(VLOOKUP('17.04'!X24,'17.04'!$AM$4:$AO$55,2,FALSE))*IF('17.04'!$AK24="是",'17.04'!$AY$4,'17.04'!$AY$3))</f>
        <v>152</v>
      </c>
      <c r="Q24" s="4">
        <f>IF(ISNUMBER(SEARCH("营",'17.04'!Y24)),(-$Y24+50*IF('17.04'!$AK24="是",'17.04'!$AY$4,'17.04'!$AY$3)),(VLOOKUP('17.04'!Y24,'17.04'!$AM$4:$AO$55,2,FALSE))*IF('17.04'!$AK24="是",'17.04'!$AY$4,'17.04'!$AY$3))</f>
        <v>160</v>
      </c>
      <c r="R24" s="4">
        <f>IF(ISNUMBER(SEARCH("营",'17.04'!Z24)),(-$Y24+50*IF('17.04'!$AK24="是",'17.04'!$AY$4,'17.04'!$AY$3)),(VLOOKUP('17.04'!Z24,'17.04'!$AM$4:$AO$55,2,FALSE))*IF('17.04'!$AK24="是",'17.04'!$AY$4,'17.04'!$AY$3))</f>
        <v>160</v>
      </c>
      <c r="S24" s="4">
        <f>IF(ISNUMBER(SEARCH("营",'17.04'!AA24)),(-$Y24+50*IF('17.04'!$AK24="是",'17.04'!$AY$4,'17.04'!$AY$3)),(VLOOKUP('17.04'!AA24,'17.04'!$AM$4:$AO$55,2,FALSE))*IF('17.04'!$AK24="是",'17.04'!$AY$4,'17.04'!$AY$3))</f>
        <v>-210</v>
      </c>
      <c r="T24" s="4">
        <f>IF(ISNUMBER(SEARCH("营",'17.04'!AB24)),(-$Y24+50*IF('17.04'!$AK24="是",'17.04'!$AY$4,'17.04'!$AY$3)),(VLOOKUP('17.04'!AB24,'17.04'!$AM$4:$AO$55,2,FALSE))*IF('17.04'!$AK24="是",'17.04'!$AY$4,'17.04'!$AY$3))</f>
        <v>160</v>
      </c>
      <c r="U24" s="4">
        <f>IF(ISNUMBER(SEARCH("营",'17.04'!AC24)),(-$Y24+50*IF('17.04'!$AK24="是",'17.04'!$AY$4,'17.04'!$AY$3)),(VLOOKUP('17.04'!AC24,'17.04'!$AM$4:$AO$55,2,FALSE))*IF('17.04'!$AK24="是",'17.04'!$AY$4,'17.04'!$AY$3))</f>
        <v>160</v>
      </c>
      <c r="V24" s="4">
        <f>IF(ISNUMBER(SEARCH("营",'17.04'!AD24)),(-$Y24+50*IF('17.04'!$AK24="是",'17.04'!$AY$4,'17.04'!$AY$3)),(VLOOKUP('17.04'!AD24,'17.04'!$AM$4:$AO$55,2,FALSE))*IF('17.04'!$AK24="是",'17.04'!$AY$4,'17.04'!$AY$3))</f>
        <v>160</v>
      </c>
      <c r="W24" s="4">
        <f>IF(ISNUMBER(SEARCH("营",'17.04'!AE24)),(-$Y24+50*IF('17.04'!$AK24="是",'17.04'!$AY$4,'17.04'!$AY$3)),(VLOOKUP('17.04'!AE24,'17.04'!$AM$4:$AO$55,2,FALSE))*IF('17.04'!$AK24="是",'17.04'!$AY$4,'17.04'!$AY$3))</f>
        <v>160</v>
      </c>
      <c r="X24" s="4">
        <f>IF(ISNUMBER(SEARCH("营",'17.04'!AF24)),(-$Y24+50*IF('17.04'!$AK24="是",'17.04'!$AY$4,'17.04'!$AY$3)),(VLOOKUP('17.04'!AF24,'17.04'!$AM$4:$AO$55,2,FALSE))*IF('17.04'!$AK24="是",'17.04'!$AY$4,'17.04'!$AY$3))</f>
        <v>0</v>
      </c>
      <c r="Y24" s="90">
        <v>250</v>
      </c>
    </row>
    <row r="25" spans="1:25">
      <c r="A25" s="4">
        <f>IF(ISNUMBER(SEARCH("营",'17.04'!I25)),(-$Y25+50*IF('17.04'!$AK25="是",'17.04'!$AY$4,'17.04'!$AY$3)),(VLOOKUP('17.04'!I25,'17.04'!$AM$4:$AO$55,2,FALSE))*IF('17.04'!$AK25="是",'17.04'!$AY$4,'17.04'!$AY$3))</f>
        <v>0</v>
      </c>
      <c r="B25" s="4">
        <f>IF(ISNUMBER(SEARCH("营",'17.04'!J25)),(-$Y25+50*IF('17.04'!$AK25="是",'17.04'!$AY$4,'17.04'!$AY$3)),(VLOOKUP('17.04'!J25,'17.04'!$AM$4:$AO$55,2,FALSE))*IF('17.04'!$AK25="是",'17.04'!$AY$4,'17.04'!$AY$3))</f>
        <v>0</v>
      </c>
      <c r="C25" s="4">
        <f>IF(ISNUMBER(SEARCH("营",'17.04'!K25)),(-$Y25+50*IF('17.04'!$AK25="是",'17.04'!$AY$4,'17.04'!$AY$3)),(VLOOKUP('17.04'!K25,'17.04'!$AM$4:$AO$55,2,FALSE))*IF('17.04'!$AK25="是",'17.04'!$AY$4,'17.04'!$AY$3))</f>
        <v>0</v>
      </c>
      <c r="D25" s="4">
        <f>IF(ISNUMBER(SEARCH("营",'17.04'!L25)),(-$Y25+50*IF('17.04'!$AK25="是",'17.04'!$AY$4,'17.04'!$AY$3)),(VLOOKUP('17.04'!L25,'17.04'!$AM$4:$AO$55,2,FALSE))*IF('17.04'!$AK25="是",'17.04'!$AY$4,'17.04'!$AY$3))</f>
        <v>0</v>
      </c>
      <c r="E25" s="4">
        <f>IF(ISNUMBER(SEARCH("营",'17.04'!M25)),(-$Y25+50*IF('17.04'!$AK25="是",'17.04'!$AY$4,'17.04'!$AY$3)),(VLOOKUP('17.04'!M25,'17.04'!$AM$4:$AO$55,2,FALSE))*IF('17.04'!$AK25="是",'17.04'!$AY$4,'17.04'!$AY$3))</f>
        <v>0</v>
      </c>
      <c r="F25" s="4">
        <f>IF(ISNUMBER(SEARCH("营",'17.04'!N25)),(-$Y25+50*IF('17.04'!$AK25="是",'17.04'!$AY$4,'17.04'!$AY$3)),(VLOOKUP('17.04'!N25,'17.04'!$AM$4:$AO$55,2,FALSE))*IF('17.04'!$AK25="是",'17.04'!$AY$4,'17.04'!$AY$3))</f>
        <v>0</v>
      </c>
      <c r="G25" s="4">
        <f>IF(ISNUMBER(SEARCH("营",'17.04'!O25)),(-$Y25+50*IF('17.04'!$AK25="是",'17.04'!$AY$4,'17.04'!$AY$3)),(VLOOKUP('17.04'!O25,'17.04'!$AM$4:$AO$55,2,FALSE))*IF('17.04'!$AK25="是",'17.04'!$AY$4,'17.04'!$AY$3))</f>
        <v>0</v>
      </c>
      <c r="H25" s="4">
        <f>IF(ISNUMBER(SEARCH("营",'17.04'!P25)),(-$Y25+50*IF('17.04'!$AK25="是",'17.04'!$AY$4,'17.04'!$AY$3)),(VLOOKUP('17.04'!P25,'17.04'!$AM$4:$AO$55,2,FALSE))*IF('17.04'!$AK25="是",'17.04'!$AY$4,'17.04'!$AY$3))</f>
        <v>0</v>
      </c>
      <c r="I25" s="4">
        <f>IF(ISNUMBER(SEARCH("营",'17.04'!Q25)),(-$Y25+50*IF('17.04'!$AK25="是",'17.04'!$AY$4,'17.04'!$AY$3)),(VLOOKUP('17.04'!Q25,'17.04'!$AM$4:$AO$55,2,FALSE))*IF('17.04'!$AK25="是",'17.04'!$AY$4,'17.04'!$AY$3))</f>
        <v>152</v>
      </c>
      <c r="J25" s="4">
        <f>IF(ISNUMBER(SEARCH("营",'17.04'!R25)),(-$Y25+50*IF('17.04'!$AK25="是",'17.04'!$AY$4,'17.04'!$AY$3)),(VLOOKUP('17.04'!R25,'17.04'!$AM$4:$AO$55,2,FALSE))*IF('17.04'!$AK25="是",'17.04'!$AY$4,'17.04'!$AY$3))</f>
        <v>152</v>
      </c>
      <c r="K25" s="4">
        <f>IF(ISNUMBER(SEARCH("营",'17.04'!S25)),(-$Y25+50*IF('17.04'!$AK25="是",'17.04'!$AY$4,'17.04'!$AY$3)),(VLOOKUP('17.04'!S25,'17.04'!$AM$4:$AO$55,2,FALSE))*IF('17.04'!$AK25="是",'17.04'!$AY$4,'17.04'!$AY$3))</f>
        <v>144</v>
      </c>
      <c r="L25" s="4">
        <f>IF(ISNUMBER(SEARCH("营",'17.04'!T25)),(-$Y25+50*IF('17.04'!$AK25="是",'17.04'!$AY$4,'17.04'!$AY$3)),(VLOOKUP('17.04'!T25,'17.04'!$AM$4:$AO$55,2,FALSE))*IF('17.04'!$AK25="是",'17.04'!$AY$4,'17.04'!$AY$3))</f>
        <v>144</v>
      </c>
      <c r="M25" s="4">
        <f>IF(ISNUMBER(SEARCH("营",'17.04'!U25)),(-$Y25+50*IF('17.04'!$AK25="是",'17.04'!$AY$4,'17.04'!$AY$3)),(VLOOKUP('17.04'!U25,'17.04'!$AM$4:$AO$55,2,FALSE))*IF('17.04'!$AK25="是",'17.04'!$AY$4,'17.04'!$AY$3))</f>
        <v>152</v>
      </c>
      <c r="N25" s="4">
        <f>IF(ISNUMBER(SEARCH("营",'17.04'!V25)),(-$Y25+50*IF('17.04'!$AK25="是",'17.04'!$AY$4,'17.04'!$AY$3)),(VLOOKUP('17.04'!V25,'17.04'!$AM$4:$AO$55,2,FALSE))*IF('17.04'!$AK25="是",'17.04'!$AY$4,'17.04'!$AY$3))</f>
        <v>144</v>
      </c>
      <c r="O25" s="4">
        <f>IF(ISNUMBER(SEARCH("营",'17.04'!W25)),(-$Y25+50*IF('17.04'!$AK25="是",'17.04'!$AY$4,'17.04'!$AY$3)),(VLOOKUP('17.04'!W25,'17.04'!$AM$4:$AO$55,2,FALSE))*IF('17.04'!$AK25="是",'17.04'!$AY$4,'17.04'!$AY$3))</f>
        <v>-210</v>
      </c>
      <c r="P25" s="4">
        <f>IF(ISNUMBER(SEARCH("营",'17.04'!X25)),(-$Y25+50*IF('17.04'!$AK25="是",'17.04'!$AY$4,'17.04'!$AY$3)),(VLOOKUP('17.04'!X25,'17.04'!$AM$4:$AO$55,2,FALSE))*IF('17.04'!$AK25="是",'17.04'!$AY$4,'17.04'!$AY$3))</f>
        <v>144</v>
      </c>
      <c r="Q25" s="4">
        <f>IF(ISNUMBER(SEARCH("营",'17.04'!Y25)),(-$Y25+50*IF('17.04'!$AK25="是",'17.04'!$AY$4,'17.04'!$AY$3)),(VLOOKUP('17.04'!Y25,'17.04'!$AM$4:$AO$55,2,FALSE))*IF('17.04'!$AK25="是",'17.04'!$AY$4,'17.04'!$AY$3))</f>
        <v>160</v>
      </c>
      <c r="R25" s="4">
        <f>IF(ISNUMBER(SEARCH("营",'17.04'!Z25)),(-$Y25+50*IF('17.04'!$AK25="是",'17.04'!$AY$4,'17.04'!$AY$3)),(VLOOKUP('17.04'!Z25,'17.04'!$AM$4:$AO$55,2,FALSE))*IF('17.04'!$AK25="是",'17.04'!$AY$4,'17.04'!$AY$3))</f>
        <v>160</v>
      </c>
      <c r="S25" s="4">
        <f>IF(ISNUMBER(SEARCH("营",'17.04'!AA25)),(-$Y25+50*IF('17.04'!$AK25="是",'17.04'!$AY$4,'17.04'!$AY$3)),(VLOOKUP('17.04'!AA25,'17.04'!$AM$4:$AO$55,2,FALSE))*IF('17.04'!$AK25="是",'17.04'!$AY$4,'17.04'!$AY$3))</f>
        <v>160</v>
      </c>
      <c r="T25" s="4">
        <f>IF(ISNUMBER(SEARCH("营",'17.04'!AB25)),(-$Y25+50*IF('17.04'!$AK25="是",'17.04'!$AY$4,'17.04'!$AY$3)),(VLOOKUP('17.04'!AB25,'17.04'!$AM$4:$AO$55,2,FALSE))*IF('17.04'!$AK25="是",'17.04'!$AY$4,'17.04'!$AY$3))</f>
        <v>160</v>
      </c>
      <c r="U25" s="4">
        <f>IF(ISNUMBER(SEARCH("营",'17.04'!AC25)),(-$Y25+50*IF('17.04'!$AK25="是",'17.04'!$AY$4,'17.04'!$AY$3)),(VLOOKUP('17.04'!AC25,'17.04'!$AM$4:$AO$55,2,FALSE))*IF('17.04'!$AK25="是",'17.04'!$AY$4,'17.04'!$AY$3))</f>
        <v>160</v>
      </c>
      <c r="V25" s="4">
        <f>IF(ISNUMBER(SEARCH("营",'17.04'!AD25)),(-$Y25+50*IF('17.04'!$AK25="是",'17.04'!$AY$4,'17.04'!$AY$3)),(VLOOKUP('17.04'!AD25,'17.04'!$AM$4:$AO$55,2,FALSE))*IF('17.04'!$AK25="是",'17.04'!$AY$4,'17.04'!$AY$3))</f>
        <v>160</v>
      </c>
      <c r="W25" s="4">
        <f>IF(ISNUMBER(SEARCH("营",'17.04'!AE25)),(-$Y25+50*IF('17.04'!$AK25="是",'17.04'!$AY$4,'17.04'!$AY$3)),(VLOOKUP('17.04'!AE25,'17.04'!$AM$4:$AO$55,2,FALSE))*IF('17.04'!$AK25="是",'17.04'!$AY$4,'17.04'!$AY$3))</f>
        <v>0</v>
      </c>
      <c r="X25" s="4">
        <f>IF(ISNUMBER(SEARCH("营",'17.04'!AF25)),(-$Y25+50*IF('17.04'!$AK25="是",'17.04'!$AY$4,'17.04'!$AY$3)),(VLOOKUP('17.04'!AF25,'17.04'!$AM$4:$AO$55,2,FALSE))*IF('17.04'!$AK25="是",'17.04'!$AY$4,'17.04'!$AY$3))</f>
        <v>0</v>
      </c>
      <c r="Y25" s="90">
        <v>250</v>
      </c>
    </row>
    <row r="26" spans="1:25">
      <c r="A26" s="4">
        <f>IF(ISNUMBER(SEARCH("营",'17.04'!I26)),(-$Y26+50*IF('17.04'!$AK26="是",'17.04'!$AY$4,'17.04'!$AY$3)),(VLOOKUP('17.04'!I26,'17.04'!$AM$4:$AO$55,2,FALSE))*IF('17.04'!$AK26="是",'17.04'!$AY$4,'17.04'!$AY$3))</f>
        <v>0</v>
      </c>
      <c r="B26" s="4">
        <f>IF(ISNUMBER(SEARCH("营",'17.04'!J26)),(-$Y26+50*IF('17.04'!$AK26="是",'17.04'!$AY$4,'17.04'!$AY$3)),(VLOOKUP('17.04'!J26,'17.04'!$AM$4:$AO$55,2,FALSE))*IF('17.04'!$AK26="是",'17.04'!$AY$4,'17.04'!$AY$3))</f>
        <v>0</v>
      </c>
      <c r="C26" s="4">
        <f>IF(ISNUMBER(SEARCH("营",'17.04'!K26)),(-$Y26+50*IF('17.04'!$AK26="是",'17.04'!$AY$4,'17.04'!$AY$3)),(VLOOKUP('17.04'!K26,'17.04'!$AM$4:$AO$55,2,FALSE))*IF('17.04'!$AK26="是",'17.04'!$AY$4,'17.04'!$AY$3))</f>
        <v>0</v>
      </c>
      <c r="D26" s="4">
        <f>IF(ISNUMBER(SEARCH("营",'17.04'!L26)),(-$Y26+50*IF('17.04'!$AK26="是",'17.04'!$AY$4,'17.04'!$AY$3)),(VLOOKUP('17.04'!L26,'17.04'!$AM$4:$AO$55,2,FALSE))*IF('17.04'!$AK26="是",'17.04'!$AY$4,'17.04'!$AY$3))</f>
        <v>0</v>
      </c>
      <c r="E26" s="4">
        <f>IF(ISNUMBER(SEARCH("营",'17.04'!M26)),(-$Y26+50*IF('17.04'!$AK26="是",'17.04'!$AY$4,'17.04'!$AY$3)),(VLOOKUP('17.04'!M26,'17.04'!$AM$4:$AO$55,2,FALSE))*IF('17.04'!$AK26="是",'17.04'!$AY$4,'17.04'!$AY$3))</f>
        <v>0</v>
      </c>
      <c r="F26" s="4">
        <f>IF(ISNUMBER(SEARCH("营",'17.04'!N26)),(-$Y26+50*IF('17.04'!$AK26="是",'17.04'!$AY$4,'17.04'!$AY$3)),(VLOOKUP('17.04'!N26,'17.04'!$AM$4:$AO$55,2,FALSE))*IF('17.04'!$AK26="是",'17.04'!$AY$4,'17.04'!$AY$3))</f>
        <v>0</v>
      </c>
      <c r="G26" s="4">
        <f>IF(ISNUMBER(SEARCH("营",'17.04'!O26)),(-$Y26+50*IF('17.04'!$AK26="是",'17.04'!$AY$4,'17.04'!$AY$3)),(VLOOKUP('17.04'!O26,'17.04'!$AM$4:$AO$55,2,FALSE))*IF('17.04'!$AK26="是",'17.04'!$AY$4,'17.04'!$AY$3))</f>
        <v>0</v>
      </c>
      <c r="H26" s="4">
        <f>IF(ISNUMBER(SEARCH("营",'17.04'!P26)),(-$Y26+50*IF('17.04'!$AK26="是",'17.04'!$AY$4,'17.04'!$AY$3)),(VLOOKUP('17.04'!P26,'17.04'!$AM$4:$AO$55,2,FALSE))*IF('17.04'!$AK26="是",'17.04'!$AY$4,'17.04'!$AY$3))</f>
        <v>0</v>
      </c>
      <c r="I26" s="4">
        <f>IF(ISNUMBER(SEARCH("营",'17.04'!Q26)),(-$Y26+50*IF('17.04'!$AK26="是",'17.04'!$AY$4,'17.04'!$AY$3)),(VLOOKUP('17.04'!Q26,'17.04'!$AM$4:$AO$55,2,FALSE))*IF('17.04'!$AK26="是",'17.04'!$AY$4,'17.04'!$AY$3))</f>
        <v>152</v>
      </c>
      <c r="J26" s="4">
        <f>IF(ISNUMBER(SEARCH("营",'17.04'!R26)),(-$Y26+50*IF('17.04'!$AK26="是",'17.04'!$AY$4,'17.04'!$AY$3)),(VLOOKUP('17.04'!R26,'17.04'!$AM$4:$AO$55,2,FALSE))*IF('17.04'!$AK26="是",'17.04'!$AY$4,'17.04'!$AY$3))</f>
        <v>40</v>
      </c>
      <c r="K26" s="4">
        <f>IF(ISNUMBER(SEARCH("营",'17.04'!S26)),(-$Y26+50*IF('17.04'!$AK26="是",'17.04'!$AY$4,'17.04'!$AY$3)),(VLOOKUP('17.04'!S26,'17.04'!$AM$4:$AO$55,2,FALSE))*IF('17.04'!$AK26="是",'17.04'!$AY$4,'17.04'!$AY$3))</f>
        <v>144</v>
      </c>
      <c r="L26" s="4">
        <f>IF(ISNUMBER(SEARCH("营",'17.04'!T26)),(-$Y26+50*IF('17.04'!$AK26="是",'17.04'!$AY$4,'17.04'!$AY$3)),(VLOOKUP('17.04'!T26,'17.04'!$AM$4:$AO$55,2,FALSE))*IF('17.04'!$AK26="是",'17.04'!$AY$4,'17.04'!$AY$3))</f>
        <v>144</v>
      </c>
      <c r="M26" s="4">
        <f>IF(ISNUMBER(SEARCH("营",'17.04'!U26)),(-$Y26+50*IF('17.04'!$AK26="是",'17.04'!$AY$4,'17.04'!$AY$3)),(VLOOKUP('17.04'!U26,'17.04'!$AM$4:$AO$55,2,FALSE))*IF('17.04'!$AK26="是",'17.04'!$AY$4,'17.04'!$AY$3))</f>
        <v>152</v>
      </c>
      <c r="N26" s="4">
        <f>IF(ISNUMBER(SEARCH("营",'17.04'!V26)),(-$Y26+50*IF('17.04'!$AK26="是",'17.04'!$AY$4,'17.04'!$AY$3)),(VLOOKUP('17.04'!V26,'17.04'!$AM$4:$AO$55,2,FALSE))*IF('17.04'!$AK26="是",'17.04'!$AY$4,'17.04'!$AY$3))</f>
        <v>152</v>
      </c>
      <c r="O26" s="4">
        <f>IF(ISNUMBER(SEARCH("营",'17.04'!W26)),(-$Y26+50*IF('17.04'!$AK26="是",'17.04'!$AY$4,'17.04'!$AY$3)),(VLOOKUP('17.04'!W26,'17.04'!$AM$4:$AO$55,2,FALSE))*IF('17.04'!$AK26="是",'17.04'!$AY$4,'17.04'!$AY$3))</f>
        <v>0</v>
      </c>
      <c r="P26" s="4">
        <f>IF(ISNUMBER(SEARCH("营",'17.04'!X26)),(-$Y26+50*IF('17.04'!$AK26="是",'17.04'!$AY$4,'17.04'!$AY$3)),(VLOOKUP('17.04'!X26,'17.04'!$AM$4:$AO$55,2,FALSE))*IF('17.04'!$AK26="是",'17.04'!$AY$4,'17.04'!$AY$3))</f>
        <v>0</v>
      </c>
      <c r="Q26" s="4">
        <f>IF(ISNUMBER(SEARCH("营",'17.04'!Y26)),(-$Y26+50*IF('17.04'!$AK26="是",'17.04'!$AY$4,'17.04'!$AY$3)),(VLOOKUP('17.04'!Y26,'17.04'!$AM$4:$AO$55,2,FALSE))*IF('17.04'!$AK26="是",'17.04'!$AY$4,'17.04'!$AY$3))</f>
        <v>160</v>
      </c>
      <c r="R26" s="4">
        <f>IF(ISNUMBER(SEARCH("营",'17.04'!Z26)),(-$Y26+50*IF('17.04'!$AK26="是",'17.04'!$AY$4,'17.04'!$AY$3)),(VLOOKUP('17.04'!Z26,'17.04'!$AM$4:$AO$55,2,FALSE))*IF('17.04'!$AK26="是",'17.04'!$AY$4,'17.04'!$AY$3))</f>
        <v>40</v>
      </c>
      <c r="S26" s="4">
        <f>IF(ISNUMBER(SEARCH("营",'17.04'!AA26)),(-$Y26+50*IF('17.04'!$AK26="是",'17.04'!$AY$4,'17.04'!$AY$3)),(VLOOKUP('17.04'!AA26,'17.04'!$AM$4:$AO$55,2,FALSE))*IF('17.04'!$AK26="是",'17.04'!$AY$4,'17.04'!$AY$3))</f>
        <v>160</v>
      </c>
      <c r="T26" s="4">
        <f>IF(ISNUMBER(SEARCH("营",'17.04'!AB26)),(-$Y26+50*IF('17.04'!$AK26="是",'17.04'!$AY$4,'17.04'!$AY$3)),(VLOOKUP('17.04'!AB26,'17.04'!$AM$4:$AO$55,2,FALSE))*IF('17.04'!$AK26="是",'17.04'!$AY$4,'17.04'!$AY$3))</f>
        <v>160</v>
      </c>
      <c r="U26" s="4">
        <f>IF(ISNUMBER(SEARCH("营",'17.04'!AC26)),(-$Y26+50*IF('17.04'!$AK26="是",'17.04'!$AY$4,'17.04'!$AY$3)),(VLOOKUP('17.04'!AC26,'17.04'!$AM$4:$AO$55,2,FALSE))*IF('17.04'!$AK26="是",'17.04'!$AY$4,'17.04'!$AY$3))</f>
        <v>160</v>
      </c>
      <c r="V26" s="4">
        <f>IF(ISNUMBER(SEARCH("营",'17.04'!AD26)),(-$Y26+50*IF('17.04'!$AK26="是",'17.04'!$AY$4,'17.04'!$AY$3)),(VLOOKUP('17.04'!AD26,'17.04'!$AM$4:$AO$55,2,FALSE))*IF('17.04'!$AK26="是",'17.04'!$AY$4,'17.04'!$AY$3))</f>
        <v>160</v>
      </c>
      <c r="W26" s="4">
        <f>IF(ISNUMBER(SEARCH("营",'17.04'!AE26)),(-$Y26+50*IF('17.04'!$AK26="是",'17.04'!$AY$4,'17.04'!$AY$3)),(VLOOKUP('17.04'!AE26,'17.04'!$AM$4:$AO$55,2,FALSE))*IF('17.04'!$AK26="是",'17.04'!$AY$4,'17.04'!$AY$3))</f>
        <v>0</v>
      </c>
      <c r="X26" s="4">
        <f>IF(ISNUMBER(SEARCH("营",'17.04'!AF26)),(-$Y26+50*IF('17.04'!$AK26="是",'17.04'!$AY$4,'17.04'!$AY$3)),(VLOOKUP('17.04'!AF26,'17.04'!$AM$4:$AO$55,2,FALSE))*IF('17.04'!$AK26="是",'17.04'!$AY$4,'17.04'!$AY$3))</f>
        <v>0</v>
      </c>
      <c r="Y26" s="90">
        <v>250</v>
      </c>
    </row>
    <row r="27" spans="1:25">
      <c r="A27" s="4">
        <f>IF(ISNUMBER(SEARCH("营",'17.04'!I27)),(-$Y27+50*IF('17.04'!$AK27="是",'17.04'!$AY$4,'17.04'!$AY$3)),(VLOOKUP('17.04'!I27,'17.04'!$AM$4:$AO$55,2,FALSE))*IF('17.04'!$AK27="是",'17.04'!$AY$4,'17.04'!$AY$3))</f>
        <v>0</v>
      </c>
      <c r="B27" s="4">
        <f>IF(ISNUMBER(SEARCH("营",'17.04'!J27)),(-$Y27+50*IF('17.04'!$AK27="是",'17.04'!$AY$4,'17.04'!$AY$3)),(VLOOKUP('17.04'!J27,'17.04'!$AM$4:$AO$55,2,FALSE))*IF('17.04'!$AK27="是",'17.04'!$AY$4,'17.04'!$AY$3))</f>
        <v>0</v>
      </c>
      <c r="C27" s="4">
        <f>IF(ISNUMBER(SEARCH("营",'17.04'!K27)),(-$Y27+50*IF('17.04'!$AK27="是",'17.04'!$AY$4,'17.04'!$AY$3)),(VLOOKUP('17.04'!K27,'17.04'!$AM$4:$AO$55,2,FALSE))*IF('17.04'!$AK27="是",'17.04'!$AY$4,'17.04'!$AY$3))</f>
        <v>0</v>
      </c>
      <c r="D27" s="4">
        <f>IF(ISNUMBER(SEARCH("营",'17.04'!L27)),(-$Y27+50*IF('17.04'!$AK27="是",'17.04'!$AY$4,'17.04'!$AY$3)),(VLOOKUP('17.04'!L27,'17.04'!$AM$4:$AO$55,2,FALSE))*IF('17.04'!$AK27="是",'17.04'!$AY$4,'17.04'!$AY$3))</f>
        <v>0</v>
      </c>
      <c r="E27" s="4">
        <f>IF(ISNUMBER(SEARCH("营",'17.04'!M27)),(-$Y27+50*IF('17.04'!$AK27="是",'17.04'!$AY$4,'17.04'!$AY$3)),(VLOOKUP('17.04'!M27,'17.04'!$AM$4:$AO$55,2,FALSE))*IF('17.04'!$AK27="是",'17.04'!$AY$4,'17.04'!$AY$3))</f>
        <v>0</v>
      </c>
      <c r="F27" s="4">
        <f>IF(ISNUMBER(SEARCH("营",'17.04'!N27)),(-$Y27+50*IF('17.04'!$AK27="是",'17.04'!$AY$4,'17.04'!$AY$3)),(VLOOKUP('17.04'!N27,'17.04'!$AM$4:$AO$55,2,FALSE))*IF('17.04'!$AK27="是",'17.04'!$AY$4,'17.04'!$AY$3))</f>
        <v>0</v>
      </c>
      <c r="G27" s="4">
        <f>IF(ISNUMBER(SEARCH("营",'17.04'!O27)),(-$Y27+50*IF('17.04'!$AK27="是",'17.04'!$AY$4,'17.04'!$AY$3)),(VLOOKUP('17.04'!O27,'17.04'!$AM$4:$AO$55,2,FALSE))*IF('17.04'!$AK27="是",'17.04'!$AY$4,'17.04'!$AY$3))</f>
        <v>0</v>
      </c>
      <c r="H27" s="4">
        <f>IF(ISNUMBER(SEARCH("营",'17.04'!P27)),(-$Y27+50*IF('17.04'!$AK27="是",'17.04'!$AY$4,'17.04'!$AY$3)),(VLOOKUP('17.04'!P27,'17.04'!$AM$4:$AO$55,2,FALSE))*IF('17.04'!$AK27="是",'17.04'!$AY$4,'17.04'!$AY$3))</f>
        <v>0</v>
      </c>
      <c r="I27" s="4">
        <f>IF(ISNUMBER(SEARCH("营",'17.04'!Q27)),(-$Y27+50*IF('17.04'!$AK27="是",'17.04'!$AY$4,'17.04'!$AY$3)),(VLOOKUP('17.04'!Q27,'17.04'!$AM$4:$AO$55,2,FALSE))*IF('17.04'!$AK27="是",'17.04'!$AY$4,'17.04'!$AY$3))</f>
        <v>152</v>
      </c>
      <c r="J27" s="4">
        <f>IF(ISNUMBER(SEARCH("营",'17.04'!R27)),(-$Y27+50*IF('17.04'!$AK27="是",'17.04'!$AY$4,'17.04'!$AY$3)),(VLOOKUP('17.04'!R27,'17.04'!$AM$4:$AO$55,2,FALSE))*IF('17.04'!$AK27="是",'17.04'!$AY$4,'17.04'!$AY$3))</f>
        <v>152</v>
      </c>
      <c r="K27" s="4">
        <f>IF(ISNUMBER(SEARCH("营",'17.04'!S27)),(-$Y27+50*IF('17.04'!$AK27="是",'17.04'!$AY$4,'17.04'!$AY$3)),(VLOOKUP('17.04'!S27,'17.04'!$AM$4:$AO$55,2,FALSE))*IF('17.04'!$AK27="是",'17.04'!$AY$4,'17.04'!$AY$3))</f>
        <v>152</v>
      </c>
      <c r="L27" s="4">
        <f>IF(ISNUMBER(SEARCH("营",'17.04'!T27)),(-$Y27+50*IF('17.04'!$AK27="是",'17.04'!$AY$4,'17.04'!$AY$3)),(VLOOKUP('17.04'!T27,'17.04'!$AM$4:$AO$55,2,FALSE))*IF('17.04'!$AK27="是",'17.04'!$AY$4,'17.04'!$AY$3))</f>
        <v>128</v>
      </c>
      <c r="M27" s="4">
        <f>IF(ISNUMBER(SEARCH("营",'17.04'!U27)),(-$Y27+50*IF('17.04'!$AK27="是",'17.04'!$AY$4,'17.04'!$AY$3)),(VLOOKUP('17.04'!U27,'17.04'!$AM$4:$AO$55,2,FALSE))*IF('17.04'!$AK27="是",'17.04'!$AY$4,'17.04'!$AY$3))</f>
        <v>128</v>
      </c>
      <c r="N27" s="4">
        <f>IF(ISNUMBER(SEARCH("营",'17.04'!V27)),(-$Y27+50*IF('17.04'!$AK27="是",'17.04'!$AY$4,'17.04'!$AY$3)),(VLOOKUP('17.04'!V27,'17.04'!$AM$4:$AO$55,2,FALSE))*IF('17.04'!$AK27="是",'17.04'!$AY$4,'17.04'!$AY$3))</f>
        <v>40</v>
      </c>
      <c r="O27" s="4">
        <f>IF(ISNUMBER(SEARCH("营",'17.04'!W27)),(-$Y27+50*IF('17.04'!$AK27="是",'17.04'!$AY$4,'17.04'!$AY$3)),(VLOOKUP('17.04'!W27,'17.04'!$AM$4:$AO$55,2,FALSE))*IF('17.04'!$AK27="是",'17.04'!$AY$4,'17.04'!$AY$3))</f>
        <v>0</v>
      </c>
      <c r="P27" s="4">
        <f>IF(ISNUMBER(SEARCH("营",'17.04'!X27)),(-$Y27+50*IF('17.04'!$AK27="是",'17.04'!$AY$4,'17.04'!$AY$3)),(VLOOKUP('17.04'!X27,'17.04'!$AM$4:$AO$55,2,FALSE))*IF('17.04'!$AK27="是",'17.04'!$AY$4,'17.04'!$AY$3))</f>
        <v>0</v>
      </c>
      <c r="Q27" s="4">
        <f>IF(ISNUMBER(SEARCH("营",'17.04'!Y27)),(-$Y27+50*IF('17.04'!$AK27="是",'17.04'!$AY$4,'17.04'!$AY$3)),(VLOOKUP('17.04'!Y27,'17.04'!$AM$4:$AO$55,2,FALSE))*IF('17.04'!$AK27="是",'17.04'!$AY$4,'17.04'!$AY$3))</f>
        <v>160</v>
      </c>
      <c r="R27" s="4">
        <f>IF(ISNUMBER(SEARCH("营",'17.04'!Z27)),(-$Y27+50*IF('17.04'!$AK27="是",'17.04'!$AY$4,'17.04'!$AY$3)),(VLOOKUP('17.04'!Z27,'17.04'!$AM$4:$AO$55,2,FALSE))*IF('17.04'!$AK27="是",'17.04'!$AY$4,'17.04'!$AY$3))</f>
        <v>160</v>
      </c>
      <c r="S27" s="4">
        <f>IF(ISNUMBER(SEARCH("营",'17.04'!AA27)),(-$Y27+50*IF('17.04'!$AK27="是",'17.04'!$AY$4,'17.04'!$AY$3)),(VLOOKUP('17.04'!AA27,'17.04'!$AM$4:$AO$55,2,FALSE))*IF('17.04'!$AK27="是",'17.04'!$AY$4,'17.04'!$AY$3))</f>
        <v>160</v>
      </c>
      <c r="T27" s="4">
        <f>IF(ISNUMBER(SEARCH("营",'17.04'!AB27)),(-$Y27+50*IF('17.04'!$AK27="是",'17.04'!$AY$4,'17.04'!$AY$3)),(VLOOKUP('17.04'!AB27,'17.04'!$AM$4:$AO$55,2,FALSE))*IF('17.04'!$AK27="是",'17.04'!$AY$4,'17.04'!$AY$3))</f>
        <v>160</v>
      </c>
      <c r="U27" s="4">
        <f>IF(ISNUMBER(SEARCH("营",'17.04'!AC27)),(-$Y27+50*IF('17.04'!$AK27="是",'17.04'!$AY$4,'17.04'!$AY$3)),(VLOOKUP('17.04'!AC27,'17.04'!$AM$4:$AO$55,2,FALSE))*IF('17.04'!$AK27="是",'17.04'!$AY$4,'17.04'!$AY$3))</f>
        <v>160</v>
      </c>
      <c r="V27" s="4">
        <f>IF(ISNUMBER(SEARCH("营",'17.04'!AD27)),(-$Y27+50*IF('17.04'!$AK27="是",'17.04'!$AY$4,'17.04'!$AY$3)),(VLOOKUP('17.04'!AD27,'17.04'!$AM$4:$AO$55,2,FALSE))*IF('17.04'!$AK27="是",'17.04'!$AY$4,'17.04'!$AY$3))</f>
        <v>160</v>
      </c>
      <c r="W27" s="4">
        <f>IF(ISNUMBER(SEARCH("营",'17.04'!AE27)),(-$Y27+50*IF('17.04'!$AK27="是",'17.04'!$AY$4,'17.04'!$AY$3)),(VLOOKUP('17.04'!AE27,'17.04'!$AM$4:$AO$55,2,FALSE))*IF('17.04'!$AK27="是",'17.04'!$AY$4,'17.04'!$AY$3))</f>
        <v>0</v>
      </c>
      <c r="X27" s="4">
        <f>IF(ISNUMBER(SEARCH("营",'17.04'!AF27)),(-$Y27+50*IF('17.04'!$AK27="是",'17.04'!$AY$4,'17.04'!$AY$3)),(VLOOKUP('17.04'!AF27,'17.04'!$AM$4:$AO$55,2,FALSE))*IF('17.04'!$AK27="是",'17.04'!$AY$4,'17.04'!$AY$3))</f>
        <v>0</v>
      </c>
      <c r="Y27" s="90">
        <v>250</v>
      </c>
    </row>
    <row r="28" spans="1:25">
      <c r="A28" s="4">
        <f>IF(ISNUMBER(SEARCH("营",'17.04'!I28)),(-$Y28+50*IF('17.04'!$AK28="是",'17.04'!$AY$4,'17.04'!$AY$3)),(VLOOKUP('17.04'!I28,'17.04'!$AM$4:$AO$55,2,FALSE))*IF('17.04'!$AK28="是",'17.04'!$AY$4,'17.04'!$AY$3))</f>
        <v>0</v>
      </c>
      <c r="B28" s="4">
        <f>IF(ISNUMBER(SEARCH("营",'17.04'!J28)),(-$Y28+50*IF('17.04'!$AK28="是",'17.04'!$AY$4,'17.04'!$AY$3)),(VLOOKUP('17.04'!J28,'17.04'!$AM$4:$AO$55,2,FALSE))*IF('17.04'!$AK28="是",'17.04'!$AY$4,'17.04'!$AY$3))</f>
        <v>0</v>
      </c>
      <c r="C28" s="4">
        <f>IF(ISNUMBER(SEARCH("营",'17.04'!K28)),(-$Y28+50*IF('17.04'!$AK28="是",'17.04'!$AY$4,'17.04'!$AY$3)),(VLOOKUP('17.04'!K28,'17.04'!$AM$4:$AO$55,2,FALSE))*IF('17.04'!$AK28="是",'17.04'!$AY$4,'17.04'!$AY$3))</f>
        <v>0</v>
      </c>
      <c r="D28" s="4">
        <f>IF(ISNUMBER(SEARCH("营",'17.04'!L28)),(-$Y28+50*IF('17.04'!$AK28="是",'17.04'!$AY$4,'17.04'!$AY$3)),(VLOOKUP('17.04'!L28,'17.04'!$AM$4:$AO$55,2,FALSE))*IF('17.04'!$AK28="是",'17.04'!$AY$4,'17.04'!$AY$3))</f>
        <v>0</v>
      </c>
      <c r="E28" s="4">
        <f>IF(ISNUMBER(SEARCH("营",'17.04'!M28)),(-$Y28+50*IF('17.04'!$AK28="是",'17.04'!$AY$4,'17.04'!$AY$3)),(VLOOKUP('17.04'!M28,'17.04'!$AM$4:$AO$55,2,FALSE))*IF('17.04'!$AK28="是",'17.04'!$AY$4,'17.04'!$AY$3))</f>
        <v>0</v>
      </c>
      <c r="F28" s="4">
        <f>IF(ISNUMBER(SEARCH("营",'17.04'!N28)),(-$Y28+50*IF('17.04'!$AK28="是",'17.04'!$AY$4,'17.04'!$AY$3)),(VLOOKUP('17.04'!N28,'17.04'!$AM$4:$AO$55,2,FALSE))*IF('17.04'!$AK28="是",'17.04'!$AY$4,'17.04'!$AY$3))</f>
        <v>0</v>
      </c>
      <c r="G28" s="4">
        <f>IF(ISNUMBER(SEARCH("营",'17.04'!O28)),(-$Y28+50*IF('17.04'!$AK28="是",'17.04'!$AY$4,'17.04'!$AY$3)),(VLOOKUP('17.04'!O28,'17.04'!$AM$4:$AO$55,2,FALSE))*IF('17.04'!$AK28="是",'17.04'!$AY$4,'17.04'!$AY$3))</f>
        <v>0</v>
      </c>
      <c r="H28" s="4">
        <f>IF(ISNUMBER(SEARCH("营",'17.04'!P28)),(-$Y28+50*IF('17.04'!$AK28="是",'17.04'!$AY$4,'17.04'!$AY$3)),(VLOOKUP('17.04'!P28,'17.04'!$AM$4:$AO$55,2,FALSE))*IF('17.04'!$AK28="是",'17.04'!$AY$4,'17.04'!$AY$3))</f>
        <v>0</v>
      </c>
      <c r="I28" s="4">
        <f>IF(ISNUMBER(SEARCH("营",'17.04'!Q28)),(-$Y28+50*IF('17.04'!$AK28="是",'17.04'!$AY$4,'17.04'!$AY$3)),(VLOOKUP('17.04'!Q28,'17.04'!$AM$4:$AO$55,2,FALSE))*IF('17.04'!$AK28="是",'17.04'!$AY$4,'17.04'!$AY$3))</f>
        <v>128</v>
      </c>
      <c r="J28" s="4">
        <f>IF(ISNUMBER(SEARCH("营",'17.04'!R28)),(-$Y28+50*IF('17.04'!$AK28="是",'17.04'!$AY$4,'17.04'!$AY$3)),(VLOOKUP('17.04'!R28,'17.04'!$AM$4:$AO$55,2,FALSE))*IF('17.04'!$AK28="是",'17.04'!$AY$4,'17.04'!$AY$3))</f>
        <v>40</v>
      </c>
      <c r="K28" s="4">
        <f>IF(ISNUMBER(SEARCH("营",'17.04'!S28)),(-$Y28+50*IF('17.04'!$AK28="是",'17.04'!$AY$4,'17.04'!$AY$3)),(VLOOKUP('17.04'!S28,'17.04'!$AM$4:$AO$55,2,FALSE))*IF('17.04'!$AK28="是",'17.04'!$AY$4,'17.04'!$AY$3))</f>
        <v>160</v>
      </c>
      <c r="L28" s="4">
        <f>IF(ISNUMBER(SEARCH("营",'17.04'!T28)),(-$Y28+50*IF('17.04'!$AK28="是",'17.04'!$AY$4,'17.04'!$AY$3)),(VLOOKUP('17.04'!T28,'17.04'!$AM$4:$AO$55,2,FALSE))*IF('17.04'!$AK28="是",'17.04'!$AY$4,'17.04'!$AY$3))</f>
        <v>160</v>
      </c>
      <c r="M28" s="4">
        <f>IF(ISNUMBER(SEARCH("营",'17.04'!U28)),(-$Y28+50*IF('17.04'!$AK28="是",'17.04'!$AY$4,'17.04'!$AY$3)),(VLOOKUP('17.04'!U28,'17.04'!$AM$4:$AO$55,2,FALSE))*IF('17.04'!$AK28="是",'17.04'!$AY$4,'17.04'!$AY$3))</f>
        <v>160</v>
      </c>
      <c r="N28" s="4">
        <f>IF(ISNUMBER(SEARCH("营",'17.04'!V28)),(-$Y28+50*IF('17.04'!$AK28="是",'17.04'!$AY$4,'17.04'!$AY$3)),(VLOOKUP('17.04'!V28,'17.04'!$AM$4:$AO$55,2,FALSE))*IF('17.04'!$AK28="是",'17.04'!$AY$4,'17.04'!$AY$3))</f>
        <v>160</v>
      </c>
      <c r="O28" s="4">
        <f>IF(ISNUMBER(SEARCH("营",'17.04'!W28)),(-$Y28+50*IF('17.04'!$AK28="是",'17.04'!$AY$4,'17.04'!$AY$3)),(VLOOKUP('17.04'!W28,'17.04'!$AM$4:$AO$55,2,FALSE))*IF('17.04'!$AK28="是",'17.04'!$AY$4,'17.04'!$AY$3))</f>
        <v>160</v>
      </c>
      <c r="P28" s="4">
        <f>IF(ISNUMBER(SEARCH("营",'17.04'!X28)),(-$Y28+50*IF('17.04'!$AK28="是",'17.04'!$AY$4,'17.04'!$AY$3)),(VLOOKUP('17.04'!X28,'17.04'!$AM$4:$AO$55,2,FALSE))*IF('17.04'!$AK28="是",'17.04'!$AY$4,'17.04'!$AY$3))</f>
        <v>0</v>
      </c>
      <c r="Q28" s="4">
        <f>IF(ISNUMBER(SEARCH("营",'17.04'!Y28)),(-$Y28+50*IF('17.04'!$AK28="是",'17.04'!$AY$4,'17.04'!$AY$3)),(VLOOKUP('17.04'!Y28,'17.04'!$AM$4:$AO$55,2,FALSE))*IF('17.04'!$AK28="是",'17.04'!$AY$4,'17.04'!$AY$3))</f>
        <v>160</v>
      </c>
      <c r="R28" s="4">
        <f>IF(ISNUMBER(SEARCH("营",'17.04'!Z28)),(-$Y28+50*IF('17.04'!$AK28="是",'17.04'!$AY$4,'17.04'!$AY$3)),(VLOOKUP('17.04'!Z28,'17.04'!$AM$4:$AO$55,2,FALSE))*IF('17.04'!$AK28="是",'17.04'!$AY$4,'17.04'!$AY$3))</f>
        <v>160</v>
      </c>
      <c r="S28" s="4">
        <f>IF(ISNUMBER(SEARCH("营",'17.04'!AA28)),(-$Y28+50*IF('17.04'!$AK28="是",'17.04'!$AY$4,'17.04'!$AY$3)),(VLOOKUP('17.04'!AA28,'17.04'!$AM$4:$AO$55,2,FALSE))*IF('17.04'!$AK28="是",'17.04'!$AY$4,'17.04'!$AY$3))</f>
        <v>160</v>
      </c>
      <c r="T28" s="4">
        <f>IF(ISNUMBER(SEARCH("营",'17.04'!AB28)),(-$Y28+50*IF('17.04'!$AK28="是",'17.04'!$AY$4,'17.04'!$AY$3)),(VLOOKUP('17.04'!AB28,'17.04'!$AM$4:$AO$55,2,FALSE))*IF('17.04'!$AK28="是",'17.04'!$AY$4,'17.04'!$AY$3))</f>
        <v>160</v>
      </c>
      <c r="U28" s="4">
        <f>IF(ISNUMBER(SEARCH("营",'17.04'!AC28)),(-$Y28+50*IF('17.04'!$AK28="是",'17.04'!$AY$4,'17.04'!$AY$3)),(VLOOKUP('17.04'!AC28,'17.04'!$AM$4:$AO$55,2,FALSE))*IF('17.04'!$AK28="是",'17.04'!$AY$4,'17.04'!$AY$3))</f>
        <v>160</v>
      </c>
      <c r="V28" s="4">
        <f>IF(ISNUMBER(SEARCH("营",'17.04'!AD28)),(-$Y28+50*IF('17.04'!$AK28="是",'17.04'!$AY$4,'17.04'!$AY$3)),(VLOOKUP('17.04'!AD28,'17.04'!$AM$4:$AO$55,2,FALSE))*IF('17.04'!$AK28="是",'17.04'!$AY$4,'17.04'!$AY$3))</f>
        <v>160</v>
      </c>
      <c r="W28" s="4">
        <f>IF(ISNUMBER(SEARCH("营",'17.04'!AE28)),(-$Y28+50*IF('17.04'!$AK28="是",'17.04'!$AY$4,'17.04'!$AY$3)),(VLOOKUP('17.04'!AE28,'17.04'!$AM$4:$AO$55,2,FALSE))*IF('17.04'!$AK28="是",'17.04'!$AY$4,'17.04'!$AY$3))</f>
        <v>0</v>
      </c>
      <c r="X28" s="4">
        <f>IF(ISNUMBER(SEARCH("营",'17.04'!AF28)),(-$Y28+50*IF('17.04'!$AK28="是",'17.04'!$AY$4,'17.04'!$AY$3)),(VLOOKUP('17.04'!AF28,'17.04'!$AM$4:$AO$55,2,FALSE))*IF('17.04'!$AK28="是",'17.04'!$AY$4,'17.04'!$AY$3))</f>
        <v>0</v>
      </c>
      <c r="Y28" s="90">
        <v>250</v>
      </c>
    </row>
    <row r="29" spans="1:25">
      <c r="A29" s="4">
        <f>IF(ISNUMBER(SEARCH("营",'17.04'!I29)),(-$Y29+50*IF('17.04'!$AK29="是",'17.04'!$AY$4,'17.04'!$AY$3)),(VLOOKUP('17.04'!I29,'17.04'!$AM$4:$AO$55,2,FALSE))*IF('17.04'!$AK29="是",'17.04'!$AY$4,'17.04'!$AY$3))</f>
        <v>0</v>
      </c>
      <c r="B29" s="4">
        <f>IF(ISNUMBER(SEARCH("营",'17.04'!J29)),(-$Y29+50*IF('17.04'!$AK29="是",'17.04'!$AY$4,'17.04'!$AY$3)),(VLOOKUP('17.04'!J29,'17.04'!$AM$4:$AO$55,2,FALSE))*IF('17.04'!$AK29="是",'17.04'!$AY$4,'17.04'!$AY$3))</f>
        <v>0</v>
      </c>
      <c r="C29" s="4">
        <f>IF(ISNUMBER(SEARCH("营",'17.04'!K29)),(-$Y29+50*IF('17.04'!$AK29="是",'17.04'!$AY$4,'17.04'!$AY$3)),(VLOOKUP('17.04'!K29,'17.04'!$AM$4:$AO$55,2,FALSE))*IF('17.04'!$AK29="是",'17.04'!$AY$4,'17.04'!$AY$3))</f>
        <v>0</v>
      </c>
      <c r="D29" s="4">
        <f>IF(ISNUMBER(SEARCH("营",'17.04'!L29)),(-$Y29+50*IF('17.04'!$AK29="是",'17.04'!$AY$4,'17.04'!$AY$3)),(VLOOKUP('17.04'!L29,'17.04'!$AM$4:$AO$55,2,FALSE))*IF('17.04'!$AK29="是",'17.04'!$AY$4,'17.04'!$AY$3))</f>
        <v>0</v>
      </c>
      <c r="E29" s="4">
        <f>IF(ISNUMBER(SEARCH("营",'17.04'!M29)),(-$Y29+50*IF('17.04'!$AK29="是",'17.04'!$AY$4,'17.04'!$AY$3)),(VLOOKUP('17.04'!M29,'17.04'!$AM$4:$AO$55,2,FALSE))*IF('17.04'!$AK29="是",'17.04'!$AY$4,'17.04'!$AY$3))</f>
        <v>0</v>
      </c>
      <c r="F29" s="4">
        <f>IF(ISNUMBER(SEARCH("营",'17.04'!N29)),(-$Y29+50*IF('17.04'!$AK29="是",'17.04'!$AY$4,'17.04'!$AY$3)),(VLOOKUP('17.04'!N29,'17.04'!$AM$4:$AO$55,2,FALSE))*IF('17.04'!$AK29="是",'17.04'!$AY$4,'17.04'!$AY$3))</f>
        <v>0</v>
      </c>
      <c r="G29" s="4">
        <f>IF(ISNUMBER(SEARCH("营",'17.04'!O29)),(-$Y29+50*IF('17.04'!$AK29="是",'17.04'!$AY$4,'17.04'!$AY$3)),(VLOOKUP('17.04'!O29,'17.04'!$AM$4:$AO$55,2,FALSE))*IF('17.04'!$AK29="是",'17.04'!$AY$4,'17.04'!$AY$3))</f>
        <v>0</v>
      </c>
      <c r="H29" s="4">
        <f>IF(ISNUMBER(SEARCH("营",'17.04'!P29)),(-$Y29+50*IF('17.04'!$AK29="是",'17.04'!$AY$4,'17.04'!$AY$3)),(VLOOKUP('17.04'!P29,'17.04'!$AM$4:$AO$55,2,FALSE))*IF('17.04'!$AK29="是",'17.04'!$AY$4,'17.04'!$AY$3))</f>
        <v>0</v>
      </c>
      <c r="I29" s="4">
        <f>IF(ISNUMBER(SEARCH("营",'17.04'!Q29)),(-$Y29+50*IF('17.04'!$AK29="是",'17.04'!$AY$4,'17.04'!$AY$3)),(VLOOKUP('17.04'!Q29,'17.04'!$AM$4:$AO$55,2,FALSE))*IF('17.04'!$AK29="是",'17.04'!$AY$4,'17.04'!$AY$3))</f>
        <v>160</v>
      </c>
      <c r="J29" s="4">
        <f>IF(ISNUMBER(SEARCH("营",'17.04'!R29)),(-$Y29+50*IF('17.04'!$AK29="是",'17.04'!$AY$4,'17.04'!$AY$3)),(VLOOKUP('17.04'!R29,'17.04'!$AM$4:$AO$55,2,FALSE))*IF('17.04'!$AK29="是",'17.04'!$AY$4,'17.04'!$AY$3))</f>
        <v>160</v>
      </c>
      <c r="K29" s="4">
        <f>IF(ISNUMBER(SEARCH("营",'17.04'!S29)),(-$Y29+50*IF('17.04'!$AK29="是",'17.04'!$AY$4,'17.04'!$AY$3)),(VLOOKUP('17.04'!S29,'17.04'!$AM$4:$AO$55,2,FALSE))*IF('17.04'!$AK29="是",'17.04'!$AY$4,'17.04'!$AY$3))</f>
        <v>160</v>
      </c>
      <c r="L29" s="4">
        <f>IF(ISNUMBER(SEARCH("营",'17.04'!T29)),(-$Y29+50*IF('17.04'!$AK29="是",'17.04'!$AY$4,'17.04'!$AY$3)),(VLOOKUP('17.04'!T29,'17.04'!$AM$4:$AO$55,2,FALSE))*IF('17.04'!$AK29="是",'17.04'!$AY$4,'17.04'!$AY$3))</f>
        <v>160</v>
      </c>
      <c r="M29" s="4">
        <f>IF(ISNUMBER(SEARCH("营",'17.04'!U29)),(-$Y29+50*IF('17.04'!$AK29="是",'17.04'!$AY$4,'17.04'!$AY$3)),(VLOOKUP('17.04'!U29,'17.04'!$AM$4:$AO$55,2,FALSE))*IF('17.04'!$AK29="是",'17.04'!$AY$4,'17.04'!$AY$3))</f>
        <v>40</v>
      </c>
      <c r="N29" s="4">
        <f>IF(ISNUMBER(SEARCH("营",'17.04'!V29)),(-$Y29+50*IF('17.04'!$AK29="是",'17.04'!$AY$4,'17.04'!$AY$3)),(VLOOKUP('17.04'!V29,'17.04'!$AM$4:$AO$55,2,FALSE))*IF('17.04'!$AK29="是",'17.04'!$AY$4,'17.04'!$AY$3))</f>
        <v>160</v>
      </c>
      <c r="O29" s="4">
        <f>IF(ISNUMBER(SEARCH("营",'17.04'!W29)),(-$Y29+50*IF('17.04'!$AK29="是",'17.04'!$AY$4,'17.04'!$AY$3)),(VLOOKUP('17.04'!W29,'17.04'!$AM$4:$AO$55,2,FALSE))*IF('17.04'!$AK29="是",'17.04'!$AY$4,'17.04'!$AY$3))</f>
        <v>0</v>
      </c>
      <c r="P29" s="4">
        <f>IF(ISNUMBER(SEARCH("营",'17.04'!X29)),(-$Y29+50*IF('17.04'!$AK29="是",'17.04'!$AY$4,'17.04'!$AY$3)),(VLOOKUP('17.04'!X29,'17.04'!$AM$4:$AO$55,2,FALSE))*IF('17.04'!$AK29="是",'17.04'!$AY$4,'17.04'!$AY$3))</f>
        <v>0</v>
      </c>
      <c r="Q29" s="4">
        <f>IF(ISNUMBER(SEARCH("营",'17.04'!Y29)),(-$Y29+50*IF('17.04'!$AK29="是",'17.04'!$AY$4,'17.04'!$AY$3)),(VLOOKUP('17.04'!Y29,'17.04'!$AM$4:$AO$55,2,FALSE))*IF('17.04'!$AK29="是",'17.04'!$AY$4,'17.04'!$AY$3))</f>
        <v>160</v>
      </c>
      <c r="R29" s="4">
        <f>IF(ISNUMBER(SEARCH("营",'17.04'!Z29)),(-$Y29+50*IF('17.04'!$AK29="是",'17.04'!$AY$4,'17.04'!$AY$3)),(VLOOKUP('17.04'!Z29,'17.04'!$AM$4:$AO$55,2,FALSE))*IF('17.04'!$AK29="是",'17.04'!$AY$4,'17.04'!$AY$3))</f>
        <v>160</v>
      </c>
      <c r="S29" s="4">
        <f>IF(ISNUMBER(SEARCH("营",'17.04'!AA29)),(-$Y29+50*IF('17.04'!$AK29="是",'17.04'!$AY$4,'17.04'!$AY$3)),(VLOOKUP('17.04'!AA29,'17.04'!$AM$4:$AO$55,2,FALSE))*IF('17.04'!$AK29="是",'17.04'!$AY$4,'17.04'!$AY$3))</f>
        <v>160</v>
      </c>
      <c r="T29" s="4">
        <f>IF(ISNUMBER(SEARCH("营",'17.04'!AB29)),(-$Y29+50*IF('17.04'!$AK29="是",'17.04'!$AY$4,'17.04'!$AY$3)),(VLOOKUP('17.04'!AB29,'17.04'!$AM$4:$AO$55,2,FALSE))*IF('17.04'!$AK29="是",'17.04'!$AY$4,'17.04'!$AY$3))</f>
        <v>160</v>
      </c>
      <c r="U29" s="4">
        <f>IF(ISNUMBER(SEARCH("营",'17.04'!AC29)),(-$Y29+50*IF('17.04'!$AK29="是",'17.04'!$AY$4,'17.04'!$AY$3)),(VLOOKUP('17.04'!AC29,'17.04'!$AM$4:$AO$55,2,FALSE))*IF('17.04'!$AK29="是",'17.04'!$AY$4,'17.04'!$AY$3))</f>
        <v>160</v>
      </c>
      <c r="V29" s="4">
        <f>IF(ISNUMBER(SEARCH("营",'17.04'!AD29)),(-$Y29+50*IF('17.04'!$AK29="是",'17.04'!$AY$4,'17.04'!$AY$3)),(VLOOKUP('17.04'!AD29,'17.04'!$AM$4:$AO$55,2,FALSE))*IF('17.04'!$AK29="是",'17.04'!$AY$4,'17.04'!$AY$3))</f>
        <v>160</v>
      </c>
      <c r="W29" s="4">
        <f>IF(ISNUMBER(SEARCH("营",'17.04'!AE29)),(-$Y29+50*IF('17.04'!$AK29="是",'17.04'!$AY$4,'17.04'!$AY$3)),(VLOOKUP('17.04'!AE29,'17.04'!$AM$4:$AO$55,2,FALSE))*IF('17.04'!$AK29="是",'17.04'!$AY$4,'17.04'!$AY$3))</f>
        <v>0</v>
      </c>
      <c r="X29" s="4">
        <f>IF(ISNUMBER(SEARCH("营",'17.04'!AF29)),(-$Y29+50*IF('17.04'!$AK29="是",'17.04'!$AY$4,'17.04'!$AY$3)),(VLOOKUP('17.04'!AF29,'17.04'!$AM$4:$AO$55,2,FALSE))*IF('17.04'!$AK29="是",'17.04'!$AY$4,'17.04'!$AY$3))</f>
        <v>0</v>
      </c>
      <c r="Y29" s="90">
        <v>250</v>
      </c>
    </row>
    <row r="30" spans="1:25">
      <c r="A30" s="4">
        <f>IF(ISNUMBER(SEARCH("营",'17.04'!I30)),(-$Y30+50*IF('17.04'!$AK30="是",'17.04'!$AY$4,'17.04'!$AY$3)),(VLOOKUP('17.04'!I30,'17.04'!$AM$4:$AO$55,2,FALSE))*IF('17.04'!$AK30="是",'17.04'!$AY$4,'17.04'!$AY$3))</f>
        <v>0</v>
      </c>
      <c r="B30" s="4">
        <f>IF(ISNUMBER(SEARCH("营",'17.04'!J30)),(-$Y30+50*IF('17.04'!$AK30="是",'17.04'!$AY$4,'17.04'!$AY$3)),(VLOOKUP('17.04'!J30,'17.04'!$AM$4:$AO$55,2,FALSE))*IF('17.04'!$AK30="是",'17.04'!$AY$4,'17.04'!$AY$3))</f>
        <v>0</v>
      </c>
      <c r="C30" s="4">
        <f>IF(ISNUMBER(SEARCH("营",'17.04'!K30)),(-$Y30+50*IF('17.04'!$AK30="是",'17.04'!$AY$4,'17.04'!$AY$3)),(VLOOKUP('17.04'!K30,'17.04'!$AM$4:$AO$55,2,FALSE))*IF('17.04'!$AK30="是",'17.04'!$AY$4,'17.04'!$AY$3))</f>
        <v>0</v>
      </c>
      <c r="D30" s="4">
        <f>IF(ISNUMBER(SEARCH("营",'17.04'!L30)),(-$Y30+50*IF('17.04'!$AK30="是",'17.04'!$AY$4,'17.04'!$AY$3)),(VLOOKUP('17.04'!L30,'17.04'!$AM$4:$AO$55,2,FALSE))*IF('17.04'!$AK30="是",'17.04'!$AY$4,'17.04'!$AY$3))</f>
        <v>0</v>
      </c>
      <c r="E30" s="4">
        <f>IF(ISNUMBER(SEARCH("营",'17.04'!M30)),(-$Y30+50*IF('17.04'!$AK30="是",'17.04'!$AY$4,'17.04'!$AY$3)),(VLOOKUP('17.04'!M30,'17.04'!$AM$4:$AO$55,2,FALSE))*IF('17.04'!$AK30="是",'17.04'!$AY$4,'17.04'!$AY$3))</f>
        <v>0</v>
      </c>
      <c r="F30" s="4">
        <f>IF(ISNUMBER(SEARCH("营",'17.04'!N30)),(-$Y30+50*IF('17.04'!$AK30="是",'17.04'!$AY$4,'17.04'!$AY$3)),(VLOOKUP('17.04'!N30,'17.04'!$AM$4:$AO$55,2,FALSE))*IF('17.04'!$AK30="是",'17.04'!$AY$4,'17.04'!$AY$3))</f>
        <v>0</v>
      </c>
      <c r="G30" s="4">
        <f>IF(ISNUMBER(SEARCH("营",'17.04'!O30)),(-$Y30+50*IF('17.04'!$AK30="是",'17.04'!$AY$4,'17.04'!$AY$3)),(VLOOKUP('17.04'!O30,'17.04'!$AM$4:$AO$55,2,FALSE))*IF('17.04'!$AK30="是",'17.04'!$AY$4,'17.04'!$AY$3))</f>
        <v>0</v>
      </c>
      <c r="H30" s="4">
        <f>IF(ISNUMBER(SEARCH("营",'17.04'!P30)),(-$Y30+50*IF('17.04'!$AK30="是",'17.04'!$AY$4,'17.04'!$AY$3)),(VLOOKUP('17.04'!P30,'17.04'!$AM$4:$AO$55,2,FALSE))*IF('17.04'!$AK30="是",'17.04'!$AY$4,'17.04'!$AY$3))</f>
        <v>0</v>
      </c>
      <c r="I30" s="4">
        <f>IF(ISNUMBER(SEARCH("营",'17.04'!Q30)),(-$Y30+50*IF('17.04'!$AK30="是",'17.04'!$AY$4,'17.04'!$AY$3)),(VLOOKUP('17.04'!Q30,'17.04'!$AM$4:$AO$55,2,FALSE))*IF('17.04'!$AK30="是",'17.04'!$AY$4,'17.04'!$AY$3))</f>
        <v>160</v>
      </c>
      <c r="J30" s="4">
        <f>IF(ISNUMBER(SEARCH("营",'17.04'!R30)),(-$Y30+50*IF('17.04'!$AK30="是",'17.04'!$AY$4,'17.04'!$AY$3)),(VLOOKUP('17.04'!R30,'17.04'!$AM$4:$AO$55,2,FALSE))*IF('17.04'!$AK30="是",'17.04'!$AY$4,'17.04'!$AY$3))</f>
        <v>160</v>
      </c>
      <c r="K30" s="4">
        <f>IF(ISNUMBER(SEARCH("营",'17.04'!S30)),(-$Y30+50*IF('17.04'!$AK30="是",'17.04'!$AY$4,'17.04'!$AY$3)),(VLOOKUP('17.04'!S30,'17.04'!$AM$4:$AO$55,2,FALSE))*IF('17.04'!$AK30="是",'17.04'!$AY$4,'17.04'!$AY$3))</f>
        <v>160</v>
      </c>
      <c r="L30" s="4">
        <f>IF(ISNUMBER(SEARCH("营",'17.04'!T30)),(-$Y30+50*IF('17.04'!$AK30="是",'17.04'!$AY$4,'17.04'!$AY$3)),(VLOOKUP('17.04'!T30,'17.04'!$AM$4:$AO$55,2,FALSE))*IF('17.04'!$AK30="是",'17.04'!$AY$4,'17.04'!$AY$3))</f>
        <v>160</v>
      </c>
      <c r="M30" s="4">
        <f>IF(ISNUMBER(SEARCH("营",'17.04'!U30)),(-$Y30+50*IF('17.04'!$AK30="是",'17.04'!$AY$4,'17.04'!$AY$3)),(VLOOKUP('17.04'!U30,'17.04'!$AM$4:$AO$55,2,FALSE))*IF('17.04'!$AK30="是",'17.04'!$AY$4,'17.04'!$AY$3))</f>
        <v>160</v>
      </c>
      <c r="N30" s="4">
        <f>IF(ISNUMBER(SEARCH("营",'17.04'!V30)),(-$Y30+50*IF('17.04'!$AK30="是",'17.04'!$AY$4,'17.04'!$AY$3)),(VLOOKUP('17.04'!V30,'17.04'!$AM$4:$AO$55,2,FALSE))*IF('17.04'!$AK30="是",'17.04'!$AY$4,'17.04'!$AY$3))</f>
        <v>160</v>
      </c>
      <c r="O30" s="4">
        <f>IF(ISNUMBER(SEARCH("营",'17.04'!W30)),(-$Y30+50*IF('17.04'!$AK30="是",'17.04'!$AY$4,'17.04'!$AY$3)),(VLOOKUP('17.04'!W30,'17.04'!$AM$4:$AO$55,2,FALSE))*IF('17.04'!$AK30="是",'17.04'!$AY$4,'17.04'!$AY$3))</f>
        <v>0</v>
      </c>
      <c r="P30" s="4">
        <f>IF(ISNUMBER(SEARCH("营",'17.04'!X30)),(-$Y30+50*IF('17.04'!$AK30="是",'17.04'!$AY$4,'17.04'!$AY$3)),(VLOOKUP('17.04'!X30,'17.04'!$AM$4:$AO$55,2,FALSE))*IF('17.04'!$AK30="是",'17.04'!$AY$4,'17.04'!$AY$3))</f>
        <v>0</v>
      </c>
      <c r="Q30" s="4">
        <f>IF(ISNUMBER(SEARCH("营",'17.04'!Y30)),(-$Y30+50*IF('17.04'!$AK30="是",'17.04'!$AY$4,'17.04'!$AY$3)),(VLOOKUP('17.04'!Y30,'17.04'!$AM$4:$AO$55,2,FALSE))*IF('17.04'!$AK30="是",'17.04'!$AY$4,'17.04'!$AY$3))</f>
        <v>160</v>
      </c>
      <c r="R30" s="4">
        <f>IF(ISNUMBER(SEARCH("营",'17.04'!Z30)),(-$Y30+50*IF('17.04'!$AK30="是",'17.04'!$AY$4,'17.04'!$AY$3)),(VLOOKUP('17.04'!Z30,'17.04'!$AM$4:$AO$55,2,FALSE))*IF('17.04'!$AK30="是",'17.04'!$AY$4,'17.04'!$AY$3))</f>
        <v>144</v>
      </c>
      <c r="S30" s="4">
        <f>IF(ISNUMBER(SEARCH("营",'17.04'!AA30)),(-$Y30+50*IF('17.04'!$AK30="是",'17.04'!$AY$4,'17.04'!$AY$3)),(VLOOKUP('17.04'!AA30,'17.04'!$AM$4:$AO$55,2,FALSE))*IF('17.04'!$AK30="是",'17.04'!$AY$4,'17.04'!$AY$3))</f>
        <v>144</v>
      </c>
      <c r="T30" s="4">
        <f>IF(ISNUMBER(SEARCH("营",'17.04'!AB30)),(-$Y30+50*IF('17.04'!$AK30="是",'17.04'!$AY$4,'17.04'!$AY$3)),(VLOOKUP('17.04'!AB30,'17.04'!$AM$4:$AO$55,2,FALSE))*IF('17.04'!$AK30="是",'17.04'!$AY$4,'17.04'!$AY$3))</f>
        <v>144</v>
      </c>
      <c r="U30" s="4">
        <f>IF(ISNUMBER(SEARCH("营",'17.04'!AC30)),(-$Y30+50*IF('17.04'!$AK30="是",'17.04'!$AY$4,'17.04'!$AY$3)),(VLOOKUP('17.04'!AC30,'17.04'!$AM$4:$AO$55,2,FALSE))*IF('17.04'!$AK30="是",'17.04'!$AY$4,'17.04'!$AY$3))</f>
        <v>144</v>
      </c>
      <c r="V30" s="4">
        <f>IF(ISNUMBER(SEARCH("营",'17.04'!AD30)),(-$Y30+50*IF('17.04'!$AK30="是",'17.04'!$AY$4,'17.04'!$AY$3)),(VLOOKUP('17.04'!AD30,'17.04'!$AM$4:$AO$55,2,FALSE))*IF('17.04'!$AK30="是",'17.04'!$AY$4,'17.04'!$AY$3))</f>
        <v>144</v>
      </c>
      <c r="W30" s="4">
        <f>IF(ISNUMBER(SEARCH("营",'17.04'!AE30)),(-$Y30+50*IF('17.04'!$AK30="是",'17.04'!$AY$4,'17.04'!$AY$3)),(VLOOKUP('17.04'!AE30,'17.04'!$AM$4:$AO$55,2,FALSE))*IF('17.04'!$AK30="是",'17.04'!$AY$4,'17.04'!$AY$3))</f>
        <v>0</v>
      </c>
      <c r="X30" s="4">
        <f>IF(ISNUMBER(SEARCH("营",'17.04'!AF30)),(-$Y30+50*IF('17.04'!$AK30="是",'17.04'!$AY$4,'17.04'!$AY$3)),(VLOOKUP('17.04'!AF30,'17.04'!$AM$4:$AO$55,2,FALSE))*IF('17.04'!$AK30="是",'17.04'!$AY$4,'17.04'!$AY$3))</f>
        <v>0</v>
      </c>
      <c r="Y30" s="90">
        <v>250</v>
      </c>
    </row>
    <row r="31" spans="1:25">
      <c r="A31" s="4">
        <f>IF(ISNUMBER(SEARCH("营",'17.04'!I31)),(-$Y31+50*IF('17.04'!$AK31="是",'17.04'!$AY$4,'17.04'!$AY$3)),(VLOOKUP('17.04'!I31,'17.04'!$AM$4:$AO$55,2,FALSE))*IF('17.04'!$AK31="是",'17.04'!$AY$4,'17.04'!$AY$3))</f>
        <v>0</v>
      </c>
      <c r="B31" s="4">
        <f>IF(ISNUMBER(SEARCH("营",'17.04'!J31)),(-$Y31+50*IF('17.04'!$AK31="是",'17.04'!$AY$4,'17.04'!$AY$3)),(VLOOKUP('17.04'!J31,'17.04'!$AM$4:$AO$55,2,FALSE))*IF('17.04'!$AK31="是",'17.04'!$AY$4,'17.04'!$AY$3))</f>
        <v>0</v>
      </c>
      <c r="C31" s="4">
        <f>IF(ISNUMBER(SEARCH("营",'17.04'!K31)),(-$Y31+50*IF('17.04'!$AK31="是",'17.04'!$AY$4,'17.04'!$AY$3)),(VLOOKUP('17.04'!K31,'17.04'!$AM$4:$AO$55,2,FALSE))*IF('17.04'!$AK31="是",'17.04'!$AY$4,'17.04'!$AY$3))</f>
        <v>0</v>
      </c>
      <c r="D31" s="4">
        <f>IF(ISNUMBER(SEARCH("营",'17.04'!L31)),(-$Y31+50*IF('17.04'!$AK31="是",'17.04'!$AY$4,'17.04'!$AY$3)),(VLOOKUP('17.04'!L31,'17.04'!$AM$4:$AO$55,2,FALSE))*IF('17.04'!$AK31="是",'17.04'!$AY$4,'17.04'!$AY$3))</f>
        <v>0</v>
      </c>
      <c r="E31" s="4">
        <f>IF(ISNUMBER(SEARCH("营",'17.04'!M31)),(-$Y31+50*IF('17.04'!$AK31="是",'17.04'!$AY$4,'17.04'!$AY$3)),(VLOOKUP('17.04'!M31,'17.04'!$AM$4:$AO$55,2,FALSE))*IF('17.04'!$AK31="是",'17.04'!$AY$4,'17.04'!$AY$3))</f>
        <v>0</v>
      </c>
      <c r="F31" s="4">
        <f>IF(ISNUMBER(SEARCH("营",'17.04'!N31)),(-$Y31+50*IF('17.04'!$AK31="是",'17.04'!$AY$4,'17.04'!$AY$3)),(VLOOKUP('17.04'!N31,'17.04'!$AM$4:$AO$55,2,FALSE))*IF('17.04'!$AK31="是",'17.04'!$AY$4,'17.04'!$AY$3))</f>
        <v>0</v>
      </c>
      <c r="G31" s="4">
        <f>IF(ISNUMBER(SEARCH("营",'17.04'!O31)),(-$Y31+50*IF('17.04'!$AK31="是",'17.04'!$AY$4,'17.04'!$AY$3)),(VLOOKUP('17.04'!O31,'17.04'!$AM$4:$AO$55,2,FALSE))*IF('17.04'!$AK31="是",'17.04'!$AY$4,'17.04'!$AY$3))</f>
        <v>0</v>
      </c>
      <c r="H31" s="4">
        <f>IF(ISNUMBER(SEARCH("营",'17.04'!P31)),(-$Y31+50*IF('17.04'!$AK31="是",'17.04'!$AY$4,'17.04'!$AY$3)),(VLOOKUP('17.04'!P31,'17.04'!$AM$4:$AO$55,2,FALSE))*IF('17.04'!$AK31="是",'17.04'!$AY$4,'17.04'!$AY$3))</f>
        <v>0</v>
      </c>
      <c r="I31" s="4">
        <f>IF(ISNUMBER(SEARCH("营",'17.04'!Q31)),(-$Y31+50*IF('17.04'!$AK31="是",'17.04'!$AY$4,'17.04'!$AY$3)),(VLOOKUP('17.04'!Q31,'17.04'!$AM$4:$AO$55,2,FALSE))*IF('17.04'!$AK31="是",'17.04'!$AY$4,'17.04'!$AY$3))</f>
        <v>160</v>
      </c>
      <c r="J31" s="4">
        <f>IF(ISNUMBER(SEARCH("营",'17.04'!R31)),(-$Y31+50*IF('17.04'!$AK31="是",'17.04'!$AY$4,'17.04'!$AY$3)),(VLOOKUP('17.04'!R31,'17.04'!$AM$4:$AO$55,2,FALSE))*IF('17.04'!$AK31="是",'17.04'!$AY$4,'17.04'!$AY$3))</f>
        <v>160</v>
      </c>
      <c r="K31" s="4">
        <f>IF(ISNUMBER(SEARCH("营",'17.04'!S31)),(-$Y31+50*IF('17.04'!$AK31="是",'17.04'!$AY$4,'17.04'!$AY$3)),(VLOOKUP('17.04'!S31,'17.04'!$AM$4:$AO$55,2,FALSE))*IF('17.04'!$AK31="是",'17.04'!$AY$4,'17.04'!$AY$3))</f>
        <v>160</v>
      </c>
      <c r="L31" s="4">
        <f>IF(ISNUMBER(SEARCH("营",'17.04'!T31)),(-$Y31+50*IF('17.04'!$AK31="是",'17.04'!$AY$4,'17.04'!$AY$3)),(VLOOKUP('17.04'!T31,'17.04'!$AM$4:$AO$55,2,FALSE))*IF('17.04'!$AK31="是",'17.04'!$AY$4,'17.04'!$AY$3))</f>
        <v>160</v>
      </c>
      <c r="M31" s="4">
        <f>IF(ISNUMBER(SEARCH("营",'17.04'!U31)),(-$Y31+50*IF('17.04'!$AK31="是",'17.04'!$AY$4,'17.04'!$AY$3)),(VLOOKUP('17.04'!U31,'17.04'!$AM$4:$AO$55,2,FALSE))*IF('17.04'!$AK31="是",'17.04'!$AY$4,'17.04'!$AY$3))</f>
        <v>160</v>
      </c>
      <c r="N31" s="4">
        <f>IF(ISNUMBER(SEARCH("营",'17.04'!V31)),(-$Y31+50*IF('17.04'!$AK31="是",'17.04'!$AY$4,'17.04'!$AY$3)),(VLOOKUP('17.04'!V31,'17.04'!$AM$4:$AO$55,2,FALSE))*IF('17.04'!$AK31="是",'17.04'!$AY$4,'17.04'!$AY$3))</f>
        <v>160</v>
      </c>
      <c r="O31" s="4">
        <f>IF(ISNUMBER(SEARCH("营",'17.04'!W31)),(-$Y31+50*IF('17.04'!$AK31="是",'17.04'!$AY$4,'17.04'!$AY$3)),(VLOOKUP('17.04'!W31,'17.04'!$AM$4:$AO$55,2,FALSE))*IF('17.04'!$AK31="是",'17.04'!$AY$4,'17.04'!$AY$3))</f>
        <v>-210</v>
      </c>
      <c r="P31" s="4">
        <f>IF(ISNUMBER(SEARCH("营",'17.04'!X31)),(-$Y31+50*IF('17.04'!$AK31="是",'17.04'!$AY$4,'17.04'!$AY$3)),(VLOOKUP('17.04'!X31,'17.04'!$AM$4:$AO$55,2,FALSE))*IF('17.04'!$AK31="是",'17.04'!$AY$4,'17.04'!$AY$3))</f>
        <v>160</v>
      </c>
      <c r="Q31" s="4">
        <f>IF(ISNUMBER(SEARCH("营",'17.04'!Y31)),(-$Y31+50*IF('17.04'!$AK31="是",'17.04'!$AY$4,'17.04'!$AY$3)),(VLOOKUP('17.04'!Y31,'17.04'!$AM$4:$AO$55,2,FALSE))*IF('17.04'!$AK31="是",'17.04'!$AY$4,'17.04'!$AY$3))</f>
        <v>40</v>
      </c>
      <c r="R31" s="4">
        <f>IF(ISNUMBER(SEARCH("营",'17.04'!Z31)),(-$Y31+50*IF('17.04'!$AK31="是",'17.04'!$AY$4,'17.04'!$AY$3)),(VLOOKUP('17.04'!Z31,'17.04'!$AM$4:$AO$55,2,FALSE))*IF('17.04'!$AK31="是",'17.04'!$AY$4,'17.04'!$AY$3))</f>
        <v>144</v>
      </c>
      <c r="S31" s="4">
        <f>IF(ISNUMBER(SEARCH("营",'17.04'!AA31)),(-$Y31+50*IF('17.04'!$AK31="是",'17.04'!$AY$4,'17.04'!$AY$3)),(VLOOKUP('17.04'!AA31,'17.04'!$AM$4:$AO$55,2,FALSE))*IF('17.04'!$AK31="是",'17.04'!$AY$4,'17.04'!$AY$3))</f>
        <v>-210</v>
      </c>
      <c r="T31" s="4">
        <f>IF(ISNUMBER(SEARCH("营",'17.04'!AB31)),(-$Y31+50*IF('17.04'!$AK31="是",'17.04'!$AY$4,'17.04'!$AY$3)),(VLOOKUP('17.04'!AB31,'17.04'!$AM$4:$AO$55,2,FALSE))*IF('17.04'!$AK31="是",'17.04'!$AY$4,'17.04'!$AY$3))</f>
        <v>144</v>
      </c>
      <c r="U31" s="4">
        <f>IF(ISNUMBER(SEARCH("营",'17.04'!AC31)),(-$Y31+50*IF('17.04'!$AK31="是",'17.04'!$AY$4,'17.04'!$AY$3)),(VLOOKUP('17.04'!AC31,'17.04'!$AM$4:$AO$55,2,FALSE))*IF('17.04'!$AK31="是",'17.04'!$AY$4,'17.04'!$AY$3))</f>
        <v>144</v>
      </c>
      <c r="V31" s="4">
        <f>IF(ISNUMBER(SEARCH("营",'17.04'!AD31)),(-$Y31+50*IF('17.04'!$AK31="是",'17.04'!$AY$4,'17.04'!$AY$3)),(VLOOKUP('17.04'!AD31,'17.04'!$AM$4:$AO$55,2,FALSE))*IF('17.04'!$AK31="是",'17.04'!$AY$4,'17.04'!$AY$3))</f>
        <v>144</v>
      </c>
      <c r="W31" s="4">
        <f>IF(ISNUMBER(SEARCH("营",'17.04'!AE31)),(-$Y31+50*IF('17.04'!$AK31="是",'17.04'!$AY$4,'17.04'!$AY$3)),(VLOOKUP('17.04'!AE31,'17.04'!$AM$4:$AO$55,2,FALSE))*IF('17.04'!$AK31="是",'17.04'!$AY$4,'17.04'!$AY$3))</f>
        <v>144</v>
      </c>
      <c r="X31" s="4">
        <f>IF(ISNUMBER(SEARCH("营",'17.04'!AF31)),(-$Y31+50*IF('17.04'!$AK31="是",'17.04'!$AY$4,'17.04'!$AY$3)),(VLOOKUP('17.04'!AF31,'17.04'!$AM$4:$AO$55,2,FALSE))*IF('17.04'!$AK31="是",'17.04'!$AY$4,'17.04'!$AY$3))</f>
        <v>144</v>
      </c>
      <c r="Y31" s="90">
        <v>250</v>
      </c>
    </row>
    <row r="32" spans="1:25">
      <c r="A32" s="4">
        <f>IF(ISNUMBER(SEARCH("营",'17.04'!I32)),(-$Y32+50*IF('17.04'!$AK32="是",'17.04'!$AY$4,'17.04'!$AY$3)),(VLOOKUP('17.04'!I32,'17.04'!$AM$4:$AO$55,2,FALSE))*IF('17.04'!$AK32="是",'17.04'!$AY$4,'17.04'!$AY$3))</f>
        <v>120</v>
      </c>
      <c r="B32" s="4">
        <f>IF(ISNUMBER(SEARCH("营",'17.04'!J32)),(-$Y32+50*IF('17.04'!$AK32="是",'17.04'!$AY$4,'17.04'!$AY$3)),(VLOOKUP('17.04'!J32,'17.04'!$AM$4:$AO$55,2,FALSE))*IF('17.04'!$AK32="是",'17.04'!$AY$4,'17.04'!$AY$3))</f>
        <v>120</v>
      </c>
      <c r="C32" s="4">
        <f>IF(ISNUMBER(SEARCH("营",'17.04'!K32)),(-$Y32+50*IF('17.04'!$AK32="是",'17.04'!$AY$4,'17.04'!$AY$3)),(VLOOKUP('17.04'!K32,'17.04'!$AM$4:$AO$55,2,FALSE))*IF('17.04'!$AK32="是",'17.04'!$AY$4,'17.04'!$AY$3))</f>
        <v>40</v>
      </c>
      <c r="D32" s="4">
        <f>IF(ISNUMBER(SEARCH("营",'17.04'!L32)),(-$Y32+50*IF('17.04'!$AK32="是",'17.04'!$AY$4,'17.04'!$AY$3)),(VLOOKUP('17.04'!L32,'17.04'!$AM$4:$AO$55,2,FALSE))*IF('17.04'!$AK32="是",'17.04'!$AY$4,'17.04'!$AY$3))</f>
        <v>120</v>
      </c>
      <c r="E32" s="4">
        <f>IF(ISNUMBER(SEARCH("营",'17.04'!M32)),(-$Y32+50*IF('17.04'!$AK32="是",'17.04'!$AY$4,'17.04'!$AY$3)),(VLOOKUP('17.04'!M32,'17.04'!$AM$4:$AO$55,2,FALSE))*IF('17.04'!$AK32="是",'17.04'!$AY$4,'17.04'!$AY$3))</f>
        <v>120</v>
      </c>
      <c r="F32" s="4">
        <f>IF(ISNUMBER(SEARCH("营",'17.04'!N32)),(-$Y32+50*IF('17.04'!$AK32="是",'17.04'!$AY$4,'17.04'!$AY$3)),(VLOOKUP('17.04'!N32,'17.04'!$AM$4:$AO$55,2,FALSE))*IF('17.04'!$AK32="是",'17.04'!$AY$4,'17.04'!$AY$3))</f>
        <v>120</v>
      </c>
      <c r="G32" s="4">
        <f>IF(ISNUMBER(SEARCH("营",'17.04'!O32)),(-$Y32+50*IF('17.04'!$AK32="是",'17.04'!$AY$4,'17.04'!$AY$3)),(VLOOKUP('17.04'!O32,'17.04'!$AM$4:$AO$55,2,FALSE))*IF('17.04'!$AK32="是",'17.04'!$AY$4,'17.04'!$AY$3))</f>
        <v>40</v>
      </c>
      <c r="H32" s="4">
        <f>IF(ISNUMBER(SEARCH("营",'17.04'!P32)),(-$Y32+50*IF('17.04'!$AK32="是",'17.04'!$AY$4,'17.04'!$AY$3)),(VLOOKUP('17.04'!P32,'17.04'!$AM$4:$AO$55,2,FALSE))*IF('17.04'!$AK32="是",'17.04'!$AY$4,'17.04'!$AY$3))</f>
        <v>0</v>
      </c>
      <c r="I32" s="4">
        <f>IF(ISNUMBER(SEARCH("营",'17.04'!Q32)),(-$Y32+50*IF('17.04'!$AK32="是",'17.04'!$AY$4,'17.04'!$AY$3)),(VLOOKUP('17.04'!Q32,'17.04'!$AM$4:$AO$55,2,FALSE))*IF('17.04'!$AK32="是",'17.04'!$AY$4,'17.04'!$AY$3))</f>
        <v>160</v>
      </c>
      <c r="J32" s="4">
        <f>IF(ISNUMBER(SEARCH("营",'17.04'!R32)),(-$Y32+50*IF('17.04'!$AK32="是",'17.04'!$AY$4,'17.04'!$AY$3)),(VLOOKUP('17.04'!R32,'17.04'!$AM$4:$AO$55,2,FALSE))*IF('17.04'!$AK32="是",'17.04'!$AY$4,'17.04'!$AY$3))</f>
        <v>160</v>
      </c>
      <c r="K32" s="4">
        <f>IF(ISNUMBER(SEARCH("营",'17.04'!S32)),(-$Y32+50*IF('17.04'!$AK32="是",'17.04'!$AY$4,'17.04'!$AY$3)),(VLOOKUP('17.04'!S32,'17.04'!$AM$4:$AO$55,2,FALSE))*IF('17.04'!$AK32="是",'17.04'!$AY$4,'17.04'!$AY$3))</f>
        <v>160</v>
      </c>
      <c r="L32" s="4">
        <f>IF(ISNUMBER(SEARCH("营",'17.04'!T32)),(-$Y32+50*IF('17.04'!$AK32="是",'17.04'!$AY$4,'17.04'!$AY$3)),(VLOOKUP('17.04'!T32,'17.04'!$AM$4:$AO$55,2,FALSE))*IF('17.04'!$AK32="是",'17.04'!$AY$4,'17.04'!$AY$3))</f>
        <v>160</v>
      </c>
      <c r="M32" s="4">
        <f>IF(ISNUMBER(SEARCH("营",'17.04'!U32)),(-$Y32+50*IF('17.04'!$AK32="是",'17.04'!$AY$4,'17.04'!$AY$3)),(VLOOKUP('17.04'!U32,'17.04'!$AM$4:$AO$55,2,FALSE))*IF('17.04'!$AK32="是",'17.04'!$AY$4,'17.04'!$AY$3))</f>
        <v>200</v>
      </c>
      <c r="N32" s="4">
        <f>IF(ISNUMBER(SEARCH("营",'17.04'!V32)),(-$Y32+50*IF('17.04'!$AK32="是",'17.04'!$AY$4,'17.04'!$AY$3)),(VLOOKUP('17.04'!V32,'17.04'!$AM$4:$AO$55,2,FALSE))*IF('17.04'!$AK32="是",'17.04'!$AY$4,'17.04'!$AY$3))</f>
        <v>160</v>
      </c>
      <c r="O32" s="4">
        <f>IF(ISNUMBER(SEARCH("营",'17.04'!W32)),(-$Y32+50*IF('17.04'!$AK32="是",'17.04'!$AY$4,'17.04'!$AY$3)),(VLOOKUP('17.04'!W32,'17.04'!$AM$4:$AO$55,2,FALSE))*IF('17.04'!$AK32="是",'17.04'!$AY$4,'17.04'!$AY$3))</f>
        <v>160</v>
      </c>
      <c r="P32" s="4">
        <f>IF(ISNUMBER(SEARCH("营",'17.04'!X32)),(-$Y32+50*IF('17.04'!$AK32="是",'17.04'!$AY$4,'17.04'!$AY$3)),(VLOOKUP('17.04'!X32,'17.04'!$AM$4:$AO$55,2,FALSE))*IF('17.04'!$AK32="是",'17.04'!$AY$4,'17.04'!$AY$3))</f>
        <v>0</v>
      </c>
      <c r="Q32" s="4">
        <f>IF(ISNUMBER(SEARCH("营",'17.04'!Y32)),(-$Y32+50*IF('17.04'!$AK32="是",'17.04'!$AY$4,'17.04'!$AY$3)),(VLOOKUP('17.04'!Y32,'17.04'!$AM$4:$AO$55,2,FALSE))*IF('17.04'!$AK32="是",'17.04'!$AY$4,'17.04'!$AY$3))</f>
        <v>144</v>
      </c>
      <c r="R32" s="4">
        <f>IF(ISNUMBER(SEARCH("营",'17.04'!Z32)),(-$Y32+50*IF('17.04'!$AK32="是",'17.04'!$AY$4,'17.04'!$AY$3)),(VLOOKUP('17.04'!Z32,'17.04'!$AM$4:$AO$55,2,FALSE))*IF('17.04'!$AK32="是",'17.04'!$AY$4,'17.04'!$AY$3))</f>
        <v>144</v>
      </c>
      <c r="S32" s="4">
        <f>IF(ISNUMBER(SEARCH("营",'17.04'!AA32)),(-$Y32+50*IF('17.04'!$AK32="是",'17.04'!$AY$4,'17.04'!$AY$3)),(VLOOKUP('17.04'!AA32,'17.04'!$AM$4:$AO$55,2,FALSE))*IF('17.04'!$AK32="是",'17.04'!$AY$4,'17.04'!$AY$3))</f>
        <v>144</v>
      </c>
      <c r="T32" s="4">
        <f>IF(ISNUMBER(SEARCH("营",'17.04'!AB32)),(-$Y32+50*IF('17.04'!$AK32="是",'17.04'!$AY$4,'17.04'!$AY$3)),(VLOOKUP('17.04'!AB32,'17.04'!$AM$4:$AO$55,2,FALSE))*IF('17.04'!$AK32="是",'17.04'!$AY$4,'17.04'!$AY$3))</f>
        <v>0</v>
      </c>
      <c r="U32" s="4">
        <f>IF(ISNUMBER(SEARCH("营",'17.04'!AC32)),(-$Y32+50*IF('17.04'!$AK32="是",'17.04'!$AY$4,'17.04'!$AY$3)),(VLOOKUP('17.04'!AC32,'17.04'!$AM$4:$AO$55,2,FALSE))*IF('17.04'!$AK32="是",'17.04'!$AY$4,'17.04'!$AY$3))</f>
        <v>0</v>
      </c>
      <c r="V32" s="4">
        <f>IF(ISNUMBER(SEARCH("营",'17.04'!AD32)),(-$Y32+50*IF('17.04'!$AK32="是",'17.04'!$AY$4,'17.04'!$AY$3)),(VLOOKUP('17.04'!AD32,'17.04'!$AM$4:$AO$55,2,FALSE))*IF('17.04'!$AK32="是",'17.04'!$AY$4,'17.04'!$AY$3))</f>
        <v>0</v>
      </c>
      <c r="W32" s="4">
        <f>IF(ISNUMBER(SEARCH("营",'17.04'!AE32)),(-$Y32+50*IF('17.04'!$AK32="是",'17.04'!$AY$4,'17.04'!$AY$3)),(VLOOKUP('17.04'!AE32,'17.04'!$AM$4:$AO$55,2,FALSE))*IF('17.04'!$AK32="是",'17.04'!$AY$4,'17.04'!$AY$3))</f>
        <v>0</v>
      </c>
      <c r="X32" s="4">
        <f>IF(ISNUMBER(SEARCH("营",'17.04'!AF32)),(-$Y32+50*IF('17.04'!$AK32="是",'17.04'!$AY$4,'17.04'!$AY$3)),(VLOOKUP('17.04'!AF32,'17.04'!$AM$4:$AO$55,2,FALSE))*IF('17.04'!$AK32="是",'17.04'!$AY$4,'17.04'!$AY$3))</f>
        <v>0</v>
      </c>
      <c r="Y32" s="90">
        <v>250</v>
      </c>
    </row>
    <row r="33" spans="1:25">
      <c r="A33" s="4">
        <f>IF(ISNUMBER(SEARCH("营",'17.04'!I33)),(-$Y33+50*IF('17.04'!$AK33="是",'17.04'!$AY$4,'17.04'!$AY$3)),(VLOOKUP('17.04'!I33,'17.04'!$AM$4:$AO$55,2,FALSE))*IF('17.04'!$AK33="是",'17.04'!$AY$4,'17.04'!$AY$3))</f>
        <v>128</v>
      </c>
      <c r="B33" s="4">
        <f>IF(ISNUMBER(SEARCH("营",'17.04'!J33)),(-$Y33+50*IF('17.04'!$AK33="是",'17.04'!$AY$4,'17.04'!$AY$3)),(VLOOKUP('17.04'!J33,'17.04'!$AM$4:$AO$55,2,FALSE))*IF('17.04'!$AK33="是",'17.04'!$AY$4,'17.04'!$AY$3))</f>
        <v>128</v>
      </c>
      <c r="C33" s="4">
        <f>IF(ISNUMBER(SEARCH("营",'17.04'!K33)),(-$Y33+50*IF('17.04'!$AK33="是",'17.04'!$AY$4,'17.04'!$AY$3)),(VLOOKUP('17.04'!K33,'17.04'!$AM$4:$AO$55,2,FALSE))*IF('17.04'!$AK33="是",'17.04'!$AY$4,'17.04'!$AY$3))</f>
        <v>128</v>
      </c>
      <c r="D33" s="4">
        <f>IF(ISNUMBER(SEARCH("营",'17.04'!L33)),(-$Y33+50*IF('17.04'!$AK33="是",'17.04'!$AY$4,'17.04'!$AY$3)),(VLOOKUP('17.04'!L33,'17.04'!$AM$4:$AO$55,2,FALSE))*IF('17.04'!$AK33="是",'17.04'!$AY$4,'17.04'!$AY$3))</f>
        <v>40</v>
      </c>
      <c r="E33" s="4">
        <f>IF(ISNUMBER(SEARCH("营",'17.04'!M33)),(-$Y33+50*IF('17.04'!$AK33="是",'17.04'!$AY$4,'17.04'!$AY$3)),(VLOOKUP('17.04'!M33,'17.04'!$AM$4:$AO$55,2,FALSE))*IF('17.04'!$AK33="是",'17.04'!$AY$4,'17.04'!$AY$3))</f>
        <v>128</v>
      </c>
      <c r="F33" s="4">
        <f>IF(ISNUMBER(SEARCH("营",'17.04'!N33)),(-$Y33+50*IF('17.04'!$AK33="是",'17.04'!$AY$4,'17.04'!$AY$3)),(VLOOKUP('17.04'!N33,'17.04'!$AM$4:$AO$55,2,FALSE))*IF('17.04'!$AK33="是",'17.04'!$AY$4,'17.04'!$AY$3))</f>
        <v>128</v>
      </c>
      <c r="G33" s="4">
        <f>IF(ISNUMBER(SEARCH("营",'17.04'!O33)),(-$Y33+50*IF('17.04'!$AK33="是",'17.04'!$AY$4,'17.04'!$AY$3)),(VLOOKUP('17.04'!O33,'17.04'!$AM$4:$AO$55,2,FALSE))*IF('17.04'!$AK33="是",'17.04'!$AY$4,'17.04'!$AY$3))</f>
        <v>-210</v>
      </c>
      <c r="H33" s="4">
        <f>IF(ISNUMBER(SEARCH("营",'17.04'!P33)),(-$Y33+50*IF('17.04'!$AK33="是",'17.04'!$AY$4,'17.04'!$AY$3)),(VLOOKUP('17.04'!P33,'17.04'!$AM$4:$AO$55,2,FALSE))*IF('17.04'!$AK33="是",'17.04'!$AY$4,'17.04'!$AY$3))</f>
        <v>0</v>
      </c>
      <c r="I33" s="4">
        <f>IF(ISNUMBER(SEARCH("营",'17.04'!Q33)),(-$Y33+50*IF('17.04'!$AK33="是",'17.04'!$AY$4,'17.04'!$AY$3)),(VLOOKUP('17.04'!Q33,'17.04'!$AM$4:$AO$55,2,FALSE))*IF('17.04'!$AK33="是",'17.04'!$AY$4,'17.04'!$AY$3))</f>
        <v>160</v>
      </c>
      <c r="J33" s="4">
        <f>IF(ISNUMBER(SEARCH("营",'17.04'!R33)),(-$Y33+50*IF('17.04'!$AK33="是",'17.04'!$AY$4,'17.04'!$AY$3)),(VLOOKUP('17.04'!R33,'17.04'!$AM$4:$AO$55,2,FALSE))*IF('17.04'!$AK33="是",'17.04'!$AY$4,'17.04'!$AY$3))</f>
        <v>160</v>
      </c>
      <c r="K33" s="4">
        <f>IF(ISNUMBER(SEARCH("营",'17.04'!S33)),(-$Y33+50*IF('17.04'!$AK33="是",'17.04'!$AY$4,'17.04'!$AY$3)),(VLOOKUP('17.04'!S33,'17.04'!$AM$4:$AO$55,2,FALSE))*IF('17.04'!$AK33="是",'17.04'!$AY$4,'17.04'!$AY$3))</f>
        <v>160</v>
      </c>
      <c r="L33" s="4">
        <f>IF(ISNUMBER(SEARCH("营",'17.04'!T33)),(-$Y33+50*IF('17.04'!$AK33="是",'17.04'!$AY$4,'17.04'!$AY$3)),(VLOOKUP('17.04'!T33,'17.04'!$AM$4:$AO$55,2,FALSE))*IF('17.04'!$AK33="是",'17.04'!$AY$4,'17.04'!$AY$3))</f>
        <v>160</v>
      </c>
      <c r="M33" s="4">
        <f>IF(ISNUMBER(SEARCH("营",'17.04'!U33)),(-$Y33+50*IF('17.04'!$AK33="是",'17.04'!$AY$4,'17.04'!$AY$3)),(VLOOKUP('17.04'!U33,'17.04'!$AM$4:$AO$55,2,FALSE))*IF('17.04'!$AK33="是",'17.04'!$AY$4,'17.04'!$AY$3))</f>
        <v>160</v>
      </c>
      <c r="N33" s="4">
        <f>IF(ISNUMBER(SEARCH("营",'17.04'!V33)),(-$Y33+50*IF('17.04'!$AK33="是",'17.04'!$AY$4,'17.04'!$AY$3)),(VLOOKUP('17.04'!V33,'17.04'!$AM$4:$AO$55,2,FALSE))*IF('17.04'!$AK33="是",'17.04'!$AY$4,'17.04'!$AY$3))</f>
        <v>160</v>
      </c>
      <c r="O33" s="4">
        <f>IF(ISNUMBER(SEARCH("营",'17.04'!W33)),(-$Y33+50*IF('17.04'!$AK33="是",'17.04'!$AY$4,'17.04'!$AY$3)),(VLOOKUP('17.04'!W33,'17.04'!$AM$4:$AO$55,2,FALSE))*IF('17.04'!$AK33="是",'17.04'!$AY$4,'17.04'!$AY$3))</f>
        <v>-210</v>
      </c>
      <c r="P33" s="4">
        <f>IF(ISNUMBER(SEARCH("营",'17.04'!X33)),(-$Y33+50*IF('17.04'!$AK33="是",'17.04'!$AY$4,'17.04'!$AY$3)),(VLOOKUP('17.04'!X33,'17.04'!$AM$4:$AO$55,2,FALSE))*IF('17.04'!$AK33="是",'17.04'!$AY$4,'17.04'!$AY$3))</f>
        <v>136</v>
      </c>
      <c r="Q33" s="4">
        <f>IF(ISNUMBER(SEARCH("营",'17.04'!Y33)),(-$Y33+50*IF('17.04'!$AK33="是",'17.04'!$AY$4,'17.04'!$AY$3)),(VLOOKUP('17.04'!Y33,'17.04'!$AM$4:$AO$55,2,FALSE))*IF('17.04'!$AK33="是",'17.04'!$AY$4,'17.04'!$AY$3))</f>
        <v>136</v>
      </c>
      <c r="R33" s="4">
        <f>IF(ISNUMBER(SEARCH("营",'17.04'!Z33)),(-$Y33+50*IF('17.04'!$AK33="是",'17.04'!$AY$4,'17.04'!$AY$3)),(VLOOKUP('17.04'!Z33,'17.04'!$AM$4:$AO$55,2,FALSE))*IF('17.04'!$AK33="是",'17.04'!$AY$4,'17.04'!$AY$3))</f>
        <v>136</v>
      </c>
      <c r="S33" s="4">
        <f>IF(ISNUMBER(SEARCH("营",'17.04'!AA33)),(-$Y33+50*IF('17.04'!$AK33="是",'17.04'!$AY$4,'17.04'!$AY$3)),(VLOOKUP('17.04'!AA33,'17.04'!$AM$4:$AO$55,2,FALSE))*IF('17.04'!$AK33="是",'17.04'!$AY$4,'17.04'!$AY$3))</f>
        <v>0</v>
      </c>
      <c r="T33" s="4">
        <f>IF(ISNUMBER(SEARCH("营",'17.04'!AB33)),(-$Y33+50*IF('17.04'!$AK33="是",'17.04'!$AY$4,'17.04'!$AY$3)),(VLOOKUP('17.04'!AB33,'17.04'!$AM$4:$AO$55,2,FALSE))*IF('17.04'!$AK33="是",'17.04'!$AY$4,'17.04'!$AY$3))</f>
        <v>0</v>
      </c>
      <c r="U33" s="4">
        <f>IF(ISNUMBER(SEARCH("营",'17.04'!AC33)),(-$Y33+50*IF('17.04'!$AK33="是",'17.04'!$AY$4,'17.04'!$AY$3)),(VLOOKUP('17.04'!AC33,'17.04'!$AM$4:$AO$55,2,FALSE))*IF('17.04'!$AK33="是",'17.04'!$AY$4,'17.04'!$AY$3))</f>
        <v>0</v>
      </c>
      <c r="V33" s="4">
        <f>IF(ISNUMBER(SEARCH("营",'17.04'!AD33)),(-$Y33+50*IF('17.04'!$AK33="是",'17.04'!$AY$4,'17.04'!$AY$3)),(VLOOKUP('17.04'!AD33,'17.04'!$AM$4:$AO$55,2,FALSE))*IF('17.04'!$AK33="是",'17.04'!$AY$4,'17.04'!$AY$3))</f>
        <v>0</v>
      </c>
      <c r="W33" s="4">
        <f>IF(ISNUMBER(SEARCH("营",'17.04'!AE33)),(-$Y33+50*IF('17.04'!$AK33="是",'17.04'!$AY$4,'17.04'!$AY$3)),(VLOOKUP('17.04'!AE33,'17.04'!$AM$4:$AO$55,2,FALSE))*IF('17.04'!$AK33="是",'17.04'!$AY$4,'17.04'!$AY$3))</f>
        <v>0</v>
      </c>
      <c r="X33" s="4">
        <f>IF(ISNUMBER(SEARCH("营",'17.04'!AF33)),(-$Y33+50*IF('17.04'!$AK33="是",'17.04'!$AY$4,'17.04'!$AY$3)),(VLOOKUP('17.04'!AF33,'17.04'!$AM$4:$AO$55,2,FALSE))*IF('17.04'!$AK33="是",'17.04'!$AY$4,'17.04'!$AY$3))</f>
        <v>0</v>
      </c>
      <c r="Y33" s="90">
        <v>250</v>
      </c>
    </row>
    <row r="34" spans="1:25">
      <c r="A34" s="4">
        <f>IF(ISNUMBER(SEARCH("营",'17.04'!I34)),(-$Y34+50*IF('17.04'!$AK34="是",'17.04'!$AY$4,'17.04'!$AY$3)),(VLOOKUP('17.04'!I34,'17.04'!$AM$4:$AO$55,2,FALSE))*IF('17.04'!$AK34="是",'17.04'!$AY$4,'17.04'!$AY$3))</f>
        <v>0</v>
      </c>
      <c r="B34" s="4">
        <f>IF(ISNUMBER(SEARCH("营",'17.04'!J34)),(-$Y34+50*IF('17.04'!$AK34="是",'17.04'!$AY$4,'17.04'!$AY$3)),(VLOOKUP('17.04'!J34,'17.04'!$AM$4:$AO$55,2,FALSE))*IF('17.04'!$AK34="是",'17.04'!$AY$4,'17.04'!$AY$3))</f>
        <v>0</v>
      </c>
      <c r="C34" s="4">
        <f>IF(ISNUMBER(SEARCH("营",'17.04'!K34)),(-$Y34+50*IF('17.04'!$AK34="是",'17.04'!$AY$4,'17.04'!$AY$3)),(VLOOKUP('17.04'!K34,'17.04'!$AM$4:$AO$55,2,FALSE))*IF('17.04'!$AK34="是",'17.04'!$AY$4,'17.04'!$AY$3))</f>
        <v>0</v>
      </c>
      <c r="D34" s="4">
        <f>IF(ISNUMBER(SEARCH("营",'17.04'!L34)),(-$Y34+50*IF('17.04'!$AK34="是",'17.04'!$AY$4,'17.04'!$AY$3)),(VLOOKUP('17.04'!L34,'17.04'!$AM$4:$AO$55,2,FALSE))*IF('17.04'!$AK34="是",'17.04'!$AY$4,'17.04'!$AY$3))</f>
        <v>0</v>
      </c>
      <c r="E34" s="4">
        <f>IF(ISNUMBER(SEARCH("营",'17.04'!M34)),(-$Y34+50*IF('17.04'!$AK34="是",'17.04'!$AY$4,'17.04'!$AY$3)),(VLOOKUP('17.04'!M34,'17.04'!$AM$4:$AO$55,2,FALSE))*IF('17.04'!$AK34="是",'17.04'!$AY$4,'17.04'!$AY$3))</f>
        <v>0</v>
      </c>
      <c r="F34" s="4">
        <f>IF(ISNUMBER(SEARCH("营",'17.04'!N34)),(-$Y34+50*IF('17.04'!$AK34="是",'17.04'!$AY$4,'17.04'!$AY$3)),(VLOOKUP('17.04'!N34,'17.04'!$AM$4:$AO$55,2,FALSE))*IF('17.04'!$AK34="是",'17.04'!$AY$4,'17.04'!$AY$3))</f>
        <v>0</v>
      </c>
      <c r="G34" s="4">
        <f>IF(ISNUMBER(SEARCH("营",'17.04'!O34)),(-$Y34+50*IF('17.04'!$AK34="是",'17.04'!$AY$4,'17.04'!$AY$3)),(VLOOKUP('17.04'!O34,'17.04'!$AM$4:$AO$55,2,FALSE))*IF('17.04'!$AK34="是",'17.04'!$AY$4,'17.04'!$AY$3))</f>
        <v>0</v>
      </c>
      <c r="H34" s="4">
        <f>IF(ISNUMBER(SEARCH("营",'17.04'!P34)),(-$Y34+50*IF('17.04'!$AK34="是",'17.04'!$AY$4,'17.04'!$AY$3)),(VLOOKUP('17.04'!P34,'17.04'!$AM$4:$AO$55,2,FALSE))*IF('17.04'!$AK34="是",'17.04'!$AY$4,'17.04'!$AY$3))</f>
        <v>0</v>
      </c>
      <c r="I34" s="4">
        <f>IF(ISNUMBER(SEARCH("营",'17.04'!Q34)),(-$Y34+50*IF('17.04'!$AK34="是",'17.04'!$AY$4,'17.04'!$AY$3)),(VLOOKUP('17.04'!Q34,'17.04'!$AM$4:$AO$55,2,FALSE))*IF('17.04'!$AK34="是",'17.04'!$AY$4,'17.04'!$AY$3))</f>
        <v>136</v>
      </c>
      <c r="J34" s="4">
        <f>IF(ISNUMBER(SEARCH("营",'17.04'!R34)),(-$Y34+50*IF('17.04'!$AK34="是",'17.04'!$AY$4,'17.04'!$AY$3)),(VLOOKUP('17.04'!R34,'17.04'!$AM$4:$AO$55,2,FALSE))*IF('17.04'!$AK34="是",'17.04'!$AY$4,'17.04'!$AY$3))</f>
        <v>40</v>
      </c>
      <c r="K34" s="4">
        <f>IF(ISNUMBER(SEARCH("营",'17.04'!S34)),(-$Y34+50*IF('17.04'!$AK34="是",'17.04'!$AY$4,'17.04'!$AY$3)),(VLOOKUP('17.04'!S34,'17.04'!$AM$4:$AO$55,2,FALSE))*IF('17.04'!$AK34="是",'17.04'!$AY$4,'17.04'!$AY$3))</f>
        <v>136</v>
      </c>
      <c r="L34" s="4">
        <f>IF(ISNUMBER(SEARCH("营",'17.04'!T34)),(-$Y34+50*IF('17.04'!$AK34="是",'17.04'!$AY$4,'17.04'!$AY$3)),(VLOOKUP('17.04'!T34,'17.04'!$AM$4:$AO$55,2,FALSE))*IF('17.04'!$AK34="是",'17.04'!$AY$4,'17.04'!$AY$3))</f>
        <v>120</v>
      </c>
      <c r="M34" s="4">
        <f>IF(ISNUMBER(SEARCH("营",'17.04'!U34)),(-$Y34+50*IF('17.04'!$AK34="是",'17.04'!$AY$4,'17.04'!$AY$3)),(VLOOKUP('17.04'!U34,'17.04'!$AM$4:$AO$55,2,FALSE))*IF('17.04'!$AK34="是",'17.04'!$AY$4,'17.04'!$AY$3))</f>
        <v>136</v>
      </c>
      <c r="N34" s="4">
        <f>IF(ISNUMBER(SEARCH("营",'17.04'!V34)),(-$Y34+50*IF('17.04'!$AK34="是",'17.04'!$AY$4,'17.04'!$AY$3)),(VLOOKUP('17.04'!V34,'17.04'!$AM$4:$AO$55,2,FALSE))*IF('17.04'!$AK34="是",'17.04'!$AY$4,'17.04'!$AY$3))</f>
        <v>136</v>
      </c>
      <c r="O34" s="4">
        <f>IF(ISNUMBER(SEARCH("营",'17.04'!W34)),(-$Y34+50*IF('17.04'!$AK34="是",'17.04'!$AY$4,'17.04'!$AY$3)),(VLOOKUP('17.04'!W34,'17.04'!$AM$4:$AO$55,2,FALSE))*IF('17.04'!$AK34="是",'17.04'!$AY$4,'17.04'!$AY$3))</f>
        <v>0</v>
      </c>
      <c r="P34" s="4">
        <f>IF(ISNUMBER(SEARCH("营",'17.04'!X34)),(-$Y34+50*IF('17.04'!$AK34="是",'17.04'!$AY$4,'17.04'!$AY$3)),(VLOOKUP('17.04'!X34,'17.04'!$AM$4:$AO$55,2,FALSE))*IF('17.04'!$AK34="是",'17.04'!$AY$4,'17.04'!$AY$3))</f>
        <v>0</v>
      </c>
      <c r="Q34" s="4">
        <f>IF(ISNUMBER(SEARCH("营",'17.04'!Y34)),(-$Y34+50*IF('17.04'!$AK34="是",'17.04'!$AY$4,'17.04'!$AY$3)),(VLOOKUP('17.04'!Y34,'17.04'!$AM$4:$AO$55,2,FALSE))*IF('17.04'!$AK34="是",'17.04'!$AY$4,'17.04'!$AY$3))</f>
        <v>136</v>
      </c>
      <c r="R34" s="4">
        <f>IF(ISNUMBER(SEARCH("营",'17.04'!Z34)),(-$Y34+50*IF('17.04'!$AK34="是",'17.04'!$AY$4,'17.04'!$AY$3)),(VLOOKUP('17.04'!Z34,'17.04'!$AM$4:$AO$55,2,FALSE))*IF('17.04'!$AK34="是",'17.04'!$AY$4,'17.04'!$AY$3))</f>
        <v>136</v>
      </c>
      <c r="S34" s="4">
        <f>IF(ISNUMBER(SEARCH("营",'17.04'!AA34)),(-$Y34+50*IF('17.04'!$AK34="是",'17.04'!$AY$4,'17.04'!$AY$3)),(VLOOKUP('17.04'!AA34,'17.04'!$AM$4:$AO$55,2,FALSE))*IF('17.04'!$AK34="是",'17.04'!$AY$4,'17.04'!$AY$3))</f>
        <v>136</v>
      </c>
      <c r="T34" s="4">
        <f>IF(ISNUMBER(SEARCH("营",'17.04'!AB34)),(-$Y34+50*IF('17.04'!$AK34="是",'17.04'!$AY$4,'17.04'!$AY$3)),(VLOOKUP('17.04'!AB34,'17.04'!$AM$4:$AO$55,2,FALSE))*IF('17.04'!$AK34="是",'17.04'!$AY$4,'17.04'!$AY$3))</f>
        <v>136</v>
      </c>
      <c r="U34" s="4">
        <f>IF(ISNUMBER(SEARCH("营",'17.04'!AC34)),(-$Y34+50*IF('17.04'!$AK34="是",'17.04'!$AY$4,'17.04'!$AY$3)),(VLOOKUP('17.04'!AC34,'17.04'!$AM$4:$AO$55,2,FALSE))*IF('17.04'!$AK34="是",'17.04'!$AY$4,'17.04'!$AY$3))</f>
        <v>0</v>
      </c>
      <c r="V34" s="4">
        <f>IF(ISNUMBER(SEARCH("营",'17.04'!AD34)),(-$Y34+50*IF('17.04'!$AK34="是",'17.04'!$AY$4,'17.04'!$AY$3)),(VLOOKUP('17.04'!AD34,'17.04'!$AM$4:$AO$55,2,FALSE))*IF('17.04'!$AK34="是",'17.04'!$AY$4,'17.04'!$AY$3))</f>
        <v>0</v>
      </c>
      <c r="W34" s="4">
        <f>IF(ISNUMBER(SEARCH("营",'17.04'!AE34)),(-$Y34+50*IF('17.04'!$AK34="是",'17.04'!$AY$4,'17.04'!$AY$3)),(VLOOKUP('17.04'!AE34,'17.04'!$AM$4:$AO$55,2,FALSE))*IF('17.04'!$AK34="是",'17.04'!$AY$4,'17.04'!$AY$3))</f>
        <v>0</v>
      </c>
      <c r="X34" s="4">
        <f>IF(ISNUMBER(SEARCH("营",'17.04'!AF34)),(-$Y34+50*IF('17.04'!$AK34="是",'17.04'!$AY$4,'17.04'!$AY$3)),(VLOOKUP('17.04'!AF34,'17.04'!$AM$4:$AO$55,2,FALSE))*IF('17.04'!$AK34="是",'17.04'!$AY$4,'17.04'!$AY$3))</f>
        <v>0</v>
      </c>
      <c r="Y34" s="89">
        <v>200</v>
      </c>
    </row>
    <row r="35" spans="1:25">
      <c r="A35" s="4">
        <f>IF(ISNUMBER(SEARCH("营",'17.04'!I35)),(-$Y35+50*IF('17.04'!$AK35="是",'17.04'!$AY$4,'17.04'!$AY$3)),(VLOOKUP('17.04'!I35,'17.04'!$AM$4:$AO$55,2,FALSE))*IF('17.04'!$AK35="是",'17.04'!$AY$4,'17.04'!$AY$3))</f>
        <v>0</v>
      </c>
      <c r="B35" s="4">
        <f>IF(ISNUMBER(SEARCH("营",'17.04'!J35)),(-$Y35+50*IF('17.04'!$AK35="是",'17.04'!$AY$4,'17.04'!$AY$3)),(VLOOKUP('17.04'!J35,'17.04'!$AM$4:$AO$55,2,FALSE))*IF('17.04'!$AK35="是",'17.04'!$AY$4,'17.04'!$AY$3))</f>
        <v>0</v>
      </c>
      <c r="C35" s="4">
        <f>IF(ISNUMBER(SEARCH("营",'17.04'!K35)),(-$Y35+50*IF('17.04'!$AK35="是",'17.04'!$AY$4,'17.04'!$AY$3)),(VLOOKUP('17.04'!K35,'17.04'!$AM$4:$AO$55,2,FALSE))*IF('17.04'!$AK35="是",'17.04'!$AY$4,'17.04'!$AY$3))</f>
        <v>0</v>
      </c>
      <c r="D35" s="4">
        <f>IF(ISNUMBER(SEARCH("营",'17.04'!L35)),(-$Y35+50*IF('17.04'!$AK35="是",'17.04'!$AY$4,'17.04'!$AY$3)),(VLOOKUP('17.04'!L35,'17.04'!$AM$4:$AO$55,2,FALSE))*IF('17.04'!$AK35="是",'17.04'!$AY$4,'17.04'!$AY$3))</f>
        <v>0</v>
      </c>
      <c r="E35" s="4">
        <f>IF(ISNUMBER(SEARCH("营",'17.04'!M35)),(-$Y35+50*IF('17.04'!$AK35="是",'17.04'!$AY$4,'17.04'!$AY$3)),(VLOOKUP('17.04'!M35,'17.04'!$AM$4:$AO$55,2,FALSE))*IF('17.04'!$AK35="是",'17.04'!$AY$4,'17.04'!$AY$3))</f>
        <v>0</v>
      </c>
      <c r="F35" s="4">
        <f>IF(ISNUMBER(SEARCH("营",'17.04'!N35)),(-$Y35+50*IF('17.04'!$AK35="是",'17.04'!$AY$4,'17.04'!$AY$3)),(VLOOKUP('17.04'!N35,'17.04'!$AM$4:$AO$55,2,FALSE))*IF('17.04'!$AK35="是",'17.04'!$AY$4,'17.04'!$AY$3))</f>
        <v>0</v>
      </c>
      <c r="G35" s="4">
        <f>IF(ISNUMBER(SEARCH("营",'17.04'!O35)),(-$Y35+50*IF('17.04'!$AK35="是",'17.04'!$AY$4,'17.04'!$AY$3)),(VLOOKUP('17.04'!O35,'17.04'!$AM$4:$AO$55,2,FALSE))*IF('17.04'!$AK35="是",'17.04'!$AY$4,'17.04'!$AY$3))</f>
        <v>0</v>
      </c>
      <c r="H35" s="4">
        <f>IF(ISNUMBER(SEARCH("营",'17.04'!P35)),(-$Y35+50*IF('17.04'!$AK35="是",'17.04'!$AY$4,'17.04'!$AY$3)),(VLOOKUP('17.04'!P35,'17.04'!$AM$4:$AO$55,2,FALSE))*IF('17.04'!$AK35="是",'17.04'!$AY$4,'17.04'!$AY$3))</f>
        <v>0</v>
      </c>
      <c r="I35" s="4">
        <f>IF(ISNUMBER(SEARCH("营",'17.04'!Q35)),(-$Y35+50*IF('17.04'!$AK35="是",'17.04'!$AY$4,'17.04'!$AY$3)),(VLOOKUP('17.04'!Q35,'17.04'!$AM$4:$AO$55,2,FALSE))*IF('17.04'!$AK35="是",'17.04'!$AY$4,'17.04'!$AY$3))</f>
        <v>160</v>
      </c>
      <c r="J35" s="4">
        <f>IF(ISNUMBER(SEARCH("营",'17.04'!R35)),(-$Y35+50*IF('17.04'!$AK35="是",'17.04'!$AY$4,'17.04'!$AY$3)),(VLOOKUP('17.04'!R35,'17.04'!$AM$4:$AO$55,2,FALSE))*IF('17.04'!$AK35="是",'17.04'!$AY$4,'17.04'!$AY$3))</f>
        <v>160</v>
      </c>
      <c r="K35" s="4">
        <f>IF(ISNUMBER(SEARCH("营",'17.04'!S35)),(-$Y35+50*IF('17.04'!$AK35="是",'17.04'!$AY$4,'17.04'!$AY$3)),(VLOOKUP('17.04'!S35,'17.04'!$AM$4:$AO$55,2,FALSE))*IF('17.04'!$AK35="是",'17.04'!$AY$4,'17.04'!$AY$3))</f>
        <v>160</v>
      </c>
      <c r="L35" s="4">
        <f>IF(ISNUMBER(SEARCH("营",'17.04'!T35)),(-$Y35+50*IF('17.04'!$AK35="是",'17.04'!$AY$4,'17.04'!$AY$3)),(VLOOKUP('17.04'!T35,'17.04'!$AM$4:$AO$55,2,FALSE))*IF('17.04'!$AK35="是",'17.04'!$AY$4,'17.04'!$AY$3))</f>
        <v>160</v>
      </c>
      <c r="M35" s="4">
        <f>IF(ISNUMBER(SEARCH("营",'17.04'!U35)),(-$Y35+50*IF('17.04'!$AK35="是",'17.04'!$AY$4,'17.04'!$AY$3)),(VLOOKUP('17.04'!U35,'17.04'!$AM$4:$AO$55,2,FALSE))*IF('17.04'!$AK35="是",'17.04'!$AY$4,'17.04'!$AY$3))</f>
        <v>160</v>
      </c>
      <c r="N35" s="4">
        <f>IF(ISNUMBER(SEARCH("营",'17.04'!V35)),(-$Y35+50*IF('17.04'!$AK35="是",'17.04'!$AY$4,'17.04'!$AY$3)),(VLOOKUP('17.04'!V35,'17.04'!$AM$4:$AO$55,2,FALSE))*IF('17.04'!$AK35="是",'17.04'!$AY$4,'17.04'!$AY$3))</f>
        <v>160</v>
      </c>
      <c r="O35" s="4">
        <f>IF(ISNUMBER(SEARCH("营",'17.04'!W35)),(-$Y35+50*IF('17.04'!$AK35="是",'17.04'!$AY$4,'17.04'!$AY$3)),(VLOOKUP('17.04'!W35,'17.04'!$AM$4:$AO$55,2,FALSE))*IF('17.04'!$AK35="是",'17.04'!$AY$4,'17.04'!$AY$3))</f>
        <v>0</v>
      </c>
      <c r="P35" s="4">
        <f>IF(ISNUMBER(SEARCH("营",'17.04'!X35)),(-$Y35+50*IF('17.04'!$AK35="是",'17.04'!$AY$4,'17.04'!$AY$3)),(VLOOKUP('17.04'!X35,'17.04'!$AM$4:$AO$55,2,FALSE))*IF('17.04'!$AK35="是",'17.04'!$AY$4,'17.04'!$AY$3))</f>
        <v>0</v>
      </c>
      <c r="Q35" s="4">
        <f>IF(ISNUMBER(SEARCH("营",'17.04'!Y35)),(-$Y35+50*IF('17.04'!$AK35="是",'17.04'!$AY$4,'17.04'!$AY$3)),(VLOOKUP('17.04'!Y35,'17.04'!$AM$4:$AO$55,2,FALSE))*IF('17.04'!$AK35="是",'17.04'!$AY$4,'17.04'!$AY$3))</f>
        <v>136</v>
      </c>
      <c r="R35" s="4">
        <f>IF(ISNUMBER(SEARCH("营",'17.04'!Z35)),(-$Y35+50*IF('17.04'!$AK35="是",'17.04'!$AY$4,'17.04'!$AY$3)),(VLOOKUP('17.04'!Z35,'17.04'!$AM$4:$AO$55,2,FALSE))*IF('17.04'!$AK35="是",'17.04'!$AY$4,'17.04'!$AY$3))</f>
        <v>136</v>
      </c>
      <c r="S35" s="4">
        <f>IF(ISNUMBER(SEARCH("营",'17.04'!AA35)),(-$Y35+50*IF('17.04'!$AK35="是",'17.04'!$AY$4,'17.04'!$AY$3)),(VLOOKUP('17.04'!AA35,'17.04'!$AM$4:$AO$55,2,FALSE))*IF('17.04'!$AK35="是",'17.04'!$AY$4,'17.04'!$AY$3))</f>
        <v>136</v>
      </c>
      <c r="T35" s="4">
        <f>IF(ISNUMBER(SEARCH("营",'17.04'!AB35)),(-$Y35+50*IF('17.04'!$AK35="是",'17.04'!$AY$4,'17.04'!$AY$3)),(VLOOKUP('17.04'!AB35,'17.04'!$AM$4:$AO$55,2,FALSE))*IF('17.04'!$AK35="是",'17.04'!$AY$4,'17.04'!$AY$3))</f>
        <v>136</v>
      </c>
      <c r="U35" s="4">
        <f>IF(ISNUMBER(SEARCH("营",'17.04'!AC35)),(-$Y35+50*IF('17.04'!$AK35="是",'17.04'!$AY$4,'17.04'!$AY$3)),(VLOOKUP('17.04'!AC35,'17.04'!$AM$4:$AO$55,2,FALSE))*IF('17.04'!$AK35="是",'17.04'!$AY$4,'17.04'!$AY$3))</f>
        <v>136</v>
      </c>
      <c r="V35" s="4">
        <f>IF(ISNUMBER(SEARCH("营",'17.04'!AD35)),(-$Y35+50*IF('17.04'!$AK35="是",'17.04'!$AY$4,'17.04'!$AY$3)),(VLOOKUP('17.04'!AD35,'17.04'!$AM$4:$AO$55,2,FALSE))*IF('17.04'!$AK35="是",'17.04'!$AY$4,'17.04'!$AY$3))</f>
        <v>40</v>
      </c>
      <c r="W35" s="4">
        <f>IF(ISNUMBER(SEARCH("营",'17.04'!AE35)),(-$Y35+50*IF('17.04'!$AK35="是",'17.04'!$AY$4,'17.04'!$AY$3)),(VLOOKUP('17.04'!AE35,'17.04'!$AM$4:$AO$55,2,FALSE))*IF('17.04'!$AK35="是",'17.04'!$AY$4,'17.04'!$AY$3))</f>
        <v>0</v>
      </c>
      <c r="X35" s="4">
        <f>IF(ISNUMBER(SEARCH("营",'17.04'!AF35)),(-$Y35+50*IF('17.04'!$AK35="是",'17.04'!$AY$4,'17.04'!$AY$3)),(VLOOKUP('17.04'!AF35,'17.04'!$AM$4:$AO$55,2,FALSE))*IF('17.04'!$AK35="是",'17.04'!$AY$4,'17.04'!$AY$3))</f>
        <v>0</v>
      </c>
      <c r="Y35" s="89">
        <v>200</v>
      </c>
    </row>
    <row r="36" spans="1:25">
      <c r="A36" s="4">
        <f>IF(ISNUMBER(SEARCH("营",'17.04'!I36)),(-$Y36+50*IF('17.04'!$AK36="是",'17.04'!$AY$4,'17.04'!$AY$3)),(VLOOKUP('17.04'!I36,'17.04'!$AM$4:$AO$55,2,FALSE))*IF('17.04'!$AK36="是",'17.04'!$AY$4,'17.04'!$AY$3))</f>
        <v>0</v>
      </c>
      <c r="B36" s="4">
        <f>IF(ISNUMBER(SEARCH("营",'17.04'!J36)),(-$Y36+50*IF('17.04'!$AK36="是",'17.04'!$AY$4,'17.04'!$AY$3)),(VLOOKUP('17.04'!J36,'17.04'!$AM$4:$AO$55,2,FALSE))*IF('17.04'!$AK36="是",'17.04'!$AY$4,'17.04'!$AY$3))</f>
        <v>0</v>
      </c>
      <c r="C36" s="4">
        <f>IF(ISNUMBER(SEARCH("营",'17.04'!K36)),(-$Y36+50*IF('17.04'!$AK36="是",'17.04'!$AY$4,'17.04'!$AY$3)),(VLOOKUP('17.04'!K36,'17.04'!$AM$4:$AO$55,2,FALSE))*IF('17.04'!$AK36="是",'17.04'!$AY$4,'17.04'!$AY$3))</f>
        <v>0</v>
      </c>
      <c r="D36" s="4">
        <f>IF(ISNUMBER(SEARCH("营",'17.04'!L36)),(-$Y36+50*IF('17.04'!$AK36="是",'17.04'!$AY$4,'17.04'!$AY$3)),(VLOOKUP('17.04'!L36,'17.04'!$AM$4:$AO$55,2,FALSE))*IF('17.04'!$AK36="是",'17.04'!$AY$4,'17.04'!$AY$3))</f>
        <v>0</v>
      </c>
      <c r="E36" s="4">
        <f>IF(ISNUMBER(SEARCH("营",'17.04'!M36)),(-$Y36+50*IF('17.04'!$AK36="是",'17.04'!$AY$4,'17.04'!$AY$3)),(VLOOKUP('17.04'!M36,'17.04'!$AM$4:$AO$55,2,FALSE))*IF('17.04'!$AK36="是",'17.04'!$AY$4,'17.04'!$AY$3))</f>
        <v>0</v>
      </c>
      <c r="F36" s="4">
        <f>IF(ISNUMBER(SEARCH("营",'17.04'!N36)),(-$Y36+50*IF('17.04'!$AK36="是",'17.04'!$AY$4,'17.04'!$AY$3)),(VLOOKUP('17.04'!N36,'17.04'!$AM$4:$AO$55,2,FALSE))*IF('17.04'!$AK36="是",'17.04'!$AY$4,'17.04'!$AY$3))</f>
        <v>0</v>
      </c>
      <c r="G36" s="4">
        <f>IF(ISNUMBER(SEARCH("营",'17.04'!O36)),(-$Y36+50*IF('17.04'!$AK36="是",'17.04'!$AY$4,'17.04'!$AY$3)),(VLOOKUP('17.04'!O36,'17.04'!$AM$4:$AO$55,2,FALSE))*IF('17.04'!$AK36="是",'17.04'!$AY$4,'17.04'!$AY$3))</f>
        <v>0</v>
      </c>
      <c r="H36" s="4">
        <f>IF(ISNUMBER(SEARCH("营",'17.04'!P36)),(-$Y36+50*IF('17.04'!$AK36="是",'17.04'!$AY$4,'17.04'!$AY$3)),(VLOOKUP('17.04'!P36,'17.04'!$AM$4:$AO$55,2,FALSE))*IF('17.04'!$AK36="是",'17.04'!$AY$4,'17.04'!$AY$3))</f>
        <v>0</v>
      </c>
      <c r="I36" s="4">
        <f>IF(ISNUMBER(SEARCH("营",'17.04'!Q36)),(-$Y36+50*IF('17.04'!$AK36="是",'17.04'!$AY$4,'17.04'!$AY$3)),(VLOOKUP('17.04'!Q36,'17.04'!$AM$4:$AO$55,2,FALSE))*IF('17.04'!$AK36="是",'17.04'!$AY$4,'17.04'!$AY$3))</f>
        <v>160</v>
      </c>
      <c r="J36" s="4">
        <f>IF(ISNUMBER(SEARCH("营",'17.04'!R36)),(-$Y36+50*IF('17.04'!$AK36="是",'17.04'!$AY$4,'17.04'!$AY$3)),(VLOOKUP('17.04'!R36,'17.04'!$AM$4:$AO$55,2,FALSE))*IF('17.04'!$AK36="是",'17.04'!$AY$4,'17.04'!$AY$3))</f>
        <v>160</v>
      </c>
      <c r="K36" s="4">
        <f>IF(ISNUMBER(SEARCH("营",'17.04'!S36)),(-$Y36+50*IF('17.04'!$AK36="是",'17.04'!$AY$4,'17.04'!$AY$3)),(VLOOKUP('17.04'!S36,'17.04'!$AM$4:$AO$55,2,FALSE))*IF('17.04'!$AK36="是",'17.04'!$AY$4,'17.04'!$AY$3))</f>
        <v>160</v>
      </c>
      <c r="L36" s="4">
        <f>IF(ISNUMBER(SEARCH("营",'17.04'!T36)),(-$Y36+50*IF('17.04'!$AK36="是",'17.04'!$AY$4,'17.04'!$AY$3)),(VLOOKUP('17.04'!T36,'17.04'!$AM$4:$AO$55,2,FALSE))*IF('17.04'!$AK36="是",'17.04'!$AY$4,'17.04'!$AY$3))</f>
        <v>160</v>
      </c>
      <c r="M36" s="4">
        <f>IF(ISNUMBER(SEARCH("营",'17.04'!U36)),(-$Y36+50*IF('17.04'!$AK36="是",'17.04'!$AY$4,'17.04'!$AY$3)),(VLOOKUP('17.04'!U36,'17.04'!$AM$4:$AO$55,2,FALSE))*IF('17.04'!$AK36="是",'17.04'!$AY$4,'17.04'!$AY$3))</f>
        <v>160</v>
      </c>
      <c r="N36" s="4">
        <f>IF(ISNUMBER(SEARCH("营",'17.04'!V36)),(-$Y36+50*IF('17.04'!$AK36="是",'17.04'!$AY$4,'17.04'!$AY$3)),(VLOOKUP('17.04'!V36,'17.04'!$AM$4:$AO$55,2,FALSE))*IF('17.04'!$AK36="是",'17.04'!$AY$4,'17.04'!$AY$3))</f>
        <v>160</v>
      </c>
      <c r="O36" s="4">
        <f>IF(ISNUMBER(SEARCH("营",'17.04'!W36)),(-$Y36+50*IF('17.04'!$AK36="是",'17.04'!$AY$4,'17.04'!$AY$3)),(VLOOKUP('17.04'!W36,'17.04'!$AM$4:$AO$55,2,FALSE))*IF('17.04'!$AK36="是",'17.04'!$AY$4,'17.04'!$AY$3))</f>
        <v>0</v>
      </c>
      <c r="P36" s="4">
        <f>IF(ISNUMBER(SEARCH("营",'17.04'!X36)),(-$Y36+50*IF('17.04'!$AK36="是",'17.04'!$AY$4,'17.04'!$AY$3)),(VLOOKUP('17.04'!X36,'17.04'!$AM$4:$AO$55,2,FALSE))*IF('17.04'!$AK36="是",'17.04'!$AY$4,'17.04'!$AY$3))</f>
        <v>0</v>
      </c>
      <c r="Q36" s="4">
        <f>IF(ISNUMBER(SEARCH("营",'17.04'!Y36)),(-$Y36+50*IF('17.04'!$AK36="是",'17.04'!$AY$4,'17.04'!$AY$3)),(VLOOKUP('17.04'!Y36,'17.04'!$AM$4:$AO$55,2,FALSE))*IF('17.04'!$AK36="是",'17.04'!$AY$4,'17.04'!$AY$3))</f>
        <v>136</v>
      </c>
      <c r="R36" s="4">
        <f>IF(ISNUMBER(SEARCH("营",'17.04'!Z36)),(-$Y36+50*IF('17.04'!$AK36="是",'17.04'!$AY$4,'17.04'!$AY$3)),(VLOOKUP('17.04'!Z36,'17.04'!$AM$4:$AO$55,2,FALSE))*IF('17.04'!$AK36="是",'17.04'!$AY$4,'17.04'!$AY$3))</f>
        <v>136</v>
      </c>
      <c r="S36" s="4">
        <f>IF(ISNUMBER(SEARCH("营",'17.04'!AA36)),(-$Y36+50*IF('17.04'!$AK36="是",'17.04'!$AY$4,'17.04'!$AY$3)),(VLOOKUP('17.04'!AA36,'17.04'!$AM$4:$AO$55,2,FALSE))*IF('17.04'!$AK36="是",'17.04'!$AY$4,'17.04'!$AY$3))</f>
        <v>136</v>
      </c>
      <c r="T36" s="4">
        <f>IF(ISNUMBER(SEARCH("营",'17.04'!AB36)),(-$Y36+50*IF('17.04'!$AK36="是",'17.04'!$AY$4,'17.04'!$AY$3)),(VLOOKUP('17.04'!AB36,'17.04'!$AM$4:$AO$55,2,FALSE))*IF('17.04'!$AK36="是",'17.04'!$AY$4,'17.04'!$AY$3))</f>
        <v>136</v>
      </c>
      <c r="U36" s="4">
        <f>IF(ISNUMBER(SEARCH("营",'17.04'!AC36)),(-$Y36+50*IF('17.04'!$AK36="是",'17.04'!$AY$4,'17.04'!$AY$3)),(VLOOKUP('17.04'!AC36,'17.04'!$AM$4:$AO$55,2,FALSE))*IF('17.04'!$AK36="是",'17.04'!$AY$4,'17.04'!$AY$3))</f>
        <v>136</v>
      </c>
      <c r="V36" s="4">
        <f>IF(ISNUMBER(SEARCH("营",'17.04'!AD36)),(-$Y36+50*IF('17.04'!$AK36="是",'17.04'!$AY$4,'17.04'!$AY$3)),(VLOOKUP('17.04'!AD36,'17.04'!$AM$4:$AO$55,2,FALSE))*IF('17.04'!$AK36="是",'17.04'!$AY$4,'17.04'!$AY$3))</f>
        <v>0</v>
      </c>
      <c r="W36" s="4">
        <f>IF(ISNUMBER(SEARCH("营",'17.04'!AE36)),(-$Y36+50*IF('17.04'!$AK36="是",'17.04'!$AY$4,'17.04'!$AY$3)),(VLOOKUP('17.04'!AE36,'17.04'!$AM$4:$AO$55,2,FALSE))*IF('17.04'!$AK36="是",'17.04'!$AY$4,'17.04'!$AY$3))</f>
        <v>0</v>
      </c>
      <c r="X36" s="4">
        <f>IF(ISNUMBER(SEARCH("营",'17.04'!AF36)),(-$Y36+50*IF('17.04'!$AK36="是",'17.04'!$AY$4,'17.04'!$AY$3)),(VLOOKUP('17.04'!AF36,'17.04'!$AM$4:$AO$55,2,FALSE))*IF('17.04'!$AK36="是",'17.04'!$AY$4,'17.04'!$AY$3))</f>
        <v>0</v>
      </c>
      <c r="Y36" s="89">
        <v>200</v>
      </c>
    </row>
    <row r="37" spans="1:25">
      <c r="A37" s="4">
        <f>IF(ISNUMBER(SEARCH("营",'17.04'!I37)),(-$Y37+50*IF('17.04'!$AK37="是",'17.04'!$AY$4,'17.04'!$AY$3)),(VLOOKUP('17.04'!I37,'17.04'!$AM$4:$AO$55,2,FALSE))*IF('17.04'!$AK37="是",'17.04'!$AY$4,'17.04'!$AY$3))</f>
        <v>0</v>
      </c>
      <c r="B37" s="4">
        <f>IF(ISNUMBER(SEARCH("营",'17.04'!J37)),(-$Y37+50*IF('17.04'!$AK37="是",'17.04'!$AY$4,'17.04'!$AY$3)),(VLOOKUP('17.04'!J37,'17.04'!$AM$4:$AO$55,2,FALSE))*IF('17.04'!$AK37="是",'17.04'!$AY$4,'17.04'!$AY$3))</f>
        <v>0</v>
      </c>
      <c r="C37" s="4">
        <f>IF(ISNUMBER(SEARCH("营",'17.04'!K37)),(-$Y37+50*IF('17.04'!$AK37="是",'17.04'!$AY$4,'17.04'!$AY$3)),(VLOOKUP('17.04'!K37,'17.04'!$AM$4:$AO$55,2,FALSE))*IF('17.04'!$AK37="是",'17.04'!$AY$4,'17.04'!$AY$3))</f>
        <v>0</v>
      </c>
      <c r="D37" s="4">
        <f>IF(ISNUMBER(SEARCH("营",'17.04'!L37)),(-$Y37+50*IF('17.04'!$AK37="是",'17.04'!$AY$4,'17.04'!$AY$3)),(VLOOKUP('17.04'!L37,'17.04'!$AM$4:$AO$55,2,FALSE))*IF('17.04'!$AK37="是",'17.04'!$AY$4,'17.04'!$AY$3))</f>
        <v>0</v>
      </c>
      <c r="E37" s="4">
        <f>IF(ISNUMBER(SEARCH("营",'17.04'!M37)),(-$Y37+50*IF('17.04'!$AK37="是",'17.04'!$AY$4,'17.04'!$AY$3)),(VLOOKUP('17.04'!M37,'17.04'!$AM$4:$AO$55,2,FALSE))*IF('17.04'!$AK37="是",'17.04'!$AY$4,'17.04'!$AY$3))</f>
        <v>0</v>
      </c>
      <c r="F37" s="4">
        <f>IF(ISNUMBER(SEARCH("营",'17.04'!N37)),(-$Y37+50*IF('17.04'!$AK37="是",'17.04'!$AY$4,'17.04'!$AY$3)),(VLOOKUP('17.04'!N37,'17.04'!$AM$4:$AO$55,2,FALSE))*IF('17.04'!$AK37="是",'17.04'!$AY$4,'17.04'!$AY$3))</f>
        <v>0</v>
      </c>
      <c r="G37" s="4">
        <f>IF(ISNUMBER(SEARCH("营",'17.04'!O37)),(-$Y37+50*IF('17.04'!$AK37="是",'17.04'!$AY$4,'17.04'!$AY$3)),(VLOOKUP('17.04'!O37,'17.04'!$AM$4:$AO$55,2,FALSE))*IF('17.04'!$AK37="是",'17.04'!$AY$4,'17.04'!$AY$3))</f>
        <v>0</v>
      </c>
      <c r="H37" s="4">
        <f>IF(ISNUMBER(SEARCH("营",'17.04'!P37)),(-$Y37+50*IF('17.04'!$AK37="是",'17.04'!$AY$4,'17.04'!$AY$3)),(VLOOKUP('17.04'!P37,'17.04'!$AM$4:$AO$55,2,FALSE))*IF('17.04'!$AK37="是",'17.04'!$AY$4,'17.04'!$AY$3))</f>
        <v>0</v>
      </c>
      <c r="I37" s="4">
        <f>IF(ISNUMBER(SEARCH("营",'17.04'!Q37)),(-$Y37+50*IF('17.04'!$AK37="是",'17.04'!$AY$4,'17.04'!$AY$3)),(VLOOKUP('17.04'!Q37,'17.04'!$AM$4:$AO$55,2,FALSE))*IF('17.04'!$AK37="是",'17.04'!$AY$4,'17.04'!$AY$3))</f>
        <v>160</v>
      </c>
      <c r="J37" s="4">
        <f>IF(ISNUMBER(SEARCH("营",'17.04'!R37)),(-$Y37+50*IF('17.04'!$AK37="是",'17.04'!$AY$4,'17.04'!$AY$3)),(VLOOKUP('17.04'!R37,'17.04'!$AM$4:$AO$55,2,FALSE))*IF('17.04'!$AK37="是",'17.04'!$AY$4,'17.04'!$AY$3))</f>
        <v>160</v>
      </c>
      <c r="K37" s="4">
        <f>IF(ISNUMBER(SEARCH("营",'17.04'!S37)),(-$Y37+50*IF('17.04'!$AK37="是",'17.04'!$AY$4,'17.04'!$AY$3)),(VLOOKUP('17.04'!S37,'17.04'!$AM$4:$AO$55,2,FALSE))*IF('17.04'!$AK37="是",'17.04'!$AY$4,'17.04'!$AY$3))</f>
        <v>160</v>
      </c>
      <c r="L37" s="4">
        <f>IF(ISNUMBER(SEARCH("营",'17.04'!T37)),(-$Y37+50*IF('17.04'!$AK37="是",'17.04'!$AY$4,'17.04'!$AY$3)),(VLOOKUP('17.04'!T37,'17.04'!$AM$4:$AO$55,2,FALSE))*IF('17.04'!$AK37="是",'17.04'!$AY$4,'17.04'!$AY$3))</f>
        <v>160</v>
      </c>
      <c r="M37" s="4">
        <f>IF(ISNUMBER(SEARCH("营",'17.04'!U37)),(-$Y37+50*IF('17.04'!$AK37="是",'17.04'!$AY$4,'17.04'!$AY$3)),(VLOOKUP('17.04'!U37,'17.04'!$AM$4:$AO$55,2,FALSE))*IF('17.04'!$AK37="是",'17.04'!$AY$4,'17.04'!$AY$3))</f>
        <v>160</v>
      </c>
      <c r="N37" s="4">
        <f>IF(ISNUMBER(SEARCH("营",'17.04'!V37)),(-$Y37+50*IF('17.04'!$AK37="是",'17.04'!$AY$4,'17.04'!$AY$3)),(VLOOKUP('17.04'!V37,'17.04'!$AM$4:$AO$55,2,FALSE))*IF('17.04'!$AK37="是",'17.04'!$AY$4,'17.04'!$AY$3))</f>
        <v>160</v>
      </c>
      <c r="O37" s="4">
        <f>IF(ISNUMBER(SEARCH("营",'17.04'!W37)),(-$Y37+50*IF('17.04'!$AK37="是",'17.04'!$AY$4,'17.04'!$AY$3)),(VLOOKUP('17.04'!W37,'17.04'!$AM$4:$AO$55,2,FALSE))*IF('17.04'!$AK37="是",'17.04'!$AY$4,'17.04'!$AY$3))</f>
        <v>0</v>
      </c>
      <c r="P37" s="4">
        <f>IF(ISNUMBER(SEARCH("营",'17.04'!X37)),(-$Y37+50*IF('17.04'!$AK37="是",'17.04'!$AY$4,'17.04'!$AY$3)),(VLOOKUP('17.04'!X37,'17.04'!$AM$4:$AO$55,2,FALSE))*IF('17.04'!$AK37="是",'17.04'!$AY$4,'17.04'!$AY$3))</f>
        <v>0</v>
      </c>
      <c r="Q37" s="4">
        <f>IF(ISNUMBER(SEARCH("营",'17.04'!Y37)),(-$Y37+50*IF('17.04'!$AK37="是",'17.04'!$AY$4,'17.04'!$AY$3)),(VLOOKUP('17.04'!Y37,'17.04'!$AM$4:$AO$55,2,FALSE))*IF('17.04'!$AK37="是",'17.04'!$AY$4,'17.04'!$AY$3))</f>
        <v>136</v>
      </c>
      <c r="R37" s="4">
        <f>IF(ISNUMBER(SEARCH("营",'17.04'!Z37)),(-$Y37+50*IF('17.04'!$AK37="是",'17.04'!$AY$4,'17.04'!$AY$3)),(VLOOKUP('17.04'!Z37,'17.04'!$AM$4:$AO$55,2,FALSE))*IF('17.04'!$AK37="是",'17.04'!$AY$4,'17.04'!$AY$3))</f>
        <v>144</v>
      </c>
      <c r="S37" s="4">
        <f>IF(ISNUMBER(SEARCH("营",'17.04'!AA37)),(-$Y37+50*IF('17.04'!$AK37="是",'17.04'!$AY$4,'17.04'!$AY$3)),(VLOOKUP('17.04'!AA37,'17.04'!$AM$4:$AO$55,2,FALSE))*IF('17.04'!$AK37="是",'17.04'!$AY$4,'17.04'!$AY$3))</f>
        <v>144</v>
      </c>
      <c r="T37" s="4">
        <f>IF(ISNUMBER(SEARCH("营",'17.04'!AB37)),(-$Y37+50*IF('17.04'!$AK37="是",'17.04'!$AY$4,'17.04'!$AY$3)),(VLOOKUP('17.04'!AB37,'17.04'!$AM$4:$AO$55,2,FALSE))*IF('17.04'!$AK37="是",'17.04'!$AY$4,'17.04'!$AY$3))</f>
        <v>144</v>
      </c>
      <c r="U37" s="4">
        <f>IF(ISNUMBER(SEARCH("营",'17.04'!AC37)),(-$Y37+50*IF('17.04'!$AK37="是",'17.04'!$AY$4,'17.04'!$AY$3)),(VLOOKUP('17.04'!AC37,'17.04'!$AM$4:$AO$55,2,FALSE))*IF('17.04'!$AK37="是",'17.04'!$AY$4,'17.04'!$AY$3))</f>
        <v>0</v>
      </c>
      <c r="V37" s="4">
        <f>IF(ISNUMBER(SEARCH("营",'17.04'!AD37)),(-$Y37+50*IF('17.04'!$AK37="是",'17.04'!$AY$4,'17.04'!$AY$3)),(VLOOKUP('17.04'!AD37,'17.04'!$AM$4:$AO$55,2,FALSE))*IF('17.04'!$AK37="是",'17.04'!$AY$4,'17.04'!$AY$3))</f>
        <v>0</v>
      </c>
      <c r="W37" s="4">
        <f>IF(ISNUMBER(SEARCH("营",'17.04'!AE37)),(-$Y37+50*IF('17.04'!$AK37="是",'17.04'!$AY$4,'17.04'!$AY$3)),(VLOOKUP('17.04'!AE37,'17.04'!$AM$4:$AO$55,2,FALSE))*IF('17.04'!$AK37="是",'17.04'!$AY$4,'17.04'!$AY$3))</f>
        <v>0</v>
      </c>
      <c r="X37" s="4">
        <f>IF(ISNUMBER(SEARCH("营",'17.04'!AF37)),(-$Y37+50*IF('17.04'!$AK37="是",'17.04'!$AY$4,'17.04'!$AY$3)),(VLOOKUP('17.04'!AF37,'17.04'!$AM$4:$AO$55,2,FALSE))*IF('17.04'!$AK37="是",'17.04'!$AY$4,'17.04'!$AY$3))</f>
        <v>0</v>
      </c>
      <c r="Y37" s="89">
        <v>200</v>
      </c>
    </row>
    <row r="38" spans="1:25">
      <c r="A38" s="4">
        <f>IF(ISNUMBER(SEARCH("营",'17.04'!I38)),(-$Y38+50*IF('17.04'!$AK38="是",'17.04'!$AY$4,'17.04'!$AY$3)),(VLOOKUP('17.04'!I38,'17.04'!$AM$4:$AO$55,2,FALSE))*IF('17.04'!$AK38="是",'17.04'!$AY$4,'17.04'!$AY$3))</f>
        <v>0</v>
      </c>
      <c r="B38" s="4">
        <f>IF(ISNUMBER(SEARCH("营",'17.04'!J38)),(-$Y38+50*IF('17.04'!$AK38="是",'17.04'!$AY$4,'17.04'!$AY$3)),(VLOOKUP('17.04'!J38,'17.04'!$AM$4:$AO$55,2,FALSE))*IF('17.04'!$AK38="是",'17.04'!$AY$4,'17.04'!$AY$3))</f>
        <v>0</v>
      </c>
      <c r="C38" s="4">
        <f>IF(ISNUMBER(SEARCH("营",'17.04'!K38)),(-$Y38+50*IF('17.04'!$AK38="是",'17.04'!$AY$4,'17.04'!$AY$3)),(VLOOKUP('17.04'!K38,'17.04'!$AM$4:$AO$55,2,FALSE))*IF('17.04'!$AK38="是",'17.04'!$AY$4,'17.04'!$AY$3))</f>
        <v>0</v>
      </c>
      <c r="D38" s="4">
        <f>IF(ISNUMBER(SEARCH("营",'17.04'!L38)),(-$Y38+50*IF('17.04'!$AK38="是",'17.04'!$AY$4,'17.04'!$AY$3)),(VLOOKUP('17.04'!L38,'17.04'!$AM$4:$AO$55,2,FALSE))*IF('17.04'!$AK38="是",'17.04'!$AY$4,'17.04'!$AY$3))</f>
        <v>0</v>
      </c>
      <c r="E38" s="4">
        <f>IF(ISNUMBER(SEARCH("营",'17.04'!M38)),(-$Y38+50*IF('17.04'!$AK38="是",'17.04'!$AY$4,'17.04'!$AY$3)),(VLOOKUP('17.04'!M38,'17.04'!$AM$4:$AO$55,2,FALSE))*IF('17.04'!$AK38="是",'17.04'!$AY$4,'17.04'!$AY$3))</f>
        <v>0</v>
      </c>
      <c r="F38" s="4">
        <f>IF(ISNUMBER(SEARCH("营",'17.04'!N38)),(-$Y38+50*IF('17.04'!$AK38="是",'17.04'!$AY$4,'17.04'!$AY$3)),(VLOOKUP('17.04'!N38,'17.04'!$AM$4:$AO$55,2,FALSE))*IF('17.04'!$AK38="是",'17.04'!$AY$4,'17.04'!$AY$3))</f>
        <v>0</v>
      </c>
      <c r="G38" s="4">
        <f>IF(ISNUMBER(SEARCH("营",'17.04'!O38)),(-$Y38+50*IF('17.04'!$AK38="是",'17.04'!$AY$4,'17.04'!$AY$3)),(VLOOKUP('17.04'!O38,'17.04'!$AM$4:$AO$55,2,FALSE))*IF('17.04'!$AK38="是",'17.04'!$AY$4,'17.04'!$AY$3))</f>
        <v>0</v>
      </c>
      <c r="H38" s="4">
        <f>IF(ISNUMBER(SEARCH("营",'17.04'!P38)),(-$Y38+50*IF('17.04'!$AK38="是",'17.04'!$AY$4,'17.04'!$AY$3)),(VLOOKUP('17.04'!P38,'17.04'!$AM$4:$AO$55,2,FALSE))*IF('17.04'!$AK38="是",'17.04'!$AY$4,'17.04'!$AY$3))</f>
        <v>0</v>
      </c>
      <c r="I38" s="4">
        <f>IF(ISNUMBER(SEARCH("营",'17.04'!Q38)),(-$Y38+50*IF('17.04'!$AK38="是",'17.04'!$AY$4,'17.04'!$AY$3)),(VLOOKUP('17.04'!Q38,'17.04'!$AM$4:$AO$55,2,FALSE))*IF('17.04'!$AK38="是",'17.04'!$AY$4,'17.04'!$AY$3))</f>
        <v>136</v>
      </c>
      <c r="J38" s="4">
        <f>IF(ISNUMBER(SEARCH("营",'17.04'!R38)),(-$Y38+50*IF('17.04'!$AK38="是",'17.04'!$AY$4,'17.04'!$AY$3)),(VLOOKUP('17.04'!R38,'17.04'!$AM$4:$AO$55,2,FALSE))*IF('17.04'!$AK38="是",'17.04'!$AY$4,'17.04'!$AY$3))</f>
        <v>136</v>
      </c>
      <c r="K38" s="4">
        <f>IF(ISNUMBER(SEARCH("营",'17.04'!S38)),(-$Y38+50*IF('17.04'!$AK38="是",'17.04'!$AY$4,'17.04'!$AY$3)),(VLOOKUP('17.04'!S38,'17.04'!$AM$4:$AO$55,2,FALSE))*IF('17.04'!$AK38="是",'17.04'!$AY$4,'17.04'!$AY$3))</f>
        <v>136</v>
      </c>
      <c r="L38" s="4">
        <f>IF(ISNUMBER(SEARCH("营",'17.04'!T38)),(-$Y38+50*IF('17.04'!$AK38="是",'17.04'!$AY$4,'17.04'!$AY$3)),(VLOOKUP('17.04'!T38,'17.04'!$AM$4:$AO$55,2,FALSE))*IF('17.04'!$AK38="是",'17.04'!$AY$4,'17.04'!$AY$3))</f>
        <v>136</v>
      </c>
      <c r="M38" s="4">
        <f>IF(ISNUMBER(SEARCH("营",'17.04'!U38)),(-$Y38+50*IF('17.04'!$AK38="是",'17.04'!$AY$4,'17.04'!$AY$3)),(VLOOKUP('17.04'!U38,'17.04'!$AM$4:$AO$55,2,FALSE))*IF('17.04'!$AK38="是",'17.04'!$AY$4,'17.04'!$AY$3))</f>
        <v>136</v>
      </c>
      <c r="N38" s="4">
        <f>IF(ISNUMBER(SEARCH("营",'17.04'!V38)),(-$Y38+50*IF('17.04'!$AK38="是",'17.04'!$AY$4,'17.04'!$AY$3)),(VLOOKUP('17.04'!V38,'17.04'!$AM$4:$AO$55,2,FALSE))*IF('17.04'!$AK38="是",'17.04'!$AY$4,'17.04'!$AY$3))</f>
        <v>136</v>
      </c>
      <c r="O38" s="4">
        <f>IF(ISNUMBER(SEARCH("营",'17.04'!W38)),(-$Y38+50*IF('17.04'!$AK38="是",'17.04'!$AY$4,'17.04'!$AY$3)),(VLOOKUP('17.04'!W38,'17.04'!$AM$4:$AO$55,2,FALSE))*IF('17.04'!$AK38="是",'17.04'!$AY$4,'17.04'!$AY$3))</f>
        <v>0</v>
      </c>
      <c r="P38" s="4">
        <f>IF(ISNUMBER(SEARCH("营",'17.04'!X38)),(-$Y38+50*IF('17.04'!$AK38="是",'17.04'!$AY$4,'17.04'!$AY$3)),(VLOOKUP('17.04'!X38,'17.04'!$AM$4:$AO$55,2,FALSE))*IF('17.04'!$AK38="是",'17.04'!$AY$4,'17.04'!$AY$3))</f>
        <v>0</v>
      </c>
      <c r="Q38" s="4">
        <f>IF(ISNUMBER(SEARCH("营",'17.04'!Y38)),(-$Y38+50*IF('17.04'!$AK38="是",'17.04'!$AY$4,'17.04'!$AY$3)),(VLOOKUP('17.04'!Y38,'17.04'!$AM$4:$AO$55,2,FALSE))*IF('17.04'!$AK38="是",'17.04'!$AY$4,'17.04'!$AY$3))</f>
        <v>144</v>
      </c>
      <c r="R38" s="4">
        <f>IF(ISNUMBER(SEARCH("营",'17.04'!Z38)),(-$Y38+50*IF('17.04'!$AK38="是",'17.04'!$AY$4,'17.04'!$AY$3)),(VLOOKUP('17.04'!Z38,'17.04'!$AM$4:$AO$55,2,FALSE))*IF('17.04'!$AK38="是",'17.04'!$AY$4,'17.04'!$AY$3))</f>
        <v>144</v>
      </c>
      <c r="S38" s="4">
        <f>IF(ISNUMBER(SEARCH("营",'17.04'!AA38)),(-$Y38+50*IF('17.04'!$AK38="是",'17.04'!$AY$4,'17.04'!$AY$3)),(VLOOKUP('17.04'!AA38,'17.04'!$AM$4:$AO$55,2,FALSE))*IF('17.04'!$AK38="是",'17.04'!$AY$4,'17.04'!$AY$3))</f>
        <v>144</v>
      </c>
      <c r="T38" s="4">
        <f>IF(ISNUMBER(SEARCH("营",'17.04'!AB38)),(-$Y38+50*IF('17.04'!$AK38="是",'17.04'!$AY$4,'17.04'!$AY$3)),(VLOOKUP('17.04'!AB38,'17.04'!$AM$4:$AO$55,2,FALSE))*IF('17.04'!$AK38="是",'17.04'!$AY$4,'17.04'!$AY$3))</f>
        <v>144</v>
      </c>
      <c r="U38" s="4">
        <f>IF(ISNUMBER(SEARCH("营",'17.04'!AC38)),(-$Y38+50*IF('17.04'!$AK38="是",'17.04'!$AY$4,'17.04'!$AY$3)),(VLOOKUP('17.04'!AC38,'17.04'!$AM$4:$AO$55,2,FALSE))*IF('17.04'!$AK38="是",'17.04'!$AY$4,'17.04'!$AY$3))</f>
        <v>144</v>
      </c>
      <c r="V38" s="4">
        <f>IF(ISNUMBER(SEARCH("营",'17.04'!AD38)),(-$Y38+50*IF('17.04'!$AK38="是",'17.04'!$AY$4,'17.04'!$AY$3)),(VLOOKUP('17.04'!AD38,'17.04'!$AM$4:$AO$55,2,FALSE))*IF('17.04'!$AK38="是",'17.04'!$AY$4,'17.04'!$AY$3))</f>
        <v>0</v>
      </c>
      <c r="W38" s="4">
        <f>IF(ISNUMBER(SEARCH("营",'17.04'!AE38)),(-$Y38+50*IF('17.04'!$AK38="是",'17.04'!$AY$4,'17.04'!$AY$3)),(VLOOKUP('17.04'!AE38,'17.04'!$AM$4:$AO$55,2,FALSE))*IF('17.04'!$AK38="是",'17.04'!$AY$4,'17.04'!$AY$3))</f>
        <v>0</v>
      </c>
      <c r="X38" s="4">
        <f>IF(ISNUMBER(SEARCH("营",'17.04'!AF38)),(-$Y38+50*IF('17.04'!$AK38="是",'17.04'!$AY$4,'17.04'!$AY$3)),(VLOOKUP('17.04'!AF38,'17.04'!$AM$4:$AO$55,2,FALSE))*IF('17.04'!$AK38="是",'17.04'!$AY$4,'17.04'!$AY$3))</f>
        <v>0</v>
      </c>
      <c r="Y38" s="89">
        <v>200</v>
      </c>
    </row>
    <row r="39" spans="1:25">
      <c r="A39" s="4">
        <f>IF(ISNUMBER(SEARCH("营",'17.04'!I39)),(-$Y39+50*IF('17.04'!$AK39="是",'17.04'!$AY$4,'17.04'!$AY$3)),(VLOOKUP('17.04'!I39,'17.04'!$AM$4:$AO$55,2,FALSE))*IF('17.04'!$AK39="是",'17.04'!$AY$4,'17.04'!$AY$3))</f>
        <v>0</v>
      </c>
      <c r="B39" s="4">
        <f>IF(ISNUMBER(SEARCH("营",'17.04'!J39)),(-$Y39+50*IF('17.04'!$AK39="是",'17.04'!$AY$4,'17.04'!$AY$3)),(VLOOKUP('17.04'!J39,'17.04'!$AM$4:$AO$55,2,FALSE))*IF('17.04'!$AK39="是",'17.04'!$AY$4,'17.04'!$AY$3))</f>
        <v>0</v>
      </c>
      <c r="C39" s="4">
        <f>IF(ISNUMBER(SEARCH("营",'17.04'!K39)),(-$Y39+50*IF('17.04'!$AK39="是",'17.04'!$AY$4,'17.04'!$AY$3)),(VLOOKUP('17.04'!K39,'17.04'!$AM$4:$AO$55,2,FALSE))*IF('17.04'!$AK39="是",'17.04'!$AY$4,'17.04'!$AY$3))</f>
        <v>0</v>
      </c>
      <c r="D39" s="4">
        <f>IF(ISNUMBER(SEARCH("营",'17.04'!L39)),(-$Y39+50*IF('17.04'!$AK39="是",'17.04'!$AY$4,'17.04'!$AY$3)),(VLOOKUP('17.04'!L39,'17.04'!$AM$4:$AO$55,2,FALSE))*IF('17.04'!$AK39="是",'17.04'!$AY$4,'17.04'!$AY$3))</f>
        <v>0</v>
      </c>
      <c r="E39" s="4">
        <f>IF(ISNUMBER(SEARCH("营",'17.04'!M39)),(-$Y39+50*IF('17.04'!$AK39="是",'17.04'!$AY$4,'17.04'!$AY$3)),(VLOOKUP('17.04'!M39,'17.04'!$AM$4:$AO$55,2,FALSE))*IF('17.04'!$AK39="是",'17.04'!$AY$4,'17.04'!$AY$3))</f>
        <v>0</v>
      </c>
      <c r="F39" s="4">
        <f>IF(ISNUMBER(SEARCH("营",'17.04'!N39)),(-$Y39+50*IF('17.04'!$AK39="是",'17.04'!$AY$4,'17.04'!$AY$3)),(VLOOKUP('17.04'!N39,'17.04'!$AM$4:$AO$55,2,FALSE))*IF('17.04'!$AK39="是",'17.04'!$AY$4,'17.04'!$AY$3))</f>
        <v>0</v>
      </c>
      <c r="G39" s="4">
        <f>IF(ISNUMBER(SEARCH("营",'17.04'!O39)),(-$Y39+50*IF('17.04'!$AK39="是",'17.04'!$AY$4,'17.04'!$AY$3)),(VLOOKUP('17.04'!O39,'17.04'!$AM$4:$AO$55,2,FALSE))*IF('17.04'!$AK39="是",'17.04'!$AY$4,'17.04'!$AY$3))</f>
        <v>0</v>
      </c>
      <c r="H39" s="4">
        <f>IF(ISNUMBER(SEARCH("营",'17.04'!P39)),(-$Y39+50*IF('17.04'!$AK39="是",'17.04'!$AY$4,'17.04'!$AY$3)),(VLOOKUP('17.04'!P39,'17.04'!$AM$4:$AO$55,2,FALSE))*IF('17.04'!$AK39="是",'17.04'!$AY$4,'17.04'!$AY$3))</f>
        <v>0</v>
      </c>
      <c r="I39" s="4">
        <f>IF(ISNUMBER(SEARCH("营",'17.04'!Q39)),(-$Y39+50*IF('17.04'!$AK39="是",'17.04'!$AY$4,'17.04'!$AY$3)),(VLOOKUP('17.04'!Q39,'17.04'!$AM$4:$AO$55,2,FALSE))*IF('17.04'!$AK39="是",'17.04'!$AY$4,'17.04'!$AY$3))</f>
        <v>136</v>
      </c>
      <c r="J39" s="4">
        <f>IF(ISNUMBER(SEARCH("营",'17.04'!R39)),(-$Y39+50*IF('17.04'!$AK39="是",'17.04'!$AY$4,'17.04'!$AY$3)),(VLOOKUP('17.04'!R39,'17.04'!$AM$4:$AO$55,2,FALSE))*IF('17.04'!$AK39="是",'17.04'!$AY$4,'17.04'!$AY$3))</f>
        <v>136</v>
      </c>
      <c r="K39" s="4">
        <f>IF(ISNUMBER(SEARCH("营",'17.04'!S39)),(-$Y39+50*IF('17.04'!$AK39="是",'17.04'!$AY$4,'17.04'!$AY$3)),(VLOOKUP('17.04'!S39,'17.04'!$AM$4:$AO$55,2,FALSE))*IF('17.04'!$AK39="是",'17.04'!$AY$4,'17.04'!$AY$3))</f>
        <v>136</v>
      </c>
      <c r="L39" s="4">
        <f>IF(ISNUMBER(SEARCH("营",'17.04'!T39)),(-$Y39+50*IF('17.04'!$AK39="是",'17.04'!$AY$4,'17.04'!$AY$3)),(VLOOKUP('17.04'!T39,'17.04'!$AM$4:$AO$55,2,FALSE))*IF('17.04'!$AK39="是",'17.04'!$AY$4,'17.04'!$AY$3))</f>
        <v>136</v>
      </c>
      <c r="M39" s="4">
        <f>IF(ISNUMBER(SEARCH("营",'17.04'!U39)),(-$Y39+50*IF('17.04'!$AK39="是",'17.04'!$AY$4,'17.04'!$AY$3)),(VLOOKUP('17.04'!U39,'17.04'!$AM$4:$AO$55,2,FALSE))*IF('17.04'!$AK39="是",'17.04'!$AY$4,'17.04'!$AY$3))</f>
        <v>136</v>
      </c>
      <c r="N39" s="4">
        <f>IF(ISNUMBER(SEARCH("营",'17.04'!V39)),(-$Y39+50*IF('17.04'!$AK39="是",'17.04'!$AY$4,'17.04'!$AY$3)),(VLOOKUP('17.04'!V39,'17.04'!$AM$4:$AO$55,2,FALSE))*IF('17.04'!$AK39="是",'17.04'!$AY$4,'17.04'!$AY$3))</f>
        <v>136</v>
      </c>
      <c r="O39" s="4">
        <f>IF(ISNUMBER(SEARCH("营",'17.04'!W39)),(-$Y39+50*IF('17.04'!$AK39="是",'17.04'!$AY$4,'17.04'!$AY$3)),(VLOOKUP('17.04'!W39,'17.04'!$AM$4:$AO$55,2,FALSE))*IF('17.04'!$AK39="是",'17.04'!$AY$4,'17.04'!$AY$3))</f>
        <v>0</v>
      </c>
      <c r="P39" s="4">
        <f>IF(ISNUMBER(SEARCH("营",'17.04'!X39)),(-$Y39+50*IF('17.04'!$AK39="是",'17.04'!$AY$4,'17.04'!$AY$3)),(VLOOKUP('17.04'!X39,'17.04'!$AM$4:$AO$55,2,FALSE))*IF('17.04'!$AK39="是",'17.04'!$AY$4,'17.04'!$AY$3))</f>
        <v>0</v>
      </c>
      <c r="Q39" s="4">
        <f>IF(ISNUMBER(SEARCH("营",'17.04'!Y39)),(-$Y39+50*IF('17.04'!$AK39="是",'17.04'!$AY$4,'17.04'!$AY$3)),(VLOOKUP('17.04'!Y39,'17.04'!$AM$4:$AO$55,2,FALSE))*IF('17.04'!$AK39="是",'17.04'!$AY$4,'17.04'!$AY$3))</f>
        <v>144</v>
      </c>
      <c r="R39" s="4">
        <f>IF(ISNUMBER(SEARCH("营",'17.04'!Z39)),(-$Y39+50*IF('17.04'!$AK39="是",'17.04'!$AY$4,'17.04'!$AY$3)),(VLOOKUP('17.04'!Z39,'17.04'!$AM$4:$AO$55,2,FALSE))*IF('17.04'!$AK39="是",'17.04'!$AY$4,'17.04'!$AY$3))</f>
        <v>144</v>
      </c>
      <c r="S39" s="4">
        <f>IF(ISNUMBER(SEARCH("营",'17.04'!AA39)),(-$Y39+50*IF('17.04'!$AK39="是",'17.04'!$AY$4,'17.04'!$AY$3)),(VLOOKUP('17.04'!AA39,'17.04'!$AM$4:$AO$55,2,FALSE))*IF('17.04'!$AK39="是",'17.04'!$AY$4,'17.04'!$AY$3))</f>
        <v>144</v>
      </c>
      <c r="T39" s="4">
        <f>IF(ISNUMBER(SEARCH("营",'17.04'!AB39)),(-$Y39+50*IF('17.04'!$AK39="是",'17.04'!$AY$4,'17.04'!$AY$3)),(VLOOKUP('17.04'!AB39,'17.04'!$AM$4:$AO$55,2,FALSE))*IF('17.04'!$AK39="是",'17.04'!$AY$4,'17.04'!$AY$3))</f>
        <v>144</v>
      </c>
      <c r="U39" s="4">
        <f>IF(ISNUMBER(SEARCH("营",'17.04'!AC39)),(-$Y39+50*IF('17.04'!$AK39="是",'17.04'!$AY$4,'17.04'!$AY$3)),(VLOOKUP('17.04'!AC39,'17.04'!$AM$4:$AO$55,2,FALSE))*IF('17.04'!$AK39="是",'17.04'!$AY$4,'17.04'!$AY$3))</f>
        <v>144</v>
      </c>
      <c r="V39" s="4">
        <f>IF(ISNUMBER(SEARCH("营",'17.04'!AD39)),(-$Y39+50*IF('17.04'!$AK39="是",'17.04'!$AY$4,'17.04'!$AY$3)),(VLOOKUP('17.04'!AD39,'17.04'!$AM$4:$AO$55,2,FALSE))*IF('17.04'!$AK39="是",'17.04'!$AY$4,'17.04'!$AY$3))</f>
        <v>144</v>
      </c>
      <c r="W39" s="4">
        <f>IF(ISNUMBER(SEARCH("营",'17.04'!AE39)),(-$Y39+50*IF('17.04'!$AK39="是",'17.04'!$AY$4,'17.04'!$AY$3)),(VLOOKUP('17.04'!AE39,'17.04'!$AM$4:$AO$55,2,FALSE))*IF('17.04'!$AK39="是",'17.04'!$AY$4,'17.04'!$AY$3))</f>
        <v>0</v>
      </c>
      <c r="X39" s="4">
        <f>IF(ISNUMBER(SEARCH("营",'17.04'!AF39)),(-$Y39+50*IF('17.04'!$AK39="是",'17.04'!$AY$4,'17.04'!$AY$3)),(VLOOKUP('17.04'!AF39,'17.04'!$AM$4:$AO$55,2,FALSE))*IF('17.04'!$AK39="是",'17.04'!$AY$4,'17.04'!$AY$3))</f>
        <v>0</v>
      </c>
      <c r="Y39" s="89">
        <v>200</v>
      </c>
    </row>
    <row r="40" spans="1:25">
      <c r="A40" s="4">
        <f>IF(ISNUMBER(SEARCH("营",'17.04'!I40)),(-$Y40+50*IF('17.04'!$AK40="是",'17.04'!$AY$4,'17.04'!$AY$3)),(VLOOKUP('17.04'!I40,'17.04'!$AM$4:$AO$55,2,FALSE))*IF('17.04'!$AK40="是",'17.04'!$AY$4,'17.04'!$AY$3))</f>
        <v>0</v>
      </c>
      <c r="B40" s="4">
        <f>IF(ISNUMBER(SEARCH("营",'17.04'!J40)),(-$Y40+50*IF('17.04'!$AK40="是",'17.04'!$AY$4,'17.04'!$AY$3)),(VLOOKUP('17.04'!J40,'17.04'!$AM$4:$AO$55,2,FALSE))*IF('17.04'!$AK40="是",'17.04'!$AY$4,'17.04'!$AY$3))</f>
        <v>0</v>
      </c>
      <c r="C40" s="4">
        <f>IF(ISNUMBER(SEARCH("营",'17.04'!K40)),(-$Y40+50*IF('17.04'!$AK40="是",'17.04'!$AY$4,'17.04'!$AY$3)),(VLOOKUP('17.04'!K40,'17.04'!$AM$4:$AO$55,2,FALSE))*IF('17.04'!$AK40="是",'17.04'!$AY$4,'17.04'!$AY$3))</f>
        <v>0</v>
      </c>
      <c r="D40" s="4">
        <f>IF(ISNUMBER(SEARCH("营",'17.04'!L40)),(-$Y40+50*IF('17.04'!$AK40="是",'17.04'!$AY$4,'17.04'!$AY$3)),(VLOOKUP('17.04'!L40,'17.04'!$AM$4:$AO$55,2,FALSE))*IF('17.04'!$AK40="是",'17.04'!$AY$4,'17.04'!$AY$3))</f>
        <v>0</v>
      </c>
      <c r="E40" s="4">
        <f>IF(ISNUMBER(SEARCH("营",'17.04'!M40)),(-$Y40+50*IF('17.04'!$AK40="是",'17.04'!$AY$4,'17.04'!$AY$3)),(VLOOKUP('17.04'!M40,'17.04'!$AM$4:$AO$55,2,FALSE))*IF('17.04'!$AK40="是",'17.04'!$AY$4,'17.04'!$AY$3))</f>
        <v>0</v>
      </c>
      <c r="F40" s="4">
        <f>IF(ISNUMBER(SEARCH("营",'17.04'!N40)),(-$Y40+50*IF('17.04'!$AK40="是",'17.04'!$AY$4,'17.04'!$AY$3)),(VLOOKUP('17.04'!N40,'17.04'!$AM$4:$AO$55,2,FALSE))*IF('17.04'!$AK40="是",'17.04'!$AY$4,'17.04'!$AY$3))</f>
        <v>0</v>
      </c>
      <c r="G40" s="4">
        <f>IF(ISNUMBER(SEARCH("营",'17.04'!O40)),(-$Y40+50*IF('17.04'!$AK40="是",'17.04'!$AY$4,'17.04'!$AY$3)),(VLOOKUP('17.04'!O40,'17.04'!$AM$4:$AO$55,2,FALSE))*IF('17.04'!$AK40="是",'17.04'!$AY$4,'17.04'!$AY$3))</f>
        <v>0</v>
      </c>
      <c r="H40" s="4">
        <f>IF(ISNUMBER(SEARCH("营",'17.04'!P40)),(-$Y40+50*IF('17.04'!$AK40="是",'17.04'!$AY$4,'17.04'!$AY$3)),(VLOOKUP('17.04'!P40,'17.04'!$AM$4:$AO$55,2,FALSE))*IF('17.04'!$AK40="是",'17.04'!$AY$4,'17.04'!$AY$3))</f>
        <v>0</v>
      </c>
      <c r="I40" s="4">
        <f>IF(ISNUMBER(SEARCH("营",'17.04'!Q40)),(-$Y40+50*IF('17.04'!$AK40="是",'17.04'!$AY$4,'17.04'!$AY$3)),(VLOOKUP('17.04'!Q40,'17.04'!$AM$4:$AO$55,2,FALSE))*IF('17.04'!$AK40="是",'17.04'!$AY$4,'17.04'!$AY$3))</f>
        <v>120</v>
      </c>
      <c r="J40" s="4">
        <f>IF(ISNUMBER(SEARCH("营",'17.04'!R40)),(-$Y40+50*IF('17.04'!$AK40="是",'17.04'!$AY$4,'17.04'!$AY$3)),(VLOOKUP('17.04'!R40,'17.04'!$AM$4:$AO$55,2,FALSE))*IF('17.04'!$AK40="是",'17.04'!$AY$4,'17.04'!$AY$3))</f>
        <v>136</v>
      </c>
      <c r="K40" s="4">
        <f>IF(ISNUMBER(SEARCH("营",'17.04'!S40)),(-$Y40+50*IF('17.04'!$AK40="是",'17.04'!$AY$4,'17.04'!$AY$3)),(VLOOKUP('17.04'!S40,'17.04'!$AM$4:$AO$55,2,FALSE))*IF('17.04'!$AK40="是",'17.04'!$AY$4,'17.04'!$AY$3))</f>
        <v>136</v>
      </c>
      <c r="L40" s="4">
        <f>IF(ISNUMBER(SEARCH("营",'17.04'!T40)),(-$Y40+50*IF('17.04'!$AK40="是",'17.04'!$AY$4,'17.04'!$AY$3)),(VLOOKUP('17.04'!T40,'17.04'!$AM$4:$AO$55,2,FALSE))*IF('17.04'!$AK40="是",'17.04'!$AY$4,'17.04'!$AY$3))</f>
        <v>136</v>
      </c>
      <c r="M40" s="4">
        <f>IF(ISNUMBER(SEARCH("营",'17.04'!U40)),(-$Y40+50*IF('17.04'!$AK40="是",'17.04'!$AY$4,'17.04'!$AY$3)),(VLOOKUP('17.04'!U40,'17.04'!$AM$4:$AO$55,2,FALSE))*IF('17.04'!$AK40="是",'17.04'!$AY$4,'17.04'!$AY$3))</f>
        <v>136</v>
      </c>
      <c r="N40" s="4">
        <f>IF(ISNUMBER(SEARCH("营",'17.04'!V40)),(-$Y40+50*IF('17.04'!$AK40="是",'17.04'!$AY$4,'17.04'!$AY$3)),(VLOOKUP('17.04'!V40,'17.04'!$AM$4:$AO$55,2,FALSE))*IF('17.04'!$AK40="是",'17.04'!$AY$4,'17.04'!$AY$3))</f>
        <v>136</v>
      </c>
      <c r="O40" s="4">
        <f>IF(ISNUMBER(SEARCH("营",'17.04'!W40)),(-$Y40+50*IF('17.04'!$AK40="是",'17.04'!$AY$4,'17.04'!$AY$3)),(VLOOKUP('17.04'!W40,'17.04'!$AM$4:$AO$55,2,FALSE))*IF('17.04'!$AK40="是",'17.04'!$AY$4,'17.04'!$AY$3))</f>
        <v>0</v>
      </c>
      <c r="P40" s="4">
        <f>IF(ISNUMBER(SEARCH("营",'17.04'!X40)),(-$Y40+50*IF('17.04'!$AK40="是",'17.04'!$AY$4,'17.04'!$AY$3)),(VLOOKUP('17.04'!X40,'17.04'!$AM$4:$AO$55,2,FALSE))*IF('17.04'!$AK40="是",'17.04'!$AY$4,'17.04'!$AY$3))</f>
        <v>0</v>
      </c>
      <c r="Q40" s="4">
        <f>IF(ISNUMBER(SEARCH("营",'17.04'!Y40)),(-$Y40+50*IF('17.04'!$AK40="是",'17.04'!$AY$4,'17.04'!$AY$3)),(VLOOKUP('17.04'!Y40,'17.04'!$AM$4:$AO$55,2,FALSE))*IF('17.04'!$AK40="是",'17.04'!$AY$4,'17.04'!$AY$3))</f>
        <v>144</v>
      </c>
      <c r="R40" s="4">
        <f>IF(ISNUMBER(SEARCH("营",'17.04'!Z40)),(-$Y40+50*IF('17.04'!$AK40="是",'17.04'!$AY$4,'17.04'!$AY$3)),(VLOOKUP('17.04'!Z40,'17.04'!$AM$4:$AO$55,2,FALSE))*IF('17.04'!$AK40="是",'17.04'!$AY$4,'17.04'!$AY$3))</f>
        <v>144</v>
      </c>
      <c r="S40" s="4">
        <f>IF(ISNUMBER(SEARCH("营",'17.04'!AA40)),(-$Y40+50*IF('17.04'!$AK40="是",'17.04'!$AY$4,'17.04'!$AY$3)),(VLOOKUP('17.04'!AA40,'17.04'!$AM$4:$AO$55,2,FALSE))*IF('17.04'!$AK40="是",'17.04'!$AY$4,'17.04'!$AY$3))</f>
        <v>136</v>
      </c>
      <c r="T40" s="4">
        <f>IF(ISNUMBER(SEARCH("营",'17.04'!AB40)),(-$Y40+50*IF('17.04'!$AK40="是",'17.04'!$AY$4,'17.04'!$AY$3)),(VLOOKUP('17.04'!AB40,'17.04'!$AM$4:$AO$55,2,FALSE))*IF('17.04'!$AK40="是",'17.04'!$AY$4,'17.04'!$AY$3))</f>
        <v>136</v>
      </c>
      <c r="U40" s="4">
        <f>IF(ISNUMBER(SEARCH("营",'17.04'!AC40)),(-$Y40+50*IF('17.04'!$AK40="是",'17.04'!$AY$4,'17.04'!$AY$3)),(VLOOKUP('17.04'!AC40,'17.04'!$AM$4:$AO$55,2,FALSE))*IF('17.04'!$AK40="是",'17.04'!$AY$4,'17.04'!$AY$3))</f>
        <v>136</v>
      </c>
      <c r="V40" s="4">
        <f>IF(ISNUMBER(SEARCH("营",'17.04'!AD40)),(-$Y40+50*IF('17.04'!$AK40="是",'17.04'!$AY$4,'17.04'!$AY$3)),(VLOOKUP('17.04'!AD40,'17.04'!$AM$4:$AO$55,2,FALSE))*IF('17.04'!$AK40="是",'17.04'!$AY$4,'17.04'!$AY$3))</f>
        <v>0</v>
      </c>
      <c r="W40" s="4">
        <f>IF(ISNUMBER(SEARCH("营",'17.04'!AE40)),(-$Y40+50*IF('17.04'!$AK40="是",'17.04'!$AY$4,'17.04'!$AY$3)),(VLOOKUP('17.04'!AE40,'17.04'!$AM$4:$AO$55,2,FALSE))*IF('17.04'!$AK40="是",'17.04'!$AY$4,'17.04'!$AY$3))</f>
        <v>0</v>
      </c>
      <c r="X40" s="4">
        <f>IF(ISNUMBER(SEARCH("营",'17.04'!AF40)),(-$Y40+50*IF('17.04'!$AK40="是",'17.04'!$AY$4,'17.04'!$AY$3)),(VLOOKUP('17.04'!AF40,'17.04'!$AM$4:$AO$55,2,FALSE))*IF('17.04'!$AK40="是",'17.04'!$AY$4,'17.04'!$AY$3))</f>
        <v>0</v>
      </c>
      <c r="Y40" s="89">
        <v>200</v>
      </c>
    </row>
    <row r="41" spans="1:25">
      <c r="A41" s="4">
        <f>IF(ISNUMBER(SEARCH("营",'17.04'!I41)),(-$Y41+50*IF('17.04'!$AK41="是",'17.04'!$AY$4,'17.04'!$AY$3)),(VLOOKUP('17.04'!I41,'17.04'!$AM$4:$AO$55,2,FALSE))*IF('17.04'!$AK41="是",'17.04'!$AY$4,'17.04'!$AY$3))</f>
        <v>0</v>
      </c>
      <c r="B41" s="4">
        <f>IF(ISNUMBER(SEARCH("营",'17.04'!J41)),(-$Y41+50*IF('17.04'!$AK41="是",'17.04'!$AY$4,'17.04'!$AY$3)),(VLOOKUP('17.04'!J41,'17.04'!$AM$4:$AO$55,2,FALSE))*IF('17.04'!$AK41="是",'17.04'!$AY$4,'17.04'!$AY$3))</f>
        <v>0</v>
      </c>
      <c r="C41" s="4">
        <f>IF(ISNUMBER(SEARCH("营",'17.04'!K41)),(-$Y41+50*IF('17.04'!$AK41="是",'17.04'!$AY$4,'17.04'!$AY$3)),(VLOOKUP('17.04'!K41,'17.04'!$AM$4:$AO$55,2,FALSE))*IF('17.04'!$AK41="是",'17.04'!$AY$4,'17.04'!$AY$3))</f>
        <v>0</v>
      </c>
      <c r="D41" s="4">
        <f>IF(ISNUMBER(SEARCH("营",'17.04'!L41)),(-$Y41+50*IF('17.04'!$AK41="是",'17.04'!$AY$4,'17.04'!$AY$3)),(VLOOKUP('17.04'!L41,'17.04'!$AM$4:$AO$55,2,FALSE))*IF('17.04'!$AK41="是",'17.04'!$AY$4,'17.04'!$AY$3))</f>
        <v>0</v>
      </c>
      <c r="E41" s="4">
        <f>IF(ISNUMBER(SEARCH("营",'17.04'!M41)),(-$Y41+50*IF('17.04'!$AK41="是",'17.04'!$AY$4,'17.04'!$AY$3)),(VLOOKUP('17.04'!M41,'17.04'!$AM$4:$AO$55,2,FALSE))*IF('17.04'!$AK41="是",'17.04'!$AY$4,'17.04'!$AY$3))</f>
        <v>0</v>
      </c>
      <c r="F41" s="4">
        <f>IF(ISNUMBER(SEARCH("营",'17.04'!N41)),(-$Y41+50*IF('17.04'!$AK41="是",'17.04'!$AY$4,'17.04'!$AY$3)),(VLOOKUP('17.04'!N41,'17.04'!$AM$4:$AO$55,2,FALSE))*IF('17.04'!$AK41="是",'17.04'!$AY$4,'17.04'!$AY$3))</f>
        <v>0</v>
      </c>
      <c r="G41" s="4">
        <f>IF(ISNUMBER(SEARCH("营",'17.04'!O41)),(-$Y41+50*IF('17.04'!$AK41="是",'17.04'!$AY$4,'17.04'!$AY$3)),(VLOOKUP('17.04'!O41,'17.04'!$AM$4:$AO$55,2,FALSE))*IF('17.04'!$AK41="是",'17.04'!$AY$4,'17.04'!$AY$3))</f>
        <v>0</v>
      </c>
      <c r="H41" s="4">
        <f>IF(ISNUMBER(SEARCH("营",'17.04'!P41)),(-$Y41+50*IF('17.04'!$AK41="是",'17.04'!$AY$4,'17.04'!$AY$3)),(VLOOKUP('17.04'!P41,'17.04'!$AM$4:$AO$55,2,FALSE))*IF('17.04'!$AK41="是",'17.04'!$AY$4,'17.04'!$AY$3))</f>
        <v>0</v>
      </c>
      <c r="I41" s="4">
        <f>IF(ISNUMBER(SEARCH("营",'17.04'!Q41)),(-$Y41+50*IF('17.04'!$AK41="是",'17.04'!$AY$4,'17.04'!$AY$3)),(VLOOKUP('17.04'!Q41,'17.04'!$AM$4:$AO$55,2,FALSE))*IF('17.04'!$AK41="是",'17.04'!$AY$4,'17.04'!$AY$3))</f>
        <v>136</v>
      </c>
      <c r="J41" s="4">
        <f>IF(ISNUMBER(SEARCH("营",'17.04'!R41)),(-$Y41+50*IF('17.04'!$AK41="是",'17.04'!$AY$4,'17.04'!$AY$3)),(VLOOKUP('17.04'!R41,'17.04'!$AM$4:$AO$55,2,FALSE))*IF('17.04'!$AK41="是",'17.04'!$AY$4,'17.04'!$AY$3))</f>
        <v>136</v>
      </c>
      <c r="K41" s="4">
        <f>IF(ISNUMBER(SEARCH("营",'17.04'!S41)),(-$Y41+50*IF('17.04'!$AK41="是",'17.04'!$AY$4,'17.04'!$AY$3)),(VLOOKUP('17.04'!S41,'17.04'!$AM$4:$AO$55,2,FALSE))*IF('17.04'!$AK41="是",'17.04'!$AY$4,'17.04'!$AY$3))</f>
        <v>136</v>
      </c>
      <c r="L41" s="4">
        <f>IF(ISNUMBER(SEARCH("营",'17.04'!T41)),(-$Y41+50*IF('17.04'!$AK41="是",'17.04'!$AY$4,'17.04'!$AY$3)),(VLOOKUP('17.04'!T41,'17.04'!$AM$4:$AO$55,2,FALSE))*IF('17.04'!$AK41="是",'17.04'!$AY$4,'17.04'!$AY$3))</f>
        <v>136</v>
      </c>
      <c r="M41" s="4">
        <f>IF(ISNUMBER(SEARCH("营",'17.04'!U41)),(-$Y41+50*IF('17.04'!$AK41="是",'17.04'!$AY$4,'17.04'!$AY$3)),(VLOOKUP('17.04'!U41,'17.04'!$AM$4:$AO$55,2,FALSE))*IF('17.04'!$AK41="是",'17.04'!$AY$4,'17.04'!$AY$3))</f>
        <v>136</v>
      </c>
      <c r="N41" s="4">
        <f>IF(ISNUMBER(SEARCH("营",'17.04'!V41)),(-$Y41+50*IF('17.04'!$AK41="是",'17.04'!$AY$4,'17.04'!$AY$3)),(VLOOKUP('17.04'!V41,'17.04'!$AM$4:$AO$55,2,FALSE))*IF('17.04'!$AK41="是",'17.04'!$AY$4,'17.04'!$AY$3))</f>
        <v>40</v>
      </c>
      <c r="O41" s="4">
        <f>IF(ISNUMBER(SEARCH("营",'17.04'!W41)),(-$Y41+50*IF('17.04'!$AK41="是",'17.04'!$AY$4,'17.04'!$AY$3)),(VLOOKUP('17.04'!W41,'17.04'!$AM$4:$AO$55,2,FALSE))*IF('17.04'!$AK41="是",'17.04'!$AY$4,'17.04'!$AY$3))</f>
        <v>0</v>
      </c>
      <c r="P41" s="4">
        <f>IF(ISNUMBER(SEARCH("营",'17.04'!X41)),(-$Y41+50*IF('17.04'!$AK41="是",'17.04'!$AY$4,'17.04'!$AY$3)),(VLOOKUP('17.04'!X41,'17.04'!$AM$4:$AO$55,2,FALSE))*IF('17.04'!$AK41="是",'17.04'!$AY$4,'17.04'!$AY$3))</f>
        <v>0</v>
      </c>
      <c r="Q41" s="4">
        <f>IF(ISNUMBER(SEARCH("营",'17.04'!Y41)),(-$Y41+50*IF('17.04'!$AK41="是",'17.04'!$AY$4,'17.04'!$AY$3)),(VLOOKUP('17.04'!Y41,'17.04'!$AM$4:$AO$55,2,FALSE))*IF('17.04'!$AK41="是",'17.04'!$AY$4,'17.04'!$AY$3))</f>
        <v>136</v>
      </c>
      <c r="R41" s="4">
        <f>IF(ISNUMBER(SEARCH("营",'17.04'!Z41)),(-$Y41+50*IF('17.04'!$AK41="是",'17.04'!$AY$4,'17.04'!$AY$3)),(VLOOKUP('17.04'!Z41,'17.04'!$AM$4:$AO$55,2,FALSE))*IF('17.04'!$AK41="是",'17.04'!$AY$4,'17.04'!$AY$3))</f>
        <v>136</v>
      </c>
      <c r="S41" s="4">
        <f>IF(ISNUMBER(SEARCH("营",'17.04'!AA41)),(-$Y41+50*IF('17.04'!$AK41="是",'17.04'!$AY$4,'17.04'!$AY$3)),(VLOOKUP('17.04'!AA41,'17.04'!$AM$4:$AO$55,2,FALSE))*IF('17.04'!$AK41="是",'17.04'!$AY$4,'17.04'!$AY$3))</f>
        <v>136</v>
      </c>
      <c r="T41" s="4">
        <f>IF(ISNUMBER(SEARCH("营",'17.04'!AB41)),(-$Y41+50*IF('17.04'!$AK41="是",'17.04'!$AY$4,'17.04'!$AY$3)),(VLOOKUP('17.04'!AB41,'17.04'!$AM$4:$AO$55,2,FALSE))*IF('17.04'!$AK41="是",'17.04'!$AY$4,'17.04'!$AY$3))</f>
        <v>0</v>
      </c>
      <c r="U41" s="4">
        <f>IF(ISNUMBER(SEARCH("营",'17.04'!AC41)),(-$Y41+50*IF('17.04'!$AK41="是",'17.04'!$AY$4,'17.04'!$AY$3)),(VLOOKUP('17.04'!AC41,'17.04'!$AM$4:$AO$55,2,FALSE))*IF('17.04'!$AK41="是",'17.04'!$AY$4,'17.04'!$AY$3))</f>
        <v>0</v>
      </c>
      <c r="V41" s="4">
        <f>IF(ISNUMBER(SEARCH("营",'17.04'!AD41)),(-$Y41+50*IF('17.04'!$AK41="是",'17.04'!$AY$4,'17.04'!$AY$3)),(VLOOKUP('17.04'!AD41,'17.04'!$AM$4:$AO$55,2,FALSE))*IF('17.04'!$AK41="是",'17.04'!$AY$4,'17.04'!$AY$3))</f>
        <v>0</v>
      </c>
      <c r="W41" s="4">
        <f>IF(ISNUMBER(SEARCH("营",'17.04'!AE41)),(-$Y41+50*IF('17.04'!$AK41="是",'17.04'!$AY$4,'17.04'!$AY$3)),(VLOOKUP('17.04'!AE41,'17.04'!$AM$4:$AO$55,2,FALSE))*IF('17.04'!$AK41="是",'17.04'!$AY$4,'17.04'!$AY$3))</f>
        <v>0</v>
      </c>
      <c r="X41" s="4">
        <f>IF(ISNUMBER(SEARCH("营",'17.04'!AF41)),(-$Y41+50*IF('17.04'!$AK41="是",'17.04'!$AY$4,'17.04'!$AY$3)),(VLOOKUP('17.04'!AF41,'17.04'!$AM$4:$AO$55,2,FALSE))*IF('17.04'!$AK41="是",'17.04'!$AY$4,'17.04'!$AY$3))</f>
        <v>0</v>
      </c>
      <c r="Y41" s="89">
        <v>200</v>
      </c>
    </row>
    <row r="42" spans="1:25">
      <c r="A42" s="4">
        <f>IF(ISNUMBER(SEARCH("营",'17.04'!I42)),(-$Y42+50*IF('17.04'!$AK42="是",'17.04'!$AY$4,'17.04'!$AY$3)),(VLOOKUP('17.04'!I42,'17.04'!$AM$4:$AO$55,2,FALSE))*IF('17.04'!$AK42="是",'17.04'!$AY$4,'17.04'!$AY$3))</f>
        <v>0</v>
      </c>
      <c r="B42" s="4">
        <f>IF(ISNUMBER(SEARCH("营",'17.04'!J42)),(-$Y42+50*IF('17.04'!$AK42="是",'17.04'!$AY$4,'17.04'!$AY$3)),(VLOOKUP('17.04'!J42,'17.04'!$AM$4:$AO$55,2,FALSE))*IF('17.04'!$AK42="是",'17.04'!$AY$4,'17.04'!$AY$3))</f>
        <v>0</v>
      </c>
      <c r="C42" s="4">
        <f>IF(ISNUMBER(SEARCH("营",'17.04'!K42)),(-$Y42+50*IF('17.04'!$AK42="是",'17.04'!$AY$4,'17.04'!$AY$3)),(VLOOKUP('17.04'!K42,'17.04'!$AM$4:$AO$55,2,FALSE))*IF('17.04'!$AK42="是",'17.04'!$AY$4,'17.04'!$AY$3))</f>
        <v>0</v>
      </c>
      <c r="D42" s="4">
        <f>IF(ISNUMBER(SEARCH("营",'17.04'!L42)),(-$Y42+50*IF('17.04'!$AK42="是",'17.04'!$AY$4,'17.04'!$AY$3)),(VLOOKUP('17.04'!L42,'17.04'!$AM$4:$AO$55,2,FALSE))*IF('17.04'!$AK42="是",'17.04'!$AY$4,'17.04'!$AY$3))</f>
        <v>0</v>
      </c>
      <c r="E42" s="4">
        <f>IF(ISNUMBER(SEARCH("营",'17.04'!M42)),(-$Y42+50*IF('17.04'!$AK42="是",'17.04'!$AY$4,'17.04'!$AY$3)),(VLOOKUP('17.04'!M42,'17.04'!$AM$4:$AO$55,2,FALSE))*IF('17.04'!$AK42="是",'17.04'!$AY$4,'17.04'!$AY$3))</f>
        <v>0</v>
      </c>
      <c r="F42" s="4">
        <f>IF(ISNUMBER(SEARCH("营",'17.04'!N42)),(-$Y42+50*IF('17.04'!$AK42="是",'17.04'!$AY$4,'17.04'!$AY$3)),(VLOOKUP('17.04'!N42,'17.04'!$AM$4:$AO$55,2,FALSE))*IF('17.04'!$AK42="是",'17.04'!$AY$4,'17.04'!$AY$3))</f>
        <v>0</v>
      </c>
      <c r="G42" s="4">
        <f>IF(ISNUMBER(SEARCH("营",'17.04'!O42)),(-$Y42+50*IF('17.04'!$AK42="是",'17.04'!$AY$4,'17.04'!$AY$3)),(VLOOKUP('17.04'!O42,'17.04'!$AM$4:$AO$55,2,FALSE))*IF('17.04'!$AK42="是",'17.04'!$AY$4,'17.04'!$AY$3))</f>
        <v>0</v>
      </c>
      <c r="H42" s="4">
        <f>IF(ISNUMBER(SEARCH("营",'17.04'!P42)),(-$Y42+50*IF('17.04'!$AK42="是",'17.04'!$AY$4,'17.04'!$AY$3)),(VLOOKUP('17.04'!P42,'17.04'!$AM$4:$AO$55,2,FALSE))*IF('17.04'!$AK42="是",'17.04'!$AY$4,'17.04'!$AY$3))</f>
        <v>0</v>
      </c>
      <c r="I42" s="4">
        <f>IF(ISNUMBER(SEARCH("营",'17.04'!Q42)),(-$Y42+50*IF('17.04'!$AK42="是",'17.04'!$AY$4,'17.04'!$AY$3)),(VLOOKUP('17.04'!Q42,'17.04'!$AM$4:$AO$55,2,FALSE))*IF('17.04'!$AK42="是",'17.04'!$AY$4,'17.04'!$AY$3))</f>
        <v>136</v>
      </c>
      <c r="J42" s="4">
        <f>IF(ISNUMBER(SEARCH("营",'17.04'!R42)),(-$Y42+50*IF('17.04'!$AK42="是",'17.04'!$AY$4,'17.04'!$AY$3)),(VLOOKUP('17.04'!R42,'17.04'!$AM$4:$AO$55,2,FALSE))*IF('17.04'!$AK42="是",'17.04'!$AY$4,'17.04'!$AY$3))</f>
        <v>136</v>
      </c>
      <c r="K42" s="4">
        <f>IF(ISNUMBER(SEARCH("营",'17.04'!S42)),(-$Y42+50*IF('17.04'!$AK42="是",'17.04'!$AY$4,'17.04'!$AY$3)),(VLOOKUP('17.04'!S42,'17.04'!$AM$4:$AO$55,2,FALSE))*IF('17.04'!$AK42="是",'17.04'!$AY$4,'17.04'!$AY$3))</f>
        <v>136</v>
      </c>
      <c r="L42" s="4">
        <f>IF(ISNUMBER(SEARCH("营",'17.04'!T42)),(-$Y42+50*IF('17.04'!$AK42="是",'17.04'!$AY$4,'17.04'!$AY$3)),(VLOOKUP('17.04'!T42,'17.04'!$AM$4:$AO$55,2,FALSE))*IF('17.04'!$AK42="是",'17.04'!$AY$4,'17.04'!$AY$3))</f>
        <v>136</v>
      </c>
      <c r="M42" s="4">
        <f>IF(ISNUMBER(SEARCH("营",'17.04'!U42)),(-$Y42+50*IF('17.04'!$AK42="是",'17.04'!$AY$4,'17.04'!$AY$3)),(VLOOKUP('17.04'!U42,'17.04'!$AM$4:$AO$55,2,FALSE))*IF('17.04'!$AK42="是",'17.04'!$AY$4,'17.04'!$AY$3))</f>
        <v>136</v>
      </c>
      <c r="N42" s="4">
        <f>IF(ISNUMBER(SEARCH("营",'17.04'!V42)),(-$Y42+50*IF('17.04'!$AK42="是",'17.04'!$AY$4,'17.04'!$AY$3)),(VLOOKUP('17.04'!V42,'17.04'!$AM$4:$AO$55,2,FALSE))*IF('17.04'!$AK42="是",'17.04'!$AY$4,'17.04'!$AY$3))</f>
        <v>136</v>
      </c>
      <c r="O42" s="4">
        <f>IF(ISNUMBER(SEARCH("营",'17.04'!W42)),(-$Y42+50*IF('17.04'!$AK42="是",'17.04'!$AY$4,'17.04'!$AY$3)),(VLOOKUP('17.04'!W42,'17.04'!$AM$4:$AO$55,2,FALSE))*IF('17.04'!$AK42="是",'17.04'!$AY$4,'17.04'!$AY$3))</f>
        <v>0</v>
      </c>
      <c r="P42" s="4">
        <f>IF(ISNUMBER(SEARCH("营",'17.04'!X42)),(-$Y42+50*IF('17.04'!$AK42="是",'17.04'!$AY$4,'17.04'!$AY$3)),(VLOOKUP('17.04'!X42,'17.04'!$AM$4:$AO$55,2,FALSE))*IF('17.04'!$AK42="是",'17.04'!$AY$4,'17.04'!$AY$3))</f>
        <v>0</v>
      </c>
      <c r="Q42" s="4">
        <f>IF(ISNUMBER(SEARCH("营",'17.04'!Y42)),(-$Y42+50*IF('17.04'!$AK42="是",'17.04'!$AY$4,'17.04'!$AY$3)),(VLOOKUP('17.04'!Y42,'17.04'!$AM$4:$AO$55,2,FALSE))*IF('17.04'!$AK42="是",'17.04'!$AY$4,'17.04'!$AY$3))</f>
        <v>136</v>
      </c>
      <c r="R42" s="4">
        <f>IF(ISNUMBER(SEARCH("营",'17.04'!Z42)),(-$Y42+50*IF('17.04'!$AK42="是",'17.04'!$AY$4,'17.04'!$AY$3)),(VLOOKUP('17.04'!Z42,'17.04'!$AM$4:$AO$55,2,FALSE))*IF('17.04'!$AK42="是",'17.04'!$AY$4,'17.04'!$AY$3))</f>
        <v>136</v>
      </c>
      <c r="S42" s="4">
        <f>IF(ISNUMBER(SEARCH("营",'17.04'!AA42)),(-$Y42+50*IF('17.04'!$AK42="是",'17.04'!$AY$4,'17.04'!$AY$3)),(VLOOKUP('17.04'!AA42,'17.04'!$AM$4:$AO$55,2,FALSE))*IF('17.04'!$AK42="是",'17.04'!$AY$4,'17.04'!$AY$3))</f>
        <v>136</v>
      </c>
      <c r="T42" s="4">
        <f>IF(ISNUMBER(SEARCH("营",'17.04'!AB42)),(-$Y42+50*IF('17.04'!$AK42="是",'17.04'!$AY$4,'17.04'!$AY$3)),(VLOOKUP('17.04'!AB42,'17.04'!$AM$4:$AO$55,2,FALSE))*IF('17.04'!$AK42="是",'17.04'!$AY$4,'17.04'!$AY$3))</f>
        <v>120</v>
      </c>
      <c r="U42" s="4">
        <f>IF(ISNUMBER(SEARCH("营",'17.04'!AC42)),(-$Y42+50*IF('17.04'!$AK42="是",'17.04'!$AY$4,'17.04'!$AY$3)),(VLOOKUP('17.04'!AC42,'17.04'!$AM$4:$AO$55,2,FALSE))*IF('17.04'!$AK42="是",'17.04'!$AY$4,'17.04'!$AY$3))</f>
        <v>136</v>
      </c>
      <c r="V42" s="4">
        <f>IF(ISNUMBER(SEARCH("营",'17.04'!AD42)),(-$Y42+50*IF('17.04'!$AK42="是",'17.04'!$AY$4,'17.04'!$AY$3)),(VLOOKUP('17.04'!AD42,'17.04'!$AM$4:$AO$55,2,FALSE))*IF('17.04'!$AK42="是",'17.04'!$AY$4,'17.04'!$AY$3))</f>
        <v>136</v>
      </c>
      <c r="W42" s="4">
        <f>IF(ISNUMBER(SEARCH("营",'17.04'!AE42)),(-$Y42+50*IF('17.04'!$AK42="是",'17.04'!$AY$4,'17.04'!$AY$3)),(VLOOKUP('17.04'!AE42,'17.04'!$AM$4:$AO$55,2,FALSE))*IF('17.04'!$AK42="是",'17.04'!$AY$4,'17.04'!$AY$3))</f>
        <v>0</v>
      </c>
      <c r="X42" s="4">
        <f>IF(ISNUMBER(SEARCH("营",'17.04'!AF42)),(-$Y42+50*IF('17.04'!$AK42="是",'17.04'!$AY$4,'17.04'!$AY$3)),(VLOOKUP('17.04'!AF42,'17.04'!$AM$4:$AO$55,2,FALSE))*IF('17.04'!$AK42="是",'17.04'!$AY$4,'17.04'!$AY$3))</f>
        <v>0</v>
      </c>
      <c r="Y42" s="89">
        <v>200</v>
      </c>
    </row>
    <row r="43" spans="1:25">
      <c r="A43" s="4">
        <f>IF(ISNUMBER(SEARCH("营",'17.04'!I43)),(-$Y43+50*IF('17.04'!$AK43="是",'17.04'!$AY$4,'17.04'!$AY$3)),(VLOOKUP('17.04'!I43,'17.04'!$AM$4:$AO$55,2,FALSE))*IF('17.04'!$AK43="是",'17.04'!$AY$4,'17.04'!$AY$3))</f>
        <v>0</v>
      </c>
      <c r="B43" s="4">
        <f>IF(ISNUMBER(SEARCH("营",'17.04'!J43)),(-$Y43+50*IF('17.04'!$AK43="是",'17.04'!$AY$4,'17.04'!$AY$3)),(VLOOKUP('17.04'!J43,'17.04'!$AM$4:$AO$55,2,FALSE))*IF('17.04'!$AK43="是",'17.04'!$AY$4,'17.04'!$AY$3))</f>
        <v>0</v>
      </c>
      <c r="C43" s="4">
        <f>IF(ISNUMBER(SEARCH("营",'17.04'!K43)),(-$Y43+50*IF('17.04'!$AK43="是",'17.04'!$AY$4,'17.04'!$AY$3)),(VLOOKUP('17.04'!K43,'17.04'!$AM$4:$AO$55,2,FALSE))*IF('17.04'!$AK43="是",'17.04'!$AY$4,'17.04'!$AY$3))</f>
        <v>0</v>
      </c>
      <c r="D43" s="4">
        <f>IF(ISNUMBER(SEARCH("营",'17.04'!L43)),(-$Y43+50*IF('17.04'!$AK43="是",'17.04'!$AY$4,'17.04'!$AY$3)),(VLOOKUP('17.04'!L43,'17.04'!$AM$4:$AO$55,2,FALSE))*IF('17.04'!$AK43="是",'17.04'!$AY$4,'17.04'!$AY$3))</f>
        <v>0</v>
      </c>
      <c r="E43" s="4">
        <f>IF(ISNUMBER(SEARCH("营",'17.04'!M43)),(-$Y43+50*IF('17.04'!$AK43="是",'17.04'!$AY$4,'17.04'!$AY$3)),(VLOOKUP('17.04'!M43,'17.04'!$AM$4:$AO$55,2,FALSE))*IF('17.04'!$AK43="是",'17.04'!$AY$4,'17.04'!$AY$3))</f>
        <v>0</v>
      </c>
      <c r="F43" s="4">
        <f>IF(ISNUMBER(SEARCH("营",'17.04'!N43)),(-$Y43+50*IF('17.04'!$AK43="是",'17.04'!$AY$4,'17.04'!$AY$3)),(VLOOKUP('17.04'!N43,'17.04'!$AM$4:$AO$55,2,FALSE))*IF('17.04'!$AK43="是",'17.04'!$AY$4,'17.04'!$AY$3))</f>
        <v>0</v>
      </c>
      <c r="G43" s="4">
        <f>IF(ISNUMBER(SEARCH("营",'17.04'!O43)),(-$Y43+50*IF('17.04'!$AK43="是",'17.04'!$AY$4,'17.04'!$AY$3)),(VLOOKUP('17.04'!O43,'17.04'!$AM$4:$AO$55,2,FALSE))*IF('17.04'!$AK43="是",'17.04'!$AY$4,'17.04'!$AY$3))</f>
        <v>0</v>
      </c>
      <c r="H43" s="4">
        <f>IF(ISNUMBER(SEARCH("营",'17.04'!P43)),(-$Y43+50*IF('17.04'!$AK43="是",'17.04'!$AY$4,'17.04'!$AY$3)),(VLOOKUP('17.04'!P43,'17.04'!$AM$4:$AO$55,2,FALSE))*IF('17.04'!$AK43="是",'17.04'!$AY$4,'17.04'!$AY$3))</f>
        <v>0</v>
      </c>
      <c r="I43" s="4">
        <f>IF(ISNUMBER(SEARCH("营",'17.04'!Q43)),(-$Y43+50*IF('17.04'!$AK43="是",'17.04'!$AY$4,'17.04'!$AY$3)),(VLOOKUP('17.04'!Q43,'17.04'!$AM$4:$AO$55,2,FALSE))*IF('17.04'!$AK43="是",'17.04'!$AY$4,'17.04'!$AY$3))</f>
        <v>136</v>
      </c>
      <c r="J43" s="4">
        <f>IF(ISNUMBER(SEARCH("营",'17.04'!R43)),(-$Y43+50*IF('17.04'!$AK43="是",'17.04'!$AY$4,'17.04'!$AY$3)),(VLOOKUP('17.04'!R43,'17.04'!$AM$4:$AO$55,2,FALSE))*IF('17.04'!$AK43="是",'17.04'!$AY$4,'17.04'!$AY$3))</f>
        <v>136</v>
      </c>
      <c r="K43" s="4">
        <f>IF(ISNUMBER(SEARCH("营",'17.04'!S43)),(-$Y43+50*IF('17.04'!$AK43="是",'17.04'!$AY$4,'17.04'!$AY$3)),(VLOOKUP('17.04'!S43,'17.04'!$AM$4:$AO$55,2,FALSE))*IF('17.04'!$AK43="是",'17.04'!$AY$4,'17.04'!$AY$3))</f>
        <v>40</v>
      </c>
      <c r="L43" s="4">
        <f>IF(ISNUMBER(SEARCH("营",'17.04'!T43)),(-$Y43+50*IF('17.04'!$AK43="是",'17.04'!$AY$4,'17.04'!$AY$3)),(VLOOKUP('17.04'!T43,'17.04'!$AM$4:$AO$55,2,FALSE))*IF('17.04'!$AK43="是",'17.04'!$AY$4,'17.04'!$AY$3))</f>
        <v>136</v>
      </c>
      <c r="M43" s="4">
        <f>IF(ISNUMBER(SEARCH("营",'17.04'!U43)),(-$Y43+50*IF('17.04'!$AK43="是",'17.04'!$AY$4,'17.04'!$AY$3)),(VLOOKUP('17.04'!U43,'17.04'!$AM$4:$AO$55,2,FALSE))*IF('17.04'!$AK43="是",'17.04'!$AY$4,'17.04'!$AY$3))</f>
        <v>136</v>
      </c>
      <c r="N43" s="4">
        <f>IF(ISNUMBER(SEARCH("营",'17.04'!V43)),(-$Y43+50*IF('17.04'!$AK43="是",'17.04'!$AY$4,'17.04'!$AY$3)),(VLOOKUP('17.04'!V43,'17.04'!$AM$4:$AO$55,2,FALSE))*IF('17.04'!$AK43="是",'17.04'!$AY$4,'17.04'!$AY$3))</f>
        <v>136</v>
      </c>
      <c r="O43" s="4">
        <f>IF(ISNUMBER(SEARCH("营",'17.04'!W43)),(-$Y43+50*IF('17.04'!$AK43="是",'17.04'!$AY$4,'17.04'!$AY$3)),(VLOOKUP('17.04'!W43,'17.04'!$AM$4:$AO$55,2,FALSE))*IF('17.04'!$AK43="是",'17.04'!$AY$4,'17.04'!$AY$3))</f>
        <v>0</v>
      </c>
      <c r="P43" s="4">
        <f>IF(ISNUMBER(SEARCH("营",'17.04'!X43)),(-$Y43+50*IF('17.04'!$AK43="是",'17.04'!$AY$4,'17.04'!$AY$3)),(VLOOKUP('17.04'!X43,'17.04'!$AM$4:$AO$55,2,FALSE))*IF('17.04'!$AK43="是",'17.04'!$AY$4,'17.04'!$AY$3))</f>
        <v>0</v>
      </c>
      <c r="Q43" s="4">
        <f>IF(ISNUMBER(SEARCH("营",'17.04'!Y43)),(-$Y43+50*IF('17.04'!$AK43="是",'17.04'!$AY$4,'17.04'!$AY$3)),(VLOOKUP('17.04'!Y43,'17.04'!$AM$4:$AO$55,2,FALSE))*IF('17.04'!$AK43="是",'17.04'!$AY$4,'17.04'!$AY$3))</f>
        <v>136</v>
      </c>
      <c r="R43" s="4">
        <f>IF(ISNUMBER(SEARCH("营",'17.04'!Z43)),(-$Y43+50*IF('17.04'!$AK43="是",'17.04'!$AY$4,'17.04'!$AY$3)),(VLOOKUP('17.04'!Z43,'17.04'!$AM$4:$AO$55,2,FALSE))*IF('17.04'!$AK43="是",'17.04'!$AY$4,'17.04'!$AY$3))</f>
        <v>136</v>
      </c>
      <c r="S43" s="4">
        <f>IF(ISNUMBER(SEARCH("营",'17.04'!AA43)),(-$Y43+50*IF('17.04'!$AK43="是",'17.04'!$AY$4,'17.04'!$AY$3)),(VLOOKUP('17.04'!AA43,'17.04'!$AM$4:$AO$55,2,FALSE))*IF('17.04'!$AK43="是",'17.04'!$AY$4,'17.04'!$AY$3))</f>
        <v>40</v>
      </c>
      <c r="T43" s="4">
        <f>IF(ISNUMBER(SEARCH("营",'17.04'!AB43)),(-$Y43+50*IF('17.04'!$AK43="是",'17.04'!$AY$4,'17.04'!$AY$3)),(VLOOKUP('17.04'!AB43,'17.04'!$AM$4:$AO$55,2,FALSE))*IF('17.04'!$AK43="是",'17.04'!$AY$4,'17.04'!$AY$3))</f>
        <v>136</v>
      </c>
      <c r="U43" s="4">
        <f>IF(ISNUMBER(SEARCH("营",'17.04'!AC43)),(-$Y43+50*IF('17.04'!$AK43="是",'17.04'!$AY$4,'17.04'!$AY$3)),(VLOOKUP('17.04'!AC43,'17.04'!$AM$4:$AO$55,2,FALSE))*IF('17.04'!$AK43="是",'17.04'!$AY$4,'17.04'!$AY$3))</f>
        <v>136</v>
      </c>
      <c r="V43" s="4">
        <f>IF(ISNUMBER(SEARCH("营",'17.04'!AD43)),(-$Y43+50*IF('17.04'!$AK43="是",'17.04'!$AY$4,'17.04'!$AY$3)),(VLOOKUP('17.04'!AD43,'17.04'!$AM$4:$AO$55,2,FALSE))*IF('17.04'!$AK43="是",'17.04'!$AY$4,'17.04'!$AY$3))</f>
        <v>136</v>
      </c>
      <c r="W43" s="4">
        <f>IF(ISNUMBER(SEARCH("营",'17.04'!AE43)),(-$Y43+50*IF('17.04'!$AK43="是",'17.04'!$AY$4,'17.04'!$AY$3)),(VLOOKUP('17.04'!AE43,'17.04'!$AM$4:$AO$55,2,FALSE))*IF('17.04'!$AK43="是",'17.04'!$AY$4,'17.04'!$AY$3))</f>
        <v>0</v>
      </c>
      <c r="X43" s="4">
        <f>IF(ISNUMBER(SEARCH("营",'17.04'!AF43)),(-$Y43+50*IF('17.04'!$AK43="是",'17.04'!$AY$4,'17.04'!$AY$3)),(VLOOKUP('17.04'!AF43,'17.04'!$AM$4:$AO$55,2,FALSE))*IF('17.04'!$AK43="是",'17.04'!$AY$4,'17.04'!$AY$3))</f>
        <v>0</v>
      </c>
      <c r="Y43" s="89">
        <v>200</v>
      </c>
    </row>
    <row r="44" spans="1:25">
      <c r="A44" s="4">
        <f>IF(ISNUMBER(SEARCH("营",'17.04'!I44)),(-$Y44+50*IF('17.04'!$AK44="是",'17.04'!$AY$4,'17.04'!$AY$3)),(VLOOKUP('17.04'!I44,'17.04'!$AM$4:$AO$55,2,FALSE))*IF('17.04'!$AK44="是",'17.04'!$AY$4,'17.04'!$AY$3))</f>
        <v>0</v>
      </c>
      <c r="B44" s="4">
        <f>IF(ISNUMBER(SEARCH("营",'17.04'!J44)),(-$Y44+50*IF('17.04'!$AK44="是",'17.04'!$AY$4,'17.04'!$AY$3)),(VLOOKUP('17.04'!J44,'17.04'!$AM$4:$AO$55,2,FALSE))*IF('17.04'!$AK44="是",'17.04'!$AY$4,'17.04'!$AY$3))</f>
        <v>0</v>
      </c>
      <c r="C44" s="4">
        <f>IF(ISNUMBER(SEARCH("营",'17.04'!K44)),(-$Y44+50*IF('17.04'!$AK44="是",'17.04'!$AY$4,'17.04'!$AY$3)),(VLOOKUP('17.04'!K44,'17.04'!$AM$4:$AO$55,2,FALSE))*IF('17.04'!$AK44="是",'17.04'!$AY$4,'17.04'!$AY$3))</f>
        <v>0</v>
      </c>
      <c r="D44" s="4">
        <f>IF(ISNUMBER(SEARCH("营",'17.04'!L44)),(-$Y44+50*IF('17.04'!$AK44="是",'17.04'!$AY$4,'17.04'!$AY$3)),(VLOOKUP('17.04'!L44,'17.04'!$AM$4:$AO$55,2,FALSE))*IF('17.04'!$AK44="是",'17.04'!$AY$4,'17.04'!$AY$3))</f>
        <v>0</v>
      </c>
      <c r="E44" s="4">
        <f>IF(ISNUMBER(SEARCH("营",'17.04'!M44)),(-$Y44+50*IF('17.04'!$AK44="是",'17.04'!$AY$4,'17.04'!$AY$3)),(VLOOKUP('17.04'!M44,'17.04'!$AM$4:$AO$55,2,FALSE))*IF('17.04'!$AK44="是",'17.04'!$AY$4,'17.04'!$AY$3))</f>
        <v>0</v>
      </c>
      <c r="F44" s="4">
        <f>IF(ISNUMBER(SEARCH("营",'17.04'!N44)),(-$Y44+50*IF('17.04'!$AK44="是",'17.04'!$AY$4,'17.04'!$AY$3)),(VLOOKUP('17.04'!N44,'17.04'!$AM$4:$AO$55,2,FALSE))*IF('17.04'!$AK44="是",'17.04'!$AY$4,'17.04'!$AY$3))</f>
        <v>0</v>
      </c>
      <c r="G44" s="4">
        <f>IF(ISNUMBER(SEARCH("营",'17.04'!O44)),(-$Y44+50*IF('17.04'!$AK44="是",'17.04'!$AY$4,'17.04'!$AY$3)),(VLOOKUP('17.04'!O44,'17.04'!$AM$4:$AO$55,2,FALSE))*IF('17.04'!$AK44="是",'17.04'!$AY$4,'17.04'!$AY$3))</f>
        <v>0</v>
      </c>
      <c r="H44" s="4">
        <f>IF(ISNUMBER(SEARCH("营",'17.04'!P44)),(-$Y44+50*IF('17.04'!$AK44="是",'17.04'!$AY$4,'17.04'!$AY$3)),(VLOOKUP('17.04'!P44,'17.04'!$AM$4:$AO$55,2,FALSE))*IF('17.04'!$AK44="是",'17.04'!$AY$4,'17.04'!$AY$3))</f>
        <v>0</v>
      </c>
      <c r="I44" s="4">
        <f>IF(ISNUMBER(SEARCH("营",'17.04'!Q44)),(-$Y44+50*IF('17.04'!$AK44="是",'17.04'!$AY$4,'17.04'!$AY$3)),(VLOOKUP('17.04'!Q44,'17.04'!$AM$4:$AO$55,2,FALSE))*IF('17.04'!$AK44="是",'17.04'!$AY$4,'17.04'!$AY$3))</f>
        <v>136</v>
      </c>
      <c r="J44" s="4">
        <f>IF(ISNUMBER(SEARCH("营",'17.04'!R44)),(-$Y44+50*IF('17.04'!$AK44="是",'17.04'!$AY$4,'17.04'!$AY$3)),(VLOOKUP('17.04'!R44,'17.04'!$AM$4:$AO$55,2,FALSE))*IF('17.04'!$AK44="是",'17.04'!$AY$4,'17.04'!$AY$3))</f>
        <v>136</v>
      </c>
      <c r="K44" s="4">
        <f>IF(ISNUMBER(SEARCH("营",'17.04'!S44)),(-$Y44+50*IF('17.04'!$AK44="是",'17.04'!$AY$4,'17.04'!$AY$3)),(VLOOKUP('17.04'!S44,'17.04'!$AM$4:$AO$55,2,FALSE))*IF('17.04'!$AK44="是",'17.04'!$AY$4,'17.04'!$AY$3))</f>
        <v>136</v>
      </c>
      <c r="L44" s="4">
        <f>IF(ISNUMBER(SEARCH("营",'17.04'!T44)),(-$Y44+50*IF('17.04'!$AK44="是",'17.04'!$AY$4,'17.04'!$AY$3)),(VLOOKUP('17.04'!T44,'17.04'!$AM$4:$AO$55,2,FALSE))*IF('17.04'!$AK44="是",'17.04'!$AY$4,'17.04'!$AY$3))</f>
        <v>136</v>
      </c>
      <c r="M44" s="4">
        <f>IF(ISNUMBER(SEARCH("营",'17.04'!U44)),(-$Y44+50*IF('17.04'!$AK44="是",'17.04'!$AY$4,'17.04'!$AY$3)),(VLOOKUP('17.04'!U44,'17.04'!$AM$4:$AO$55,2,FALSE))*IF('17.04'!$AK44="是",'17.04'!$AY$4,'17.04'!$AY$3))</f>
        <v>136</v>
      </c>
      <c r="N44" s="4">
        <f>IF(ISNUMBER(SEARCH("营",'17.04'!V44)),(-$Y44+50*IF('17.04'!$AK44="是",'17.04'!$AY$4,'17.04'!$AY$3)),(VLOOKUP('17.04'!V44,'17.04'!$AM$4:$AO$55,2,FALSE))*IF('17.04'!$AK44="是",'17.04'!$AY$4,'17.04'!$AY$3))</f>
        <v>136</v>
      </c>
      <c r="O44" s="4">
        <f>IF(ISNUMBER(SEARCH("营",'17.04'!W44)),(-$Y44+50*IF('17.04'!$AK44="是",'17.04'!$AY$4,'17.04'!$AY$3)),(VLOOKUP('17.04'!W44,'17.04'!$AM$4:$AO$55,2,FALSE))*IF('17.04'!$AK44="是",'17.04'!$AY$4,'17.04'!$AY$3))</f>
        <v>0</v>
      </c>
      <c r="P44" s="4">
        <f>IF(ISNUMBER(SEARCH("营",'17.04'!X44)),(-$Y44+50*IF('17.04'!$AK44="是",'17.04'!$AY$4,'17.04'!$AY$3)),(VLOOKUP('17.04'!X44,'17.04'!$AM$4:$AO$55,2,FALSE))*IF('17.04'!$AK44="是",'17.04'!$AY$4,'17.04'!$AY$3))</f>
        <v>0</v>
      </c>
      <c r="Q44" s="4">
        <f>IF(ISNUMBER(SEARCH("营",'17.04'!Y44)),(-$Y44+50*IF('17.04'!$AK44="是",'17.04'!$AY$4,'17.04'!$AY$3)),(VLOOKUP('17.04'!Y44,'17.04'!$AM$4:$AO$55,2,FALSE))*IF('17.04'!$AK44="是",'17.04'!$AY$4,'17.04'!$AY$3))</f>
        <v>136</v>
      </c>
      <c r="R44" s="4">
        <f>IF(ISNUMBER(SEARCH("营",'17.04'!Z44)),(-$Y44+50*IF('17.04'!$AK44="是",'17.04'!$AY$4,'17.04'!$AY$3)),(VLOOKUP('17.04'!Z44,'17.04'!$AM$4:$AO$55,2,FALSE))*IF('17.04'!$AK44="是",'17.04'!$AY$4,'17.04'!$AY$3))</f>
        <v>136</v>
      </c>
      <c r="S44" s="4">
        <f>IF(ISNUMBER(SEARCH("营",'17.04'!AA44)),(-$Y44+50*IF('17.04'!$AK44="是",'17.04'!$AY$4,'17.04'!$AY$3)),(VLOOKUP('17.04'!AA44,'17.04'!$AM$4:$AO$55,2,FALSE))*IF('17.04'!$AK44="是",'17.04'!$AY$4,'17.04'!$AY$3))</f>
        <v>136</v>
      </c>
      <c r="T44" s="4">
        <f>IF(ISNUMBER(SEARCH("营",'17.04'!AB44)),(-$Y44+50*IF('17.04'!$AK44="是",'17.04'!$AY$4,'17.04'!$AY$3)),(VLOOKUP('17.04'!AB44,'17.04'!$AM$4:$AO$55,2,FALSE))*IF('17.04'!$AK44="是",'17.04'!$AY$4,'17.04'!$AY$3))</f>
        <v>0</v>
      </c>
      <c r="U44" s="4">
        <f>IF(ISNUMBER(SEARCH("营",'17.04'!AC44)),(-$Y44+50*IF('17.04'!$AK44="是",'17.04'!$AY$4,'17.04'!$AY$3)),(VLOOKUP('17.04'!AC44,'17.04'!$AM$4:$AO$55,2,FALSE))*IF('17.04'!$AK44="是",'17.04'!$AY$4,'17.04'!$AY$3))</f>
        <v>0</v>
      </c>
      <c r="V44" s="4">
        <f>IF(ISNUMBER(SEARCH("营",'17.04'!AD44)),(-$Y44+50*IF('17.04'!$AK44="是",'17.04'!$AY$4,'17.04'!$AY$3)),(VLOOKUP('17.04'!AD44,'17.04'!$AM$4:$AO$55,2,FALSE))*IF('17.04'!$AK44="是",'17.04'!$AY$4,'17.04'!$AY$3))</f>
        <v>0</v>
      </c>
      <c r="W44" s="4">
        <f>IF(ISNUMBER(SEARCH("营",'17.04'!AE44)),(-$Y44+50*IF('17.04'!$AK44="是",'17.04'!$AY$4,'17.04'!$AY$3)),(VLOOKUP('17.04'!AE44,'17.04'!$AM$4:$AO$55,2,FALSE))*IF('17.04'!$AK44="是",'17.04'!$AY$4,'17.04'!$AY$3))</f>
        <v>0</v>
      </c>
      <c r="X44" s="4">
        <f>IF(ISNUMBER(SEARCH("营",'17.04'!AF44)),(-$Y44+50*IF('17.04'!$AK44="是",'17.04'!$AY$4,'17.04'!$AY$3)),(VLOOKUP('17.04'!AF44,'17.04'!$AM$4:$AO$55,2,FALSE))*IF('17.04'!$AK44="是",'17.04'!$AY$4,'17.04'!$AY$3))</f>
        <v>0</v>
      </c>
      <c r="Y44" s="89">
        <v>200</v>
      </c>
    </row>
    <row r="45" spans="1:25">
      <c r="A45" s="4">
        <f>IF(ISNUMBER(SEARCH("营",'17.04'!I45)),(-$Y45+50*IF('17.04'!$AK45="是",'17.04'!$AY$4,'17.04'!$AY$3)),(VLOOKUP('17.04'!I45,'17.04'!$AM$4:$AO$55,2,FALSE))*IF('17.04'!$AK45="是",'17.04'!$AY$4,'17.04'!$AY$3))</f>
        <v>0</v>
      </c>
      <c r="B45" s="4">
        <f>IF(ISNUMBER(SEARCH("营",'17.04'!J45)),(-$Y45+50*IF('17.04'!$AK45="是",'17.04'!$AY$4,'17.04'!$AY$3)),(VLOOKUP('17.04'!J45,'17.04'!$AM$4:$AO$55,2,FALSE))*IF('17.04'!$AK45="是",'17.04'!$AY$4,'17.04'!$AY$3))</f>
        <v>0</v>
      </c>
      <c r="C45" s="4">
        <f>IF(ISNUMBER(SEARCH("营",'17.04'!K45)),(-$Y45+50*IF('17.04'!$AK45="是",'17.04'!$AY$4,'17.04'!$AY$3)),(VLOOKUP('17.04'!K45,'17.04'!$AM$4:$AO$55,2,FALSE))*IF('17.04'!$AK45="是",'17.04'!$AY$4,'17.04'!$AY$3))</f>
        <v>0</v>
      </c>
      <c r="D45" s="4">
        <f>IF(ISNUMBER(SEARCH("营",'17.04'!L45)),(-$Y45+50*IF('17.04'!$AK45="是",'17.04'!$AY$4,'17.04'!$AY$3)),(VLOOKUP('17.04'!L45,'17.04'!$AM$4:$AO$55,2,FALSE))*IF('17.04'!$AK45="是",'17.04'!$AY$4,'17.04'!$AY$3))</f>
        <v>0</v>
      </c>
      <c r="E45" s="4">
        <f>IF(ISNUMBER(SEARCH("营",'17.04'!M45)),(-$Y45+50*IF('17.04'!$AK45="是",'17.04'!$AY$4,'17.04'!$AY$3)),(VLOOKUP('17.04'!M45,'17.04'!$AM$4:$AO$55,2,FALSE))*IF('17.04'!$AK45="是",'17.04'!$AY$4,'17.04'!$AY$3))</f>
        <v>0</v>
      </c>
      <c r="F45" s="4">
        <f>IF(ISNUMBER(SEARCH("营",'17.04'!N45)),(-$Y45+50*IF('17.04'!$AK45="是",'17.04'!$AY$4,'17.04'!$AY$3)),(VLOOKUP('17.04'!N45,'17.04'!$AM$4:$AO$55,2,FALSE))*IF('17.04'!$AK45="是",'17.04'!$AY$4,'17.04'!$AY$3))</f>
        <v>0</v>
      </c>
      <c r="G45" s="4">
        <f>IF(ISNUMBER(SEARCH("营",'17.04'!O45)),(-$Y45+50*IF('17.04'!$AK45="是",'17.04'!$AY$4,'17.04'!$AY$3)),(VLOOKUP('17.04'!O45,'17.04'!$AM$4:$AO$55,2,FALSE))*IF('17.04'!$AK45="是",'17.04'!$AY$4,'17.04'!$AY$3))</f>
        <v>0</v>
      </c>
      <c r="H45" s="4">
        <f>IF(ISNUMBER(SEARCH("营",'17.04'!P45)),(-$Y45+50*IF('17.04'!$AK45="是",'17.04'!$AY$4,'17.04'!$AY$3)),(VLOOKUP('17.04'!P45,'17.04'!$AM$4:$AO$55,2,FALSE))*IF('17.04'!$AK45="是",'17.04'!$AY$4,'17.04'!$AY$3))</f>
        <v>0</v>
      </c>
      <c r="I45" s="4">
        <f>IF(ISNUMBER(SEARCH("营",'17.04'!Q45)),(-$Y45+50*IF('17.04'!$AK45="是",'17.04'!$AY$4,'17.04'!$AY$3)),(VLOOKUP('17.04'!Q45,'17.04'!$AM$4:$AO$55,2,FALSE))*IF('17.04'!$AK45="是",'17.04'!$AY$4,'17.04'!$AY$3))</f>
        <v>136</v>
      </c>
      <c r="J45" s="4">
        <f>IF(ISNUMBER(SEARCH("营",'17.04'!R45)),(-$Y45+50*IF('17.04'!$AK45="是",'17.04'!$AY$4,'17.04'!$AY$3)),(VLOOKUP('17.04'!R45,'17.04'!$AM$4:$AO$55,2,FALSE))*IF('17.04'!$AK45="是",'17.04'!$AY$4,'17.04'!$AY$3))</f>
        <v>136</v>
      </c>
      <c r="K45" s="4">
        <f>IF(ISNUMBER(SEARCH("营",'17.04'!S45)),(-$Y45+50*IF('17.04'!$AK45="是",'17.04'!$AY$4,'17.04'!$AY$3)),(VLOOKUP('17.04'!S45,'17.04'!$AM$4:$AO$55,2,FALSE))*IF('17.04'!$AK45="是",'17.04'!$AY$4,'17.04'!$AY$3))</f>
        <v>136</v>
      </c>
      <c r="L45" s="4">
        <f>IF(ISNUMBER(SEARCH("营",'17.04'!T45)),(-$Y45+50*IF('17.04'!$AK45="是",'17.04'!$AY$4,'17.04'!$AY$3)),(VLOOKUP('17.04'!T45,'17.04'!$AM$4:$AO$55,2,FALSE))*IF('17.04'!$AK45="是",'17.04'!$AY$4,'17.04'!$AY$3))</f>
        <v>136</v>
      </c>
      <c r="M45" s="4">
        <f>IF(ISNUMBER(SEARCH("营",'17.04'!U45)),(-$Y45+50*IF('17.04'!$AK45="是",'17.04'!$AY$4,'17.04'!$AY$3)),(VLOOKUP('17.04'!U45,'17.04'!$AM$4:$AO$55,2,FALSE))*IF('17.04'!$AK45="是",'17.04'!$AY$4,'17.04'!$AY$3))</f>
        <v>136</v>
      </c>
      <c r="N45" s="4">
        <f>IF(ISNUMBER(SEARCH("营",'17.04'!V45)),(-$Y45+50*IF('17.04'!$AK45="是",'17.04'!$AY$4,'17.04'!$AY$3)),(VLOOKUP('17.04'!V45,'17.04'!$AM$4:$AO$55,2,FALSE))*IF('17.04'!$AK45="是",'17.04'!$AY$4,'17.04'!$AY$3))</f>
        <v>136</v>
      </c>
      <c r="O45" s="4">
        <f>IF(ISNUMBER(SEARCH("营",'17.04'!W45)),(-$Y45+50*IF('17.04'!$AK45="是",'17.04'!$AY$4,'17.04'!$AY$3)),(VLOOKUP('17.04'!W45,'17.04'!$AM$4:$AO$55,2,FALSE))*IF('17.04'!$AK45="是",'17.04'!$AY$4,'17.04'!$AY$3))</f>
        <v>0</v>
      </c>
      <c r="P45" s="4">
        <f>IF(ISNUMBER(SEARCH("营",'17.04'!X45)),(-$Y45+50*IF('17.04'!$AK45="是",'17.04'!$AY$4,'17.04'!$AY$3)),(VLOOKUP('17.04'!X45,'17.04'!$AM$4:$AO$55,2,FALSE))*IF('17.04'!$AK45="是",'17.04'!$AY$4,'17.04'!$AY$3))</f>
        <v>0</v>
      </c>
      <c r="Q45" s="4">
        <f>IF(ISNUMBER(SEARCH("营",'17.04'!Y45)),(-$Y45+50*IF('17.04'!$AK45="是",'17.04'!$AY$4,'17.04'!$AY$3)),(VLOOKUP('17.04'!Y45,'17.04'!$AM$4:$AO$55,2,FALSE))*IF('17.04'!$AK45="是",'17.04'!$AY$4,'17.04'!$AY$3))</f>
        <v>0</v>
      </c>
      <c r="R45" s="4">
        <f>IF(ISNUMBER(SEARCH("营",'17.04'!Z45)),(-$Y45+50*IF('17.04'!$AK45="是",'17.04'!$AY$4,'17.04'!$AY$3)),(VLOOKUP('17.04'!Z45,'17.04'!$AM$4:$AO$55,2,FALSE))*IF('17.04'!$AK45="是",'17.04'!$AY$4,'17.04'!$AY$3))</f>
        <v>0</v>
      </c>
      <c r="S45" s="4">
        <f>IF(ISNUMBER(SEARCH("营",'17.04'!AA45)),(-$Y45+50*IF('17.04'!$AK45="是",'17.04'!$AY$4,'17.04'!$AY$3)),(VLOOKUP('17.04'!AA45,'17.04'!$AM$4:$AO$55,2,FALSE))*IF('17.04'!$AK45="是",'17.04'!$AY$4,'17.04'!$AY$3))</f>
        <v>0</v>
      </c>
      <c r="T45" s="4">
        <f>IF(ISNUMBER(SEARCH("营",'17.04'!AB45)),(-$Y45+50*IF('17.04'!$AK45="是",'17.04'!$AY$4,'17.04'!$AY$3)),(VLOOKUP('17.04'!AB45,'17.04'!$AM$4:$AO$55,2,FALSE))*IF('17.04'!$AK45="是",'17.04'!$AY$4,'17.04'!$AY$3))</f>
        <v>0</v>
      </c>
      <c r="U45" s="4">
        <f>IF(ISNUMBER(SEARCH("营",'17.04'!AC45)),(-$Y45+50*IF('17.04'!$AK45="是",'17.04'!$AY$4,'17.04'!$AY$3)),(VLOOKUP('17.04'!AC45,'17.04'!$AM$4:$AO$55,2,FALSE))*IF('17.04'!$AK45="是",'17.04'!$AY$4,'17.04'!$AY$3))</f>
        <v>0</v>
      </c>
      <c r="V45" s="4">
        <f>IF(ISNUMBER(SEARCH("营",'17.04'!AD45)),(-$Y45+50*IF('17.04'!$AK45="是",'17.04'!$AY$4,'17.04'!$AY$3)),(VLOOKUP('17.04'!AD45,'17.04'!$AM$4:$AO$55,2,FALSE))*IF('17.04'!$AK45="是",'17.04'!$AY$4,'17.04'!$AY$3))</f>
        <v>0</v>
      </c>
      <c r="W45" s="4">
        <f>IF(ISNUMBER(SEARCH("营",'17.04'!AE45)),(-$Y45+50*IF('17.04'!$AK45="是",'17.04'!$AY$4,'17.04'!$AY$3)),(VLOOKUP('17.04'!AE45,'17.04'!$AM$4:$AO$55,2,FALSE))*IF('17.04'!$AK45="是",'17.04'!$AY$4,'17.04'!$AY$3))</f>
        <v>0</v>
      </c>
      <c r="X45" s="4">
        <f>IF(ISNUMBER(SEARCH("营",'17.04'!AF45)),(-$Y45+50*IF('17.04'!$AK45="是",'17.04'!$AY$4,'17.04'!$AY$3)),(VLOOKUP('17.04'!AF45,'17.04'!$AM$4:$AO$55,2,FALSE))*IF('17.04'!$AK45="是",'17.04'!$AY$4,'17.04'!$AY$3))</f>
        <v>0</v>
      </c>
      <c r="Y45" s="89">
        <v>200</v>
      </c>
    </row>
    <row r="46" spans="1:25">
      <c r="A46" s="4">
        <f>IF(ISNUMBER(SEARCH("营",'17.04'!I46)),(-$Y46+50*IF('17.04'!$AK46="是",'17.04'!$AY$4,'17.04'!$AY$3)),(VLOOKUP('17.04'!I46,'17.04'!$AM$4:$AO$55,2,FALSE))*IF('17.04'!$AK46="是",'17.04'!$AY$4,'17.04'!$AY$3))</f>
        <v>0</v>
      </c>
      <c r="B46" s="4">
        <f>IF(ISNUMBER(SEARCH("营",'17.04'!J46)),(-$Y46+50*IF('17.04'!$AK46="是",'17.04'!$AY$4,'17.04'!$AY$3)),(VLOOKUP('17.04'!J46,'17.04'!$AM$4:$AO$55,2,FALSE))*IF('17.04'!$AK46="是",'17.04'!$AY$4,'17.04'!$AY$3))</f>
        <v>0</v>
      </c>
      <c r="C46" s="4">
        <f>IF(ISNUMBER(SEARCH("营",'17.04'!K46)),(-$Y46+50*IF('17.04'!$AK46="是",'17.04'!$AY$4,'17.04'!$AY$3)),(VLOOKUP('17.04'!K46,'17.04'!$AM$4:$AO$55,2,FALSE))*IF('17.04'!$AK46="是",'17.04'!$AY$4,'17.04'!$AY$3))</f>
        <v>0</v>
      </c>
      <c r="D46" s="4">
        <f>IF(ISNUMBER(SEARCH("营",'17.04'!L46)),(-$Y46+50*IF('17.04'!$AK46="是",'17.04'!$AY$4,'17.04'!$AY$3)),(VLOOKUP('17.04'!L46,'17.04'!$AM$4:$AO$55,2,FALSE))*IF('17.04'!$AK46="是",'17.04'!$AY$4,'17.04'!$AY$3))</f>
        <v>0</v>
      </c>
      <c r="E46" s="4">
        <f>IF(ISNUMBER(SEARCH("营",'17.04'!M46)),(-$Y46+50*IF('17.04'!$AK46="是",'17.04'!$AY$4,'17.04'!$AY$3)),(VLOOKUP('17.04'!M46,'17.04'!$AM$4:$AO$55,2,FALSE))*IF('17.04'!$AK46="是",'17.04'!$AY$4,'17.04'!$AY$3))</f>
        <v>0</v>
      </c>
      <c r="F46" s="4">
        <f>IF(ISNUMBER(SEARCH("营",'17.04'!N46)),(-$Y46+50*IF('17.04'!$AK46="是",'17.04'!$AY$4,'17.04'!$AY$3)),(VLOOKUP('17.04'!N46,'17.04'!$AM$4:$AO$55,2,FALSE))*IF('17.04'!$AK46="是",'17.04'!$AY$4,'17.04'!$AY$3))</f>
        <v>0</v>
      </c>
      <c r="G46" s="4">
        <f>IF(ISNUMBER(SEARCH("营",'17.04'!O46)),(-$Y46+50*IF('17.04'!$AK46="是",'17.04'!$AY$4,'17.04'!$AY$3)),(VLOOKUP('17.04'!O46,'17.04'!$AM$4:$AO$55,2,FALSE))*IF('17.04'!$AK46="是",'17.04'!$AY$4,'17.04'!$AY$3))</f>
        <v>0</v>
      </c>
      <c r="H46" s="4">
        <f>IF(ISNUMBER(SEARCH("营",'17.04'!P46)),(-$Y46+50*IF('17.04'!$AK46="是",'17.04'!$AY$4,'17.04'!$AY$3)),(VLOOKUP('17.04'!P46,'17.04'!$AM$4:$AO$55,2,FALSE))*IF('17.04'!$AK46="是",'17.04'!$AY$4,'17.04'!$AY$3))</f>
        <v>0</v>
      </c>
      <c r="I46" s="4">
        <f>IF(ISNUMBER(SEARCH("营",'17.04'!Q46)),(-$Y46+50*IF('17.04'!$AK46="是",'17.04'!$AY$4,'17.04'!$AY$3)),(VLOOKUP('17.04'!Q46,'17.04'!$AM$4:$AO$55,2,FALSE))*IF('17.04'!$AK46="是",'17.04'!$AY$4,'17.04'!$AY$3))</f>
        <v>40</v>
      </c>
      <c r="J46" s="4">
        <f>IF(ISNUMBER(SEARCH("营",'17.04'!R46)),(-$Y46+50*IF('17.04'!$AK46="是",'17.04'!$AY$4,'17.04'!$AY$3)),(VLOOKUP('17.04'!R46,'17.04'!$AM$4:$AO$55,2,FALSE))*IF('17.04'!$AK46="是",'17.04'!$AY$4,'17.04'!$AY$3))</f>
        <v>136</v>
      </c>
      <c r="K46" s="4">
        <f>IF(ISNUMBER(SEARCH("营",'17.04'!S46)),(-$Y46+50*IF('17.04'!$AK46="是",'17.04'!$AY$4,'17.04'!$AY$3)),(VLOOKUP('17.04'!S46,'17.04'!$AM$4:$AO$55,2,FALSE))*IF('17.04'!$AK46="是",'17.04'!$AY$4,'17.04'!$AY$3))</f>
        <v>144</v>
      </c>
      <c r="L46" s="4">
        <f>IF(ISNUMBER(SEARCH("营",'17.04'!T46)),(-$Y46+50*IF('17.04'!$AK46="是",'17.04'!$AY$4,'17.04'!$AY$3)),(VLOOKUP('17.04'!T46,'17.04'!$AM$4:$AO$55,2,FALSE))*IF('17.04'!$AK46="是",'17.04'!$AY$4,'17.04'!$AY$3))</f>
        <v>144</v>
      </c>
      <c r="M46" s="4">
        <f>IF(ISNUMBER(SEARCH("营",'17.04'!U46)),(-$Y46+50*IF('17.04'!$AK46="是",'17.04'!$AY$4,'17.04'!$AY$3)),(VLOOKUP('17.04'!U46,'17.04'!$AM$4:$AO$55,2,FALSE))*IF('17.04'!$AK46="是",'17.04'!$AY$4,'17.04'!$AY$3))</f>
        <v>0</v>
      </c>
      <c r="N46" s="4">
        <f>IF(ISNUMBER(SEARCH("营",'17.04'!V46)),(-$Y46+50*IF('17.04'!$AK46="是",'17.04'!$AY$4,'17.04'!$AY$3)),(VLOOKUP('17.04'!V46,'17.04'!$AM$4:$AO$55,2,FALSE))*IF('17.04'!$AK46="是",'17.04'!$AY$4,'17.04'!$AY$3))</f>
        <v>0</v>
      </c>
      <c r="O46" s="4">
        <f>IF(ISNUMBER(SEARCH("营",'17.04'!W46)),(-$Y46+50*IF('17.04'!$AK46="是",'17.04'!$AY$4,'17.04'!$AY$3)),(VLOOKUP('17.04'!W46,'17.04'!$AM$4:$AO$55,2,FALSE))*IF('17.04'!$AK46="是",'17.04'!$AY$4,'17.04'!$AY$3))</f>
        <v>0</v>
      </c>
      <c r="P46" s="4">
        <f>IF(ISNUMBER(SEARCH("营",'17.04'!X46)),(-$Y46+50*IF('17.04'!$AK46="是",'17.04'!$AY$4,'17.04'!$AY$3)),(VLOOKUP('17.04'!X46,'17.04'!$AM$4:$AO$55,2,FALSE))*IF('17.04'!$AK46="是",'17.04'!$AY$4,'17.04'!$AY$3))</f>
        <v>0</v>
      </c>
      <c r="Q46" s="4">
        <f>IF(ISNUMBER(SEARCH("营",'17.04'!Y46)),(-$Y46+50*IF('17.04'!$AK46="是",'17.04'!$AY$4,'17.04'!$AY$3)),(VLOOKUP('17.04'!Y46,'17.04'!$AM$4:$AO$55,2,FALSE))*IF('17.04'!$AK46="是",'17.04'!$AY$4,'17.04'!$AY$3))</f>
        <v>0</v>
      </c>
      <c r="R46" s="4">
        <f>IF(ISNUMBER(SEARCH("营",'17.04'!Z46)),(-$Y46+50*IF('17.04'!$AK46="是",'17.04'!$AY$4,'17.04'!$AY$3)),(VLOOKUP('17.04'!Z46,'17.04'!$AM$4:$AO$55,2,FALSE))*IF('17.04'!$AK46="是",'17.04'!$AY$4,'17.04'!$AY$3))</f>
        <v>0</v>
      </c>
      <c r="S46" s="4">
        <f>IF(ISNUMBER(SEARCH("营",'17.04'!AA46)),(-$Y46+50*IF('17.04'!$AK46="是",'17.04'!$AY$4,'17.04'!$AY$3)),(VLOOKUP('17.04'!AA46,'17.04'!$AM$4:$AO$55,2,FALSE))*IF('17.04'!$AK46="是",'17.04'!$AY$4,'17.04'!$AY$3))</f>
        <v>0</v>
      </c>
      <c r="T46" s="4">
        <f>IF(ISNUMBER(SEARCH("营",'17.04'!AB46)),(-$Y46+50*IF('17.04'!$AK46="是",'17.04'!$AY$4,'17.04'!$AY$3)),(VLOOKUP('17.04'!AB46,'17.04'!$AM$4:$AO$55,2,FALSE))*IF('17.04'!$AK46="是",'17.04'!$AY$4,'17.04'!$AY$3))</f>
        <v>0</v>
      </c>
      <c r="U46" s="4">
        <f>IF(ISNUMBER(SEARCH("营",'17.04'!AC46)),(-$Y46+50*IF('17.04'!$AK46="是",'17.04'!$AY$4,'17.04'!$AY$3)),(VLOOKUP('17.04'!AC46,'17.04'!$AM$4:$AO$55,2,FALSE))*IF('17.04'!$AK46="是",'17.04'!$AY$4,'17.04'!$AY$3))</f>
        <v>0</v>
      </c>
      <c r="V46" s="4">
        <f>IF(ISNUMBER(SEARCH("营",'17.04'!AD46)),(-$Y46+50*IF('17.04'!$AK46="是",'17.04'!$AY$4,'17.04'!$AY$3)),(VLOOKUP('17.04'!AD46,'17.04'!$AM$4:$AO$55,2,FALSE))*IF('17.04'!$AK46="是",'17.04'!$AY$4,'17.04'!$AY$3))</f>
        <v>0</v>
      </c>
      <c r="W46" s="4">
        <f>IF(ISNUMBER(SEARCH("营",'17.04'!AE46)),(-$Y46+50*IF('17.04'!$AK46="是",'17.04'!$AY$4,'17.04'!$AY$3)),(VLOOKUP('17.04'!AE46,'17.04'!$AM$4:$AO$55,2,FALSE))*IF('17.04'!$AK46="是",'17.04'!$AY$4,'17.04'!$AY$3))</f>
        <v>0</v>
      </c>
      <c r="X46" s="4">
        <f>IF(ISNUMBER(SEARCH("营",'17.04'!AF46)),(-$Y46+50*IF('17.04'!$AK46="是",'17.04'!$AY$4,'17.04'!$AY$3)),(VLOOKUP('17.04'!AF46,'17.04'!$AM$4:$AO$55,2,FALSE))*IF('17.04'!$AK46="是",'17.04'!$AY$4,'17.04'!$AY$3))</f>
        <v>0</v>
      </c>
      <c r="Y46" s="89">
        <v>200</v>
      </c>
    </row>
    <row r="47" spans="1:25">
      <c r="A47" s="4">
        <f>IF(ISNUMBER(SEARCH("营",'17.04'!I47)),(-$Y47+50*IF('17.04'!$AK47="是",'17.04'!$AY$4,'17.04'!$AY$3)),(VLOOKUP('17.04'!I47,'17.04'!$AM$4:$AO$55,2,FALSE))*IF('17.04'!$AK47="是",'17.04'!$AY$4,'17.04'!$AY$3))</f>
        <v>0</v>
      </c>
      <c r="B47" s="4">
        <f>IF(ISNUMBER(SEARCH("营",'17.04'!J47)),(-$Y47+50*IF('17.04'!$AK47="是",'17.04'!$AY$4,'17.04'!$AY$3)),(VLOOKUP('17.04'!J47,'17.04'!$AM$4:$AO$55,2,FALSE))*IF('17.04'!$AK47="是",'17.04'!$AY$4,'17.04'!$AY$3))</f>
        <v>0</v>
      </c>
      <c r="C47" s="4">
        <f>IF(ISNUMBER(SEARCH("营",'17.04'!K47)),(-$Y47+50*IF('17.04'!$AK47="是",'17.04'!$AY$4,'17.04'!$AY$3)),(VLOOKUP('17.04'!K47,'17.04'!$AM$4:$AO$55,2,FALSE))*IF('17.04'!$AK47="是",'17.04'!$AY$4,'17.04'!$AY$3))</f>
        <v>0</v>
      </c>
      <c r="D47" s="4">
        <f>IF(ISNUMBER(SEARCH("营",'17.04'!L47)),(-$Y47+50*IF('17.04'!$AK47="是",'17.04'!$AY$4,'17.04'!$AY$3)),(VLOOKUP('17.04'!L47,'17.04'!$AM$4:$AO$55,2,FALSE))*IF('17.04'!$AK47="是",'17.04'!$AY$4,'17.04'!$AY$3))</f>
        <v>0</v>
      </c>
      <c r="E47" s="4">
        <f>IF(ISNUMBER(SEARCH("营",'17.04'!M47)),(-$Y47+50*IF('17.04'!$AK47="是",'17.04'!$AY$4,'17.04'!$AY$3)),(VLOOKUP('17.04'!M47,'17.04'!$AM$4:$AO$55,2,FALSE))*IF('17.04'!$AK47="是",'17.04'!$AY$4,'17.04'!$AY$3))</f>
        <v>0</v>
      </c>
      <c r="F47" s="4">
        <f>IF(ISNUMBER(SEARCH("营",'17.04'!N47)),(-$Y47+50*IF('17.04'!$AK47="是",'17.04'!$AY$4,'17.04'!$AY$3)),(VLOOKUP('17.04'!N47,'17.04'!$AM$4:$AO$55,2,FALSE))*IF('17.04'!$AK47="是",'17.04'!$AY$4,'17.04'!$AY$3))</f>
        <v>0</v>
      </c>
      <c r="G47" s="4">
        <f>IF(ISNUMBER(SEARCH("营",'17.04'!O47)),(-$Y47+50*IF('17.04'!$AK47="是",'17.04'!$AY$4,'17.04'!$AY$3)),(VLOOKUP('17.04'!O47,'17.04'!$AM$4:$AO$55,2,FALSE))*IF('17.04'!$AK47="是",'17.04'!$AY$4,'17.04'!$AY$3))</f>
        <v>0</v>
      </c>
      <c r="H47" s="4">
        <f>IF(ISNUMBER(SEARCH("营",'17.04'!P47)),(-$Y47+50*IF('17.04'!$AK47="是",'17.04'!$AY$4,'17.04'!$AY$3)),(VLOOKUP('17.04'!P47,'17.04'!$AM$4:$AO$55,2,FALSE))*IF('17.04'!$AK47="是",'17.04'!$AY$4,'17.04'!$AY$3))</f>
        <v>0</v>
      </c>
      <c r="I47" s="4">
        <f>IF(ISNUMBER(SEARCH("营",'17.04'!Q47)),(-$Y47+50*IF('17.04'!$AK47="是",'17.04'!$AY$4,'17.04'!$AY$3)),(VLOOKUP('17.04'!Q47,'17.04'!$AM$4:$AO$55,2,FALSE))*IF('17.04'!$AK47="是",'17.04'!$AY$4,'17.04'!$AY$3))</f>
        <v>144</v>
      </c>
      <c r="J47" s="4">
        <f>IF(ISNUMBER(SEARCH("营",'17.04'!R47)),(-$Y47+50*IF('17.04'!$AK47="是",'17.04'!$AY$4,'17.04'!$AY$3)),(VLOOKUP('17.04'!R47,'17.04'!$AM$4:$AO$55,2,FALSE))*IF('17.04'!$AK47="是",'17.04'!$AY$4,'17.04'!$AY$3))</f>
        <v>144</v>
      </c>
      <c r="K47" s="4">
        <f>IF(ISNUMBER(SEARCH("营",'17.04'!S47)),(-$Y47+50*IF('17.04'!$AK47="是",'17.04'!$AY$4,'17.04'!$AY$3)),(VLOOKUP('17.04'!S47,'17.04'!$AM$4:$AO$55,2,FALSE))*IF('17.04'!$AK47="是",'17.04'!$AY$4,'17.04'!$AY$3))</f>
        <v>144</v>
      </c>
      <c r="L47" s="4">
        <f>IF(ISNUMBER(SEARCH("营",'17.04'!T47)),(-$Y47+50*IF('17.04'!$AK47="是",'17.04'!$AY$4,'17.04'!$AY$3)),(VLOOKUP('17.04'!T47,'17.04'!$AM$4:$AO$55,2,FALSE))*IF('17.04'!$AK47="是",'17.04'!$AY$4,'17.04'!$AY$3))</f>
        <v>144</v>
      </c>
      <c r="M47" s="4">
        <f>IF(ISNUMBER(SEARCH("营",'17.04'!U47)),(-$Y47+50*IF('17.04'!$AK47="是",'17.04'!$AY$4,'17.04'!$AY$3)),(VLOOKUP('17.04'!U47,'17.04'!$AM$4:$AO$55,2,FALSE))*IF('17.04'!$AK47="是",'17.04'!$AY$4,'17.04'!$AY$3))</f>
        <v>144</v>
      </c>
      <c r="N47" s="4">
        <f>IF(ISNUMBER(SEARCH("营",'17.04'!V47)),(-$Y47+50*IF('17.04'!$AK47="是",'17.04'!$AY$4,'17.04'!$AY$3)),(VLOOKUP('17.04'!V47,'17.04'!$AM$4:$AO$55,2,FALSE))*IF('17.04'!$AK47="是",'17.04'!$AY$4,'17.04'!$AY$3))</f>
        <v>144</v>
      </c>
      <c r="O47" s="4">
        <f>IF(ISNUMBER(SEARCH("营",'17.04'!W47)),(-$Y47+50*IF('17.04'!$AK47="是",'17.04'!$AY$4,'17.04'!$AY$3)),(VLOOKUP('17.04'!W47,'17.04'!$AM$4:$AO$55,2,FALSE))*IF('17.04'!$AK47="是",'17.04'!$AY$4,'17.04'!$AY$3))</f>
        <v>0</v>
      </c>
      <c r="P47" s="4">
        <f>IF(ISNUMBER(SEARCH("营",'17.04'!X47)),(-$Y47+50*IF('17.04'!$AK47="是",'17.04'!$AY$4,'17.04'!$AY$3)),(VLOOKUP('17.04'!X47,'17.04'!$AM$4:$AO$55,2,FALSE))*IF('17.04'!$AK47="是",'17.04'!$AY$4,'17.04'!$AY$3))</f>
        <v>0</v>
      </c>
      <c r="Q47" s="4">
        <f>IF(ISNUMBER(SEARCH("营",'17.04'!Y47)),(-$Y47+50*IF('17.04'!$AK47="是",'17.04'!$AY$4,'17.04'!$AY$3)),(VLOOKUP('17.04'!Y47,'17.04'!$AM$4:$AO$55,2,FALSE))*IF('17.04'!$AK47="是",'17.04'!$AY$4,'17.04'!$AY$3))</f>
        <v>0</v>
      </c>
      <c r="R47" s="4">
        <f>IF(ISNUMBER(SEARCH("营",'17.04'!Z47)),(-$Y47+50*IF('17.04'!$AK47="是",'17.04'!$AY$4,'17.04'!$AY$3)),(VLOOKUP('17.04'!Z47,'17.04'!$AM$4:$AO$55,2,FALSE))*IF('17.04'!$AK47="是",'17.04'!$AY$4,'17.04'!$AY$3))</f>
        <v>0</v>
      </c>
      <c r="S47" s="4">
        <f>IF(ISNUMBER(SEARCH("营",'17.04'!AA47)),(-$Y47+50*IF('17.04'!$AK47="是",'17.04'!$AY$4,'17.04'!$AY$3)),(VLOOKUP('17.04'!AA47,'17.04'!$AM$4:$AO$55,2,FALSE))*IF('17.04'!$AK47="是",'17.04'!$AY$4,'17.04'!$AY$3))</f>
        <v>0</v>
      </c>
      <c r="T47" s="4">
        <f>IF(ISNUMBER(SEARCH("营",'17.04'!AB47)),(-$Y47+50*IF('17.04'!$AK47="是",'17.04'!$AY$4,'17.04'!$AY$3)),(VLOOKUP('17.04'!AB47,'17.04'!$AM$4:$AO$55,2,FALSE))*IF('17.04'!$AK47="是",'17.04'!$AY$4,'17.04'!$AY$3))</f>
        <v>0</v>
      </c>
      <c r="U47" s="4">
        <f>IF(ISNUMBER(SEARCH("营",'17.04'!AC47)),(-$Y47+50*IF('17.04'!$AK47="是",'17.04'!$AY$4,'17.04'!$AY$3)),(VLOOKUP('17.04'!AC47,'17.04'!$AM$4:$AO$55,2,FALSE))*IF('17.04'!$AK47="是",'17.04'!$AY$4,'17.04'!$AY$3))</f>
        <v>0</v>
      </c>
      <c r="V47" s="4">
        <f>IF(ISNUMBER(SEARCH("营",'17.04'!AD47)),(-$Y47+50*IF('17.04'!$AK47="是",'17.04'!$AY$4,'17.04'!$AY$3)),(VLOOKUP('17.04'!AD47,'17.04'!$AM$4:$AO$55,2,FALSE))*IF('17.04'!$AK47="是",'17.04'!$AY$4,'17.04'!$AY$3))</f>
        <v>0</v>
      </c>
      <c r="W47" s="4">
        <f>IF(ISNUMBER(SEARCH("营",'17.04'!AE47)),(-$Y47+50*IF('17.04'!$AK47="是",'17.04'!$AY$4,'17.04'!$AY$3)),(VLOOKUP('17.04'!AE47,'17.04'!$AM$4:$AO$55,2,FALSE))*IF('17.04'!$AK47="是",'17.04'!$AY$4,'17.04'!$AY$3))</f>
        <v>0</v>
      </c>
      <c r="X47" s="4">
        <f>IF(ISNUMBER(SEARCH("营",'17.04'!AF47)),(-$Y47+50*IF('17.04'!$AK47="是",'17.04'!$AY$4,'17.04'!$AY$3)),(VLOOKUP('17.04'!AF47,'17.04'!$AM$4:$AO$55,2,FALSE))*IF('17.04'!$AK47="是",'17.04'!$AY$4,'17.04'!$AY$3))</f>
        <v>0</v>
      </c>
      <c r="Y47" s="89">
        <v>200</v>
      </c>
    </row>
    <row r="48" spans="1:25">
      <c r="A48" s="4">
        <f>IF(ISNUMBER(SEARCH("营",'17.04'!I48)),(-$Y48+50*IF('17.04'!$AK48="是",'17.04'!$AY$4,'17.04'!$AY$3)),(VLOOKUP('17.04'!I48,'17.04'!$AM$4:$AO$55,2,FALSE))*IF('17.04'!$AK48="是",'17.04'!$AY$4,'17.04'!$AY$3))</f>
        <v>0</v>
      </c>
      <c r="B48" s="4">
        <f>IF(ISNUMBER(SEARCH("营",'17.04'!J48)),(-$Y48+50*IF('17.04'!$AK48="是",'17.04'!$AY$4,'17.04'!$AY$3)),(VLOOKUP('17.04'!J48,'17.04'!$AM$4:$AO$55,2,FALSE))*IF('17.04'!$AK48="是",'17.04'!$AY$4,'17.04'!$AY$3))</f>
        <v>0</v>
      </c>
      <c r="C48" s="4">
        <f>IF(ISNUMBER(SEARCH("营",'17.04'!K48)),(-$Y48+50*IF('17.04'!$AK48="是",'17.04'!$AY$4,'17.04'!$AY$3)),(VLOOKUP('17.04'!K48,'17.04'!$AM$4:$AO$55,2,FALSE))*IF('17.04'!$AK48="是",'17.04'!$AY$4,'17.04'!$AY$3))</f>
        <v>0</v>
      </c>
      <c r="D48" s="4">
        <f>IF(ISNUMBER(SEARCH("营",'17.04'!L48)),(-$Y48+50*IF('17.04'!$AK48="是",'17.04'!$AY$4,'17.04'!$AY$3)),(VLOOKUP('17.04'!L48,'17.04'!$AM$4:$AO$55,2,FALSE))*IF('17.04'!$AK48="是",'17.04'!$AY$4,'17.04'!$AY$3))</f>
        <v>0</v>
      </c>
      <c r="E48" s="4">
        <f>IF(ISNUMBER(SEARCH("营",'17.04'!M48)),(-$Y48+50*IF('17.04'!$AK48="是",'17.04'!$AY$4,'17.04'!$AY$3)),(VLOOKUP('17.04'!M48,'17.04'!$AM$4:$AO$55,2,FALSE))*IF('17.04'!$AK48="是",'17.04'!$AY$4,'17.04'!$AY$3))</f>
        <v>0</v>
      </c>
      <c r="F48" s="4">
        <f>IF(ISNUMBER(SEARCH("营",'17.04'!N48)),(-$Y48+50*IF('17.04'!$AK48="是",'17.04'!$AY$4,'17.04'!$AY$3)),(VLOOKUP('17.04'!N48,'17.04'!$AM$4:$AO$55,2,FALSE))*IF('17.04'!$AK48="是",'17.04'!$AY$4,'17.04'!$AY$3))</f>
        <v>0</v>
      </c>
      <c r="G48" s="4">
        <f>IF(ISNUMBER(SEARCH("营",'17.04'!O48)),(-$Y48+50*IF('17.04'!$AK48="是",'17.04'!$AY$4,'17.04'!$AY$3)),(VLOOKUP('17.04'!O48,'17.04'!$AM$4:$AO$55,2,FALSE))*IF('17.04'!$AK48="是",'17.04'!$AY$4,'17.04'!$AY$3))</f>
        <v>0</v>
      </c>
      <c r="H48" s="4">
        <f>IF(ISNUMBER(SEARCH("营",'17.04'!P48)),(-$Y48+50*IF('17.04'!$AK48="是",'17.04'!$AY$4,'17.04'!$AY$3)),(VLOOKUP('17.04'!P48,'17.04'!$AM$4:$AO$55,2,FALSE))*IF('17.04'!$AK48="是",'17.04'!$AY$4,'17.04'!$AY$3))</f>
        <v>0</v>
      </c>
      <c r="I48" s="4">
        <f>IF(ISNUMBER(SEARCH("营",'17.04'!Q48)),(-$Y48+50*IF('17.04'!$AK48="是",'17.04'!$AY$4,'17.04'!$AY$3)),(VLOOKUP('17.04'!Q48,'17.04'!$AM$4:$AO$55,2,FALSE))*IF('17.04'!$AK48="是",'17.04'!$AY$4,'17.04'!$AY$3))</f>
        <v>144</v>
      </c>
      <c r="J48" s="4">
        <f>IF(ISNUMBER(SEARCH("营",'17.04'!R48)),(-$Y48+50*IF('17.04'!$AK48="是",'17.04'!$AY$4,'17.04'!$AY$3)),(VLOOKUP('17.04'!R48,'17.04'!$AM$4:$AO$55,2,FALSE))*IF('17.04'!$AK48="是",'17.04'!$AY$4,'17.04'!$AY$3))</f>
        <v>144</v>
      </c>
      <c r="K48" s="4">
        <f>IF(ISNUMBER(SEARCH("营",'17.04'!S48)),(-$Y48+50*IF('17.04'!$AK48="是",'17.04'!$AY$4,'17.04'!$AY$3)),(VLOOKUP('17.04'!S48,'17.04'!$AM$4:$AO$55,2,FALSE))*IF('17.04'!$AK48="是",'17.04'!$AY$4,'17.04'!$AY$3))</f>
        <v>144</v>
      </c>
      <c r="L48" s="4">
        <f>IF(ISNUMBER(SEARCH("营",'17.04'!T48)),(-$Y48+50*IF('17.04'!$AK48="是",'17.04'!$AY$4,'17.04'!$AY$3)),(VLOOKUP('17.04'!T48,'17.04'!$AM$4:$AO$55,2,FALSE))*IF('17.04'!$AK48="是",'17.04'!$AY$4,'17.04'!$AY$3))</f>
        <v>144</v>
      </c>
      <c r="M48" s="4">
        <f>IF(ISNUMBER(SEARCH("营",'17.04'!U48)),(-$Y48+50*IF('17.04'!$AK48="是",'17.04'!$AY$4,'17.04'!$AY$3)),(VLOOKUP('17.04'!U48,'17.04'!$AM$4:$AO$55,2,FALSE))*IF('17.04'!$AK48="是",'17.04'!$AY$4,'17.04'!$AY$3))</f>
        <v>144</v>
      </c>
      <c r="N48" s="4">
        <f>IF(ISNUMBER(SEARCH("营",'17.04'!V48)),(-$Y48+50*IF('17.04'!$AK48="是",'17.04'!$AY$4,'17.04'!$AY$3)),(VLOOKUP('17.04'!V48,'17.04'!$AM$4:$AO$55,2,FALSE))*IF('17.04'!$AK48="是",'17.04'!$AY$4,'17.04'!$AY$3))</f>
        <v>144</v>
      </c>
      <c r="O48" s="4">
        <f>IF(ISNUMBER(SEARCH("营",'17.04'!W48)),(-$Y48+50*IF('17.04'!$AK48="是",'17.04'!$AY$4,'17.04'!$AY$3)),(VLOOKUP('17.04'!W48,'17.04'!$AM$4:$AO$55,2,FALSE))*IF('17.04'!$AK48="是",'17.04'!$AY$4,'17.04'!$AY$3))</f>
        <v>0</v>
      </c>
      <c r="P48" s="4">
        <f>IF(ISNUMBER(SEARCH("营",'17.04'!X48)),(-$Y48+50*IF('17.04'!$AK48="是",'17.04'!$AY$4,'17.04'!$AY$3)),(VLOOKUP('17.04'!X48,'17.04'!$AM$4:$AO$55,2,FALSE))*IF('17.04'!$AK48="是",'17.04'!$AY$4,'17.04'!$AY$3))</f>
        <v>0</v>
      </c>
      <c r="Q48" s="4">
        <f>IF(ISNUMBER(SEARCH("营",'17.04'!Y48)),(-$Y48+50*IF('17.04'!$AK48="是",'17.04'!$AY$4,'17.04'!$AY$3)),(VLOOKUP('17.04'!Y48,'17.04'!$AM$4:$AO$55,2,FALSE))*IF('17.04'!$AK48="是",'17.04'!$AY$4,'17.04'!$AY$3))</f>
        <v>0</v>
      </c>
      <c r="R48" s="4">
        <f>IF(ISNUMBER(SEARCH("营",'17.04'!Z48)),(-$Y48+50*IF('17.04'!$AK48="是",'17.04'!$AY$4,'17.04'!$AY$3)),(VLOOKUP('17.04'!Z48,'17.04'!$AM$4:$AO$55,2,FALSE))*IF('17.04'!$AK48="是",'17.04'!$AY$4,'17.04'!$AY$3))</f>
        <v>0</v>
      </c>
      <c r="S48" s="4">
        <f>IF(ISNUMBER(SEARCH("营",'17.04'!AA48)),(-$Y48+50*IF('17.04'!$AK48="是",'17.04'!$AY$4,'17.04'!$AY$3)),(VLOOKUP('17.04'!AA48,'17.04'!$AM$4:$AO$55,2,FALSE))*IF('17.04'!$AK48="是",'17.04'!$AY$4,'17.04'!$AY$3))</f>
        <v>0</v>
      </c>
      <c r="T48" s="4">
        <f>IF(ISNUMBER(SEARCH("营",'17.04'!AB48)),(-$Y48+50*IF('17.04'!$AK48="是",'17.04'!$AY$4,'17.04'!$AY$3)),(VLOOKUP('17.04'!AB48,'17.04'!$AM$4:$AO$55,2,FALSE))*IF('17.04'!$AK48="是",'17.04'!$AY$4,'17.04'!$AY$3))</f>
        <v>0</v>
      </c>
      <c r="U48" s="4">
        <f>IF(ISNUMBER(SEARCH("营",'17.04'!AC48)),(-$Y48+50*IF('17.04'!$AK48="是",'17.04'!$AY$4,'17.04'!$AY$3)),(VLOOKUP('17.04'!AC48,'17.04'!$AM$4:$AO$55,2,FALSE))*IF('17.04'!$AK48="是",'17.04'!$AY$4,'17.04'!$AY$3))</f>
        <v>0</v>
      </c>
      <c r="V48" s="4">
        <f>IF(ISNUMBER(SEARCH("营",'17.04'!AD48)),(-$Y48+50*IF('17.04'!$AK48="是",'17.04'!$AY$4,'17.04'!$AY$3)),(VLOOKUP('17.04'!AD48,'17.04'!$AM$4:$AO$55,2,FALSE))*IF('17.04'!$AK48="是",'17.04'!$AY$4,'17.04'!$AY$3))</f>
        <v>0</v>
      </c>
      <c r="W48" s="4">
        <f>IF(ISNUMBER(SEARCH("营",'17.04'!AE48)),(-$Y48+50*IF('17.04'!$AK48="是",'17.04'!$AY$4,'17.04'!$AY$3)),(VLOOKUP('17.04'!AE48,'17.04'!$AM$4:$AO$55,2,FALSE))*IF('17.04'!$AK48="是",'17.04'!$AY$4,'17.04'!$AY$3))</f>
        <v>0</v>
      </c>
      <c r="X48" s="4">
        <f>IF(ISNUMBER(SEARCH("营",'17.04'!AF48)),(-$Y48+50*IF('17.04'!$AK48="是",'17.04'!$AY$4,'17.04'!$AY$3)),(VLOOKUP('17.04'!AF48,'17.04'!$AM$4:$AO$55,2,FALSE))*IF('17.04'!$AK48="是",'17.04'!$AY$4,'17.04'!$AY$3))</f>
        <v>0</v>
      </c>
      <c r="Y48" s="89">
        <v>200</v>
      </c>
    </row>
    <row r="49" spans="1:25">
      <c r="A49" s="4">
        <f>IF(ISNUMBER(SEARCH("营",'17.04'!I49)),(-$Y49+50*IF('17.04'!$AK49="是",'17.04'!$AY$4,'17.04'!$AY$3)),(VLOOKUP('17.04'!I49,'17.04'!$AM$4:$AO$55,2,FALSE))*IF('17.04'!$AK49="是",'17.04'!$AY$4,'17.04'!$AY$3))</f>
        <v>0</v>
      </c>
      <c r="B49" s="4">
        <f>IF(ISNUMBER(SEARCH("营",'17.04'!J49)),(-$Y49+50*IF('17.04'!$AK49="是",'17.04'!$AY$4,'17.04'!$AY$3)),(VLOOKUP('17.04'!J49,'17.04'!$AM$4:$AO$55,2,FALSE))*IF('17.04'!$AK49="是",'17.04'!$AY$4,'17.04'!$AY$3))</f>
        <v>0</v>
      </c>
      <c r="C49" s="4">
        <f>IF(ISNUMBER(SEARCH("营",'17.04'!K49)),(-$Y49+50*IF('17.04'!$AK49="是",'17.04'!$AY$4,'17.04'!$AY$3)),(VLOOKUP('17.04'!K49,'17.04'!$AM$4:$AO$55,2,FALSE))*IF('17.04'!$AK49="是",'17.04'!$AY$4,'17.04'!$AY$3))</f>
        <v>0</v>
      </c>
      <c r="D49" s="4">
        <f>IF(ISNUMBER(SEARCH("营",'17.04'!L49)),(-$Y49+50*IF('17.04'!$AK49="是",'17.04'!$AY$4,'17.04'!$AY$3)),(VLOOKUP('17.04'!L49,'17.04'!$AM$4:$AO$55,2,FALSE))*IF('17.04'!$AK49="是",'17.04'!$AY$4,'17.04'!$AY$3))</f>
        <v>0</v>
      </c>
      <c r="E49" s="4">
        <f>IF(ISNUMBER(SEARCH("营",'17.04'!M49)),(-$Y49+50*IF('17.04'!$AK49="是",'17.04'!$AY$4,'17.04'!$AY$3)),(VLOOKUP('17.04'!M49,'17.04'!$AM$4:$AO$55,2,FALSE))*IF('17.04'!$AK49="是",'17.04'!$AY$4,'17.04'!$AY$3))</f>
        <v>0</v>
      </c>
      <c r="F49" s="4">
        <f>IF(ISNUMBER(SEARCH("营",'17.04'!N49)),(-$Y49+50*IF('17.04'!$AK49="是",'17.04'!$AY$4,'17.04'!$AY$3)),(VLOOKUP('17.04'!N49,'17.04'!$AM$4:$AO$55,2,FALSE))*IF('17.04'!$AK49="是",'17.04'!$AY$4,'17.04'!$AY$3))</f>
        <v>0</v>
      </c>
      <c r="G49" s="4">
        <f>IF(ISNUMBER(SEARCH("营",'17.04'!O49)),(-$Y49+50*IF('17.04'!$AK49="是",'17.04'!$AY$4,'17.04'!$AY$3)),(VLOOKUP('17.04'!O49,'17.04'!$AM$4:$AO$55,2,FALSE))*IF('17.04'!$AK49="是",'17.04'!$AY$4,'17.04'!$AY$3))</f>
        <v>0</v>
      </c>
      <c r="H49" s="4">
        <f>IF(ISNUMBER(SEARCH("营",'17.04'!P49)),(-$Y49+50*IF('17.04'!$AK49="是",'17.04'!$AY$4,'17.04'!$AY$3)),(VLOOKUP('17.04'!P49,'17.04'!$AM$4:$AO$55,2,FALSE))*IF('17.04'!$AK49="是",'17.04'!$AY$4,'17.04'!$AY$3))</f>
        <v>0</v>
      </c>
      <c r="I49" s="4">
        <f>IF(ISNUMBER(SEARCH("营",'17.04'!Q49)),(-$Y49+50*IF('17.04'!$AK49="是",'17.04'!$AY$4,'17.04'!$AY$3)),(VLOOKUP('17.04'!Q49,'17.04'!$AM$4:$AO$55,2,FALSE))*IF('17.04'!$AK49="是",'17.04'!$AY$4,'17.04'!$AY$3))</f>
        <v>144</v>
      </c>
      <c r="J49" s="4">
        <f>IF(ISNUMBER(SEARCH("营",'17.04'!R49)),(-$Y49+50*IF('17.04'!$AK49="是",'17.04'!$AY$4,'17.04'!$AY$3)),(VLOOKUP('17.04'!R49,'17.04'!$AM$4:$AO$55,2,FALSE))*IF('17.04'!$AK49="是",'17.04'!$AY$4,'17.04'!$AY$3))</f>
        <v>144</v>
      </c>
      <c r="K49" s="4">
        <f>IF(ISNUMBER(SEARCH("营",'17.04'!S49)),(-$Y49+50*IF('17.04'!$AK49="是",'17.04'!$AY$4,'17.04'!$AY$3)),(VLOOKUP('17.04'!S49,'17.04'!$AM$4:$AO$55,2,FALSE))*IF('17.04'!$AK49="是",'17.04'!$AY$4,'17.04'!$AY$3))</f>
        <v>144</v>
      </c>
      <c r="L49" s="4">
        <f>IF(ISNUMBER(SEARCH("营",'17.04'!T49)),(-$Y49+50*IF('17.04'!$AK49="是",'17.04'!$AY$4,'17.04'!$AY$3)),(VLOOKUP('17.04'!T49,'17.04'!$AM$4:$AO$55,2,FALSE))*IF('17.04'!$AK49="是",'17.04'!$AY$4,'17.04'!$AY$3))</f>
        <v>144</v>
      </c>
      <c r="M49" s="4">
        <f>IF(ISNUMBER(SEARCH("营",'17.04'!U49)),(-$Y49+50*IF('17.04'!$AK49="是",'17.04'!$AY$4,'17.04'!$AY$3)),(VLOOKUP('17.04'!U49,'17.04'!$AM$4:$AO$55,2,FALSE))*IF('17.04'!$AK49="是",'17.04'!$AY$4,'17.04'!$AY$3))</f>
        <v>144</v>
      </c>
      <c r="N49" s="4">
        <f>IF(ISNUMBER(SEARCH("营",'17.04'!V49)),(-$Y49+50*IF('17.04'!$AK49="是",'17.04'!$AY$4,'17.04'!$AY$3)),(VLOOKUP('17.04'!V49,'17.04'!$AM$4:$AO$55,2,FALSE))*IF('17.04'!$AK49="是",'17.04'!$AY$4,'17.04'!$AY$3))</f>
        <v>0</v>
      </c>
      <c r="O49" s="4">
        <f>IF(ISNUMBER(SEARCH("营",'17.04'!W49)),(-$Y49+50*IF('17.04'!$AK49="是",'17.04'!$AY$4,'17.04'!$AY$3)),(VLOOKUP('17.04'!W49,'17.04'!$AM$4:$AO$55,2,FALSE))*IF('17.04'!$AK49="是",'17.04'!$AY$4,'17.04'!$AY$3))</f>
        <v>0</v>
      </c>
      <c r="P49" s="4">
        <f>IF(ISNUMBER(SEARCH("营",'17.04'!X49)),(-$Y49+50*IF('17.04'!$AK49="是",'17.04'!$AY$4,'17.04'!$AY$3)),(VLOOKUP('17.04'!X49,'17.04'!$AM$4:$AO$55,2,FALSE))*IF('17.04'!$AK49="是",'17.04'!$AY$4,'17.04'!$AY$3))</f>
        <v>0</v>
      </c>
      <c r="Q49" s="4">
        <f>IF(ISNUMBER(SEARCH("营",'17.04'!Y49)),(-$Y49+50*IF('17.04'!$AK49="是",'17.04'!$AY$4,'17.04'!$AY$3)),(VLOOKUP('17.04'!Y49,'17.04'!$AM$4:$AO$55,2,FALSE))*IF('17.04'!$AK49="是",'17.04'!$AY$4,'17.04'!$AY$3))</f>
        <v>0</v>
      </c>
      <c r="R49" s="4">
        <f>IF(ISNUMBER(SEARCH("营",'17.04'!Z49)),(-$Y49+50*IF('17.04'!$AK49="是",'17.04'!$AY$4,'17.04'!$AY$3)),(VLOOKUP('17.04'!Z49,'17.04'!$AM$4:$AO$55,2,FALSE))*IF('17.04'!$AK49="是",'17.04'!$AY$4,'17.04'!$AY$3))</f>
        <v>0</v>
      </c>
      <c r="S49" s="4">
        <f>IF(ISNUMBER(SEARCH("营",'17.04'!AA49)),(-$Y49+50*IF('17.04'!$AK49="是",'17.04'!$AY$4,'17.04'!$AY$3)),(VLOOKUP('17.04'!AA49,'17.04'!$AM$4:$AO$55,2,FALSE))*IF('17.04'!$AK49="是",'17.04'!$AY$4,'17.04'!$AY$3))</f>
        <v>0</v>
      </c>
      <c r="T49" s="4">
        <f>IF(ISNUMBER(SEARCH("营",'17.04'!AB49)),(-$Y49+50*IF('17.04'!$AK49="是",'17.04'!$AY$4,'17.04'!$AY$3)),(VLOOKUP('17.04'!AB49,'17.04'!$AM$4:$AO$55,2,FALSE))*IF('17.04'!$AK49="是",'17.04'!$AY$4,'17.04'!$AY$3))</f>
        <v>0</v>
      </c>
      <c r="U49" s="4">
        <f>IF(ISNUMBER(SEARCH("营",'17.04'!AC49)),(-$Y49+50*IF('17.04'!$AK49="是",'17.04'!$AY$4,'17.04'!$AY$3)),(VLOOKUP('17.04'!AC49,'17.04'!$AM$4:$AO$55,2,FALSE))*IF('17.04'!$AK49="是",'17.04'!$AY$4,'17.04'!$AY$3))</f>
        <v>0</v>
      </c>
      <c r="V49" s="4">
        <f>IF(ISNUMBER(SEARCH("营",'17.04'!AD49)),(-$Y49+50*IF('17.04'!$AK49="是",'17.04'!$AY$4,'17.04'!$AY$3)),(VLOOKUP('17.04'!AD49,'17.04'!$AM$4:$AO$55,2,FALSE))*IF('17.04'!$AK49="是",'17.04'!$AY$4,'17.04'!$AY$3))</f>
        <v>0</v>
      </c>
      <c r="W49" s="4">
        <f>IF(ISNUMBER(SEARCH("营",'17.04'!AE49)),(-$Y49+50*IF('17.04'!$AK49="是",'17.04'!$AY$4,'17.04'!$AY$3)),(VLOOKUP('17.04'!AE49,'17.04'!$AM$4:$AO$55,2,FALSE))*IF('17.04'!$AK49="是",'17.04'!$AY$4,'17.04'!$AY$3))</f>
        <v>0</v>
      </c>
      <c r="X49" s="4">
        <f>IF(ISNUMBER(SEARCH("营",'17.04'!AF49)),(-$Y49+50*IF('17.04'!$AK49="是",'17.04'!$AY$4,'17.04'!$AY$3)),(VLOOKUP('17.04'!AF49,'17.04'!$AM$4:$AO$55,2,FALSE))*IF('17.04'!$AK49="是",'17.04'!$AY$4,'17.04'!$AY$3))</f>
        <v>0</v>
      </c>
      <c r="Y49" s="90">
        <v>150</v>
      </c>
    </row>
    <row r="50" spans="1:25">
      <c r="A50" s="4">
        <f>IF(ISNUMBER(SEARCH("营",'17.04'!I50)),(-$Y50+50*IF('17.04'!$AK50="是",'17.04'!$AY$4,'17.04'!$AY$3)),(VLOOKUP('17.04'!I50,'17.04'!$AM$4:$AO$55,2,FALSE))*IF('17.04'!$AK50="是",'17.04'!$AY$4,'17.04'!$AY$3))</f>
        <v>0</v>
      </c>
      <c r="B50" s="4">
        <f>IF(ISNUMBER(SEARCH("营",'17.04'!J50)),(-$Y50+50*IF('17.04'!$AK50="是",'17.04'!$AY$4,'17.04'!$AY$3)),(VLOOKUP('17.04'!J50,'17.04'!$AM$4:$AO$55,2,FALSE))*IF('17.04'!$AK50="是",'17.04'!$AY$4,'17.04'!$AY$3))</f>
        <v>0</v>
      </c>
      <c r="C50" s="4">
        <f>IF(ISNUMBER(SEARCH("营",'17.04'!K50)),(-$Y50+50*IF('17.04'!$AK50="是",'17.04'!$AY$4,'17.04'!$AY$3)),(VLOOKUP('17.04'!K50,'17.04'!$AM$4:$AO$55,2,FALSE))*IF('17.04'!$AK50="是",'17.04'!$AY$4,'17.04'!$AY$3))</f>
        <v>0</v>
      </c>
      <c r="D50" s="4">
        <f>IF(ISNUMBER(SEARCH("营",'17.04'!L50)),(-$Y50+50*IF('17.04'!$AK50="是",'17.04'!$AY$4,'17.04'!$AY$3)),(VLOOKUP('17.04'!L50,'17.04'!$AM$4:$AO$55,2,FALSE))*IF('17.04'!$AK50="是",'17.04'!$AY$4,'17.04'!$AY$3))</f>
        <v>0</v>
      </c>
      <c r="E50" s="4">
        <f>IF(ISNUMBER(SEARCH("营",'17.04'!M50)),(-$Y50+50*IF('17.04'!$AK50="是",'17.04'!$AY$4,'17.04'!$AY$3)),(VLOOKUP('17.04'!M50,'17.04'!$AM$4:$AO$55,2,FALSE))*IF('17.04'!$AK50="是",'17.04'!$AY$4,'17.04'!$AY$3))</f>
        <v>0</v>
      </c>
      <c r="F50" s="4">
        <f>IF(ISNUMBER(SEARCH("营",'17.04'!N50)),(-$Y50+50*IF('17.04'!$AK50="是",'17.04'!$AY$4,'17.04'!$AY$3)),(VLOOKUP('17.04'!N50,'17.04'!$AM$4:$AO$55,2,FALSE))*IF('17.04'!$AK50="是",'17.04'!$AY$4,'17.04'!$AY$3))</f>
        <v>0</v>
      </c>
      <c r="G50" s="4">
        <f>IF(ISNUMBER(SEARCH("营",'17.04'!O50)),(-$Y50+50*IF('17.04'!$AK50="是",'17.04'!$AY$4,'17.04'!$AY$3)),(VLOOKUP('17.04'!O50,'17.04'!$AM$4:$AO$55,2,FALSE))*IF('17.04'!$AK50="是",'17.04'!$AY$4,'17.04'!$AY$3))</f>
        <v>0</v>
      </c>
      <c r="H50" s="4">
        <f>IF(ISNUMBER(SEARCH("营",'17.04'!P50)),(-$Y50+50*IF('17.04'!$AK50="是",'17.04'!$AY$4,'17.04'!$AY$3)),(VLOOKUP('17.04'!P50,'17.04'!$AM$4:$AO$55,2,FALSE))*IF('17.04'!$AK50="是",'17.04'!$AY$4,'17.04'!$AY$3))</f>
        <v>0</v>
      </c>
      <c r="I50" s="4">
        <f>IF(ISNUMBER(SEARCH("营",'17.04'!Q50)),(-$Y50+50*IF('17.04'!$AK50="是",'17.04'!$AY$4,'17.04'!$AY$3)),(VLOOKUP('17.04'!Q50,'17.04'!$AM$4:$AO$55,2,FALSE))*IF('17.04'!$AK50="是",'17.04'!$AY$4,'17.04'!$AY$3))</f>
        <v>0</v>
      </c>
      <c r="J50" s="4">
        <f>IF(ISNUMBER(SEARCH("营",'17.04'!R50)),(-$Y50+50*IF('17.04'!$AK50="是",'17.04'!$AY$4,'17.04'!$AY$3)),(VLOOKUP('17.04'!R50,'17.04'!$AM$4:$AO$55,2,FALSE))*IF('17.04'!$AK50="是",'17.04'!$AY$4,'17.04'!$AY$3))</f>
        <v>0</v>
      </c>
      <c r="K50" s="4">
        <f>IF(ISNUMBER(SEARCH("营",'17.04'!S50)),(-$Y50+50*IF('17.04'!$AK50="是",'17.04'!$AY$4,'17.04'!$AY$3)),(VLOOKUP('17.04'!S50,'17.04'!$AM$4:$AO$55,2,FALSE))*IF('17.04'!$AK50="是",'17.04'!$AY$4,'17.04'!$AY$3))</f>
        <v>0</v>
      </c>
      <c r="L50" s="4">
        <f>IF(ISNUMBER(SEARCH("营",'17.04'!T50)),(-$Y50+50*IF('17.04'!$AK50="是",'17.04'!$AY$4,'17.04'!$AY$3)),(VLOOKUP('17.04'!T50,'17.04'!$AM$4:$AO$55,2,FALSE))*IF('17.04'!$AK50="是",'17.04'!$AY$4,'17.04'!$AY$3))</f>
        <v>0</v>
      </c>
      <c r="M50" s="4">
        <f>IF(ISNUMBER(SEARCH("营",'17.04'!U50)),(-$Y50+50*IF('17.04'!$AK50="是",'17.04'!$AY$4,'17.04'!$AY$3)),(VLOOKUP('17.04'!U50,'17.04'!$AM$4:$AO$55,2,FALSE))*IF('17.04'!$AK50="是",'17.04'!$AY$4,'17.04'!$AY$3))</f>
        <v>0</v>
      </c>
      <c r="N50" s="4">
        <f>IF(ISNUMBER(SEARCH("营",'17.04'!V50)),(-$Y50+50*IF('17.04'!$AK50="是",'17.04'!$AY$4,'17.04'!$AY$3)),(VLOOKUP('17.04'!V50,'17.04'!$AM$4:$AO$55,2,FALSE))*IF('17.04'!$AK50="是",'17.04'!$AY$4,'17.04'!$AY$3))</f>
        <v>0</v>
      </c>
      <c r="O50" s="4">
        <f>IF(ISNUMBER(SEARCH("营",'17.04'!W50)),(-$Y50+50*IF('17.04'!$AK50="是",'17.04'!$AY$4,'17.04'!$AY$3)),(VLOOKUP('17.04'!W50,'17.04'!$AM$4:$AO$55,2,FALSE))*IF('17.04'!$AK50="是",'17.04'!$AY$4,'17.04'!$AY$3))</f>
        <v>0</v>
      </c>
      <c r="P50" s="4">
        <f>IF(ISNUMBER(SEARCH("营",'17.04'!X50)),(-$Y50+50*IF('17.04'!$AK50="是",'17.04'!$AY$4,'17.04'!$AY$3)),(VLOOKUP('17.04'!X50,'17.04'!$AM$4:$AO$55,2,FALSE))*IF('17.04'!$AK50="是",'17.04'!$AY$4,'17.04'!$AY$3))</f>
        <v>0</v>
      </c>
      <c r="Q50" s="4">
        <f>IF(ISNUMBER(SEARCH("营",'17.04'!Y50)),(-$Y50+50*IF('17.04'!$AK50="是",'17.04'!$AY$4,'17.04'!$AY$3)),(VLOOKUP('17.04'!Y50,'17.04'!$AM$4:$AO$55,2,FALSE))*IF('17.04'!$AK50="是",'17.04'!$AY$4,'17.04'!$AY$3))</f>
        <v>0</v>
      </c>
      <c r="R50" s="4">
        <f>IF(ISNUMBER(SEARCH("营",'17.04'!Z50)),(-$Y50+50*IF('17.04'!$AK50="是",'17.04'!$AY$4,'17.04'!$AY$3)),(VLOOKUP('17.04'!Z50,'17.04'!$AM$4:$AO$55,2,FALSE))*IF('17.04'!$AK50="是",'17.04'!$AY$4,'17.04'!$AY$3))</f>
        <v>0</v>
      </c>
      <c r="S50" s="4">
        <f>IF(ISNUMBER(SEARCH("营",'17.04'!AA50)),(-$Y50+50*IF('17.04'!$AK50="是",'17.04'!$AY$4,'17.04'!$AY$3)),(VLOOKUP('17.04'!AA50,'17.04'!$AM$4:$AO$55,2,FALSE))*IF('17.04'!$AK50="是",'17.04'!$AY$4,'17.04'!$AY$3))</f>
        <v>0</v>
      </c>
      <c r="T50" s="4">
        <f>IF(ISNUMBER(SEARCH("营",'17.04'!AB50)),(-$Y50+50*IF('17.04'!$AK50="是",'17.04'!$AY$4,'17.04'!$AY$3)),(VLOOKUP('17.04'!AB50,'17.04'!$AM$4:$AO$55,2,FALSE))*IF('17.04'!$AK50="是",'17.04'!$AY$4,'17.04'!$AY$3))</f>
        <v>0</v>
      </c>
      <c r="U50" s="4">
        <f>IF(ISNUMBER(SEARCH("营",'17.04'!AC50)),(-$Y50+50*IF('17.04'!$AK50="是",'17.04'!$AY$4,'17.04'!$AY$3)),(VLOOKUP('17.04'!AC50,'17.04'!$AM$4:$AO$55,2,FALSE))*IF('17.04'!$AK50="是",'17.04'!$AY$4,'17.04'!$AY$3))</f>
        <v>0</v>
      </c>
      <c r="V50" s="4">
        <f>IF(ISNUMBER(SEARCH("营",'17.04'!AD50)),(-$Y50+50*IF('17.04'!$AK50="是",'17.04'!$AY$4,'17.04'!$AY$3)),(VLOOKUP('17.04'!AD50,'17.04'!$AM$4:$AO$55,2,FALSE))*IF('17.04'!$AK50="是",'17.04'!$AY$4,'17.04'!$AY$3))</f>
        <v>0</v>
      </c>
      <c r="W50" s="4">
        <f>IF(ISNUMBER(SEARCH("营",'17.04'!AE50)),(-$Y50+50*IF('17.04'!$AK50="是",'17.04'!$AY$4,'17.04'!$AY$3)),(VLOOKUP('17.04'!AE50,'17.04'!$AM$4:$AO$55,2,FALSE))*IF('17.04'!$AK50="是",'17.04'!$AY$4,'17.04'!$AY$3))</f>
        <v>0</v>
      </c>
      <c r="X50" s="4">
        <f>IF(ISNUMBER(SEARCH("营",'17.04'!AF50)),(-$Y50+50*IF('17.04'!$AK50="是",'17.04'!$AY$4,'17.04'!$AY$3)),(VLOOKUP('17.04'!AF50,'17.04'!$AM$4:$AO$55,2,FALSE))*IF('17.04'!$AK50="是",'17.04'!$AY$4,'17.04'!$AY$3))</f>
        <v>0</v>
      </c>
      <c r="Y50" s="90">
        <v>150</v>
      </c>
    </row>
    <row r="51" spans="1:25">
      <c r="A51" s="4">
        <f>IF(ISNUMBER(SEARCH("营",'17.04'!I51)),(-$Y51+50*IF('17.04'!$AK51="是",'17.04'!$AY$4,'17.04'!$AY$3)),(VLOOKUP('17.04'!I51,'17.04'!$AM$4:$AO$55,2,FALSE))*IF('17.04'!$AK51="是",'17.04'!$AY$4,'17.04'!$AY$3))</f>
        <v>0</v>
      </c>
      <c r="B51" s="4">
        <f>IF(ISNUMBER(SEARCH("营",'17.04'!J51)),(-$Y51+50*IF('17.04'!$AK51="是",'17.04'!$AY$4,'17.04'!$AY$3)),(VLOOKUP('17.04'!J51,'17.04'!$AM$4:$AO$55,2,FALSE))*IF('17.04'!$AK51="是",'17.04'!$AY$4,'17.04'!$AY$3))</f>
        <v>0</v>
      </c>
      <c r="C51" s="4">
        <f>IF(ISNUMBER(SEARCH("营",'17.04'!K51)),(-$Y51+50*IF('17.04'!$AK51="是",'17.04'!$AY$4,'17.04'!$AY$3)),(VLOOKUP('17.04'!K51,'17.04'!$AM$4:$AO$55,2,FALSE))*IF('17.04'!$AK51="是",'17.04'!$AY$4,'17.04'!$AY$3))</f>
        <v>0</v>
      </c>
      <c r="D51" s="4">
        <f>IF(ISNUMBER(SEARCH("营",'17.04'!L51)),(-$Y51+50*IF('17.04'!$AK51="是",'17.04'!$AY$4,'17.04'!$AY$3)),(VLOOKUP('17.04'!L51,'17.04'!$AM$4:$AO$55,2,FALSE))*IF('17.04'!$AK51="是",'17.04'!$AY$4,'17.04'!$AY$3))</f>
        <v>0</v>
      </c>
      <c r="E51" s="4">
        <f>IF(ISNUMBER(SEARCH("营",'17.04'!M51)),(-$Y51+50*IF('17.04'!$AK51="是",'17.04'!$AY$4,'17.04'!$AY$3)),(VLOOKUP('17.04'!M51,'17.04'!$AM$4:$AO$55,2,FALSE))*IF('17.04'!$AK51="是",'17.04'!$AY$4,'17.04'!$AY$3))</f>
        <v>0</v>
      </c>
      <c r="F51" s="4">
        <f>IF(ISNUMBER(SEARCH("营",'17.04'!N51)),(-$Y51+50*IF('17.04'!$AK51="是",'17.04'!$AY$4,'17.04'!$AY$3)),(VLOOKUP('17.04'!N51,'17.04'!$AM$4:$AO$55,2,FALSE))*IF('17.04'!$AK51="是",'17.04'!$AY$4,'17.04'!$AY$3))</f>
        <v>0</v>
      </c>
      <c r="G51" s="4">
        <f>IF(ISNUMBER(SEARCH("营",'17.04'!O51)),(-$Y51+50*IF('17.04'!$AK51="是",'17.04'!$AY$4,'17.04'!$AY$3)),(VLOOKUP('17.04'!O51,'17.04'!$AM$4:$AO$55,2,FALSE))*IF('17.04'!$AK51="是",'17.04'!$AY$4,'17.04'!$AY$3))</f>
        <v>0</v>
      </c>
      <c r="H51" s="4">
        <f>IF(ISNUMBER(SEARCH("营",'17.04'!P51)),(-$Y51+50*IF('17.04'!$AK51="是",'17.04'!$AY$4,'17.04'!$AY$3)),(VLOOKUP('17.04'!P51,'17.04'!$AM$4:$AO$55,2,FALSE))*IF('17.04'!$AK51="是",'17.04'!$AY$4,'17.04'!$AY$3))</f>
        <v>0</v>
      </c>
      <c r="I51" s="4">
        <f>IF(ISNUMBER(SEARCH("营",'17.04'!Q51)),(-$Y51+50*IF('17.04'!$AK51="是",'17.04'!$AY$4,'17.04'!$AY$3)),(VLOOKUP('17.04'!Q51,'17.04'!$AM$4:$AO$55,2,FALSE))*IF('17.04'!$AK51="是",'17.04'!$AY$4,'17.04'!$AY$3))</f>
        <v>0</v>
      </c>
      <c r="J51" s="4">
        <f>IF(ISNUMBER(SEARCH("营",'17.04'!R51)),(-$Y51+50*IF('17.04'!$AK51="是",'17.04'!$AY$4,'17.04'!$AY$3)),(VLOOKUP('17.04'!R51,'17.04'!$AM$4:$AO$55,2,FALSE))*IF('17.04'!$AK51="是",'17.04'!$AY$4,'17.04'!$AY$3))</f>
        <v>0</v>
      </c>
      <c r="K51" s="4">
        <f>IF(ISNUMBER(SEARCH("营",'17.04'!S51)),(-$Y51+50*IF('17.04'!$AK51="是",'17.04'!$AY$4,'17.04'!$AY$3)),(VLOOKUP('17.04'!S51,'17.04'!$AM$4:$AO$55,2,FALSE))*IF('17.04'!$AK51="是",'17.04'!$AY$4,'17.04'!$AY$3))</f>
        <v>0</v>
      </c>
      <c r="L51" s="4">
        <f>IF(ISNUMBER(SEARCH("营",'17.04'!T51)),(-$Y51+50*IF('17.04'!$AK51="是",'17.04'!$AY$4,'17.04'!$AY$3)),(VLOOKUP('17.04'!T51,'17.04'!$AM$4:$AO$55,2,FALSE))*IF('17.04'!$AK51="是",'17.04'!$AY$4,'17.04'!$AY$3))</f>
        <v>0</v>
      </c>
      <c r="M51" s="4">
        <f>IF(ISNUMBER(SEARCH("营",'17.04'!U51)),(-$Y51+50*IF('17.04'!$AK51="是",'17.04'!$AY$4,'17.04'!$AY$3)),(VLOOKUP('17.04'!U51,'17.04'!$AM$4:$AO$55,2,FALSE))*IF('17.04'!$AK51="是",'17.04'!$AY$4,'17.04'!$AY$3))</f>
        <v>0</v>
      </c>
      <c r="N51" s="4">
        <f>IF(ISNUMBER(SEARCH("营",'17.04'!V51)),(-$Y51+50*IF('17.04'!$AK51="是",'17.04'!$AY$4,'17.04'!$AY$3)),(VLOOKUP('17.04'!V51,'17.04'!$AM$4:$AO$55,2,FALSE))*IF('17.04'!$AK51="是",'17.04'!$AY$4,'17.04'!$AY$3))</f>
        <v>0</v>
      </c>
      <c r="O51" s="4">
        <f>IF(ISNUMBER(SEARCH("营",'17.04'!W51)),(-$Y51+50*IF('17.04'!$AK51="是",'17.04'!$AY$4,'17.04'!$AY$3)),(VLOOKUP('17.04'!W51,'17.04'!$AM$4:$AO$55,2,FALSE))*IF('17.04'!$AK51="是",'17.04'!$AY$4,'17.04'!$AY$3))</f>
        <v>0</v>
      </c>
      <c r="P51" s="4">
        <f>IF(ISNUMBER(SEARCH("营",'17.04'!X51)),(-$Y51+50*IF('17.04'!$AK51="是",'17.04'!$AY$4,'17.04'!$AY$3)),(VLOOKUP('17.04'!X51,'17.04'!$AM$4:$AO$55,2,FALSE))*IF('17.04'!$AK51="是",'17.04'!$AY$4,'17.04'!$AY$3))</f>
        <v>0</v>
      </c>
      <c r="Q51" s="4">
        <f>IF(ISNUMBER(SEARCH("营",'17.04'!Y51)),(-$Y51+50*IF('17.04'!$AK51="是",'17.04'!$AY$4,'17.04'!$AY$3)),(VLOOKUP('17.04'!Y51,'17.04'!$AM$4:$AO$55,2,FALSE))*IF('17.04'!$AK51="是",'17.04'!$AY$4,'17.04'!$AY$3))</f>
        <v>0</v>
      </c>
      <c r="R51" s="4">
        <f>IF(ISNUMBER(SEARCH("营",'17.04'!Z51)),(-$Y51+50*IF('17.04'!$AK51="是",'17.04'!$AY$4,'17.04'!$AY$3)),(VLOOKUP('17.04'!Z51,'17.04'!$AM$4:$AO$55,2,FALSE))*IF('17.04'!$AK51="是",'17.04'!$AY$4,'17.04'!$AY$3))</f>
        <v>0</v>
      </c>
      <c r="S51" s="4">
        <f>IF(ISNUMBER(SEARCH("营",'17.04'!AA51)),(-$Y51+50*IF('17.04'!$AK51="是",'17.04'!$AY$4,'17.04'!$AY$3)),(VLOOKUP('17.04'!AA51,'17.04'!$AM$4:$AO$55,2,FALSE))*IF('17.04'!$AK51="是",'17.04'!$AY$4,'17.04'!$AY$3))</f>
        <v>0</v>
      </c>
      <c r="T51" s="4">
        <f>IF(ISNUMBER(SEARCH("营",'17.04'!AB51)),(-$Y51+50*IF('17.04'!$AK51="是",'17.04'!$AY$4,'17.04'!$AY$3)),(VLOOKUP('17.04'!AB51,'17.04'!$AM$4:$AO$55,2,FALSE))*IF('17.04'!$AK51="是",'17.04'!$AY$4,'17.04'!$AY$3))</f>
        <v>0</v>
      </c>
      <c r="U51" s="4">
        <f>IF(ISNUMBER(SEARCH("营",'17.04'!AC51)),(-$Y51+50*IF('17.04'!$AK51="是",'17.04'!$AY$4,'17.04'!$AY$3)),(VLOOKUP('17.04'!AC51,'17.04'!$AM$4:$AO$55,2,FALSE))*IF('17.04'!$AK51="是",'17.04'!$AY$4,'17.04'!$AY$3))</f>
        <v>0</v>
      </c>
      <c r="V51" s="4">
        <f>IF(ISNUMBER(SEARCH("营",'17.04'!AD51)),(-$Y51+50*IF('17.04'!$AK51="是",'17.04'!$AY$4,'17.04'!$AY$3)),(VLOOKUP('17.04'!AD51,'17.04'!$AM$4:$AO$55,2,FALSE))*IF('17.04'!$AK51="是",'17.04'!$AY$4,'17.04'!$AY$3))</f>
        <v>0</v>
      </c>
      <c r="W51" s="4">
        <f>IF(ISNUMBER(SEARCH("营",'17.04'!AE51)),(-$Y51+50*IF('17.04'!$AK51="是",'17.04'!$AY$4,'17.04'!$AY$3)),(VLOOKUP('17.04'!AE51,'17.04'!$AM$4:$AO$55,2,FALSE))*IF('17.04'!$AK51="是",'17.04'!$AY$4,'17.04'!$AY$3))</f>
        <v>0</v>
      </c>
      <c r="X51" s="4">
        <f>IF(ISNUMBER(SEARCH("营",'17.04'!AF51)),(-$Y51+50*IF('17.04'!$AK51="是",'17.04'!$AY$4,'17.04'!$AY$3)),(VLOOKUP('17.04'!AF51,'17.04'!$AM$4:$AO$55,2,FALSE))*IF('17.04'!$AK51="是",'17.04'!$AY$4,'17.04'!$AY$3))</f>
        <v>0</v>
      </c>
      <c r="Y51" s="90">
        <v>150</v>
      </c>
    </row>
    <row r="52" spans="1:25">
      <c r="A52" s="4">
        <f>IF(ISNUMBER(SEARCH("营",'17.04'!I52)),(-$Y52+50*IF('17.04'!$AK52="是",'17.04'!$AY$4,'17.04'!$AY$3)),(VLOOKUP('17.04'!I52,'17.04'!$AM$4:$AO$55,2,FALSE))*IF('17.04'!$AK52="是",'17.04'!$AY$4,'17.04'!$AY$3))</f>
        <v>0</v>
      </c>
      <c r="B52" s="4">
        <f>IF(ISNUMBER(SEARCH("营",'17.04'!J52)),(-$Y52+50*IF('17.04'!$AK52="是",'17.04'!$AY$4,'17.04'!$AY$3)),(VLOOKUP('17.04'!J52,'17.04'!$AM$4:$AO$55,2,FALSE))*IF('17.04'!$AK52="是",'17.04'!$AY$4,'17.04'!$AY$3))</f>
        <v>0</v>
      </c>
      <c r="C52" s="4">
        <f>IF(ISNUMBER(SEARCH("营",'17.04'!K52)),(-$Y52+50*IF('17.04'!$AK52="是",'17.04'!$AY$4,'17.04'!$AY$3)),(VLOOKUP('17.04'!K52,'17.04'!$AM$4:$AO$55,2,FALSE))*IF('17.04'!$AK52="是",'17.04'!$AY$4,'17.04'!$AY$3))</f>
        <v>0</v>
      </c>
      <c r="D52" s="4">
        <f>IF(ISNUMBER(SEARCH("营",'17.04'!L52)),(-$Y52+50*IF('17.04'!$AK52="是",'17.04'!$AY$4,'17.04'!$AY$3)),(VLOOKUP('17.04'!L52,'17.04'!$AM$4:$AO$55,2,FALSE))*IF('17.04'!$AK52="是",'17.04'!$AY$4,'17.04'!$AY$3))</f>
        <v>0</v>
      </c>
      <c r="E52" s="4">
        <f>IF(ISNUMBER(SEARCH("营",'17.04'!M52)),(-$Y52+50*IF('17.04'!$AK52="是",'17.04'!$AY$4,'17.04'!$AY$3)),(VLOOKUP('17.04'!M52,'17.04'!$AM$4:$AO$55,2,FALSE))*IF('17.04'!$AK52="是",'17.04'!$AY$4,'17.04'!$AY$3))</f>
        <v>0</v>
      </c>
      <c r="F52" s="4">
        <f>IF(ISNUMBER(SEARCH("营",'17.04'!N52)),(-$Y52+50*IF('17.04'!$AK52="是",'17.04'!$AY$4,'17.04'!$AY$3)),(VLOOKUP('17.04'!N52,'17.04'!$AM$4:$AO$55,2,FALSE))*IF('17.04'!$AK52="是",'17.04'!$AY$4,'17.04'!$AY$3))</f>
        <v>0</v>
      </c>
      <c r="G52" s="4">
        <f>IF(ISNUMBER(SEARCH("营",'17.04'!O52)),(-$Y52+50*IF('17.04'!$AK52="是",'17.04'!$AY$4,'17.04'!$AY$3)),(VLOOKUP('17.04'!O52,'17.04'!$AM$4:$AO$55,2,FALSE))*IF('17.04'!$AK52="是",'17.04'!$AY$4,'17.04'!$AY$3))</f>
        <v>0</v>
      </c>
      <c r="H52" s="4">
        <f>IF(ISNUMBER(SEARCH("营",'17.04'!P52)),(-$Y52+50*IF('17.04'!$AK52="是",'17.04'!$AY$4,'17.04'!$AY$3)),(VLOOKUP('17.04'!P52,'17.04'!$AM$4:$AO$55,2,FALSE))*IF('17.04'!$AK52="是",'17.04'!$AY$4,'17.04'!$AY$3))</f>
        <v>0</v>
      </c>
      <c r="I52" s="4">
        <f>IF(ISNUMBER(SEARCH("营",'17.04'!Q52)),(-$Y52+50*IF('17.04'!$AK52="是",'17.04'!$AY$4,'17.04'!$AY$3)),(VLOOKUP('17.04'!Q52,'17.04'!$AM$4:$AO$55,2,FALSE))*IF('17.04'!$AK52="是",'17.04'!$AY$4,'17.04'!$AY$3))</f>
        <v>0</v>
      </c>
      <c r="J52" s="4">
        <f>IF(ISNUMBER(SEARCH("营",'17.04'!R52)),(-$Y52+50*IF('17.04'!$AK52="是",'17.04'!$AY$4,'17.04'!$AY$3)),(VLOOKUP('17.04'!R52,'17.04'!$AM$4:$AO$55,2,FALSE))*IF('17.04'!$AK52="是",'17.04'!$AY$4,'17.04'!$AY$3))</f>
        <v>0</v>
      </c>
      <c r="K52" s="4">
        <f>IF(ISNUMBER(SEARCH("营",'17.04'!S52)),(-$Y52+50*IF('17.04'!$AK52="是",'17.04'!$AY$4,'17.04'!$AY$3)),(VLOOKUP('17.04'!S52,'17.04'!$AM$4:$AO$55,2,FALSE))*IF('17.04'!$AK52="是",'17.04'!$AY$4,'17.04'!$AY$3))</f>
        <v>0</v>
      </c>
      <c r="L52" s="4">
        <f>IF(ISNUMBER(SEARCH("营",'17.04'!T52)),(-$Y52+50*IF('17.04'!$AK52="是",'17.04'!$AY$4,'17.04'!$AY$3)),(VLOOKUP('17.04'!T52,'17.04'!$AM$4:$AO$55,2,FALSE))*IF('17.04'!$AK52="是",'17.04'!$AY$4,'17.04'!$AY$3))</f>
        <v>0</v>
      </c>
      <c r="M52" s="4">
        <f>IF(ISNUMBER(SEARCH("营",'17.04'!U52)),(-$Y52+50*IF('17.04'!$AK52="是",'17.04'!$AY$4,'17.04'!$AY$3)),(VLOOKUP('17.04'!U52,'17.04'!$AM$4:$AO$55,2,FALSE))*IF('17.04'!$AK52="是",'17.04'!$AY$4,'17.04'!$AY$3))</f>
        <v>0</v>
      </c>
      <c r="N52" s="4">
        <f>IF(ISNUMBER(SEARCH("营",'17.04'!V52)),(-$Y52+50*IF('17.04'!$AK52="是",'17.04'!$AY$4,'17.04'!$AY$3)),(VLOOKUP('17.04'!V52,'17.04'!$AM$4:$AO$55,2,FALSE))*IF('17.04'!$AK52="是",'17.04'!$AY$4,'17.04'!$AY$3))</f>
        <v>0</v>
      </c>
      <c r="O52" s="4">
        <f>IF(ISNUMBER(SEARCH("营",'17.04'!W52)),(-$Y52+50*IF('17.04'!$AK52="是",'17.04'!$AY$4,'17.04'!$AY$3)),(VLOOKUP('17.04'!W52,'17.04'!$AM$4:$AO$55,2,FALSE))*IF('17.04'!$AK52="是",'17.04'!$AY$4,'17.04'!$AY$3))</f>
        <v>0</v>
      </c>
      <c r="P52" s="4">
        <f>IF(ISNUMBER(SEARCH("营",'17.04'!X52)),(-$Y52+50*IF('17.04'!$AK52="是",'17.04'!$AY$4,'17.04'!$AY$3)),(VLOOKUP('17.04'!X52,'17.04'!$AM$4:$AO$55,2,FALSE))*IF('17.04'!$AK52="是",'17.04'!$AY$4,'17.04'!$AY$3))</f>
        <v>0</v>
      </c>
      <c r="Q52" s="4">
        <f>IF(ISNUMBER(SEARCH("营",'17.04'!Y52)),(-$Y52+50*IF('17.04'!$AK52="是",'17.04'!$AY$4,'17.04'!$AY$3)),(VLOOKUP('17.04'!Y52,'17.04'!$AM$4:$AO$55,2,FALSE))*IF('17.04'!$AK52="是",'17.04'!$AY$4,'17.04'!$AY$3))</f>
        <v>0</v>
      </c>
      <c r="R52" s="4">
        <f>IF(ISNUMBER(SEARCH("营",'17.04'!Z52)),(-$Y52+50*IF('17.04'!$AK52="是",'17.04'!$AY$4,'17.04'!$AY$3)),(VLOOKUP('17.04'!Z52,'17.04'!$AM$4:$AO$55,2,FALSE))*IF('17.04'!$AK52="是",'17.04'!$AY$4,'17.04'!$AY$3))</f>
        <v>0</v>
      </c>
      <c r="S52" s="4">
        <f>IF(ISNUMBER(SEARCH("营",'17.04'!AA52)),(-$Y52+50*IF('17.04'!$AK52="是",'17.04'!$AY$4,'17.04'!$AY$3)),(VLOOKUP('17.04'!AA52,'17.04'!$AM$4:$AO$55,2,FALSE))*IF('17.04'!$AK52="是",'17.04'!$AY$4,'17.04'!$AY$3))</f>
        <v>0</v>
      </c>
      <c r="T52" s="4">
        <f>IF(ISNUMBER(SEARCH("营",'17.04'!AB52)),(-$Y52+50*IF('17.04'!$AK52="是",'17.04'!$AY$4,'17.04'!$AY$3)),(VLOOKUP('17.04'!AB52,'17.04'!$AM$4:$AO$55,2,FALSE))*IF('17.04'!$AK52="是",'17.04'!$AY$4,'17.04'!$AY$3))</f>
        <v>0</v>
      </c>
      <c r="U52" s="4">
        <f>IF(ISNUMBER(SEARCH("营",'17.04'!AC52)),(-$Y52+50*IF('17.04'!$AK52="是",'17.04'!$AY$4,'17.04'!$AY$3)),(VLOOKUP('17.04'!AC52,'17.04'!$AM$4:$AO$55,2,FALSE))*IF('17.04'!$AK52="是",'17.04'!$AY$4,'17.04'!$AY$3))</f>
        <v>0</v>
      </c>
      <c r="V52" s="4">
        <f>IF(ISNUMBER(SEARCH("营",'17.04'!AD52)),(-$Y52+50*IF('17.04'!$AK52="是",'17.04'!$AY$4,'17.04'!$AY$3)),(VLOOKUP('17.04'!AD52,'17.04'!$AM$4:$AO$55,2,FALSE))*IF('17.04'!$AK52="是",'17.04'!$AY$4,'17.04'!$AY$3))</f>
        <v>0</v>
      </c>
      <c r="W52" s="4">
        <f>IF(ISNUMBER(SEARCH("营",'17.04'!AE52)),(-$Y52+50*IF('17.04'!$AK52="是",'17.04'!$AY$4,'17.04'!$AY$3)),(VLOOKUP('17.04'!AE52,'17.04'!$AM$4:$AO$55,2,FALSE))*IF('17.04'!$AK52="是",'17.04'!$AY$4,'17.04'!$AY$3))</f>
        <v>0</v>
      </c>
      <c r="X52" s="4">
        <f>IF(ISNUMBER(SEARCH("营",'17.04'!AF52)),(-$Y52+50*IF('17.04'!$AK52="是",'17.04'!$AY$4,'17.04'!$AY$3)),(VLOOKUP('17.04'!AF52,'17.04'!$AM$4:$AO$55,2,FALSE))*IF('17.04'!$AK52="是",'17.04'!$AY$4,'17.04'!$AY$3))</f>
        <v>0</v>
      </c>
      <c r="Y52" s="90">
        <v>150</v>
      </c>
    </row>
    <row r="53" spans="1:25">
      <c r="A53" s="4">
        <f>IF(ISNUMBER(SEARCH("营",'17.04'!I53)),(-$Y53+50*IF('17.04'!$AK53="是",'17.04'!$AY$4,'17.04'!$AY$3)),(VLOOKUP('17.04'!I53,'17.04'!$AM$4:$AO$55,2,FALSE))*IF('17.04'!$AK53="是",'17.04'!$AY$4,'17.04'!$AY$3))</f>
        <v>0</v>
      </c>
      <c r="B53" s="4">
        <f>IF(ISNUMBER(SEARCH("营",'17.04'!J53)),(-$Y53+50*IF('17.04'!$AK53="是",'17.04'!$AY$4,'17.04'!$AY$3)),(VLOOKUP('17.04'!J53,'17.04'!$AM$4:$AO$55,2,FALSE))*IF('17.04'!$AK53="是",'17.04'!$AY$4,'17.04'!$AY$3))</f>
        <v>0</v>
      </c>
      <c r="C53" s="4">
        <f>IF(ISNUMBER(SEARCH("营",'17.04'!K53)),(-$Y53+50*IF('17.04'!$AK53="是",'17.04'!$AY$4,'17.04'!$AY$3)),(VLOOKUP('17.04'!K53,'17.04'!$AM$4:$AO$55,2,FALSE))*IF('17.04'!$AK53="是",'17.04'!$AY$4,'17.04'!$AY$3))</f>
        <v>0</v>
      </c>
      <c r="D53" s="4">
        <f>IF(ISNUMBER(SEARCH("营",'17.04'!L53)),(-$Y53+50*IF('17.04'!$AK53="是",'17.04'!$AY$4,'17.04'!$AY$3)),(VLOOKUP('17.04'!L53,'17.04'!$AM$4:$AO$55,2,FALSE))*IF('17.04'!$AK53="是",'17.04'!$AY$4,'17.04'!$AY$3))</f>
        <v>0</v>
      </c>
      <c r="E53" s="4">
        <f>IF(ISNUMBER(SEARCH("营",'17.04'!M53)),(-$Y53+50*IF('17.04'!$AK53="是",'17.04'!$AY$4,'17.04'!$AY$3)),(VLOOKUP('17.04'!M53,'17.04'!$AM$4:$AO$55,2,FALSE))*IF('17.04'!$AK53="是",'17.04'!$AY$4,'17.04'!$AY$3))</f>
        <v>0</v>
      </c>
      <c r="F53" s="4">
        <f>IF(ISNUMBER(SEARCH("营",'17.04'!N53)),(-$Y53+50*IF('17.04'!$AK53="是",'17.04'!$AY$4,'17.04'!$AY$3)),(VLOOKUP('17.04'!N53,'17.04'!$AM$4:$AO$55,2,FALSE))*IF('17.04'!$AK53="是",'17.04'!$AY$4,'17.04'!$AY$3))</f>
        <v>0</v>
      </c>
      <c r="G53" s="4">
        <f>IF(ISNUMBER(SEARCH("营",'17.04'!O53)),(-$Y53+50*IF('17.04'!$AK53="是",'17.04'!$AY$4,'17.04'!$AY$3)),(VLOOKUP('17.04'!O53,'17.04'!$AM$4:$AO$55,2,FALSE))*IF('17.04'!$AK53="是",'17.04'!$AY$4,'17.04'!$AY$3))</f>
        <v>0</v>
      </c>
      <c r="H53" s="4">
        <f>IF(ISNUMBER(SEARCH("营",'17.04'!P53)),(-$Y53+50*IF('17.04'!$AK53="是",'17.04'!$AY$4,'17.04'!$AY$3)),(VLOOKUP('17.04'!P53,'17.04'!$AM$4:$AO$55,2,FALSE))*IF('17.04'!$AK53="是",'17.04'!$AY$4,'17.04'!$AY$3))</f>
        <v>0</v>
      </c>
      <c r="I53" s="4">
        <f>IF(ISNUMBER(SEARCH("营",'17.04'!Q53)),(-$Y53+50*IF('17.04'!$AK53="是",'17.04'!$AY$4,'17.04'!$AY$3)),(VLOOKUP('17.04'!Q53,'17.04'!$AM$4:$AO$55,2,FALSE))*IF('17.04'!$AK53="是",'17.04'!$AY$4,'17.04'!$AY$3))</f>
        <v>0</v>
      </c>
      <c r="J53" s="4">
        <f>IF(ISNUMBER(SEARCH("营",'17.04'!R53)),(-$Y53+50*IF('17.04'!$AK53="是",'17.04'!$AY$4,'17.04'!$AY$3)),(VLOOKUP('17.04'!R53,'17.04'!$AM$4:$AO$55,2,FALSE))*IF('17.04'!$AK53="是",'17.04'!$AY$4,'17.04'!$AY$3))</f>
        <v>0</v>
      </c>
      <c r="K53" s="4">
        <f>IF(ISNUMBER(SEARCH("营",'17.04'!S53)),(-$Y53+50*IF('17.04'!$AK53="是",'17.04'!$AY$4,'17.04'!$AY$3)),(VLOOKUP('17.04'!S53,'17.04'!$AM$4:$AO$55,2,FALSE))*IF('17.04'!$AK53="是",'17.04'!$AY$4,'17.04'!$AY$3))</f>
        <v>0</v>
      </c>
      <c r="L53" s="4">
        <f>IF(ISNUMBER(SEARCH("营",'17.04'!T53)),(-$Y53+50*IF('17.04'!$AK53="是",'17.04'!$AY$4,'17.04'!$AY$3)),(VLOOKUP('17.04'!T53,'17.04'!$AM$4:$AO$55,2,FALSE))*IF('17.04'!$AK53="是",'17.04'!$AY$4,'17.04'!$AY$3))</f>
        <v>0</v>
      </c>
      <c r="M53" s="4">
        <f>IF(ISNUMBER(SEARCH("营",'17.04'!U53)),(-$Y53+50*IF('17.04'!$AK53="是",'17.04'!$AY$4,'17.04'!$AY$3)),(VLOOKUP('17.04'!U53,'17.04'!$AM$4:$AO$55,2,FALSE))*IF('17.04'!$AK53="是",'17.04'!$AY$4,'17.04'!$AY$3))</f>
        <v>0</v>
      </c>
      <c r="N53" s="4">
        <f>IF(ISNUMBER(SEARCH("营",'17.04'!V53)),(-$Y53+50*IF('17.04'!$AK53="是",'17.04'!$AY$4,'17.04'!$AY$3)),(VLOOKUP('17.04'!V53,'17.04'!$AM$4:$AO$55,2,FALSE))*IF('17.04'!$AK53="是",'17.04'!$AY$4,'17.04'!$AY$3))</f>
        <v>0</v>
      </c>
      <c r="O53" s="4">
        <f>IF(ISNUMBER(SEARCH("营",'17.04'!W53)),(-$Y53+50*IF('17.04'!$AK53="是",'17.04'!$AY$4,'17.04'!$AY$3)),(VLOOKUP('17.04'!W53,'17.04'!$AM$4:$AO$55,2,FALSE))*IF('17.04'!$AK53="是",'17.04'!$AY$4,'17.04'!$AY$3))</f>
        <v>0</v>
      </c>
      <c r="P53" s="4">
        <f>IF(ISNUMBER(SEARCH("营",'17.04'!X53)),(-$Y53+50*IF('17.04'!$AK53="是",'17.04'!$AY$4,'17.04'!$AY$3)),(VLOOKUP('17.04'!X53,'17.04'!$AM$4:$AO$55,2,FALSE))*IF('17.04'!$AK53="是",'17.04'!$AY$4,'17.04'!$AY$3))</f>
        <v>0</v>
      </c>
      <c r="Q53" s="4">
        <f>IF(ISNUMBER(SEARCH("营",'17.04'!Y53)),(-$Y53+50*IF('17.04'!$AK53="是",'17.04'!$AY$4,'17.04'!$AY$3)),(VLOOKUP('17.04'!Y53,'17.04'!$AM$4:$AO$55,2,FALSE))*IF('17.04'!$AK53="是",'17.04'!$AY$4,'17.04'!$AY$3))</f>
        <v>0</v>
      </c>
      <c r="R53" s="4">
        <f>IF(ISNUMBER(SEARCH("营",'17.04'!Z53)),(-$Y53+50*IF('17.04'!$AK53="是",'17.04'!$AY$4,'17.04'!$AY$3)),(VLOOKUP('17.04'!Z53,'17.04'!$AM$4:$AO$55,2,FALSE))*IF('17.04'!$AK53="是",'17.04'!$AY$4,'17.04'!$AY$3))</f>
        <v>0</v>
      </c>
      <c r="S53" s="4">
        <f>IF(ISNUMBER(SEARCH("营",'17.04'!AA53)),(-$Y53+50*IF('17.04'!$AK53="是",'17.04'!$AY$4,'17.04'!$AY$3)),(VLOOKUP('17.04'!AA53,'17.04'!$AM$4:$AO$55,2,FALSE))*IF('17.04'!$AK53="是",'17.04'!$AY$4,'17.04'!$AY$3))</f>
        <v>0</v>
      </c>
      <c r="T53" s="4">
        <f>IF(ISNUMBER(SEARCH("营",'17.04'!AB53)),(-$Y53+50*IF('17.04'!$AK53="是",'17.04'!$AY$4,'17.04'!$AY$3)),(VLOOKUP('17.04'!AB53,'17.04'!$AM$4:$AO$55,2,FALSE))*IF('17.04'!$AK53="是",'17.04'!$AY$4,'17.04'!$AY$3))</f>
        <v>0</v>
      </c>
      <c r="U53" s="4">
        <f>IF(ISNUMBER(SEARCH("营",'17.04'!AC53)),(-$Y53+50*IF('17.04'!$AK53="是",'17.04'!$AY$4,'17.04'!$AY$3)),(VLOOKUP('17.04'!AC53,'17.04'!$AM$4:$AO$55,2,FALSE))*IF('17.04'!$AK53="是",'17.04'!$AY$4,'17.04'!$AY$3))</f>
        <v>0</v>
      </c>
      <c r="V53" s="4">
        <f>IF(ISNUMBER(SEARCH("营",'17.04'!AD53)),(-$Y53+50*IF('17.04'!$AK53="是",'17.04'!$AY$4,'17.04'!$AY$3)),(VLOOKUP('17.04'!AD53,'17.04'!$AM$4:$AO$55,2,FALSE))*IF('17.04'!$AK53="是",'17.04'!$AY$4,'17.04'!$AY$3))</f>
        <v>0</v>
      </c>
      <c r="W53" s="4">
        <f>IF(ISNUMBER(SEARCH("营",'17.04'!AE53)),(-$Y53+50*IF('17.04'!$AK53="是",'17.04'!$AY$4,'17.04'!$AY$3)),(VLOOKUP('17.04'!AE53,'17.04'!$AM$4:$AO$55,2,FALSE))*IF('17.04'!$AK53="是",'17.04'!$AY$4,'17.04'!$AY$3))</f>
        <v>0</v>
      </c>
      <c r="X53" s="4">
        <f>IF(ISNUMBER(SEARCH("营",'17.04'!AF53)),(-$Y53+50*IF('17.04'!$AK53="是",'17.04'!$AY$4,'17.04'!$AY$3)),(VLOOKUP('17.04'!AF53,'17.04'!$AM$4:$AO$55,2,FALSE))*IF('17.04'!$AK53="是",'17.04'!$AY$4,'17.04'!$AY$3))</f>
        <v>0</v>
      </c>
      <c r="Y53" s="90">
        <v>150</v>
      </c>
    </row>
    <row r="54" spans="1:25">
      <c r="A54" s="4">
        <f>IF(ISNUMBER(SEARCH("营",'17.04'!I54)),(-$Y54+50*IF('17.04'!$AK54="是",'17.04'!$AY$4,'17.04'!$AY$3)),(VLOOKUP('17.04'!I54,'17.04'!$AM$4:$AO$55,2,FALSE))*IF('17.04'!$AK54="是",'17.04'!$AY$4,'17.04'!$AY$3))</f>
        <v>0</v>
      </c>
      <c r="B54" s="4">
        <f>IF(ISNUMBER(SEARCH("营",'17.04'!J54)),(-$Y54+50*IF('17.04'!$AK54="是",'17.04'!$AY$4,'17.04'!$AY$3)),(VLOOKUP('17.04'!J54,'17.04'!$AM$4:$AO$55,2,FALSE))*IF('17.04'!$AK54="是",'17.04'!$AY$4,'17.04'!$AY$3))</f>
        <v>0</v>
      </c>
      <c r="C54" s="4">
        <f>IF(ISNUMBER(SEARCH("营",'17.04'!K54)),(-$Y54+50*IF('17.04'!$AK54="是",'17.04'!$AY$4,'17.04'!$AY$3)),(VLOOKUP('17.04'!K54,'17.04'!$AM$4:$AO$55,2,FALSE))*IF('17.04'!$AK54="是",'17.04'!$AY$4,'17.04'!$AY$3))</f>
        <v>0</v>
      </c>
      <c r="D54" s="4">
        <f>IF(ISNUMBER(SEARCH("营",'17.04'!L54)),(-$Y54+50*IF('17.04'!$AK54="是",'17.04'!$AY$4,'17.04'!$AY$3)),(VLOOKUP('17.04'!L54,'17.04'!$AM$4:$AO$55,2,FALSE))*IF('17.04'!$AK54="是",'17.04'!$AY$4,'17.04'!$AY$3))</f>
        <v>0</v>
      </c>
      <c r="E54" s="4">
        <f>IF(ISNUMBER(SEARCH("营",'17.04'!M54)),(-$Y54+50*IF('17.04'!$AK54="是",'17.04'!$AY$4,'17.04'!$AY$3)),(VLOOKUP('17.04'!M54,'17.04'!$AM$4:$AO$55,2,FALSE))*IF('17.04'!$AK54="是",'17.04'!$AY$4,'17.04'!$AY$3))</f>
        <v>0</v>
      </c>
      <c r="F54" s="4">
        <f>IF(ISNUMBER(SEARCH("营",'17.04'!N54)),(-$Y54+50*IF('17.04'!$AK54="是",'17.04'!$AY$4,'17.04'!$AY$3)),(VLOOKUP('17.04'!N54,'17.04'!$AM$4:$AO$55,2,FALSE))*IF('17.04'!$AK54="是",'17.04'!$AY$4,'17.04'!$AY$3))</f>
        <v>0</v>
      </c>
      <c r="G54" s="4">
        <f>IF(ISNUMBER(SEARCH("营",'17.04'!O54)),(-$Y54+50*IF('17.04'!$AK54="是",'17.04'!$AY$4,'17.04'!$AY$3)),(VLOOKUP('17.04'!O54,'17.04'!$AM$4:$AO$55,2,FALSE))*IF('17.04'!$AK54="是",'17.04'!$AY$4,'17.04'!$AY$3))</f>
        <v>0</v>
      </c>
      <c r="H54" s="4">
        <f>IF(ISNUMBER(SEARCH("营",'17.04'!P54)),(-$Y54+50*IF('17.04'!$AK54="是",'17.04'!$AY$4,'17.04'!$AY$3)),(VLOOKUP('17.04'!P54,'17.04'!$AM$4:$AO$55,2,FALSE))*IF('17.04'!$AK54="是",'17.04'!$AY$4,'17.04'!$AY$3))</f>
        <v>0</v>
      </c>
      <c r="I54" s="4">
        <f>IF(ISNUMBER(SEARCH("营",'17.04'!Q54)),(-$Y54+50*IF('17.04'!$AK54="是",'17.04'!$AY$4,'17.04'!$AY$3)),(VLOOKUP('17.04'!Q54,'17.04'!$AM$4:$AO$55,2,FALSE))*IF('17.04'!$AK54="是",'17.04'!$AY$4,'17.04'!$AY$3))</f>
        <v>0</v>
      </c>
      <c r="J54" s="4">
        <f>IF(ISNUMBER(SEARCH("营",'17.04'!R54)),(-$Y54+50*IF('17.04'!$AK54="是",'17.04'!$AY$4,'17.04'!$AY$3)),(VLOOKUP('17.04'!R54,'17.04'!$AM$4:$AO$55,2,FALSE))*IF('17.04'!$AK54="是",'17.04'!$AY$4,'17.04'!$AY$3))</f>
        <v>0</v>
      </c>
      <c r="K54" s="4">
        <f>IF(ISNUMBER(SEARCH("营",'17.04'!S54)),(-$Y54+50*IF('17.04'!$AK54="是",'17.04'!$AY$4,'17.04'!$AY$3)),(VLOOKUP('17.04'!S54,'17.04'!$AM$4:$AO$55,2,FALSE))*IF('17.04'!$AK54="是",'17.04'!$AY$4,'17.04'!$AY$3))</f>
        <v>0</v>
      </c>
      <c r="L54" s="4">
        <f>IF(ISNUMBER(SEARCH("营",'17.04'!T54)),(-$Y54+50*IF('17.04'!$AK54="是",'17.04'!$AY$4,'17.04'!$AY$3)),(VLOOKUP('17.04'!T54,'17.04'!$AM$4:$AO$55,2,FALSE))*IF('17.04'!$AK54="是",'17.04'!$AY$4,'17.04'!$AY$3))</f>
        <v>0</v>
      </c>
      <c r="M54" s="4">
        <f>IF(ISNUMBER(SEARCH("营",'17.04'!U54)),(-$Y54+50*IF('17.04'!$AK54="是",'17.04'!$AY$4,'17.04'!$AY$3)),(VLOOKUP('17.04'!U54,'17.04'!$AM$4:$AO$55,2,FALSE))*IF('17.04'!$AK54="是",'17.04'!$AY$4,'17.04'!$AY$3))</f>
        <v>0</v>
      </c>
      <c r="N54" s="4">
        <f>IF(ISNUMBER(SEARCH("营",'17.04'!V54)),(-$Y54+50*IF('17.04'!$AK54="是",'17.04'!$AY$4,'17.04'!$AY$3)),(VLOOKUP('17.04'!V54,'17.04'!$AM$4:$AO$55,2,FALSE))*IF('17.04'!$AK54="是",'17.04'!$AY$4,'17.04'!$AY$3))</f>
        <v>0</v>
      </c>
      <c r="O54" s="4">
        <f>IF(ISNUMBER(SEARCH("营",'17.04'!W54)),(-$Y54+50*IF('17.04'!$AK54="是",'17.04'!$AY$4,'17.04'!$AY$3)),(VLOOKUP('17.04'!W54,'17.04'!$AM$4:$AO$55,2,FALSE))*IF('17.04'!$AK54="是",'17.04'!$AY$4,'17.04'!$AY$3))</f>
        <v>0</v>
      </c>
      <c r="P54" s="4">
        <f>IF(ISNUMBER(SEARCH("营",'17.04'!X54)),(-$Y54+50*IF('17.04'!$AK54="是",'17.04'!$AY$4,'17.04'!$AY$3)),(VLOOKUP('17.04'!X54,'17.04'!$AM$4:$AO$55,2,FALSE))*IF('17.04'!$AK54="是",'17.04'!$AY$4,'17.04'!$AY$3))</f>
        <v>0</v>
      </c>
      <c r="Q54" s="4">
        <f>IF(ISNUMBER(SEARCH("营",'17.04'!Y54)),(-$Y54+50*IF('17.04'!$AK54="是",'17.04'!$AY$4,'17.04'!$AY$3)),(VLOOKUP('17.04'!Y54,'17.04'!$AM$4:$AO$55,2,FALSE))*IF('17.04'!$AK54="是",'17.04'!$AY$4,'17.04'!$AY$3))</f>
        <v>0</v>
      </c>
      <c r="R54" s="4">
        <f>IF(ISNUMBER(SEARCH("营",'17.04'!Z54)),(-$Y54+50*IF('17.04'!$AK54="是",'17.04'!$AY$4,'17.04'!$AY$3)),(VLOOKUP('17.04'!Z54,'17.04'!$AM$4:$AO$55,2,FALSE))*IF('17.04'!$AK54="是",'17.04'!$AY$4,'17.04'!$AY$3))</f>
        <v>0</v>
      </c>
      <c r="S54" s="4">
        <f>IF(ISNUMBER(SEARCH("营",'17.04'!AA54)),(-$Y54+50*IF('17.04'!$AK54="是",'17.04'!$AY$4,'17.04'!$AY$3)),(VLOOKUP('17.04'!AA54,'17.04'!$AM$4:$AO$55,2,FALSE))*IF('17.04'!$AK54="是",'17.04'!$AY$4,'17.04'!$AY$3))</f>
        <v>0</v>
      </c>
      <c r="T54" s="4">
        <f>IF(ISNUMBER(SEARCH("营",'17.04'!AB54)),(-$Y54+50*IF('17.04'!$AK54="是",'17.04'!$AY$4,'17.04'!$AY$3)),(VLOOKUP('17.04'!AB54,'17.04'!$AM$4:$AO$55,2,FALSE))*IF('17.04'!$AK54="是",'17.04'!$AY$4,'17.04'!$AY$3))</f>
        <v>0</v>
      </c>
      <c r="U54" s="4">
        <f>IF(ISNUMBER(SEARCH("营",'17.04'!AC54)),(-$Y54+50*IF('17.04'!$AK54="是",'17.04'!$AY$4,'17.04'!$AY$3)),(VLOOKUP('17.04'!AC54,'17.04'!$AM$4:$AO$55,2,FALSE))*IF('17.04'!$AK54="是",'17.04'!$AY$4,'17.04'!$AY$3))</f>
        <v>0</v>
      </c>
      <c r="V54" s="4">
        <f>IF(ISNUMBER(SEARCH("营",'17.04'!AD54)),(-$Y54+50*IF('17.04'!$AK54="是",'17.04'!$AY$4,'17.04'!$AY$3)),(VLOOKUP('17.04'!AD54,'17.04'!$AM$4:$AO$55,2,FALSE))*IF('17.04'!$AK54="是",'17.04'!$AY$4,'17.04'!$AY$3))</f>
        <v>0</v>
      </c>
      <c r="W54" s="4">
        <f>IF(ISNUMBER(SEARCH("营",'17.04'!AE54)),(-$Y54+50*IF('17.04'!$AK54="是",'17.04'!$AY$4,'17.04'!$AY$3)),(VLOOKUP('17.04'!AE54,'17.04'!$AM$4:$AO$55,2,FALSE))*IF('17.04'!$AK54="是",'17.04'!$AY$4,'17.04'!$AY$3))</f>
        <v>0</v>
      </c>
      <c r="X54" s="4">
        <f>IF(ISNUMBER(SEARCH("营",'17.04'!AF54)),(-$Y54+50*IF('17.04'!$AK54="是",'17.04'!$AY$4,'17.04'!$AY$3)),(VLOOKUP('17.04'!AF54,'17.04'!$AM$4:$AO$55,2,FALSE))*IF('17.04'!$AK54="是",'17.04'!$AY$4,'17.04'!$AY$3))</f>
        <v>0</v>
      </c>
      <c r="Y54" s="90">
        <v>150</v>
      </c>
    </row>
    <row r="55" spans="1:25">
      <c r="A55" s="4">
        <f>IF(ISNUMBER(SEARCH("营",'17.04'!I55)),(-$Y55+50*IF('17.04'!$AK55="是",'17.04'!$AY$4,'17.04'!$AY$3)),(VLOOKUP('17.04'!I55,'17.04'!$AM$4:$AO$55,2,FALSE))*IF('17.04'!$AK55="是",'17.04'!$AY$4,'17.04'!$AY$3))</f>
        <v>0</v>
      </c>
      <c r="B55" s="4">
        <f>IF(ISNUMBER(SEARCH("营",'17.04'!J55)),(-$Y55+50*IF('17.04'!$AK55="是",'17.04'!$AY$4,'17.04'!$AY$3)),(VLOOKUP('17.04'!J55,'17.04'!$AM$4:$AO$55,2,FALSE))*IF('17.04'!$AK55="是",'17.04'!$AY$4,'17.04'!$AY$3))</f>
        <v>0</v>
      </c>
      <c r="C55" s="4">
        <f>IF(ISNUMBER(SEARCH("营",'17.04'!K55)),(-$Y55+50*IF('17.04'!$AK55="是",'17.04'!$AY$4,'17.04'!$AY$3)),(VLOOKUP('17.04'!K55,'17.04'!$AM$4:$AO$55,2,FALSE))*IF('17.04'!$AK55="是",'17.04'!$AY$4,'17.04'!$AY$3))</f>
        <v>0</v>
      </c>
      <c r="D55" s="4">
        <f>IF(ISNUMBER(SEARCH("营",'17.04'!L55)),(-$Y55+50*IF('17.04'!$AK55="是",'17.04'!$AY$4,'17.04'!$AY$3)),(VLOOKUP('17.04'!L55,'17.04'!$AM$4:$AO$55,2,FALSE))*IF('17.04'!$AK55="是",'17.04'!$AY$4,'17.04'!$AY$3))</f>
        <v>0</v>
      </c>
      <c r="E55" s="4">
        <f>IF(ISNUMBER(SEARCH("营",'17.04'!M55)),(-$Y55+50*IF('17.04'!$AK55="是",'17.04'!$AY$4,'17.04'!$AY$3)),(VLOOKUP('17.04'!M55,'17.04'!$AM$4:$AO$55,2,FALSE))*IF('17.04'!$AK55="是",'17.04'!$AY$4,'17.04'!$AY$3))</f>
        <v>0</v>
      </c>
      <c r="F55" s="4">
        <f>IF(ISNUMBER(SEARCH("营",'17.04'!N55)),(-$Y55+50*IF('17.04'!$AK55="是",'17.04'!$AY$4,'17.04'!$AY$3)),(VLOOKUP('17.04'!N55,'17.04'!$AM$4:$AO$55,2,FALSE))*IF('17.04'!$AK55="是",'17.04'!$AY$4,'17.04'!$AY$3))</f>
        <v>0</v>
      </c>
      <c r="G55" s="4">
        <f>IF(ISNUMBER(SEARCH("营",'17.04'!O55)),(-$Y55+50*IF('17.04'!$AK55="是",'17.04'!$AY$4,'17.04'!$AY$3)),(VLOOKUP('17.04'!O55,'17.04'!$AM$4:$AO$55,2,FALSE))*IF('17.04'!$AK55="是",'17.04'!$AY$4,'17.04'!$AY$3))</f>
        <v>0</v>
      </c>
      <c r="H55" s="4">
        <f>IF(ISNUMBER(SEARCH("营",'17.04'!P55)),(-$Y55+50*IF('17.04'!$AK55="是",'17.04'!$AY$4,'17.04'!$AY$3)),(VLOOKUP('17.04'!P55,'17.04'!$AM$4:$AO$55,2,FALSE))*IF('17.04'!$AK55="是",'17.04'!$AY$4,'17.04'!$AY$3))</f>
        <v>0</v>
      </c>
      <c r="I55" s="4">
        <f>IF(ISNUMBER(SEARCH("营",'17.04'!Q55)),(-$Y55+50*IF('17.04'!$AK55="是",'17.04'!$AY$4,'17.04'!$AY$3)),(VLOOKUP('17.04'!Q55,'17.04'!$AM$4:$AO$55,2,FALSE))*IF('17.04'!$AK55="是",'17.04'!$AY$4,'17.04'!$AY$3))</f>
        <v>0</v>
      </c>
      <c r="J55" s="4">
        <f>IF(ISNUMBER(SEARCH("营",'17.04'!R55)),(-$Y55+50*IF('17.04'!$AK55="是",'17.04'!$AY$4,'17.04'!$AY$3)),(VLOOKUP('17.04'!R55,'17.04'!$AM$4:$AO$55,2,FALSE))*IF('17.04'!$AK55="是",'17.04'!$AY$4,'17.04'!$AY$3))</f>
        <v>0</v>
      </c>
      <c r="K55" s="4">
        <f>IF(ISNUMBER(SEARCH("营",'17.04'!S55)),(-$Y55+50*IF('17.04'!$AK55="是",'17.04'!$AY$4,'17.04'!$AY$3)),(VLOOKUP('17.04'!S55,'17.04'!$AM$4:$AO$55,2,FALSE))*IF('17.04'!$AK55="是",'17.04'!$AY$4,'17.04'!$AY$3))</f>
        <v>0</v>
      </c>
      <c r="L55" s="4">
        <f>IF(ISNUMBER(SEARCH("营",'17.04'!T55)),(-$Y55+50*IF('17.04'!$AK55="是",'17.04'!$AY$4,'17.04'!$AY$3)),(VLOOKUP('17.04'!T55,'17.04'!$AM$4:$AO$55,2,FALSE))*IF('17.04'!$AK55="是",'17.04'!$AY$4,'17.04'!$AY$3))</f>
        <v>0</v>
      </c>
      <c r="M55" s="4">
        <f>IF(ISNUMBER(SEARCH("营",'17.04'!U55)),(-$Y55+50*IF('17.04'!$AK55="是",'17.04'!$AY$4,'17.04'!$AY$3)),(VLOOKUP('17.04'!U55,'17.04'!$AM$4:$AO$55,2,FALSE))*IF('17.04'!$AK55="是",'17.04'!$AY$4,'17.04'!$AY$3))</f>
        <v>0</v>
      </c>
      <c r="N55" s="4">
        <f>IF(ISNUMBER(SEARCH("营",'17.04'!V55)),(-$Y55+50*IF('17.04'!$AK55="是",'17.04'!$AY$4,'17.04'!$AY$3)),(VLOOKUP('17.04'!V55,'17.04'!$AM$4:$AO$55,2,FALSE))*IF('17.04'!$AK55="是",'17.04'!$AY$4,'17.04'!$AY$3))</f>
        <v>0</v>
      </c>
      <c r="O55" s="4">
        <f>IF(ISNUMBER(SEARCH("营",'17.04'!W55)),(-$Y55+50*IF('17.04'!$AK55="是",'17.04'!$AY$4,'17.04'!$AY$3)),(VLOOKUP('17.04'!W55,'17.04'!$AM$4:$AO$55,2,FALSE))*IF('17.04'!$AK55="是",'17.04'!$AY$4,'17.04'!$AY$3))</f>
        <v>0</v>
      </c>
      <c r="P55" s="4">
        <f>IF(ISNUMBER(SEARCH("营",'17.04'!X55)),(-$Y55+50*IF('17.04'!$AK55="是",'17.04'!$AY$4,'17.04'!$AY$3)),(VLOOKUP('17.04'!X55,'17.04'!$AM$4:$AO$55,2,FALSE))*IF('17.04'!$AK55="是",'17.04'!$AY$4,'17.04'!$AY$3))</f>
        <v>0</v>
      </c>
      <c r="Q55" s="4">
        <f>IF(ISNUMBER(SEARCH("营",'17.04'!Y55)),(-$Y55+50*IF('17.04'!$AK55="是",'17.04'!$AY$4,'17.04'!$AY$3)),(VLOOKUP('17.04'!Y55,'17.04'!$AM$4:$AO$55,2,FALSE))*IF('17.04'!$AK55="是",'17.04'!$AY$4,'17.04'!$AY$3))</f>
        <v>0</v>
      </c>
      <c r="R55" s="4">
        <f>IF(ISNUMBER(SEARCH("营",'17.04'!Z55)),(-$Y55+50*IF('17.04'!$AK55="是",'17.04'!$AY$4,'17.04'!$AY$3)),(VLOOKUP('17.04'!Z55,'17.04'!$AM$4:$AO$55,2,FALSE))*IF('17.04'!$AK55="是",'17.04'!$AY$4,'17.04'!$AY$3))</f>
        <v>0</v>
      </c>
      <c r="S55" s="4">
        <f>IF(ISNUMBER(SEARCH("营",'17.04'!AA55)),(-$Y55+50*IF('17.04'!$AK55="是",'17.04'!$AY$4,'17.04'!$AY$3)),(VLOOKUP('17.04'!AA55,'17.04'!$AM$4:$AO$55,2,FALSE))*IF('17.04'!$AK55="是",'17.04'!$AY$4,'17.04'!$AY$3))</f>
        <v>0</v>
      </c>
      <c r="T55" s="4">
        <f>IF(ISNUMBER(SEARCH("营",'17.04'!AB55)),(-$Y55+50*IF('17.04'!$AK55="是",'17.04'!$AY$4,'17.04'!$AY$3)),(VLOOKUP('17.04'!AB55,'17.04'!$AM$4:$AO$55,2,FALSE))*IF('17.04'!$AK55="是",'17.04'!$AY$4,'17.04'!$AY$3))</f>
        <v>0</v>
      </c>
      <c r="U55" s="4">
        <f>IF(ISNUMBER(SEARCH("营",'17.04'!AC55)),(-$Y55+50*IF('17.04'!$AK55="是",'17.04'!$AY$4,'17.04'!$AY$3)),(VLOOKUP('17.04'!AC55,'17.04'!$AM$4:$AO$55,2,FALSE))*IF('17.04'!$AK55="是",'17.04'!$AY$4,'17.04'!$AY$3))</f>
        <v>0</v>
      </c>
      <c r="V55" s="4">
        <f>IF(ISNUMBER(SEARCH("营",'17.04'!AD55)),(-$Y55+50*IF('17.04'!$AK55="是",'17.04'!$AY$4,'17.04'!$AY$3)),(VLOOKUP('17.04'!AD55,'17.04'!$AM$4:$AO$55,2,FALSE))*IF('17.04'!$AK55="是",'17.04'!$AY$4,'17.04'!$AY$3))</f>
        <v>0</v>
      </c>
      <c r="W55" s="4">
        <f>IF(ISNUMBER(SEARCH("营",'17.04'!AE55)),(-$Y55+50*IF('17.04'!$AK55="是",'17.04'!$AY$4,'17.04'!$AY$3)),(VLOOKUP('17.04'!AE55,'17.04'!$AM$4:$AO$55,2,FALSE))*IF('17.04'!$AK55="是",'17.04'!$AY$4,'17.04'!$AY$3))</f>
        <v>0</v>
      </c>
      <c r="X55" s="4">
        <f>IF(ISNUMBER(SEARCH("营",'17.04'!AF55)),(-$Y55+50*IF('17.04'!$AK55="是",'17.04'!$AY$4,'17.04'!$AY$3)),(VLOOKUP('17.04'!AF55,'17.04'!$AM$4:$AO$55,2,FALSE))*IF('17.04'!$AK55="是",'17.04'!$AY$4,'17.04'!$AY$3))</f>
        <v>0</v>
      </c>
      <c r="Y55" s="90">
        <v>150</v>
      </c>
    </row>
    <row r="56" spans="1:25">
      <c r="A56" s="4">
        <f>IF(ISNUMBER(SEARCH("营",'17.04'!I56)),(-$Y56+50*IF('17.04'!$AK56="是",'17.04'!$AY$4,'17.04'!$AY$3)),(VLOOKUP('17.04'!I56,'17.04'!$AM$4:$AO$55,2,FALSE))*IF('17.04'!$AK56="是",'17.04'!$AY$4,'17.04'!$AY$3))</f>
        <v>0</v>
      </c>
      <c r="B56" s="4">
        <f>IF(ISNUMBER(SEARCH("营",'17.04'!J56)),(-$Y56+50*IF('17.04'!$AK56="是",'17.04'!$AY$4,'17.04'!$AY$3)),(VLOOKUP('17.04'!J56,'17.04'!$AM$4:$AO$55,2,FALSE))*IF('17.04'!$AK56="是",'17.04'!$AY$4,'17.04'!$AY$3))</f>
        <v>0</v>
      </c>
      <c r="C56" s="4">
        <f>IF(ISNUMBER(SEARCH("营",'17.04'!K56)),(-$Y56+50*IF('17.04'!$AK56="是",'17.04'!$AY$4,'17.04'!$AY$3)),(VLOOKUP('17.04'!K56,'17.04'!$AM$4:$AO$55,2,FALSE))*IF('17.04'!$AK56="是",'17.04'!$AY$4,'17.04'!$AY$3))</f>
        <v>0</v>
      </c>
      <c r="D56" s="4">
        <f>IF(ISNUMBER(SEARCH("营",'17.04'!L56)),(-$Y56+50*IF('17.04'!$AK56="是",'17.04'!$AY$4,'17.04'!$AY$3)),(VLOOKUP('17.04'!L56,'17.04'!$AM$4:$AO$55,2,FALSE))*IF('17.04'!$AK56="是",'17.04'!$AY$4,'17.04'!$AY$3))</f>
        <v>0</v>
      </c>
      <c r="E56" s="4">
        <f>IF(ISNUMBER(SEARCH("营",'17.04'!M56)),(-$Y56+50*IF('17.04'!$AK56="是",'17.04'!$AY$4,'17.04'!$AY$3)),(VLOOKUP('17.04'!M56,'17.04'!$AM$4:$AO$55,2,FALSE))*IF('17.04'!$AK56="是",'17.04'!$AY$4,'17.04'!$AY$3))</f>
        <v>0</v>
      </c>
      <c r="F56" s="4">
        <f>IF(ISNUMBER(SEARCH("营",'17.04'!N56)),(-$Y56+50*IF('17.04'!$AK56="是",'17.04'!$AY$4,'17.04'!$AY$3)),(VLOOKUP('17.04'!N56,'17.04'!$AM$4:$AO$55,2,FALSE))*IF('17.04'!$AK56="是",'17.04'!$AY$4,'17.04'!$AY$3))</f>
        <v>0</v>
      </c>
      <c r="G56" s="4">
        <f>IF(ISNUMBER(SEARCH("营",'17.04'!O56)),(-$Y56+50*IF('17.04'!$AK56="是",'17.04'!$AY$4,'17.04'!$AY$3)),(VLOOKUP('17.04'!O56,'17.04'!$AM$4:$AO$55,2,FALSE))*IF('17.04'!$AK56="是",'17.04'!$AY$4,'17.04'!$AY$3))</f>
        <v>0</v>
      </c>
      <c r="H56" s="4">
        <f>IF(ISNUMBER(SEARCH("营",'17.04'!P56)),(-$Y56+50*IF('17.04'!$AK56="是",'17.04'!$AY$4,'17.04'!$AY$3)),(VLOOKUP('17.04'!P56,'17.04'!$AM$4:$AO$55,2,FALSE))*IF('17.04'!$AK56="是",'17.04'!$AY$4,'17.04'!$AY$3))</f>
        <v>0</v>
      </c>
      <c r="I56" s="4">
        <f>IF(ISNUMBER(SEARCH("营",'17.04'!Q56)),(-$Y56+50*IF('17.04'!$AK56="是",'17.04'!$AY$4,'17.04'!$AY$3)),(VLOOKUP('17.04'!Q56,'17.04'!$AM$4:$AO$55,2,FALSE))*IF('17.04'!$AK56="是",'17.04'!$AY$4,'17.04'!$AY$3))</f>
        <v>0</v>
      </c>
      <c r="J56" s="4">
        <f>IF(ISNUMBER(SEARCH("营",'17.04'!R56)),(-$Y56+50*IF('17.04'!$AK56="是",'17.04'!$AY$4,'17.04'!$AY$3)),(VLOOKUP('17.04'!R56,'17.04'!$AM$4:$AO$55,2,FALSE))*IF('17.04'!$AK56="是",'17.04'!$AY$4,'17.04'!$AY$3))</f>
        <v>0</v>
      </c>
      <c r="K56" s="4">
        <f>IF(ISNUMBER(SEARCH("营",'17.04'!S56)),(-$Y56+50*IF('17.04'!$AK56="是",'17.04'!$AY$4,'17.04'!$AY$3)),(VLOOKUP('17.04'!S56,'17.04'!$AM$4:$AO$55,2,FALSE))*IF('17.04'!$AK56="是",'17.04'!$AY$4,'17.04'!$AY$3))</f>
        <v>0</v>
      </c>
      <c r="L56" s="4">
        <f>IF(ISNUMBER(SEARCH("营",'17.04'!T56)),(-$Y56+50*IF('17.04'!$AK56="是",'17.04'!$AY$4,'17.04'!$AY$3)),(VLOOKUP('17.04'!T56,'17.04'!$AM$4:$AO$55,2,FALSE))*IF('17.04'!$AK56="是",'17.04'!$AY$4,'17.04'!$AY$3))</f>
        <v>0</v>
      </c>
      <c r="M56" s="4">
        <f>IF(ISNUMBER(SEARCH("营",'17.04'!U56)),(-$Y56+50*IF('17.04'!$AK56="是",'17.04'!$AY$4,'17.04'!$AY$3)),(VLOOKUP('17.04'!U56,'17.04'!$AM$4:$AO$55,2,FALSE))*IF('17.04'!$AK56="是",'17.04'!$AY$4,'17.04'!$AY$3))</f>
        <v>0</v>
      </c>
      <c r="N56" s="4">
        <f>IF(ISNUMBER(SEARCH("营",'17.04'!V56)),(-$Y56+50*IF('17.04'!$AK56="是",'17.04'!$AY$4,'17.04'!$AY$3)),(VLOOKUP('17.04'!V56,'17.04'!$AM$4:$AO$55,2,FALSE))*IF('17.04'!$AK56="是",'17.04'!$AY$4,'17.04'!$AY$3))</f>
        <v>0</v>
      </c>
      <c r="O56" s="4">
        <f>IF(ISNUMBER(SEARCH("营",'17.04'!W56)),(-$Y56+50*IF('17.04'!$AK56="是",'17.04'!$AY$4,'17.04'!$AY$3)),(VLOOKUP('17.04'!W56,'17.04'!$AM$4:$AO$55,2,FALSE))*IF('17.04'!$AK56="是",'17.04'!$AY$4,'17.04'!$AY$3))</f>
        <v>0</v>
      </c>
      <c r="P56" s="4">
        <f>IF(ISNUMBER(SEARCH("营",'17.04'!X56)),(-$Y56+50*IF('17.04'!$AK56="是",'17.04'!$AY$4,'17.04'!$AY$3)),(VLOOKUP('17.04'!X56,'17.04'!$AM$4:$AO$55,2,FALSE))*IF('17.04'!$AK56="是",'17.04'!$AY$4,'17.04'!$AY$3))</f>
        <v>0</v>
      </c>
      <c r="Q56" s="4">
        <f>IF(ISNUMBER(SEARCH("营",'17.04'!Y56)),(-$Y56+50*IF('17.04'!$AK56="是",'17.04'!$AY$4,'17.04'!$AY$3)),(VLOOKUP('17.04'!Y56,'17.04'!$AM$4:$AO$55,2,FALSE))*IF('17.04'!$AK56="是",'17.04'!$AY$4,'17.04'!$AY$3))</f>
        <v>0</v>
      </c>
      <c r="R56" s="4">
        <f>IF(ISNUMBER(SEARCH("营",'17.04'!Z56)),(-$Y56+50*IF('17.04'!$AK56="是",'17.04'!$AY$4,'17.04'!$AY$3)),(VLOOKUP('17.04'!Z56,'17.04'!$AM$4:$AO$55,2,FALSE))*IF('17.04'!$AK56="是",'17.04'!$AY$4,'17.04'!$AY$3))</f>
        <v>0</v>
      </c>
      <c r="S56" s="4">
        <f>IF(ISNUMBER(SEARCH("营",'17.04'!AA56)),(-$Y56+50*IF('17.04'!$AK56="是",'17.04'!$AY$4,'17.04'!$AY$3)),(VLOOKUP('17.04'!AA56,'17.04'!$AM$4:$AO$55,2,FALSE))*IF('17.04'!$AK56="是",'17.04'!$AY$4,'17.04'!$AY$3))</f>
        <v>0</v>
      </c>
      <c r="T56" s="4">
        <f>IF(ISNUMBER(SEARCH("营",'17.04'!AB56)),(-$Y56+50*IF('17.04'!$AK56="是",'17.04'!$AY$4,'17.04'!$AY$3)),(VLOOKUP('17.04'!AB56,'17.04'!$AM$4:$AO$55,2,FALSE))*IF('17.04'!$AK56="是",'17.04'!$AY$4,'17.04'!$AY$3))</f>
        <v>0</v>
      </c>
      <c r="U56" s="4">
        <f>IF(ISNUMBER(SEARCH("营",'17.04'!AC56)),(-$Y56+50*IF('17.04'!$AK56="是",'17.04'!$AY$4,'17.04'!$AY$3)),(VLOOKUP('17.04'!AC56,'17.04'!$AM$4:$AO$55,2,FALSE))*IF('17.04'!$AK56="是",'17.04'!$AY$4,'17.04'!$AY$3))</f>
        <v>0</v>
      </c>
      <c r="V56" s="4">
        <f>IF(ISNUMBER(SEARCH("营",'17.04'!AD56)),(-$Y56+50*IF('17.04'!$AK56="是",'17.04'!$AY$4,'17.04'!$AY$3)),(VLOOKUP('17.04'!AD56,'17.04'!$AM$4:$AO$55,2,FALSE))*IF('17.04'!$AK56="是",'17.04'!$AY$4,'17.04'!$AY$3))</f>
        <v>0</v>
      </c>
      <c r="W56" s="4">
        <f>IF(ISNUMBER(SEARCH("营",'17.04'!AE56)),(-$Y56+50*IF('17.04'!$AK56="是",'17.04'!$AY$4,'17.04'!$AY$3)),(VLOOKUP('17.04'!AE56,'17.04'!$AM$4:$AO$55,2,FALSE))*IF('17.04'!$AK56="是",'17.04'!$AY$4,'17.04'!$AY$3))</f>
        <v>0</v>
      </c>
      <c r="X56" s="4">
        <f>IF(ISNUMBER(SEARCH("营",'17.04'!AF56)),(-$Y56+50*IF('17.04'!$AK56="是",'17.04'!$AY$4,'17.04'!$AY$3)),(VLOOKUP('17.04'!AF56,'17.04'!$AM$4:$AO$55,2,FALSE))*IF('17.04'!$AK56="是",'17.04'!$AY$4,'17.04'!$AY$3))</f>
        <v>0</v>
      </c>
      <c r="Y56" s="90">
        <v>150</v>
      </c>
    </row>
    <row r="57" spans="1:25">
      <c r="A57" s="4">
        <f>IF(ISNUMBER(SEARCH("营",'17.04'!I57)),(-$Y57+50*IF('17.04'!$AK57="是",'17.04'!$AY$4,'17.04'!$AY$3)),(VLOOKUP('17.04'!I57,'17.04'!$AM$4:$AO$55,2,FALSE))*IF('17.04'!$AK57="是",'17.04'!$AY$4,'17.04'!$AY$3))</f>
        <v>0</v>
      </c>
      <c r="B57" s="4">
        <f>IF(ISNUMBER(SEARCH("营",'17.04'!J57)),(-$Y57+50*IF('17.04'!$AK57="是",'17.04'!$AY$4,'17.04'!$AY$3)),(VLOOKUP('17.04'!J57,'17.04'!$AM$4:$AO$55,2,FALSE))*IF('17.04'!$AK57="是",'17.04'!$AY$4,'17.04'!$AY$3))</f>
        <v>0</v>
      </c>
      <c r="C57" s="4">
        <f>IF(ISNUMBER(SEARCH("营",'17.04'!K57)),(-$Y57+50*IF('17.04'!$AK57="是",'17.04'!$AY$4,'17.04'!$AY$3)),(VLOOKUP('17.04'!K57,'17.04'!$AM$4:$AO$55,2,FALSE))*IF('17.04'!$AK57="是",'17.04'!$AY$4,'17.04'!$AY$3))</f>
        <v>0</v>
      </c>
      <c r="D57" s="4">
        <f>IF(ISNUMBER(SEARCH("营",'17.04'!L57)),(-$Y57+50*IF('17.04'!$AK57="是",'17.04'!$AY$4,'17.04'!$AY$3)),(VLOOKUP('17.04'!L57,'17.04'!$AM$4:$AO$55,2,FALSE))*IF('17.04'!$AK57="是",'17.04'!$AY$4,'17.04'!$AY$3))</f>
        <v>0</v>
      </c>
      <c r="E57" s="4">
        <f>IF(ISNUMBER(SEARCH("营",'17.04'!M57)),(-$Y57+50*IF('17.04'!$AK57="是",'17.04'!$AY$4,'17.04'!$AY$3)),(VLOOKUP('17.04'!M57,'17.04'!$AM$4:$AO$55,2,FALSE))*IF('17.04'!$AK57="是",'17.04'!$AY$4,'17.04'!$AY$3))</f>
        <v>0</v>
      </c>
      <c r="F57" s="4">
        <f>IF(ISNUMBER(SEARCH("营",'17.04'!N57)),(-$Y57+50*IF('17.04'!$AK57="是",'17.04'!$AY$4,'17.04'!$AY$3)),(VLOOKUP('17.04'!N57,'17.04'!$AM$4:$AO$55,2,FALSE))*IF('17.04'!$AK57="是",'17.04'!$AY$4,'17.04'!$AY$3))</f>
        <v>0</v>
      </c>
      <c r="G57" s="4">
        <f>IF(ISNUMBER(SEARCH("营",'17.04'!O57)),(-$Y57+50*IF('17.04'!$AK57="是",'17.04'!$AY$4,'17.04'!$AY$3)),(VLOOKUP('17.04'!O57,'17.04'!$AM$4:$AO$55,2,FALSE))*IF('17.04'!$AK57="是",'17.04'!$AY$4,'17.04'!$AY$3))</f>
        <v>0</v>
      </c>
      <c r="H57" s="4">
        <f>IF(ISNUMBER(SEARCH("营",'17.04'!P57)),(-$Y57+50*IF('17.04'!$AK57="是",'17.04'!$AY$4,'17.04'!$AY$3)),(VLOOKUP('17.04'!P57,'17.04'!$AM$4:$AO$55,2,FALSE))*IF('17.04'!$AK57="是",'17.04'!$AY$4,'17.04'!$AY$3))</f>
        <v>0</v>
      </c>
      <c r="I57" s="4">
        <f>IF(ISNUMBER(SEARCH("营",'17.04'!Q57)),(-$Y57+50*IF('17.04'!$AK57="是",'17.04'!$AY$4,'17.04'!$AY$3)),(VLOOKUP('17.04'!Q57,'17.04'!$AM$4:$AO$55,2,FALSE))*IF('17.04'!$AK57="是",'17.04'!$AY$4,'17.04'!$AY$3))</f>
        <v>0</v>
      </c>
      <c r="J57" s="4">
        <f>IF(ISNUMBER(SEARCH("营",'17.04'!R57)),(-$Y57+50*IF('17.04'!$AK57="是",'17.04'!$AY$4,'17.04'!$AY$3)),(VLOOKUP('17.04'!R57,'17.04'!$AM$4:$AO$55,2,FALSE))*IF('17.04'!$AK57="是",'17.04'!$AY$4,'17.04'!$AY$3))</f>
        <v>0</v>
      </c>
      <c r="K57" s="4">
        <f>IF(ISNUMBER(SEARCH("营",'17.04'!S57)),(-$Y57+50*IF('17.04'!$AK57="是",'17.04'!$AY$4,'17.04'!$AY$3)),(VLOOKUP('17.04'!S57,'17.04'!$AM$4:$AO$55,2,FALSE))*IF('17.04'!$AK57="是",'17.04'!$AY$4,'17.04'!$AY$3))</f>
        <v>0</v>
      </c>
      <c r="L57" s="4">
        <f>IF(ISNUMBER(SEARCH("营",'17.04'!T57)),(-$Y57+50*IF('17.04'!$AK57="是",'17.04'!$AY$4,'17.04'!$AY$3)),(VLOOKUP('17.04'!T57,'17.04'!$AM$4:$AO$55,2,FALSE))*IF('17.04'!$AK57="是",'17.04'!$AY$4,'17.04'!$AY$3))</f>
        <v>0</v>
      </c>
      <c r="M57" s="4">
        <f>IF(ISNUMBER(SEARCH("营",'17.04'!U57)),(-$Y57+50*IF('17.04'!$AK57="是",'17.04'!$AY$4,'17.04'!$AY$3)),(VLOOKUP('17.04'!U57,'17.04'!$AM$4:$AO$55,2,FALSE))*IF('17.04'!$AK57="是",'17.04'!$AY$4,'17.04'!$AY$3))</f>
        <v>0</v>
      </c>
      <c r="N57" s="4">
        <f>IF(ISNUMBER(SEARCH("营",'17.04'!V57)),(-$Y57+50*IF('17.04'!$AK57="是",'17.04'!$AY$4,'17.04'!$AY$3)),(VLOOKUP('17.04'!V57,'17.04'!$AM$4:$AO$55,2,FALSE))*IF('17.04'!$AK57="是",'17.04'!$AY$4,'17.04'!$AY$3))</f>
        <v>0</v>
      </c>
      <c r="O57" s="4">
        <f>IF(ISNUMBER(SEARCH("营",'17.04'!W57)),(-$Y57+50*IF('17.04'!$AK57="是",'17.04'!$AY$4,'17.04'!$AY$3)),(VLOOKUP('17.04'!W57,'17.04'!$AM$4:$AO$55,2,FALSE))*IF('17.04'!$AK57="是",'17.04'!$AY$4,'17.04'!$AY$3))</f>
        <v>0</v>
      </c>
      <c r="P57" s="4">
        <f>IF(ISNUMBER(SEARCH("营",'17.04'!X57)),(-$Y57+50*IF('17.04'!$AK57="是",'17.04'!$AY$4,'17.04'!$AY$3)),(VLOOKUP('17.04'!X57,'17.04'!$AM$4:$AO$55,2,FALSE))*IF('17.04'!$AK57="是",'17.04'!$AY$4,'17.04'!$AY$3))</f>
        <v>0</v>
      </c>
      <c r="Q57" s="4">
        <f>IF(ISNUMBER(SEARCH("营",'17.04'!Y57)),(-$Y57+50*IF('17.04'!$AK57="是",'17.04'!$AY$4,'17.04'!$AY$3)),(VLOOKUP('17.04'!Y57,'17.04'!$AM$4:$AO$55,2,FALSE))*IF('17.04'!$AK57="是",'17.04'!$AY$4,'17.04'!$AY$3))</f>
        <v>0</v>
      </c>
      <c r="R57" s="4">
        <f>IF(ISNUMBER(SEARCH("营",'17.04'!Z57)),(-$Y57+50*IF('17.04'!$AK57="是",'17.04'!$AY$4,'17.04'!$AY$3)),(VLOOKUP('17.04'!Z57,'17.04'!$AM$4:$AO$55,2,FALSE))*IF('17.04'!$AK57="是",'17.04'!$AY$4,'17.04'!$AY$3))</f>
        <v>0</v>
      </c>
      <c r="S57" s="4">
        <f>IF(ISNUMBER(SEARCH("营",'17.04'!AA57)),(-$Y57+50*IF('17.04'!$AK57="是",'17.04'!$AY$4,'17.04'!$AY$3)),(VLOOKUP('17.04'!AA57,'17.04'!$AM$4:$AO$55,2,FALSE))*IF('17.04'!$AK57="是",'17.04'!$AY$4,'17.04'!$AY$3))</f>
        <v>0</v>
      </c>
      <c r="T57" s="4">
        <f>IF(ISNUMBER(SEARCH("营",'17.04'!AB57)),(-$Y57+50*IF('17.04'!$AK57="是",'17.04'!$AY$4,'17.04'!$AY$3)),(VLOOKUP('17.04'!AB57,'17.04'!$AM$4:$AO$55,2,FALSE))*IF('17.04'!$AK57="是",'17.04'!$AY$4,'17.04'!$AY$3))</f>
        <v>0</v>
      </c>
      <c r="U57" s="4">
        <f>IF(ISNUMBER(SEARCH("营",'17.04'!AC57)),(-$Y57+50*IF('17.04'!$AK57="是",'17.04'!$AY$4,'17.04'!$AY$3)),(VLOOKUP('17.04'!AC57,'17.04'!$AM$4:$AO$55,2,FALSE))*IF('17.04'!$AK57="是",'17.04'!$AY$4,'17.04'!$AY$3))</f>
        <v>0</v>
      </c>
      <c r="V57" s="4">
        <f>IF(ISNUMBER(SEARCH("营",'17.04'!AD57)),(-$Y57+50*IF('17.04'!$AK57="是",'17.04'!$AY$4,'17.04'!$AY$3)),(VLOOKUP('17.04'!AD57,'17.04'!$AM$4:$AO$55,2,FALSE))*IF('17.04'!$AK57="是",'17.04'!$AY$4,'17.04'!$AY$3))</f>
        <v>0</v>
      </c>
      <c r="W57" s="4">
        <f>IF(ISNUMBER(SEARCH("营",'17.04'!AE57)),(-$Y57+50*IF('17.04'!$AK57="是",'17.04'!$AY$4,'17.04'!$AY$3)),(VLOOKUP('17.04'!AE57,'17.04'!$AM$4:$AO$55,2,FALSE))*IF('17.04'!$AK57="是",'17.04'!$AY$4,'17.04'!$AY$3))</f>
        <v>0</v>
      </c>
      <c r="X57" s="4">
        <f>IF(ISNUMBER(SEARCH("营",'17.04'!AF57)),(-$Y57+50*IF('17.04'!$AK57="是",'17.04'!$AY$4,'17.04'!$AY$3)),(VLOOKUP('17.04'!AF57,'17.04'!$AM$4:$AO$55,2,FALSE))*IF('17.04'!$AK57="是",'17.04'!$AY$4,'17.04'!$AY$3))</f>
        <v>0</v>
      </c>
      <c r="Y57" s="90">
        <v>150</v>
      </c>
    </row>
    <row r="58" spans="1:25">
      <c r="A58" s="4">
        <f>IF(ISNUMBER(SEARCH("营",'17.04'!I58)),(-$Y58+50*IF('17.04'!$AK58="是",'17.04'!$AY$4,'17.04'!$AY$3)),(VLOOKUP('17.04'!I58,'17.04'!$AM$4:$AO$55,2,FALSE))*IF('17.04'!$AK58="是",'17.04'!$AY$4,'17.04'!$AY$3))</f>
        <v>0</v>
      </c>
      <c r="B58" s="4">
        <f>IF(ISNUMBER(SEARCH("营",'17.04'!J58)),(-$Y58+50*IF('17.04'!$AK58="是",'17.04'!$AY$4,'17.04'!$AY$3)),(VLOOKUP('17.04'!J58,'17.04'!$AM$4:$AO$55,2,FALSE))*IF('17.04'!$AK58="是",'17.04'!$AY$4,'17.04'!$AY$3))</f>
        <v>0</v>
      </c>
      <c r="C58" s="4">
        <f>IF(ISNUMBER(SEARCH("营",'17.04'!K58)),(-$Y58+50*IF('17.04'!$AK58="是",'17.04'!$AY$4,'17.04'!$AY$3)),(VLOOKUP('17.04'!K58,'17.04'!$AM$4:$AO$55,2,FALSE))*IF('17.04'!$AK58="是",'17.04'!$AY$4,'17.04'!$AY$3))</f>
        <v>0</v>
      </c>
      <c r="D58" s="4">
        <f>IF(ISNUMBER(SEARCH("营",'17.04'!L58)),(-$Y58+50*IF('17.04'!$AK58="是",'17.04'!$AY$4,'17.04'!$AY$3)),(VLOOKUP('17.04'!L58,'17.04'!$AM$4:$AO$55,2,FALSE))*IF('17.04'!$AK58="是",'17.04'!$AY$4,'17.04'!$AY$3))</f>
        <v>0</v>
      </c>
      <c r="E58" s="4">
        <f>IF(ISNUMBER(SEARCH("营",'17.04'!M58)),(-$Y58+50*IF('17.04'!$AK58="是",'17.04'!$AY$4,'17.04'!$AY$3)),(VLOOKUP('17.04'!M58,'17.04'!$AM$4:$AO$55,2,FALSE))*IF('17.04'!$AK58="是",'17.04'!$AY$4,'17.04'!$AY$3))</f>
        <v>0</v>
      </c>
      <c r="F58" s="4">
        <f>IF(ISNUMBER(SEARCH("营",'17.04'!N58)),(-$Y58+50*IF('17.04'!$AK58="是",'17.04'!$AY$4,'17.04'!$AY$3)),(VLOOKUP('17.04'!N58,'17.04'!$AM$4:$AO$55,2,FALSE))*IF('17.04'!$AK58="是",'17.04'!$AY$4,'17.04'!$AY$3))</f>
        <v>0</v>
      </c>
      <c r="G58" s="4">
        <f>IF(ISNUMBER(SEARCH("营",'17.04'!O58)),(-$Y58+50*IF('17.04'!$AK58="是",'17.04'!$AY$4,'17.04'!$AY$3)),(VLOOKUP('17.04'!O58,'17.04'!$AM$4:$AO$55,2,FALSE))*IF('17.04'!$AK58="是",'17.04'!$AY$4,'17.04'!$AY$3))</f>
        <v>0</v>
      </c>
      <c r="H58" s="4">
        <f>IF(ISNUMBER(SEARCH("营",'17.04'!P58)),(-$Y58+50*IF('17.04'!$AK58="是",'17.04'!$AY$4,'17.04'!$AY$3)),(VLOOKUP('17.04'!P58,'17.04'!$AM$4:$AO$55,2,FALSE))*IF('17.04'!$AK58="是",'17.04'!$AY$4,'17.04'!$AY$3))</f>
        <v>0</v>
      </c>
      <c r="I58" s="4">
        <f>IF(ISNUMBER(SEARCH("营",'17.04'!Q58)),(-$Y58+50*IF('17.04'!$AK58="是",'17.04'!$AY$4,'17.04'!$AY$3)),(VLOOKUP('17.04'!Q58,'17.04'!$AM$4:$AO$55,2,FALSE))*IF('17.04'!$AK58="是",'17.04'!$AY$4,'17.04'!$AY$3))</f>
        <v>0</v>
      </c>
      <c r="J58" s="4">
        <f>IF(ISNUMBER(SEARCH("营",'17.04'!R58)),(-$Y58+50*IF('17.04'!$AK58="是",'17.04'!$AY$4,'17.04'!$AY$3)),(VLOOKUP('17.04'!R58,'17.04'!$AM$4:$AO$55,2,FALSE))*IF('17.04'!$AK58="是",'17.04'!$AY$4,'17.04'!$AY$3))</f>
        <v>0</v>
      </c>
      <c r="K58" s="4">
        <f>IF(ISNUMBER(SEARCH("营",'17.04'!S58)),(-$Y58+50*IF('17.04'!$AK58="是",'17.04'!$AY$4,'17.04'!$AY$3)),(VLOOKUP('17.04'!S58,'17.04'!$AM$4:$AO$55,2,FALSE))*IF('17.04'!$AK58="是",'17.04'!$AY$4,'17.04'!$AY$3))</f>
        <v>0</v>
      </c>
      <c r="L58" s="4">
        <f>IF(ISNUMBER(SEARCH("营",'17.04'!T58)),(-$Y58+50*IF('17.04'!$AK58="是",'17.04'!$AY$4,'17.04'!$AY$3)),(VLOOKUP('17.04'!T58,'17.04'!$AM$4:$AO$55,2,FALSE))*IF('17.04'!$AK58="是",'17.04'!$AY$4,'17.04'!$AY$3))</f>
        <v>0</v>
      </c>
      <c r="M58" s="4">
        <f>IF(ISNUMBER(SEARCH("营",'17.04'!U58)),(-$Y58+50*IF('17.04'!$AK58="是",'17.04'!$AY$4,'17.04'!$AY$3)),(VLOOKUP('17.04'!U58,'17.04'!$AM$4:$AO$55,2,FALSE))*IF('17.04'!$AK58="是",'17.04'!$AY$4,'17.04'!$AY$3))</f>
        <v>0</v>
      </c>
      <c r="N58" s="4">
        <f>IF(ISNUMBER(SEARCH("营",'17.04'!V58)),(-$Y58+50*IF('17.04'!$AK58="是",'17.04'!$AY$4,'17.04'!$AY$3)),(VLOOKUP('17.04'!V58,'17.04'!$AM$4:$AO$55,2,FALSE))*IF('17.04'!$AK58="是",'17.04'!$AY$4,'17.04'!$AY$3))</f>
        <v>0</v>
      </c>
      <c r="O58" s="4">
        <f>IF(ISNUMBER(SEARCH("营",'17.04'!W58)),(-$Y58+50*IF('17.04'!$AK58="是",'17.04'!$AY$4,'17.04'!$AY$3)),(VLOOKUP('17.04'!W58,'17.04'!$AM$4:$AO$55,2,FALSE))*IF('17.04'!$AK58="是",'17.04'!$AY$4,'17.04'!$AY$3))</f>
        <v>0</v>
      </c>
      <c r="P58" s="4">
        <f>IF(ISNUMBER(SEARCH("营",'17.04'!X58)),(-$Y58+50*IF('17.04'!$AK58="是",'17.04'!$AY$4,'17.04'!$AY$3)),(VLOOKUP('17.04'!X58,'17.04'!$AM$4:$AO$55,2,FALSE))*IF('17.04'!$AK58="是",'17.04'!$AY$4,'17.04'!$AY$3))</f>
        <v>0</v>
      </c>
      <c r="Q58" s="4">
        <f>IF(ISNUMBER(SEARCH("营",'17.04'!Y58)),(-$Y58+50*IF('17.04'!$AK58="是",'17.04'!$AY$4,'17.04'!$AY$3)),(VLOOKUP('17.04'!Y58,'17.04'!$AM$4:$AO$55,2,FALSE))*IF('17.04'!$AK58="是",'17.04'!$AY$4,'17.04'!$AY$3))</f>
        <v>0</v>
      </c>
      <c r="R58" s="4">
        <f>IF(ISNUMBER(SEARCH("营",'17.04'!Z58)),(-$Y58+50*IF('17.04'!$AK58="是",'17.04'!$AY$4,'17.04'!$AY$3)),(VLOOKUP('17.04'!Z58,'17.04'!$AM$4:$AO$55,2,FALSE))*IF('17.04'!$AK58="是",'17.04'!$AY$4,'17.04'!$AY$3))</f>
        <v>0</v>
      </c>
      <c r="S58" s="4">
        <f>IF(ISNUMBER(SEARCH("营",'17.04'!AA58)),(-$Y58+50*IF('17.04'!$AK58="是",'17.04'!$AY$4,'17.04'!$AY$3)),(VLOOKUP('17.04'!AA58,'17.04'!$AM$4:$AO$55,2,FALSE))*IF('17.04'!$AK58="是",'17.04'!$AY$4,'17.04'!$AY$3))</f>
        <v>0</v>
      </c>
      <c r="T58" s="4">
        <f>IF(ISNUMBER(SEARCH("营",'17.04'!AB58)),(-$Y58+50*IF('17.04'!$AK58="是",'17.04'!$AY$4,'17.04'!$AY$3)),(VLOOKUP('17.04'!AB58,'17.04'!$AM$4:$AO$55,2,FALSE))*IF('17.04'!$AK58="是",'17.04'!$AY$4,'17.04'!$AY$3))</f>
        <v>0</v>
      </c>
      <c r="U58" s="4">
        <f>IF(ISNUMBER(SEARCH("营",'17.04'!AC58)),(-$Y58+50*IF('17.04'!$AK58="是",'17.04'!$AY$4,'17.04'!$AY$3)),(VLOOKUP('17.04'!AC58,'17.04'!$AM$4:$AO$55,2,FALSE))*IF('17.04'!$AK58="是",'17.04'!$AY$4,'17.04'!$AY$3))</f>
        <v>0</v>
      </c>
      <c r="V58" s="4">
        <f>IF(ISNUMBER(SEARCH("营",'17.04'!AD58)),(-$Y58+50*IF('17.04'!$AK58="是",'17.04'!$AY$4,'17.04'!$AY$3)),(VLOOKUP('17.04'!AD58,'17.04'!$AM$4:$AO$55,2,FALSE))*IF('17.04'!$AK58="是",'17.04'!$AY$4,'17.04'!$AY$3))</f>
        <v>0</v>
      </c>
      <c r="W58" s="4">
        <f>IF(ISNUMBER(SEARCH("营",'17.04'!AE58)),(-$Y58+50*IF('17.04'!$AK58="是",'17.04'!$AY$4,'17.04'!$AY$3)),(VLOOKUP('17.04'!AE58,'17.04'!$AM$4:$AO$55,2,FALSE))*IF('17.04'!$AK58="是",'17.04'!$AY$4,'17.04'!$AY$3))</f>
        <v>0</v>
      </c>
      <c r="X58" s="4">
        <f>IF(ISNUMBER(SEARCH("营",'17.04'!AF58)),(-$Y58+50*IF('17.04'!$AK58="是",'17.04'!$AY$4,'17.04'!$AY$3)),(VLOOKUP('17.04'!AF58,'17.04'!$AM$4:$AO$55,2,FALSE))*IF('17.04'!$AK58="是",'17.04'!$AY$4,'17.04'!$AY$3))</f>
        <v>0</v>
      </c>
      <c r="Y58" s="90">
        <v>150</v>
      </c>
    </row>
    <row r="59" spans="1:25">
      <c r="A59" s="4">
        <f>IF(ISNUMBER(SEARCH("营",'17.04'!I59)),(-$Y59+50*IF('17.04'!$AK59="是",'17.04'!$AY$4,'17.04'!$AY$3)),(VLOOKUP('17.04'!I59,'17.04'!$AM$4:$AO$55,2,FALSE))*IF('17.04'!$AK59="是",'17.04'!$AY$4,'17.04'!$AY$3))</f>
        <v>0</v>
      </c>
      <c r="B59" s="4">
        <f>IF(ISNUMBER(SEARCH("营",'17.04'!J59)),(-$Y59+50*IF('17.04'!$AK59="是",'17.04'!$AY$4,'17.04'!$AY$3)),(VLOOKUP('17.04'!J59,'17.04'!$AM$4:$AO$55,2,FALSE))*IF('17.04'!$AK59="是",'17.04'!$AY$4,'17.04'!$AY$3))</f>
        <v>0</v>
      </c>
      <c r="C59" s="4">
        <f>IF(ISNUMBER(SEARCH("营",'17.04'!K59)),(-$Y59+50*IF('17.04'!$AK59="是",'17.04'!$AY$4,'17.04'!$AY$3)),(VLOOKUP('17.04'!K59,'17.04'!$AM$4:$AO$55,2,FALSE))*IF('17.04'!$AK59="是",'17.04'!$AY$4,'17.04'!$AY$3))</f>
        <v>0</v>
      </c>
      <c r="D59" s="4">
        <f>IF(ISNUMBER(SEARCH("营",'17.04'!L59)),(-$Y59+50*IF('17.04'!$AK59="是",'17.04'!$AY$4,'17.04'!$AY$3)),(VLOOKUP('17.04'!L59,'17.04'!$AM$4:$AO$55,2,FALSE))*IF('17.04'!$AK59="是",'17.04'!$AY$4,'17.04'!$AY$3))</f>
        <v>0</v>
      </c>
      <c r="E59" s="4">
        <f>IF(ISNUMBER(SEARCH("营",'17.04'!M59)),(-$Y59+50*IF('17.04'!$AK59="是",'17.04'!$AY$4,'17.04'!$AY$3)),(VLOOKUP('17.04'!M59,'17.04'!$AM$4:$AO$55,2,FALSE))*IF('17.04'!$AK59="是",'17.04'!$AY$4,'17.04'!$AY$3))</f>
        <v>0</v>
      </c>
      <c r="F59" s="4">
        <f>IF(ISNUMBER(SEARCH("营",'17.04'!N59)),(-$Y59+50*IF('17.04'!$AK59="是",'17.04'!$AY$4,'17.04'!$AY$3)),(VLOOKUP('17.04'!N59,'17.04'!$AM$4:$AO$55,2,FALSE))*IF('17.04'!$AK59="是",'17.04'!$AY$4,'17.04'!$AY$3))</f>
        <v>0</v>
      </c>
      <c r="G59" s="4">
        <f>IF(ISNUMBER(SEARCH("营",'17.04'!O59)),(-$Y59+50*IF('17.04'!$AK59="是",'17.04'!$AY$4,'17.04'!$AY$3)),(VLOOKUP('17.04'!O59,'17.04'!$AM$4:$AO$55,2,FALSE))*IF('17.04'!$AK59="是",'17.04'!$AY$4,'17.04'!$AY$3))</f>
        <v>0</v>
      </c>
      <c r="H59" s="4">
        <f>IF(ISNUMBER(SEARCH("营",'17.04'!P59)),(-$Y59+50*IF('17.04'!$AK59="是",'17.04'!$AY$4,'17.04'!$AY$3)),(VLOOKUP('17.04'!P59,'17.04'!$AM$4:$AO$55,2,FALSE))*IF('17.04'!$AK59="是",'17.04'!$AY$4,'17.04'!$AY$3))</f>
        <v>0</v>
      </c>
      <c r="I59" s="4">
        <f>IF(ISNUMBER(SEARCH("营",'17.04'!Q59)),(-$Y59+50*IF('17.04'!$AK59="是",'17.04'!$AY$4,'17.04'!$AY$3)),(VLOOKUP('17.04'!Q59,'17.04'!$AM$4:$AO$55,2,FALSE))*IF('17.04'!$AK59="是",'17.04'!$AY$4,'17.04'!$AY$3))</f>
        <v>0</v>
      </c>
      <c r="J59" s="4">
        <f>IF(ISNUMBER(SEARCH("营",'17.04'!R59)),(-$Y59+50*IF('17.04'!$AK59="是",'17.04'!$AY$4,'17.04'!$AY$3)),(VLOOKUP('17.04'!R59,'17.04'!$AM$4:$AO$55,2,FALSE))*IF('17.04'!$AK59="是",'17.04'!$AY$4,'17.04'!$AY$3))</f>
        <v>0</v>
      </c>
      <c r="K59" s="4">
        <f>IF(ISNUMBER(SEARCH("营",'17.04'!S59)),(-$Y59+50*IF('17.04'!$AK59="是",'17.04'!$AY$4,'17.04'!$AY$3)),(VLOOKUP('17.04'!S59,'17.04'!$AM$4:$AO$55,2,FALSE))*IF('17.04'!$AK59="是",'17.04'!$AY$4,'17.04'!$AY$3))</f>
        <v>0</v>
      </c>
      <c r="L59" s="4">
        <f>IF(ISNUMBER(SEARCH("营",'17.04'!T59)),(-$Y59+50*IF('17.04'!$AK59="是",'17.04'!$AY$4,'17.04'!$AY$3)),(VLOOKUP('17.04'!T59,'17.04'!$AM$4:$AO$55,2,FALSE))*IF('17.04'!$AK59="是",'17.04'!$AY$4,'17.04'!$AY$3))</f>
        <v>0</v>
      </c>
      <c r="M59" s="4">
        <f>IF(ISNUMBER(SEARCH("营",'17.04'!U59)),(-$Y59+50*IF('17.04'!$AK59="是",'17.04'!$AY$4,'17.04'!$AY$3)),(VLOOKUP('17.04'!U59,'17.04'!$AM$4:$AO$55,2,FALSE))*IF('17.04'!$AK59="是",'17.04'!$AY$4,'17.04'!$AY$3))</f>
        <v>0</v>
      </c>
      <c r="N59" s="4">
        <f>IF(ISNUMBER(SEARCH("营",'17.04'!V59)),(-$Y59+50*IF('17.04'!$AK59="是",'17.04'!$AY$4,'17.04'!$AY$3)),(VLOOKUP('17.04'!V59,'17.04'!$AM$4:$AO$55,2,FALSE))*IF('17.04'!$AK59="是",'17.04'!$AY$4,'17.04'!$AY$3))</f>
        <v>0</v>
      </c>
      <c r="O59" s="4">
        <f>IF(ISNUMBER(SEARCH("营",'17.04'!W59)),(-$Y59+50*IF('17.04'!$AK59="是",'17.04'!$AY$4,'17.04'!$AY$3)),(VLOOKUP('17.04'!W59,'17.04'!$AM$4:$AO$55,2,FALSE))*IF('17.04'!$AK59="是",'17.04'!$AY$4,'17.04'!$AY$3))</f>
        <v>0</v>
      </c>
      <c r="P59" s="4">
        <f>IF(ISNUMBER(SEARCH("营",'17.04'!X59)),(-$Y59+50*IF('17.04'!$AK59="是",'17.04'!$AY$4,'17.04'!$AY$3)),(VLOOKUP('17.04'!X59,'17.04'!$AM$4:$AO$55,2,FALSE))*IF('17.04'!$AK59="是",'17.04'!$AY$4,'17.04'!$AY$3))</f>
        <v>0</v>
      </c>
      <c r="Q59" s="4">
        <f>IF(ISNUMBER(SEARCH("营",'17.04'!Y59)),(-$Y59+50*IF('17.04'!$AK59="是",'17.04'!$AY$4,'17.04'!$AY$3)),(VLOOKUP('17.04'!Y59,'17.04'!$AM$4:$AO$55,2,FALSE))*IF('17.04'!$AK59="是",'17.04'!$AY$4,'17.04'!$AY$3))</f>
        <v>0</v>
      </c>
      <c r="R59" s="4">
        <f>IF(ISNUMBER(SEARCH("营",'17.04'!Z59)),(-$Y59+50*IF('17.04'!$AK59="是",'17.04'!$AY$4,'17.04'!$AY$3)),(VLOOKUP('17.04'!Z59,'17.04'!$AM$4:$AO$55,2,FALSE))*IF('17.04'!$AK59="是",'17.04'!$AY$4,'17.04'!$AY$3))</f>
        <v>0</v>
      </c>
      <c r="S59" s="4">
        <f>IF(ISNUMBER(SEARCH("营",'17.04'!AA59)),(-$Y59+50*IF('17.04'!$AK59="是",'17.04'!$AY$4,'17.04'!$AY$3)),(VLOOKUP('17.04'!AA59,'17.04'!$AM$4:$AO$55,2,FALSE))*IF('17.04'!$AK59="是",'17.04'!$AY$4,'17.04'!$AY$3))</f>
        <v>0</v>
      </c>
      <c r="T59" s="4">
        <f>IF(ISNUMBER(SEARCH("营",'17.04'!AB59)),(-$Y59+50*IF('17.04'!$AK59="是",'17.04'!$AY$4,'17.04'!$AY$3)),(VLOOKUP('17.04'!AB59,'17.04'!$AM$4:$AO$55,2,FALSE))*IF('17.04'!$AK59="是",'17.04'!$AY$4,'17.04'!$AY$3))</f>
        <v>0</v>
      </c>
      <c r="U59" s="4">
        <f>IF(ISNUMBER(SEARCH("营",'17.04'!AC59)),(-$Y59+50*IF('17.04'!$AK59="是",'17.04'!$AY$4,'17.04'!$AY$3)),(VLOOKUP('17.04'!AC59,'17.04'!$AM$4:$AO$55,2,FALSE))*IF('17.04'!$AK59="是",'17.04'!$AY$4,'17.04'!$AY$3))</f>
        <v>0</v>
      </c>
      <c r="V59" s="4">
        <f>IF(ISNUMBER(SEARCH("营",'17.04'!AD59)),(-$Y59+50*IF('17.04'!$AK59="是",'17.04'!$AY$4,'17.04'!$AY$3)),(VLOOKUP('17.04'!AD59,'17.04'!$AM$4:$AO$55,2,FALSE))*IF('17.04'!$AK59="是",'17.04'!$AY$4,'17.04'!$AY$3))</f>
        <v>0</v>
      </c>
      <c r="W59" s="4">
        <f>IF(ISNUMBER(SEARCH("营",'17.04'!AE59)),(-$Y59+50*IF('17.04'!$AK59="是",'17.04'!$AY$4,'17.04'!$AY$3)),(VLOOKUP('17.04'!AE59,'17.04'!$AM$4:$AO$55,2,FALSE))*IF('17.04'!$AK59="是",'17.04'!$AY$4,'17.04'!$AY$3))</f>
        <v>0</v>
      </c>
      <c r="X59" s="4">
        <f>IF(ISNUMBER(SEARCH("营",'17.04'!AF59)),(-$Y59+50*IF('17.04'!$AK59="是",'17.04'!$AY$4,'17.04'!$AY$3)),(VLOOKUP('17.04'!AF59,'17.04'!$AM$4:$AO$55,2,FALSE))*IF('17.04'!$AK59="是",'17.04'!$AY$4,'17.04'!$AY$3))</f>
        <v>0</v>
      </c>
      <c r="Y59" s="90">
        <v>150</v>
      </c>
    </row>
    <row r="60" spans="1:25">
      <c r="A60" s="4">
        <f>IF(ISNUMBER(SEARCH("营",'17.04'!I60)),(-$Y60+50*IF('17.04'!$AK60="是",'17.04'!$AY$4,'17.04'!$AY$3)),(VLOOKUP('17.04'!I60,'17.04'!$AM$4:$AO$55,2,FALSE))*IF('17.04'!$AK60="是",'17.04'!$AY$4,'17.04'!$AY$3))</f>
        <v>0</v>
      </c>
      <c r="B60" s="4">
        <f>IF(ISNUMBER(SEARCH("营",'17.04'!J60)),(-$Y60+50*IF('17.04'!$AK60="是",'17.04'!$AY$4,'17.04'!$AY$3)),(VLOOKUP('17.04'!J60,'17.04'!$AM$4:$AO$55,2,FALSE))*IF('17.04'!$AK60="是",'17.04'!$AY$4,'17.04'!$AY$3))</f>
        <v>0</v>
      </c>
      <c r="C60" s="4">
        <f>IF(ISNUMBER(SEARCH("营",'17.04'!K60)),(-$Y60+50*IF('17.04'!$AK60="是",'17.04'!$AY$4,'17.04'!$AY$3)),(VLOOKUP('17.04'!K60,'17.04'!$AM$4:$AO$55,2,FALSE))*IF('17.04'!$AK60="是",'17.04'!$AY$4,'17.04'!$AY$3))</f>
        <v>0</v>
      </c>
      <c r="D60" s="4">
        <f>IF(ISNUMBER(SEARCH("营",'17.04'!L60)),(-$Y60+50*IF('17.04'!$AK60="是",'17.04'!$AY$4,'17.04'!$AY$3)),(VLOOKUP('17.04'!L60,'17.04'!$AM$4:$AO$55,2,FALSE))*IF('17.04'!$AK60="是",'17.04'!$AY$4,'17.04'!$AY$3))</f>
        <v>0</v>
      </c>
      <c r="E60" s="4">
        <f>IF(ISNUMBER(SEARCH("营",'17.04'!M60)),(-$Y60+50*IF('17.04'!$AK60="是",'17.04'!$AY$4,'17.04'!$AY$3)),(VLOOKUP('17.04'!M60,'17.04'!$AM$4:$AO$55,2,FALSE))*IF('17.04'!$AK60="是",'17.04'!$AY$4,'17.04'!$AY$3))</f>
        <v>0</v>
      </c>
      <c r="F60" s="4">
        <f>IF(ISNUMBER(SEARCH("营",'17.04'!N60)),(-$Y60+50*IF('17.04'!$AK60="是",'17.04'!$AY$4,'17.04'!$AY$3)),(VLOOKUP('17.04'!N60,'17.04'!$AM$4:$AO$55,2,FALSE))*IF('17.04'!$AK60="是",'17.04'!$AY$4,'17.04'!$AY$3))</f>
        <v>0</v>
      </c>
      <c r="G60" s="4">
        <f>IF(ISNUMBER(SEARCH("营",'17.04'!O60)),(-$Y60+50*IF('17.04'!$AK60="是",'17.04'!$AY$4,'17.04'!$AY$3)),(VLOOKUP('17.04'!O60,'17.04'!$AM$4:$AO$55,2,FALSE))*IF('17.04'!$AK60="是",'17.04'!$AY$4,'17.04'!$AY$3))</f>
        <v>0</v>
      </c>
      <c r="H60" s="4">
        <f>IF(ISNUMBER(SEARCH("营",'17.04'!P60)),(-$Y60+50*IF('17.04'!$AK60="是",'17.04'!$AY$4,'17.04'!$AY$3)),(VLOOKUP('17.04'!P60,'17.04'!$AM$4:$AO$55,2,FALSE))*IF('17.04'!$AK60="是",'17.04'!$AY$4,'17.04'!$AY$3))</f>
        <v>0</v>
      </c>
      <c r="I60" s="4">
        <f>IF(ISNUMBER(SEARCH("营",'17.04'!Q60)),(-$Y60+50*IF('17.04'!$AK60="是",'17.04'!$AY$4,'17.04'!$AY$3)),(VLOOKUP('17.04'!Q60,'17.04'!$AM$4:$AO$55,2,FALSE))*IF('17.04'!$AK60="是",'17.04'!$AY$4,'17.04'!$AY$3))</f>
        <v>0</v>
      </c>
      <c r="J60" s="4">
        <f>IF(ISNUMBER(SEARCH("营",'17.04'!R60)),(-$Y60+50*IF('17.04'!$AK60="是",'17.04'!$AY$4,'17.04'!$AY$3)),(VLOOKUP('17.04'!R60,'17.04'!$AM$4:$AO$55,2,FALSE))*IF('17.04'!$AK60="是",'17.04'!$AY$4,'17.04'!$AY$3))</f>
        <v>0</v>
      </c>
      <c r="K60" s="4">
        <f>IF(ISNUMBER(SEARCH("营",'17.04'!S60)),(-$Y60+50*IF('17.04'!$AK60="是",'17.04'!$AY$4,'17.04'!$AY$3)),(VLOOKUP('17.04'!S60,'17.04'!$AM$4:$AO$55,2,FALSE))*IF('17.04'!$AK60="是",'17.04'!$AY$4,'17.04'!$AY$3))</f>
        <v>0</v>
      </c>
      <c r="L60" s="4">
        <f>IF(ISNUMBER(SEARCH("营",'17.04'!T60)),(-$Y60+50*IF('17.04'!$AK60="是",'17.04'!$AY$4,'17.04'!$AY$3)),(VLOOKUP('17.04'!T60,'17.04'!$AM$4:$AO$55,2,FALSE))*IF('17.04'!$AK60="是",'17.04'!$AY$4,'17.04'!$AY$3))</f>
        <v>0</v>
      </c>
      <c r="M60" s="4">
        <f>IF(ISNUMBER(SEARCH("营",'17.04'!U60)),(-$Y60+50*IF('17.04'!$AK60="是",'17.04'!$AY$4,'17.04'!$AY$3)),(VLOOKUP('17.04'!U60,'17.04'!$AM$4:$AO$55,2,FALSE))*IF('17.04'!$AK60="是",'17.04'!$AY$4,'17.04'!$AY$3))</f>
        <v>0</v>
      </c>
      <c r="N60" s="4">
        <f>IF(ISNUMBER(SEARCH("营",'17.04'!V60)),(-$Y60+50*IF('17.04'!$AK60="是",'17.04'!$AY$4,'17.04'!$AY$3)),(VLOOKUP('17.04'!V60,'17.04'!$AM$4:$AO$55,2,FALSE))*IF('17.04'!$AK60="是",'17.04'!$AY$4,'17.04'!$AY$3))</f>
        <v>0</v>
      </c>
      <c r="O60" s="4">
        <f>IF(ISNUMBER(SEARCH("营",'17.04'!W60)),(-$Y60+50*IF('17.04'!$AK60="是",'17.04'!$AY$4,'17.04'!$AY$3)),(VLOOKUP('17.04'!W60,'17.04'!$AM$4:$AO$55,2,FALSE))*IF('17.04'!$AK60="是",'17.04'!$AY$4,'17.04'!$AY$3))</f>
        <v>0</v>
      </c>
      <c r="P60" s="4">
        <f>IF(ISNUMBER(SEARCH("营",'17.04'!X60)),(-$Y60+50*IF('17.04'!$AK60="是",'17.04'!$AY$4,'17.04'!$AY$3)),(VLOOKUP('17.04'!X60,'17.04'!$AM$4:$AO$55,2,FALSE))*IF('17.04'!$AK60="是",'17.04'!$AY$4,'17.04'!$AY$3))</f>
        <v>0</v>
      </c>
      <c r="Q60" s="4">
        <f>IF(ISNUMBER(SEARCH("营",'17.04'!Y60)),(-$Y60+50*IF('17.04'!$AK60="是",'17.04'!$AY$4,'17.04'!$AY$3)),(VLOOKUP('17.04'!Y60,'17.04'!$AM$4:$AO$55,2,FALSE))*IF('17.04'!$AK60="是",'17.04'!$AY$4,'17.04'!$AY$3))</f>
        <v>0</v>
      </c>
      <c r="R60" s="4">
        <f>IF(ISNUMBER(SEARCH("营",'17.04'!Z60)),(-$Y60+50*IF('17.04'!$AK60="是",'17.04'!$AY$4,'17.04'!$AY$3)),(VLOOKUP('17.04'!Z60,'17.04'!$AM$4:$AO$55,2,FALSE))*IF('17.04'!$AK60="是",'17.04'!$AY$4,'17.04'!$AY$3))</f>
        <v>0</v>
      </c>
      <c r="S60" s="4">
        <f>IF(ISNUMBER(SEARCH("营",'17.04'!AA60)),(-$Y60+50*IF('17.04'!$AK60="是",'17.04'!$AY$4,'17.04'!$AY$3)),(VLOOKUP('17.04'!AA60,'17.04'!$AM$4:$AO$55,2,FALSE))*IF('17.04'!$AK60="是",'17.04'!$AY$4,'17.04'!$AY$3))</f>
        <v>0</v>
      </c>
      <c r="T60" s="4">
        <f>IF(ISNUMBER(SEARCH("营",'17.04'!AB60)),(-$Y60+50*IF('17.04'!$AK60="是",'17.04'!$AY$4,'17.04'!$AY$3)),(VLOOKUP('17.04'!AB60,'17.04'!$AM$4:$AO$55,2,FALSE))*IF('17.04'!$AK60="是",'17.04'!$AY$4,'17.04'!$AY$3))</f>
        <v>0</v>
      </c>
      <c r="U60" s="4">
        <f>IF(ISNUMBER(SEARCH("营",'17.04'!AC60)),(-$Y60+50*IF('17.04'!$AK60="是",'17.04'!$AY$4,'17.04'!$AY$3)),(VLOOKUP('17.04'!AC60,'17.04'!$AM$4:$AO$55,2,FALSE))*IF('17.04'!$AK60="是",'17.04'!$AY$4,'17.04'!$AY$3))</f>
        <v>0</v>
      </c>
      <c r="V60" s="4">
        <f>IF(ISNUMBER(SEARCH("营",'17.04'!AD60)),(-$Y60+50*IF('17.04'!$AK60="是",'17.04'!$AY$4,'17.04'!$AY$3)),(VLOOKUP('17.04'!AD60,'17.04'!$AM$4:$AO$55,2,FALSE))*IF('17.04'!$AK60="是",'17.04'!$AY$4,'17.04'!$AY$3))</f>
        <v>0</v>
      </c>
      <c r="W60" s="4">
        <f>IF(ISNUMBER(SEARCH("营",'17.04'!AE60)),(-$Y60+50*IF('17.04'!$AK60="是",'17.04'!$AY$4,'17.04'!$AY$3)),(VLOOKUP('17.04'!AE60,'17.04'!$AM$4:$AO$55,2,FALSE))*IF('17.04'!$AK60="是",'17.04'!$AY$4,'17.04'!$AY$3))</f>
        <v>0</v>
      </c>
      <c r="X60" s="4">
        <f>IF(ISNUMBER(SEARCH("营",'17.04'!AF60)),(-$Y60+50*IF('17.04'!$AK60="是",'17.04'!$AY$4,'17.04'!$AY$3)),(VLOOKUP('17.04'!AF60,'17.04'!$AM$4:$AO$55,2,FALSE))*IF('17.04'!$AK60="是",'17.04'!$AY$4,'17.04'!$AY$3))</f>
        <v>0</v>
      </c>
      <c r="Y60" s="90">
        <v>150</v>
      </c>
    </row>
    <row r="61" spans="1:25">
      <c r="A61" s="4">
        <f>IF(ISNUMBER(SEARCH("营",'17.04'!I61)),(-$Y61+50*IF('17.04'!$AK61="是",'17.04'!$AY$4,'17.04'!$AY$3)),(VLOOKUP('17.04'!I61,'17.04'!$AM$4:$AO$55,2,FALSE))*IF('17.04'!$AK61="是",'17.04'!$AY$4,'17.04'!$AY$3))</f>
        <v>0</v>
      </c>
      <c r="B61" s="4">
        <f>IF(ISNUMBER(SEARCH("营",'17.04'!J61)),(-$Y61+50*IF('17.04'!$AK61="是",'17.04'!$AY$4,'17.04'!$AY$3)),(VLOOKUP('17.04'!J61,'17.04'!$AM$4:$AO$55,2,FALSE))*IF('17.04'!$AK61="是",'17.04'!$AY$4,'17.04'!$AY$3))</f>
        <v>0</v>
      </c>
      <c r="C61" s="4">
        <f>IF(ISNUMBER(SEARCH("营",'17.04'!K61)),(-$Y61+50*IF('17.04'!$AK61="是",'17.04'!$AY$4,'17.04'!$AY$3)),(VLOOKUP('17.04'!K61,'17.04'!$AM$4:$AO$55,2,FALSE))*IF('17.04'!$AK61="是",'17.04'!$AY$4,'17.04'!$AY$3))</f>
        <v>0</v>
      </c>
      <c r="D61" s="4">
        <f>IF(ISNUMBER(SEARCH("营",'17.04'!L61)),(-$Y61+50*IF('17.04'!$AK61="是",'17.04'!$AY$4,'17.04'!$AY$3)),(VLOOKUP('17.04'!L61,'17.04'!$AM$4:$AO$55,2,FALSE))*IF('17.04'!$AK61="是",'17.04'!$AY$4,'17.04'!$AY$3))</f>
        <v>0</v>
      </c>
      <c r="E61" s="4">
        <f>IF(ISNUMBER(SEARCH("营",'17.04'!M61)),(-$Y61+50*IF('17.04'!$AK61="是",'17.04'!$AY$4,'17.04'!$AY$3)),(VLOOKUP('17.04'!M61,'17.04'!$AM$4:$AO$55,2,FALSE))*IF('17.04'!$AK61="是",'17.04'!$AY$4,'17.04'!$AY$3))</f>
        <v>0</v>
      </c>
      <c r="F61" s="4">
        <f>IF(ISNUMBER(SEARCH("营",'17.04'!N61)),(-$Y61+50*IF('17.04'!$AK61="是",'17.04'!$AY$4,'17.04'!$AY$3)),(VLOOKUP('17.04'!N61,'17.04'!$AM$4:$AO$55,2,FALSE))*IF('17.04'!$AK61="是",'17.04'!$AY$4,'17.04'!$AY$3))</f>
        <v>0</v>
      </c>
      <c r="G61" s="4">
        <f>IF(ISNUMBER(SEARCH("营",'17.04'!O61)),(-$Y61+50*IF('17.04'!$AK61="是",'17.04'!$AY$4,'17.04'!$AY$3)),(VLOOKUP('17.04'!O61,'17.04'!$AM$4:$AO$55,2,FALSE))*IF('17.04'!$AK61="是",'17.04'!$AY$4,'17.04'!$AY$3))</f>
        <v>0</v>
      </c>
      <c r="H61" s="4">
        <f>IF(ISNUMBER(SEARCH("营",'17.04'!P61)),(-$Y61+50*IF('17.04'!$AK61="是",'17.04'!$AY$4,'17.04'!$AY$3)),(VLOOKUP('17.04'!P61,'17.04'!$AM$4:$AO$55,2,FALSE))*IF('17.04'!$AK61="是",'17.04'!$AY$4,'17.04'!$AY$3))</f>
        <v>0</v>
      </c>
      <c r="I61" s="4">
        <f>IF(ISNUMBER(SEARCH("营",'17.04'!Q61)),(-$Y61+50*IF('17.04'!$AK61="是",'17.04'!$AY$4,'17.04'!$AY$3)),(VLOOKUP('17.04'!Q61,'17.04'!$AM$4:$AO$55,2,FALSE))*IF('17.04'!$AK61="是",'17.04'!$AY$4,'17.04'!$AY$3))</f>
        <v>0</v>
      </c>
      <c r="J61" s="4">
        <f>IF(ISNUMBER(SEARCH("营",'17.04'!R61)),(-$Y61+50*IF('17.04'!$AK61="是",'17.04'!$AY$4,'17.04'!$AY$3)),(VLOOKUP('17.04'!R61,'17.04'!$AM$4:$AO$55,2,FALSE))*IF('17.04'!$AK61="是",'17.04'!$AY$4,'17.04'!$AY$3))</f>
        <v>0</v>
      </c>
      <c r="K61" s="4">
        <f>IF(ISNUMBER(SEARCH("营",'17.04'!S61)),(-$Y61+50*IF('17.04'!$AK61="是",'17.04'!$AY$4,'17.04'!$AY$3)),(VLOOKUP('17.04'!S61,'17.04'!$AM$4:$AO$55,2,FALSE))*IF('17.04'!$AK61="是",'17.04'!$AY$4,'17.04'!$AY$3))</f>
        <v>0</v>
      </c>
      <c r="L61" s="4">
        <f>IF(ISNUMBER(SEARCH("营",'17.04'!T61)),(-$Y61+50*IF('17.04'!$AK61="是",'17.04'!$AY$4,'17.04'!$AY$3)),(VLOOKUP('17.04'!T61,'17.04'!$AM$4:$AO$55,2,FALSE))*IF('17.04'!$AK61="是",'17.04'!$AY$4,'17.04'!$AY$3))</f>
        <v>0</v>
      </c>
      <c r="M61" s="4">
        <f>IF(ISNUMBER(SEARCH("营",'17.04'!U61)),(-$Y61+50*IF('17.04'!$AK61="是",'17.04'!$AY$4,'17.04'!$AY$3)),(VLOOKUP('17.04'!U61,'17.04'!$AM$4:$AO$55,2,FALSE))*IF('17.04'!$AK61="是",'17.04'!$AY$4,'17.04'!$AY$3))</f>
        <v>0</v>
      </c>
      <c r="N61" s="4">
        <f>IF(ISNUMBER(SEARCH("营",'17.04'!V61)),(-$Y61+50*IF('17.04'!$AK61="是",'17.04'!$AY$4,'17.04'!$AY$3)),(VLOOKUP('17.04'!V61,'17.04'!$AM$4:$AO$55,2,FALSE))*IF('17.04'!$AK61="是",'17.04'!$AY$4,'17.04'!$AY$3))</f>
        <v>0</v>
      </c>
      <c r="O61" s="4">
        <f>IF(ISNUMBER(SEARCH("营",'17.04'!W61)),(-$Y61+50*IF('17.04'!$AK61="是",'17.04'!$AY$4,'17.04'!$AY$3)),(VLOOKUP('17.04'!W61,'17.04'!$AM$4:$AO$55,2,FALSE))*IF('17.04'!$AK61="是",'17.04'!$AY$4,'17.04'!$AY$3))</f>
        <v>0</v>
      </c>
      <c r="P61" s="4">
        <f>IF(ISNUMBER(SEARCH("营",'17.04'!X61)),(-$Y61+50*IF('17.04'!$AK61="是",'17.04'!$AY$4,'17.04'!$AY$3)),(VLOOKUP('17.04'!X61,'17.04'!$AM$4:$AO$55,2,FALSE))*IF('17.04'!$AK61="是",'17.04'!$AY$4,'17.04'!$AY$3))</f>
        <v>0</v>
      </c>
      <c r="Q61" s="4">
        <f>IF(ISNUMBER(SEARCH("营",'17.04'!Y61)),(-$Y61+50*IF('17.04'!$AK61="是",'17.04'!$AY$4,'17.04'!$AY$3)),(VLOOKUP('17.04'!Y61,'17.04'!$AM$4:$AO$55,2,FALSE))*IF('17.04'!$AK61="是",'17.04'!$AY$4,'17.04'!$AY$3))</f>
        <v>0</v>
      </c>
      <c r="R61" s="4">
        <f>IF(ISNUMBER(SEARCH("营",'17.04'!Z61)),(-$Y61+50*IF('17.04'!$AK61="是",'17.04'!$AY$4,'17.04'!$AY$3)),(VLOOKUP('17.04'!Z61,'17.04'!$AM$4:$AO$55,2,FALSE))*IF('17.04'!$AK61="是",'17.04'!$AY$4,'17.04'!$AY$3))</f>
        <v>0</v>
      </c>
      <c r="S61" s="4">
        <f>IF(ISNUMBER(SEARCH("营",'17.04'!AA61)),(-$Y61+50*IF('17.04'!$AK61="是",'17.04'!$AY$4,'17.04'!$AY$3)),(VLOOKUP('17.04'!AA61,'17.04'!$AM$4:$AO$55,2,FALSE))*IF('17.04'!$AK61="是",'17.04'!$AY$4,'17.04'!$AY$3))</f>
        <v>0</v>
      </c>
      <c r="T61" s="4">
        <f>IF(ISNUMBER(SEARCH("营",'17.04'!AB61)),(-$Y61+50*IF('17.04'!$AK61="是",'17.04'!$AY$4,'17.04'!$AY$3)),(VLOOKUP('17.04'!AB61,'17.04'!$AM$4:$AO$55,2,FALSE))*IF('17.04'!$AK61="是",'17.04'!$AY$4,'17.04'!$AY$3))</f>
        <v>0</v>
      </c>
      <c r="U61" s="4">
        <f>IF(ISNUMBER(SEARCH("营",'17.04'!AC61)),(-$Y61+50*IF('17.04'!$AK61="是",'17.04'!$AY$4,'17.04'!$AY$3)),(VLOOKUP('17.04'!AC61,'17.04'!$AM$4:$AO$55,2,FALSE))*IF('17.04'!$AK61="是",'17.04'!$AY$4,'17.04'!$AY$3))</f>
        <v>0</v>
      </c>
      <c r="V61" s="4">
        <f>IF(ISNUMBER(SEARCH("营",'17.04'!AD61)),(-$Y61+50*IF('17.04'!$AK61="是",'17.04'!$AY$4,'17.04'!$AY$3)),(VLOOKUP('17.04'!AD61,'17.04'!$AM$4:$AO$55,2,FALSE))*IF('17.04'!$AK61="是",'17.04'!$AY$4,'17.04'!$AY$3))</f>
        <v>0</v>
      </c>
      <c r="W61" s="4">
        <f>IF(ISNUMBER(SEARCH("营",'17.04'!AE61)),(-$Y61+50*IF('17.04'!$AK61="是",'17.04'!$AY$4,'17.04'!$AY$3)),(VLOOKUP('17.04'!AE61,'17.04'!$AM$4:$AO$55,2,FALSE))*IF('17.04'!$AK61="是",'17.04'!$AY$4,'17.04'!$AY$3))</f>
        <v>0</v>
      </c>
      <c r="X61" s="4">
        <f>IF(ISNUMBER(SEARCH("营",'17.04'!AF61)),(-$Y61+50*IF('17.04'!$AK61="是",'17.04'!$AY$4,'17.04'!$AY$3)),(VLOOKUP('17.04'!AF61,'17.04'!$AM$4:$AO$55,2,FALSE))*IF('17.04'!$AK61="是",'17.04'!$AY$4,'17.04'!$AY$3))</f>
        <v>0</v>
      </c>
      <c r="Y61" s="90">
        <v>150</v>
      </c>
    </row>
    <row r="62" spans="1:25">
      <c r="A62" s="4">
        <f>IF(ISNUMBER(SEARCH("营",'17.04'!I62)),(-$Y62+50*IF('17.04'!$AK62="是",'17.04'!$AY$4,'17.04'!$AY$3)),(VLOOKUP('17.04'!I62,'17.04'!$AM$4:$AO$55,2,FALSE))*IF('17.04'!$AK62="是",'17.04'!$AY$4,'17.04'!$AY$3))</f>
        <v>0</v>
      </c>
      <c r="B62" s="4">
        <f>IF(ISNUMBER(SEARCH("营",'17.04'!J62)),(-$Y62+50*IF('17.04'!$AK62="是",'17.04'!$AY$4,'17.04'!$AY$3)),(VLOOKUP('17.04'!J62,'17.04'!$AM$4:$AO$55,2,FALSE))*IF('17.04'!$AK62="是",'17.04'!$AY$4,'17.04'!$AY$3))</f>
        <v>0</v>
      </c>
      <c r="C62" s="4">
        <f>IF(ISNUMBER(SEARCH("营",'17.04'!K62)),(-$Y62+50*IF('17.04'!$AK62="是",'17.04'!$AY$4,'17.04'!$AY$3)),(VLOOKUP('17.04'!K62,'17.04'!$AM$4:$AO$55,2,FALSE))*IF('17.04'!$AK62="是",'17.04'!$AY$4,'17.04'!$AY$3))</f>
        <v>0</v>
      </c>
      <c r="D62" s="4">
        <f>IF(ISNUMBER(SEARCH("营",'17.04'!L62)),(-$Y62+50*IF('17.04'!$AK62="是",'17.04'!$AY$4,'17.04'!$AY$3)),(VLOOKUP('17.04'!L62,'17.04'!$AM$4:$AO$55,2,FALSE))*IF('17.04'!$AK62="是",'17.04'!$AY$4,'17.04'!$AY$3))</f>
        <v>0</v>
      </c>
      <c r="E62" s="4">
        <f>IF(ISNUMBER(SEARCH("营",'17.04'!M62)),(-$Y62+50*IF('17.04'!$AK62="是",'17.04'!$AY$4,'17.04'!$AY$3)),(VLOOKUP('17.04'!M62,'17.04'!$AM$4:$AO$55,2,FALSE))*IF('17.04'!$AK62="是",'17.04'!$AY$4,'17.04'!$AY$3))</f>
        <v>0</v>
      </c>
      <c r="F62" s="4">
        <f>IF(ISNUMBER(SEARCH("营",'17.04'!N62)),(-$Y62+50*IF('17.04'!$AK62="是",'17.04'!$AY$4,'17.04'!$AY$3)),(VLOOKUP('17.04'!N62,'17.04'!$AM$4:$AO$55,2,FALSE))*IF('17.04'!$AK62="是",'17.04'!$AY$4,'17.04'!$AY$3))</f>
        <v>0</v>
      </c>
      <c r="G62" s="4">
        <f>IF(ISNUMBER(SEARCH("营",'17.04'!O62)),(-$Y62+50*IF('17.04'!$AK62="是",'17.04'!$AY$4,'17.04'!$AY$3)),(VLOOKUP('17.04'!O62,'17.04'!$AM$4:$AO$55,2,FALSE))*IF('17.04'!$AK62="是",'17.04'!$AY$4,'17.04'!$AY$3))</f>
        <v>0</v>
      </c>
      <c r="H62" s="4">
        <f>IF(ISNUMBER(SEARCH("营",'17.04'!P62)),(-$Y62+50*IF('17.04'!$AK62="是",'17.04'!$AY$4,'17.04'!$AY$3)),(VLOOKUP('17.04'!P62,'17.04'!$AM$4:$AO$55,2,FALSE))*IF('17.04'!$AK62="是",'17.04'!$AY$4,'17.04'!$AY$3))</f>
        <v>0</v>
      </c>
      <c r="I62" s="4">
        <f>IF(ISNUMBER(SEARCH("营",'17.04'!Q62)),(-$Y62+50*IF('17.04'!$AK62="是",'17.04'!$AY$4,'17.04'!$AY$3)),(VLOOKUP('17.04'!Q62,'17.04'!$AM$4:$AO$55,2,FALSE))*IF('17.04'!$AK62="是",'17.04'!$AY$4,'17.04'!$AY$3))</f>
        <v>0</v>
      </c>
      <c r="J62" s="4">
        <f>IF(ISNUMBER(SEARCH("营",'17.04'!R62)),(-$Y62+50*IF('17.04'!$AK62="是",'17.04'!$AY$4,'17.04'!$AY$3)),(VLOOKUP('17.04'!R62,'17.04'!$AM$4:$AO$55,2,FALSE))*IF('17.04'!$AK62="是",'17.04'!$AY$4,'17.04'!$AY$3))</f>
        <v>0</v>
      </c>
      <c r="K62" s="4">
        <f>IF(ISNUMBER(SEARCH("营",'17.04'!S62)),(-$Y62+50*IF('17.04'!$AK62="是",'17.04'!$AY$4,'17.04'!$AY$3)),(VLOOKUP('17.04'!S62,'17.04'!$AM$4:$AO$55,2,FALSE))*IF('17.04'!$AK62="是",'17.04'!$AY$4,'17.04'!$AY$3))</f>
        <v>0</v>
      </c>
      <c r="L62" s="4">
        <f>IF(ISNUMBER(SEARCH("营",'17.04'!T62)),(-$Y62+50*IF('17.04'!$AK62="是",'17.04'!$AY$4,'17.04'!$AY$3)),(VLOOKUP('17.04'!T62,'17.04'!$AM$4:$AO$55,2,FALSE))*IF('17.04'!$AK62="是",'17.04'!$AY$4,'17.04'!$AY$3))</f>
        <v>0</v>
      </c>
      <c r="M62" s="4">
        <f>IF(ISNUMBER(SEARCH("营",'17.04'!U62)),(-$Y62+50*IF('17.04'!$AK62="是",'17.04'!$AY$4,'17.04'!$AY$3)),(VLOOKUP('17.04'!U62,'17.04'!$AM$4:$AO$55,2,FALSE))*IF('17.04'!$AK62="是",'17.04'!$AY$4,'17.04'!$AY$3))</f>
        <v>0</v>
      </c>
      <c r="N62" s="4">
        <f>IF(ISNUMBER(SEARCH("营",'17.04'!V62)),(-$Y62+50*IF('17.04'!$AK62="是",'17.04'!$AY$4,'17.04'!$AY$3)),(VLOOKUP('17.04'!V62,'17.04'!$AM$4:$AO$55,2,FALSE))*IF('17.04'!$AK62="是",'17.04'!$AY$4,'17.04'!$AY$3))</f>
        <v>0</v>
      </c>
      <c r="O62" s="4">
        <f>IF(ISNUMBER(SEARCH("营",'17.04'!W62)),(-$Y62+50*IF('17.04'!$AK62="是",'17.04'!$AY$4,'17.04'!$AY$3)),(VLOOKUP('17.04'!W62,'17.04'!$AM$4:$AO$55,2,FALSE))*IF('17.04'!$AK62="是",'17.04'!$AY$4,'17.04'!$AY$3))</f>
        <v>0</v>
      </c>
      <c r="P62" s="4">
        <f>IF(ISNUMBER(SEARCH("营",'17.04'!X62)),(-$Y62+50*IF('17.04'!$AK62="是",'17.04'!$AY$4,'17.04'!$AY$3)),(VLOOKUP('17.04'!X62,'17.04'!$AM$4:$AO$55,2,FALSE))*IF('17.04'!$AK62="是",'17.04'!$AY$4,'17.04'!$AY$3))</f>
        <v>0</v>
      </c>
      <c r="Q62" s="4">
        <f>IF(ISNUMBER(SEARCH("营",'17.04'!Y62)),(-$Y62+50*IF('17.04'!$AK62="是",'17.04'!$AY$4,'17.04'!$AY$3)),(VLOOKUP('17.04'!Y62,'17.04'!$AM$4:$AO$55,2,FALSE))*IF('17.04'!$AK62="是",'17.04'!$AY$4,'17.04'!$AY$3))</f>
        <v>0</v>
      </c>
      <c r="R62" s="4">
        <f>IF(ISNUMBER(SEARCH("营",'17.04'!Z62)),(-$Y62+50*IF('17.04'!$AK62="是",'17.04'!$AY$4,'17.04'!$AY$3)),(VLOOKUP('17.04'!Z62,'17.04'!$AM$4:$AO$55,2,FALSE))*IF('17.04'!$AK62="是",'17.04'!$AY$4,'17.04'!$AY$3))</f>
        <v>0</v>
      </c>
      <c r="S62" s="4">
        <f>IF(ISNUMBER(SEARCH("营",'17.04'!AA62)),(-$Y62+50*IF('17.04'!$AK62="是",'17.04'!$AY$4,'17.04'!$AY$3)),(VLOOKUP('17.04'!AA62,'17.04'!$AM$4:$AO$55,2,FALSE))*IF('17.04'!$AK62="是",'17.04'!$AY$4,'17.04'!$AY$3))</f>
        <v>0</v>
      </c>
      <c r="T62" s="4">
        <f>IF(ISNUMBER(SEARCH("营",'17.04'!AB62)),(-$Y62+50*IF('17.04'!$AK62="是",'17.04'!$AY$4,'17.04'!$AY$3)),(VLOOKUP('17.04'!AB62,'17.04'!$AM$4:$AO$55,2,FALSE))*IF('17.04'!$AK62="是",'17.04'!$AY$4,'17.04'!$AY$3))</f>
        <v>0</v>
      </c>
      <c r="U62" s="4">
        <f>IF(ISNUMBER(SEARCH("营",'17.04'!AC62)),(-$Y62+50*IF('17.04'!$AK62="是",'17.04'!$AY$4,'17.04'!$AY$3)),(VLOOKUP('17.04'!AC62,'17.04'!$AM$4:$AO$55,2,FALSE))*IF('17.04'!$AK62="是",'17.04'!$AY$4,'17.04'!$AY$3))</f>
        <v>0</v>
      </c>
      <c r="V62" s="4">
        <f>IF(ISNUMBER(SEARCH("营",'17.04'!AD62)),(-$Y62+50*IF('17.04'!$AK62="是",'17.04'!$AY$4,'17.04'!$AY$3)),(VLOOKUP('17.04'!AD62,'17.04'!$AM$4:$AO$55,2,FALSE))*IF('17.04'!$AK62="是",'17.04'!$AY$4,'17.04'!$AY$3))</f>
        <v>0</v>
      </c>
      <c r="W62" s="4">
        <f>IF(ISNUMBER(SEARCH("营",'17.04'!AE62)),(-$Y62+50*IF('17.04'!$AK62="是",'17.04'!$AY$4,'17.04'!$AY$3)),(VLOOKUP('17.04'!AE62,'17.04'!$AM$4:$AO$55,2,FALSE))*IF('17.04'!$AK62="是",'17.04'!$AY$4,'17.04'!$AY$3))</f>
        <v>0</v>
      </c>
      <c r="X62" s="4">
        <f>IF(ISNUMBER(SEARCH("营",'17.04'!AF62)),(-$Y62+50*IF('17.04'!$AK62="是",'17.04'!$AY$4,'17.04'!$AY$3)),(VLOOKUP('17.04'!AF62,'17.04'!$AM$4:$AO$55,2,FALSE))*IF('17.04'!$AK62="是",'17.04'!$AY$4,'17.04'!$AY$3))</f>
        <v>0</v>
      </c>
      <c r="Y62" s="90">
        <v>150</v>
      </c>
    </row>
    <row r="63" spans="1:25">
      <c r="A63" s="4">
        <f>IF(ISNUMBER(SEARCH("营",'17.04'!I63)),(-$Y63+50*IF('17.04'!$AK63="是",'17.04'!$AY$4,'17.04'!$AY$3)),(VLOOKUP('17.04'!I63,'17.04'!$AM$4:$AO$55,2,FALSE))*IF('17.04'!$AK63="是",'17.04'!$AY$4,'17.04'!$AY$3))</f>
        <v>0</v>
      </c>
      <c r="B63" s="4">
        <f>IF(ISNUMBER(SEARCH("营",'17.04'!J63)),(-$Y63+50*IF('17.04'!$AK63="是",'17.04'!$AY$4,'17.04'!$AY$3)),(VLOOKUP('17.04'!J63,'17.04'!$AM$4:$AO$55,2,FALSE))*IF('17.04'!$AK63="是",'17.04'!$AY$4,'17.04'!$AY$3))</f>
        <v>0</v>
      </c>
      <c r="C63" s="4">
        <f>IF(ISNUMBER(SEARCH("营",'17.04'!K63)),(-$Y63+50*IF('17.04'!$AK63="是",'17.04'!$AY$4,'17.04'!$AY$3)),(VLOOKUP('17.04'!K63,'17.04'!$AM$4:$AO$55,2,FALSE))*IF('17.04'!$AK63="是",'17.04'!$AY$4,'17.04'!$AY$3))</f>
        <v>0</v>
      </c>
      <c r="D63" s="4">
        <f>IF(ISNUMBER(SEARCH("营",'17.04'!L63)),(-$Y63+50*IF('17.04'!$AK63="是",'17.04'!$AY$4,'17.04'!$AY$3)),(VLOOKUP('17.04'!L63,'17.04'!$AM$4:$AO$55,2,FALSE))*IF('17.04'!$AK63="是",'17.04'!$AY$4,'17.04'!$AY$3))</f>
        <v>0</v>
      </c>
      <c r="E63" s="4">
        <f>IF(ISNUMBER(SEARCH("营",'17.04'!M63)),(-$Y63+50*IF('17.04'!$AK63="是",'17.04'!$AY$4,'17.04'!$AY$3)),(VLOOKUP('17.04'!M63,'17.04'!$AM$4:$AO$55,2,FALSE))*IF('17.04'!$AK63="是",'17.04'!$AY$4,'17.04'!$AY$3))</f>
        <v>0</v>
      </c>
      <c r="F63" s="4">
        <f>IF(ISNUMBER(SEARCH("营",'17.04'!N63)),(-$Y63+50*IF('17.04'!$AK63="是",'17.04'!$AY$4,'17.04'!$AY$3)),(VLOOKUP('17.04'!N63,'17.04'!$AM$4:$AO$55,2,FALSE))*IF('17.04'!$AK63="是",'17.04'!$AY$4,'17.04'!$AY$3))</f>
        <v>0</v>
      </c>
      <c r="G63" s="4">
        <f>IF(ISNUMBER(SEARCH("营",'17.04'!O63)),(-$Y63+50*IF('17.04'!$AK63="是",'17.04'!$AY$4,'17.04'!$AY$3)),(VLOOKUP('17.04'!O63,'17.04'!$AM$4:$AO$55,2,FALSE))*IF('17.04'!$AK63="是",'17.04'!$AY$4,'17.04'!$AY$3))</f>
        <v>0</v>
      </c>
      <c r="H63" s="4">
        <f>IF(ISNUMBER(SEARCH("营",'17.04'!P63)),(-$Y63+50*IF('17.04'!$AK63="是",'17.04'!$AY$4,'17.04'!$AY$3)),(VLOOKUP('17.04'!P63,'17.04'!$AM$4:$AO$55,2,FALSE))*IF('17.04'!$AK63="是",'17.04'!$AY$4,'17.04'!$AY$3))</f>
        <v>0</v>
      </c>
      <c r="I63" s="4">
        <f>IF(ISNUMBER(SEARCH("营",'17.04'!Q63)),(-$Y63+50*IF('17.04'!$AK63="是",'17.04'!$AY$4,'17.04'!$AY$3)),(VLOOKUP('17.04'!Q63,'17.04'!$AM$4:$AO$55,2,FALSE))*IF('17.04'!$AK63="是",'17.04'!$AY$4,'17.04'!$AY$3))</f>
        <v>0</v>
      </c>
      <c r="J63" s="4">
        <f>IF(ISNUMBER(SEARCH("营",'17.04'!R63)),(-$Y63+50*IF('17.04'!$AK63="是",'17.04'!$AY$4,'17.04'!$AY$3)),(VLOOKUP('17.04'!R63,'17.04'!$AM$4:$AO$55,2,FALSE))*IF('17.04'!$AK63="是",'17.04'!$AY$4,'17.04'!$AY$3))</f>
        <v>0</v>
      </c>
      <c r="K63" s="4">
        <f>IF(ISNUMBER(SEARCH("营",'17.04'!S63)),(-$Y63+50*IF('17.04'!$AK63="是",'17.04'!$AY$4,'17.04'!$AY$3)),(VLOOKUP('17.04'!S63,'17.04'!$AM$4:$AO$55,2,FALSE))*IF('17.04'!$AK63="是",'17.04'!$AY$4,'17.04'!$AY$3))</f>
        <v>0</v>
      </c>
      <c r="L63" s="4">
        <f>IF(ISNUMBER(SEARCH("营",'17.04'!T63)),(-$Y63+50*IF('17.04'!$AK63="是",'17.04'!$AY$4,'17.04'!$AY$3)),(VLOOKUP('17.04'!T63,'17.04'!$AM$4:$AO$55,2,FALSE))*IF('17.04'!$AK63="是",'17.04'!$AY$4,'17.04'!$AY$3))</f>
        <v>0</v>
      </c>
      <c r="M63" s="4">
        <f>IF(ISNUMBER(SEARCH("营",'17.04'!U63)),(-$Y63+50*IF('17.04'!$AK63="是",'17.04'!$AY$4,'17.04'!$AY$3)),(VLOOKUP('17.04'!U63,'17.04'!$AM$4:$AO$55,2,FALSE))*IF('17.04'!$AK63="是",'17.04'!$AY$4,'17.04'!$AY$3))</f>
        <v>0</v>
      </c>
      <c r="N63" s="4">
        <f>IF(ISNUMBER(SEARCH("营",'17.04'!V63)),(-$Y63+50*IF('17.04'!$AK63="是",'17.04'!$AY$4,'17.04'!$AY$3)),(VLOOKUP('17.04'!V63,'17.04'!$AM$4:$AO$55,2,FALSE))*IF('17.04'!$AK63="是",'17.04'!$AY$4,'17.04'!$AY$3))</f>
        <v>0</v>
      </c>
      <c r="O63" s="4">
        <f>IF(ISNUMBER(SEARCH("营",'17.04'!W63)),(-$Y63+50*IF('17.04'!$AK63="是",'17.04'!$AY$4,'17.04'!$AY$3)),(VLOOKUP('17.04'!W63,'17.04'!$AM$4:$AO$55,2,FALSE))*IF('17.04'!$AK63="是",'17.04'!$AY$4,'17.04'!$AY$3))</f>
        <v>0</v>
      </c>
      <c r="P63" s="4">
        <f>IF(ISNUMBER(SEARCH("营",'17.04'!X63)),(-$Y63+50*IF('17.04'!$AK63="是",'17.04'!$AY$4,'17.04'!$AY$3)),(VLOOKUP('17.04'!X63,'17.04'!$AM$4:$AO$55,2,FALSE))*IF('17.04'!$AK63="是",'17.04'!$AY$4,'17.04'!$AY$3))</f>
        <v>0</v>
      </c>
      <c r="Q63" s="4">
        <f>IF(ISNUMBER(SEARCH("营",'17.04'!Y63)),(-$Y63+50*IF('17.04'!$AK63="是",'17.04'!$AY$4,'17.04'!$AY$3)),(VLOOKUP('17.04'!Y63,'17.04'!$AM$4:$AO$55,2,FALSE))*IF('17.04'!$AK63="是",'17.04'!$AY$4,'17.04'!$AY$3))</f>
        <v>0</v>
      </c>
      <c r="R63" s="4">
        <f>IF(ISNUMBER(SEARCH("营",'17.04'!Z63)),(-$Y63+50*IF('17.04'!$AK63="是",'17.04'!$AY$4,'17.04'!$AY$3)),(VLOOKUP('17.04'!Z63,'17.04'!$AM$4:$AO$55,2,FALSE))*IF('17.04'!$AK63="是",'17.04'!$AY$4,'17.04'!$AY$3))</f>
        <v>0</v>
      </c>
      <c r="S63" s="4">
        <f>IF(ISNUMBER(SEARCH("营",'17.04'!AA63)),(-$Y63+50*IF('17.04'!$AK63="是",'17.04'!$AY$4,'17.04'!$AY$3)),(VLOOKUP('17.04'!AA63,'17.04'!$AM$4:$AO$55,2,FALSE))*IF('17.04'!$AK63="是",'17.04'!$AY$4,'17.04'!$AY$3))</f>
        <v>0</v>
      </c>
      <c r="T63" s="4">
        <f>IF(ISNUMBER(SEARCH("营",'17.04'!AB63)),(-$Y63+50*IF('17.04'!$AK63="是",'17.04'!$AY$4,'17.04'!$AY$3)),(VLOOKUP('17.04'!AB63,'17.04'!$AM$4:$AO$55,2,FALSE))*IF('17.04'!$AK63="是",'17.04'!$AY$4,'17.04'!$AY$3))</f>
        <v>0</v>
      </c>
      <c r="U63" s="4">
        <f>IF(ISNUMBER(SEARCH("营",'17.04'!AC63)),(-$Y63+50*IF('17.04'!$AK63="是",'17.04'!$AY$4,'17.04'!$AY$3)),(VLOOKUP('17.04'!AC63,'17.04'!$AM$4:$AO$55,2,FALSE))*IF('17.04'!$AK63="是",'17.04'!$AY$4,'17.04'!$AY$3))</f>
        <v>0</v>
      </c>
      <c r="V63" s="4">
        <f>IF(ISNUMBER(SEARCH("营",'17.04'!AD63)),(-$Y63+50*IF('17.04'!$AK63="是",'17.04'!$AY$4,'17.04'!$AY$3)),(VLOOKUP('17.04'!AD63,'17.04'!$AM$4:$AO$55,2,FALSE))*IF('17.04'!$AK63="是",'17.04'!$AY$4,'17.04'!$AY$3))</f>
        <v>0</v>
      </c>
      <c r="W63" s="4">
        <f>IF(ISNUMBER(SEARCH("营",'17.04'!AE63)),(-$Y63+50*IF('17.04'!$AK63="是",'17.04'!$AY$4,'17.04'!$AY$3)),(VLOOKUP('17.04'!AE63,'17.04'!$AM$4:$AO$55,2,FALSE))*IF('17.04'!$AK63="是",'17.04'!$AY$4,'17.04'!$AY$3))</f>
        <v>0</v>
      </c>
      <c r="X63" s="4">
        <f>IF(ISNUMBER(SEARCH("营",'17.04'!AF63)),(-$Y63+50*IF('17.04'!$AK63="是",'17.04'!$AY$4,'17.04'!$AY$3)),(VLOOKUP('17.04'!AF63,'17.04'!$AM$4:$AO$55,2,FALSE))*IF('17.04'!$AK63="是",'17.04'!$AY$4,'17.04'!$AY$3))</f>
        <v>0</v>
      </c>
      <c r="Y63" s="90">
        <v>150</v>
      </c>
    </row>
    <row r="64" spans="1:25">
      <c r="A64" s="4">
        <f>IF(ISNUMBER(SEARCH("营",'17.04'!I64)),(-$Y64+50*IF('17.04'!$AK64="是",'17.04'!$AY$4,'17.04'!$AY$3)),(VLOOKUP('17.04'!I64,'17.04'!$AM$4:$AO$55,2,FALSE))*IF('17.04'!$AK64="是",'17.04'!$AY$4,'17.04'!$AY$3))</f>
        <v>0</v>
      </c>
      <c r="B64" s="4">
        <f>IF(ISNUMBER(SEARCH("营",'17.04'!J64)),(-$Y64+50*IF('17.04'!$AK64="是",'17.04'!$AY$4,'17.04'!$AY$3)),(VLOOKUP('17.04'!J64,'17.04'!$AM$4:$AO$55,2,FALSE))*IF('17.04'!$AK64="是",'17.04'!$AY$4,'17.04'!$AY$3))</f>
        <v>0</v>
      </c>
      <c r="C64" s="4">
        <f>IF(ISNUMBER(SEARCH("营",'17.04'!K64)),(-$Y64+50*IF('17.04'!$AK64="是",'17.04'!$AY$4,'17.04'!$AY$3)),(VLOOKUP('17.04'!K64,'17.04'!$AM$4:$AO$55,2,FALSE))*IF('17.04'!$AK64="是",'17.04'!$AY$4,'17.04'!$AY$3))</f>
        <v>0</v>
      </c>
      <c r="D64" s="4">
        <f>IF(ISNUMBER(SEARCH("营",'17.04'!L64)),(-$Y64+50*IF('17.04'!$AK64="是",'17.04'!$AY$4,'17.04'!$AY$3)),(VLOOKUP('17.04'!L64,'17.04'!$AM$4:$AO$55,2,FALSE))*IF('17.04'!$AK64="是",'17.04'!$AY$4,'17.04'!$AY$3))</f>
        <v>0</v>
      </c>
      <c r="E64" s="4">
        <f>IF(ISNUMBER(SEARCH("营",'17.04'!M64)),(-$Y64+50*IF('17.04'!$AK64="是",'17.04'!$AY$4,'17.04'!$AY$3)),(VLOOKUP('17.04'!M64,'17.04'!$AM$4:$AO$55,2,FALSE))*IF('17.04'!$AK64="是",'17.04'!$AY$4,'17.04'!$AY$3))</f>
        <v>0</v>
      </c>
      <c r="F64" s="4">
        <f>IF(ISNUMBER(SEARCH("营",'17.04'!N64)),(-$Y64+50*IF('17.04'!$AK64="是",'17.04'!$AY$4,'17.04'!$AY$3)),(VLOOKUP('17.04'!N64,'17.04'!$AM$4:$AO$55,2,FALSE))*IF('17.04'!$AK64="是",'17.04'!$AY$4,'17.04'!$AY$3))</f>
        <v>0</v>
      </c>
      <c r="G64" s="4">
        <f>IF(ISNUMBER(SEARCH("营",'17.04'!O64)),(-$Y64+50*IF('17.04'!$AK64="是",'17.04'!$AY$4,'17.04'!$AY$3)),(VLOOKUP('17.04'!O64,'17.04'!$AM$4:$AO$55,2,FALSE))*IF('17.04'!$AK64="是",'17.04'!$AY$4,'17.04'!$AY$3))</f>
        <v>0</v>
      </c>
      <c r="H64" s="4">
        <f>IF(ISNUMBER(SEARCH("营",'17.04'!P64)),(-$Y64+50*IF('17.04'!$AK64="是",'17.04'!$AY$4,'17.04'!$AY$3)),(VLOOKUP('17.04'!P64,'17.04'!$AM$4:$AO$55,2,FALSE))*IF('17.04'!$AK64="是",'17.04'!$AY$4,'17.04'!$AY$3))</f>
        <v>0</v>
      </c>
      <c r="I64" s="4">
        <f>IF(ISNUMBER(SEARCH("营",'17.04'!Q64)),(-$Y64+50*IF('17.04'!$AK64="是",'17.04'!$AY$4,'17.04'!$AY$3)),(VLOOKUP('17.04'!Q64,'17.04'!$AM$4:$AO$55,2,FALSE))*IF('17.04'!$AK64="是",'17.04'!$AY$4,'17.04'!$AY$3))</f>
        <v>0</v>
      </c>
      <c r="J64" s="4">
        <f>IF(ISNUMBER(SEARCH("营",'17.04'!R64)),(-$Y64+50*IF('17.04'!$AK64="是",'17.04'!$AY$4,'17.04'!$AY$3)),(VLOOKUP('17.04'!R64,'17.04'!$AM$4:$AO$55,2,FALSE))*IF('17.04'!$AK64="是",'17.04'!$AY$4,'17.04'!$AY$3))</f>
        <v>0</v>
      </c>
      <c r="K64" s="4">
        <f>IF(ISNUMBER(SEARCH("营",'17.04'!S64)),(-$Y64+50*IF('17.04'!$AK64="是",'17.04'!$AY$4,'17.04'!$AY$3)),(VLOOKUP('17.04'!S64,'17.04'!$AM$4:$AO$55,2,FALSE))*IF('17.04'!$AK64="是",'17.04'!$AY$4,'17.04'!$AY$3))</f>
        <v>0</v>
      </c>
      <c r="L64" s="4">
        <f>IF(ISNUMBER(SEARCH("营",'17.04'!T64)),(-$Y64+50*IF('17.04'!$AK64="是",'17.04'!$AY$4,'17.04'!$AY$3)),(VLOOKUP('17.04'!T64,'17.04'!$AM$4:$AO$55,2,FALSE))*IF('17.04'!$AK64="是",'17.04'!$AY$4,'17.04'!$AY$3))</f>
        <v>0</v>
      </c>
      <c r="M64" s="4">
        <f>IF(ISNUMBER(SEARCH("营",'17.04'!U64)),(-$Y64+50*IF('17.04'!$AK64="是",'17.04'!$AY$4,'17.04'!$AY$3)),(VLOOKUP('17.04'!U64,'17.04'!$AM$4:$AO$55,2,FALSE))*IF('17.04'!$AK64="是",'17.04'!$AY$4,'17.04'!$AY$3))</f>
        <v>0</v>
      </c>
      <c r="N64" s="4">
        <f>IF(ISNUMBER(SEARCH("营",'17.04'!V64)),(-$Y64+50*IF('17.04'!$AK64="是",'17.04'!$AY$4,'17.04'!$AY$3)),(VLOOKUP('17.04'!V64,'17.04'!$AM$4:$AO$55,2,FALSE))*IF('17.04'!$AK64="是",'17.04'!$AY$4,'17.04'!$AY$3))</f>
        <v>0</v>
      </c>
      <c r="O64" s="4">
        <f>IF(ISNUMBER(SEARCH("营",'17.04'!W64)),(-$Y64+50*IF('17.04'!$AK64="是",'17.04'!$AY$4,'17.04'!$AY$3)),(VLOOKUP('17.04'!W64,'17.04'!$AM$4:$AO$55,2,FALSE))*IF('17.04'!$AK64="是",'17.04'!$AY$4,'17.04'!$AY$3))</f>
        <v>0</v>
      </c>
      <c r="P64" s="4">
        <f>IF(ISNUMBER(SEARCH("营",'17.04'!X64)),(-$Y64+50*IF('17.04'!$AK64="是",'17.04'!$AY$4,'17.04'!$AY$3)),(VLOOKUP('17.04'!X64,'17.04'!$AM$4:$AO$55,2,FALSE))*IF('17.04'!$AK64="是",'17.04'!$AY$4,'17.04'!$AY$3))</f>
        <v>0</v>
      </c>
      <c r="Q64" s="4">
        <f>IF(ISNUMBER(SEARCH("营",'17.04'!Y64)),(-$Y64+50*IF('17.04'!$AK64="是",'17.04'!$AY$4,'17.04'!$AY$3)),(VLOOKUP('17.04'!Y64,'17.04'!$AM$4:$AO$55,2,FALSE))*IF('17.04'!$AK64="是",'17.04'!$AY$4,'17.04'!$AY$3))</f>
        <v>0</v>
      </c>
      <c r="R64" s="4">
        <f>IF(ISNUMBER(SEARCH("营",'17.04'!Z64)),(-$Y64+50*IF('17.04'!$AK64="是",'17.04'!$AY$4,'17.04'!$AY$3)),(VLOOKUP('17.04'!Z64,'17.04'!$AM$4:$AO$55,2,FALSE))*IF('17.04'!$AK64="是",'17.04'!$AY$4,'17.04'!$AY$3))</f>
        <v>0</v>
      </c>
      <c r="S64" s="4">
        <f>IF(ISNUMBER(SEARCH("营",'17.04'!AA64)),(-$Y64+50*IF('17.04'!$AK64="是",'17.04'!$AY$4,'17.04'!$AY$3)),(VLOOKUP('17.04'!AA64,'17.04'!$AM$4:$AO$55,2,FALSE))*IF('17.04'!$AK64="是",'17.04'!$AY$4,'17.04'!$AY$3))</f>
        <v>0</v>
      </c>
      <c r="T64" s="4">
        <f>IF(ISNUMBER(SEARCH("营",'17.04'!AB64)),(-$Y64+50*IF('17.04'!$AK64="是",'17.04'!$AY$4,'17.04'!$AY$3)),(VLOOKUP('17.04'!AB64,'17.04'!$AM$4:$AO$55,2,FALSE))*IF('17.04'!$AK64="是",'17.04'!$AY$4,'17.04'!$AY$3))</f>
        <v>0</v>
      </c>
      <c r="U64" s="4">
        <f>IF(ISNUMBER(SEARCH("营",'17.04'!AC64)),(-$Y64+50*IF('17.04'!$AK64="是",'17.04'!$AY$4,'17.04'!$AY$3)),(VLOOKUP('17.04'!AC64,'17.04'!$AM$4:$AO$55,2,FALSE))*IF('17.04'!$AK64="是",'17.04'!$AY$4,'17.04'!$AY$3))</f>
        <v>0</v>
      </c>
      <c r="V64" s="4">
        <f>IF(ISNUMBER(SEARCH("营",'17.04'!AD64)),(-$Y64+50*IF('17.04'!$AK64="是",'17.04'!$AY$4,'17.04'!$AY$3)),(VLOOKUP('17.04'!AD64,'17.04'!$AM$4:$AO$55,2,FALSE))*IF('17.04'!$AK64="是",'17.04'!$AY$4,'17.04'!$AY$3))</f>
        <v>0</v>
      </c>
      <c r="W64" s="4">
        <f>IF(ISNUMBER(SEARCH("营",'17.04'!AE64)),(-$Y64+50*IF('17.04'!$AK64="是",'17.04'!$AY$4,'17.04'!$AY$3)),(VLOOKUP('17.04'!AE64,'17.04'!$AM$4:$AO$55,2,FALSE))*IF('17.04'!$AK64="是",'17.04'!$AY$4,'17.04'!$AY$3))</f>
        <v>0</v>
      </c>
      <c r="X64" s="4">
        <f>IF(ISNUMBER(SEARCH("营",'17.04'!AF64)),(-$Y64+50*IF('17.04'!$AK64="是",'17.04'!$AY$4,'17.04'!$AY$3)),(VLOOKUP('17.04'!AF64,'17.04'!$AM$4:$AO$55,2,FALSE))*IF('17.04'!$AK64="是",'17.04'!$AY$4,'17.04'!$AY$3))</f>
        <v>0</v>
      </c>
      <c r="Y64" s="89">
        <v>100</v>
      </c>
    </row>
    <row r="65" spans="1:25">
      <c r="A65" s="4">
        <f>IF(ISNUMBER(SEARCH("营",'17.04'!I65)),(-$Y65+50*IF('17.04'!$AK65="是",'17.04'!$AY$4,'17.04'!$AY$3)),(VLOOKUP('17.04'!I65,'17.04'!$AM$4:$AO$55,2,FALSE))*IF('17.04'!$AK65="是",'17.04'!$AY$4,'17.04'!$AY$3))</f>
        <v>0</v>
      </c>
      <c r="B65" s="4">
        <f>IF(ISNUMBER(SEARCH("营",'17.04'!J65)),(-$Y65+50*IF('17.04'!$AK65="是",'17.04'!$AY$4,'17.04'!$AY$3)),(VLOOKUP('17.04'!J65,'17.04'!$AM$4:$AO$55,2,FALSE))*IF('17.04'!$AK65="是",'17.04'!$AY$4,'17.04'!$AY$3))</f>
        <v>0</v>
      </c>
      <c r="C65" s="4">
        <f>IF(ISNUMBER(SEARCH("营",'17.04'!K65)),(-$Y65+50*IF('17.04'!$AK65="是",'17.04'!$AY$4,'17.04'!$AY$3)),(VLOOKUP('17.04'!K65,'17.04'!$AM$4:$AO$55,2,FALSE))*IF('17.04'!$AK65="是",'17.04'!$AY$4,'17.04'!$AY$3))</f>
        <v>0</v>
      </c>
      <c r="D65" s="4">
        <f>IF(ISNUMBER(SEARCH("营",'17.04'!L65)),(-$Y65+50*IF('17.04'!$AK65="是",'17.04'!$AY$4,'17.04'!$AY$3)),(VLOOKUP('17.04'!L65,'17.04'!$AM$4:$AO$55,2,FALSE))*IF('17.04'!$AK65="是",'17.04'!$AY$4,'17.04'!$AY$3))</f>
        <v>0</v>
      </c>
      <c r="E65" s="4">
        <f>IF(ISNUMBER(SEARCH("营",'17.04'!M65)),(-$Y65+50*IF('17.04'!$AK65="是",'17.04'!$AY$4,'17.04'!$AY$3)),(VLOOKUP('17.04'!M65,'17.04'!$AM$4:$AO$55,2,FALSE))*IF('17.04'!$AK65="是",'17.04'!$AY$4,'17.04'!$AY$3))</f>
        <v>0</v>
      </c>
      <c r="F65" s="4">
        <f>IF(ISNUMBER(SEARCH("营",'17.04'!N65)),(-$Y65+50*IF('17.04'!$AK65="是",'17.04'!$AY$4,'17.04'!$AY$3)),(VLOOKUP('17.04'!N65,'17.04'!$AM$4:$AO$55,2,FALSE))*IF('17.04'!$AK65="是",'17.04'!$AY$4,'17.04'!$AY$3))</f>
        <v>0</v>
      </c>
      <c r="G65" s="4">
        <f>IF(ISNUMBER(SEARCH("营",'17.04'!O65)),(-$Y65+50*IF('17.04'!$AK65="是",'17.04'!$AY$4,'17.04'!$AY$3)),(VLOOKUP('17.04'!O65,'17.04'!$AM$4:$AO$55,2,FALSE))*IF('17.04'!$AK65="是",'17.04'!$AY$4,'17.04'!$AY$3))</f>
        <v>0</v>
      </c>
      <c r="H65" s="4">
        <f>IF(ISNUMBER(SEARCH("营",'17.04'!P65)),(-$Y65+50*IF('17.04'!$AK65="是",'17.04'!$AY$4,'17.04'!$AY$3)),(VLOOKUP('17.04'!P65,'17.04'!$AM$4:$AO$55,2,FALSE))*IF('17.04'!$AK65="是",'17.04'!$AY$4,'17.04'!$AY$3))</f>
        <v>0</v>
      </c>
      <c r="I65" s="4">
        <f>IF(ISNUMBER(SEARCH("营",'17.04'!Q65)),(-$Y65+50*IF('17.04'!$AK65="是",'17.04'!$AY$4,'17.04'!$AY$3)),(VLOOKUP('17.04'!Q65,'17.04'!$AM$4:$AO$55,2,FALSE))*IF('17.04'!$AK65="是",'17.04'!$AY$4,'17.04'!$AY$3))</f>
        <v>0</v>
      </c>
      <c r="J65" s="4">
        <f>IF(ISNUMBER(SEARCH("营",'17.04'!R65)),(-$Y65+50*IF('17.04'!$AK65="是",'17.04'!$AY$4,'17.04'!$AY$3)),(VLOOKUP('17.04'!R65,'17.04'!$AM$4:$AO$55,2,FALSE))*IF('17.04'!$AK65="是",'17.04'!$AY$4,'17.04'!$AY$3))</f>
        <v>0</v>
      </c>
      <c r="K65" s="4">
        <f>IF(ISNUMBER(SEARCH("营",'17.04'!S65)),(-$Y65+50*IF('17.04'!$AK65="是",'17.04'!$AY$4,'17.04'!$AY$3)),(VLOOKUP('17.04'!S65,'17.04'!$AM$4:$AO$55,2,FALSE))*IF('17.04'!$AK65="是",'17.04'!$AY$4,'17.04'!$AY$3))</f>
        <v>0</v>
      </c>
      <c r="L65" s="4">
        <f>IF(ISNUMBER(SEARCH("营",'17.04'!T65)),(-$Y65+50*IF('17.04'!$AK65="是",'17.04'!$AY$4,'17.04'!$AY$3)),(VLOOKUP('17.04'!T65,'17.04'!$AM$4:$AO$55,2,FALSE))*IF('17.04'!$AK65="是",'17.04'!$AY$4,'17.04'!$AY$3))</f>
        <v>0</v>
      </c>
      <c r="M65" s="4">
        <f>IF(ISNUMBER(SEARCH("营",'17.04'!U65)),(-$Y65+50*IF('17.04'!$AK65="是",'17.04'!$AY$4,'17.04'!$AY$3)),(VLOOKUP('17.04'!U65,'17.04'!$AM$4:$AO$55,2,FALSE))*IF('17.04'!$AK65="是",'17.04'!$AY$4,'17.04'!$AY$3))</f>
        <v>0</v>
      </c>
      <c r="N65" s="4">
        <f>IF(ISNUMBER(SEARCH("营",'17.04'!V65)),(-$Y65+50*IF('17.04'!$AK65="是",'17.04'!$AY$4,'17.04'!$AY$3)),(VLOOKUP('17.04'!V65,'17.04'!$AM$4:$AO$55,2,FALSE))*IF('17.04'!$AK65="是",'17.04'!$AY$4,'17.04'!$AY$3))</f>
        <v>0</v>
      </c>
      <c r="O65" s="4">
        <f>IF(ISNUMBER(SEARCH("营",'17.04'!W65)),(-$Y65+50*IF('17.04'!$AK65="是",'17.04'!$AY$4,'17.04'!$AY$3)),(VLOOKUP('17.04'!W65,'17.04'!$AM$4:$AO$55,2,FALSE))*IF('17.04'!$AK65="是",'17.04'!$AY$4,'17.04'!$AY$3))</f>
        <v>0</v>
      </c>
      <c r="P65" s="4">
        <f>IF(ISNUMBER(SEARCH("营",'17.04'!X65)),(-$Y65+50*IF('17.04'!$AK65="是",'17.04'!$AY$4,'17.04'!$AY$3)),(VLOOKUP('17.04'!X65,'17.04'!$AM$4:$AO$55,2,FALSE))*IF('17.04'!$AK65="是",'17.04'!$AY$4,'17.04'!$AY$3))</f>
        <v>0</v>
      </c>
      <c r="Q65" s="4">
        <f>IF(ISNUMBER(SEARCH("营",'17.04'!Y65)),(-$Y65+50*IF('17.04'!$AK65="是",'17.04'!$AY$4,'17.04'!$AY$3)),(VLOOKUP('17.04'!Y65,'17.04'!$AM$4:$AO$55,2,FALSE))*IF('17.04'!$AK65="是",'17.04'!$AY$4,'17.04'!$AY$3))</f>
        <v>0</v>
      </c>
      <c r="R65" s="4">
        <f>IF(ISNUMBER(SEARCH("营",'17.04'!Z65)),(-$Y65+50*IF('17.04'!$AK65="是",'17.04'!$AY$4,'17.04'!$AY$3)),(VLOOKUP('17.04'!Z65,'17.04'!$AM$4:$AO$55,2,FALSE))*IF('17.04'!$AK65="是",'17.04'!$AY$4,'17.04'!$AY$3))</f>
        <v>0</v>
      </c>
      <c r="S65" s="4">
        <f>IF(ISNUMBER(SEARCH("营",'17.04'!AA65)),(-$Y65+50*IF('17.04'!$AK65="是",'17.04'!$AY$4,'17.04'!$AY$3)),(VLOOKUP('17.04'!AA65,'17.04'!$AM$4:$AO$55,2,FALSE))*IF('17.04'!$AK65="是",'17.04'!$AY$4,'17.04'!$AY$3))</f>
        <v>0</v>
      </c>
      <c r="T65" s="4">
        <f>IF(ISNUMBER(SEARCH("营",'17.04'!AB65)),(-$Y65+50*IF('17.04'!$AK65="是",'17.04'!$AY$4,'17.04'!$AY$3)),(VLOOKUP('17.04'!AB65,'17.04'!$AM$4:$AO$55,2,FALSE))*IF('17.04'!$AK65="是",'17.04'!$AY$4,'17.04'!$AY$3))</f>
        <v>0</v>
      </c>
      <c r="U65" s="4">
        <f>IF(ISNUMBER(SEARCH("营",'17.04'!AC65)),(-$Y65+50*IF('17.04'!$AK65="是",'17.04'!$AY$4,'17.04'!$AY$3)),(VLOOKUP('17.04'!AC65,'17.04'!$AM$4:$AO$55,2,FALSE))*IF('17.04'!$AK65="是",'17.04'!$AY$4,'17.04'!$AY$3))</f>
        <v>0</v>
      </c>
      <c r="V65" s="4">
        <f>IF(ISNUMBER(SEARCH("营",'17.04'!AD65)),(-$Y65+50*IF('17.04'!$AK65="是",'17.04'!$AY$4,'17.04'!$AY$3)),(VLOOKUP('17.04'!AD65,'17.04'!$AM$4:$AO$55,2,FALSE))*IF('17.04'!$AK65="是",'17.04'!$AY$4,'17.04'!$AY$3))</f>
        <v>0</v>
      </c>
      <c r="W65" s="4">
        <f>IF(ISNUMBER(SEARCH("营",'17.04'!AE65)),(-$Y65+50*IF('17.04'!$AK65="是",'17.04'!$AY$4,'17.04'!$AY$3)),(VLOOKUP('17.04'!AE65,'17.04'!$AM$4:$AO$55,2,FALSE))*IF('17.04'!$AK65="是",'17.04'!$AY$4,'17.04'!$AY$3))</f>
        <v>0</v>
      </c>
      <c r="X65" s="4">
        <f>IF(ISNUMBER(SEARCH("营",'17.04'!AF65)),(-$Y65+50*IF('17.04'!$AK65="是",'17.04'!$AY$4,'17.04'!$AY$3)),(VLOOKUP('17.04'!AF65,'17.04'!$AM$4:$AO$55,2,FALSE))*IF('17.04'!$AK65="是",'17.04'!$AY$4,'17.04'!$AY$3))</f>
        <v>0</v>
      </c>
      <c r="Y65" s="89">
        <v>100</v>
      </c>
    </row>
    <row r="66" spans="1:25">
      <c r="A66" s="4">
        <f>IF(ISNUMBER(SEARCH("营",'17.04'!I66)),(-$Y66+50*IF('17.04'!$AK66="是",'17.04'!$AY$4,'17.04'!$AY$3)),(VLOOKUP('17.04'!I66,'17.04'!$AM$4:$AO$55,2,FALSE))*IF('17.04'!$AK66="是",'17.04'!$AY$4,'17.04'!$AY$3))</f>
        <v>0</v>
      </c>
      <c r="B66" s="4">
        <f>IF(ISNUMBER(SEARCH("营",'17.04'!J66)),(-$Y66+50*IF('17.04'!$AK66="是",'17.04'!$AY$4,'17.04'!$AY$3)),(VLOOKUP('17.04'!J66,'17.04'!$AM$4:$AO$55,2,FALSE))*IF('17.04'!$AK66="是",'17.04'!$AY$4,'17.04'!$AY$3))</f>
        <v>0</v>
      </c>
      <c r="C66" s="4">
        <f>IF(ISNUMBER(SEARCH("营",'17.04'!K66)),(-$Y66+50*IF('17.04'!$AK66="是",'17.04'!$AY$4,'17.04'!$AY$3)),(VLOOKUP('17.04'!K66,'17.04'!$AM$4:$AO$55,2,FALSE))*IF('17.04'!$AK66="是",'17.04'!$AY$4,'17.04'!$AY$3))</f>
        <v>0</v>
      </c>
      <c r="D66" s="4">
        <f>IF(ISNUMBER(SEARCH("营",'17.04'!L66)),(-$Y66+50*IF('17.04'!$AK66="是",'17.04'!$AY$4,'17.04'!$AY$3)),(VLOOKUP('17.04'!L66,'17.04'!$AM$4:$AO$55,2,FALSE))*IF('17.04'!$AK66="是",'17.04'!$AY$4,'17.04'!$AY$3))</f>
        <v>0</v>
      </c>
      <c r="E66" s="4">
        <f>IF(ISNUMBER(SEARCH("营",'17.04'!M66)),(-$Y66+50*IF('17.04'!$AK66="是",'17.04'!$AY$4,'17.04'!$AY$3)),(VLOOKUP('17.04'!M66,'17.04'!$AM$4:$AO$55,2,FALSE))*IF('17.04'!$AK66="是",'17.04'!$AY$4,'17.04'!$AY$3))</f>
        <v>0</v>
      </c>
      <c r="F66" s="4">
        <f>IF(ISNUMBER(SEARCH("营",'17.04'!N66)),(-$Y66+50*IF('17.04'!$AK66="是",'17.04'!$AY$4,'17.04'!$AY$3)),(VLOOKUP('17.04'!N66,'17.04'!$AM$4:$AO$55,2,FALSE))*IF('17.04'!$AK66="是",'17.04'!$AY$4,'17.04'!$AY$3))</f>
        <v>0</v>
      </c>
      <c r="G66" s="4">
        <f>IF(ISNUMBER(SEARCH("营",'17.04'!O66)),(-$Y66+50*IF('17.04'!$AK66="是",'17.04'!$AY$4,'17.04'!$AY$3)),(VLOOKUP('17.04'!O66,'17.04'!$AM$4:$AO$55,2,FALSE))*IF('17.04'!$AK66="是",'17.04'!$AY$4,'17.04'!$AY$3))</f>
        <v>0</v>
      </c>
      <c r="H66" s="4">
        <f>IF(ISNUMBER(SEARCH("营",'17.04'!P66)),(-$Y66+50*IF('17.04'!$AK66="是",'17.04'!$AY$4,'17.04'!$AY$3)),(VLOOKUP('17.04'!P66,'17.04'!$AM$4:$AO$55,2,FALSE))*IF('17.04'!$AK66="是",'17.04'!$AY$4,'17.04'!$AY$3))</f>
        <v>0</v>
      </c>
      <c r="I66" s="4">
        <f>IF(ISNUMBER(SEARCH("营",'17.04'!Q66)),(-$Y66+50*IF('17.04'!$AK66="是",'17.04'!$AY$4,'17.04'!$AY$3)),(VLOOKUP('17.04'!Q66,'17.04'!$AM$4:$AO$55,2,FALSE))*IF('17.04'!$AK66="是",'17.04'!$AY$4,'17.04'!$AY$3))</f>
        <v>0</v>
      </c>
      <c r="J66" s="4">
        <f>IF(ISNUMBER(SEARCH("营",'17.04'!R66)),(-$Y66+50*IF('17.04'!$AK66="是",'17.04'!$AY$4,'17.04'!$AY$3)),(VLOOKUP('17.04'!R66,'17.04'!$AM$4:$AO$55,2,FALSE))*IF('17.04'!$AK66="是",'17.04'!$AY$4,'17.04'!$AY$3))</f>
        <v>0</v>
      </c>
      <c r="K66" s="4">
        <f>IF(ISNUMBER(SEARCH("营",'17.04'!S66)),(-$Y66+50*IF('17.04'!$AK66="是",'17.04'!$AY$4,'17.04'!$AY$3)),(VLOOKUP('17.04'!S66,'17.04'!$AM$4:$AO$55,2,FALSE))*IF('17.04'!$AK66="是",'17.04'!$AY$4,'17.04'!$AY$3))</f>
        <v>0</v>
      </c>
      <c r="L66" s="4">
        <f>IF(ISNUMBER(SEARCH("营",'17.04'!T66)),(-$Y66+50*IF('17.04'!$AK66="是",'17.04'!$AY$4,'17.04'!$AY$3)),(VLOOKUP('17.04'!T66,'17.04'!$AM$4:$AO$55,2,FALSE))*IF('17.04'!$AK66="是",'17.04'!$AY$4,'17.04'!$AY$3))</f>
        <v>0</v>
      </c>
      <c r="M66" s="4">
        <f>IF(ISNUMBER(SEARCH("营",'17.04'!U66)),(-$Y66+50*IF('17.04'!$AK66="是",'17.04'!$AY$4,'17.04'!$AY$3)),(VLOOKUP('17.04'!U66,'17.04'!$AM$4:$AO$55,2,FALSE))*IF('17.04'!$AK66="是",'17.04'!$AY$4,'17.04'!$AY$3))</f>
        <v>0</v>
      </c>
      <c r="N66" s="4">
        <f>IF(ISNUMBER(SEARCH("营",'17.04'!V66)),(-$Y66+50*IF('17.04'!$AK66="是",'17.04'!$AY$4,'17.04'!$AY$3)),(VLOOKUP('17.04'!V66,'17.04'!$AM$4:$AO$55,2,FALSE))*IF('17.04'!$AK66="是",'17.04'!$AY$4,'17.04'!$AY$3))</f>
        <v>0</v>
      </c>
      <c r="O66" s="4">
        <f>IF(ISNUMBER(SEARCH("营",'17.04'!W66)),(-$Y66+50*IF('17.04'!$AK66="是",'17.04'!$AY$4,'17.04'!$AY$3)),(VLOOKUP('17.04'!W66,'17.04'!$AM$4:$AO$55,2,FALSE))*IF('17.04'!$AK66="是",'17.04'!$AY$4,'17.04'!$AY$3))</f>
        <v>0</v>
      </c>
      <c r="P66" s="4">
        <f>IF(ISNUMBER(SEARCH("营",'17.04'!X66)),(-$Y66+50*IF('17.04'!$AK66="是",'17.04'!$AY$4,'17.04'!$AY$3)),(VLOOKUP('17.04'!X66,'17.04'!$AM$4:$AO$55,2,FALSE))*IF('17.04'!$AK66="是",'17.04'!$AY$4,'17.04'!$AY$3))</f>
        <v>0</v>
      </c>
      <c r="Q66" s="4">
        <f>IF(ISNUMBER(SEARCH("营",'17.04'!Y66)),(-$Y66+50*IF('17.04'!$AK66="是",'17.04'!$AY$4,'17.04'!$AY$3)),(VLOOKUP('17.04'!Y66,'17.04'!$AM$4:$AO$55,2,FALSE))*IF('17.04'!$AK66="是",'17.04'!$AY$4,'17.04'!$AY$3))</f>
        <v>0</v>
      </c>
      <c r="R66" s="4">
        <f>IF(ISNUMBER(SEARCH("营",'17.04'!Z66)),(-$Y66+50*IF('17.04'!$AK66="是",'17.04'!$AY$4,'17.04'!$AY$3)),(VLOOKUP('17.04'!Z66,'17.04'!$AM$4:$AO$55,2,FALSE))*IF('17.04'!$AK66="是",'17.04'!$AY$4,'17.04'!$AY$3))</f>
        <v>0</v>
      </c>
      <c r="S66" s="4">
        <f>IF(ISNUMBER(SEARCH("营",'17.04'!AA66)),(-$Y66+50*IF('17.04'!$AK66="是",'17.04'!$AY$4,'17.04'!$AY$3)),(VLOOKUP('17.04'!AA66,'17.04'!$AM$4:$AO$55,2,FALSE))*IF('17.04'!$AK66="是",'17.04'!$AY$4,'17.04'!$AY$3))</f>
        <v>0</v>
      </c>
      <c r="T66" s="4">
        <f>IF(ISNUMBER(SEARCH("营",'17.04'!AB66)),(-$Y66+50*IF('17.04'!$AK66="是",'17.04'!$AY$4,'17.04'!$AY$3)),(VLOOKUP('17.04'!AB66,'17.04'!$AM$4:$AO$55,2,FALSE))*IF('17.04'!$AK66="是",'17.04'!$AY$4,'17.04'!$AY$3))</f>
        <v>0</v>
      </c>
      <c r="U66" s="4">
        <f>IF(ISNUMBER(SEARCH("营",'17.04'!AC66)),(-$Y66+50*IF('17.04'!$AK66="是",'17.04'!$AY$4,'17.04'!$AY$3)),(VLOOKUP('17.04'!AC66,'17.04'!$AM$4:$AO$55,2,FALSE))*IF('17.04'!$AK66="是",'17.04'!$AY$4,'17.04'!$AY$3))</f>
        <v>0</v>
      </c>
      <c r="V66" s="4">
        <f>IF(ISNUMBER(SEARCH("营",'17.04'!AD66)),(-$Y66+50*IF('17.04'!$AK66="是",'17.04'!$AY$4,'17.04'!$AY$3)),(VLOOKUP('17.04'!AD66,'17.04'!$AM$4:$AO$55,2,FALSE))*IF('17.04'!$AK66="是",'17.04'!$AY$4,'17.04'!$AY$3))</f>
        <v>0</v>
      </c>
      <c r="W66" s="4">
        <f>IF(ISNUMBER(SEARCH("营",'17.04'!AE66)),(-$Y66+50*IF('17.04'!$AK66="是",'17.04'!$AY$4,'17.04'!$AY$3)),(VLOOKUP('17.04'!AE66,'17.04'!$AM$4:$AO$55,2,FALSE))*IF('17.04'!$AK66="是",'17.04'!$AY$4,'17.04'!$AY$3))</f>
        <v>0</v>
      </c>
      <c r="X66" s="4">
        <f>IF(ISNUMBER(SEARCH("营",'17.04'!AF66)),(-$Y66+50*IF('17.04'!$AK66="是",'17.04'!$AY$4,'17.04'!$AY$3)),(VLOOKUP('17.04'!AF66,'17.04'!$AM$4:$AO$55,2,FALSE))*IF('17.04'!$AK66="是",'17.04'!$AY$4,'17.04'!$AY$3))</f>
        <v>0</v>
      </c>
      <c r="Y66" s="89">
        <v>100</v>
      </c>
    </row>
    <row r="67" spans="1:25">
      <c r="A67" s="4">
        <f>IF(ISNUMBER(SEARCH("营",'17.04'!I67)),(-$Y67+50*IF('17.04'!$AK67="是",'17.04'!$AY$4,'17.04'!$AY$3)),(VLOOKUP('17.04'!I67,'17.04'!$AM$4:$AO$55,2,FALSE))*IF('17.04'!$AK67="是",'17.04'!$AY$4,'17.04'!$AY$3))</f>
        <v>0</v>
      </c>
      <c r="B67" s="4">
        <f>IF(ISNUMBER(SEARCH("营",'17.04'!J67)),(-$Y67+50*IF('17.04'!$AK67="是",'17.04'!$AY$4,'17.04'!$AY$3)),(VLOOKUP('17.04'!J67,'17.04'!$AM$4:$AO$55,2,FALSE))*IF('17.04'!$AK67="是",'17.04'!$AY$4,'17.04'!$AY$3))</f>
        <v>0</v>
      </c>
      <c r="C67" s="4">
        <f>IF(ISNUMBER(SEARCH("营",'17.04'!K67)),(-$Y67+50*IF('17.04'!$AK67="是",'17.04'!$AY$4,'17.04'!$AY$3)),(VLOOKUP('17.04'!K67,'17.04'!$AM$4:$AO$55,2,FALSE))*IF('17.04'!$AK67="是",'17.04'!$AY$4,'17.04'!$AY$3))</f>
        <v>0</v>
      </c>
      <c r="D67" s="4">
        <f>IF(ISNUMBER(SEARCH("营",'17.04'!L67)),(-$Y67+50*IF('17.04'!$AK67="是",'17.04'!$AY$4,'17.04'!$AY$3)),(VLOOKUP('17.04'!L67,'17.04'!$AM$4:$AO$55,2,FALSE))*IF('17.04'!$AK67="是",'17.04'!$AY$4,'17.04'!$AY$3))</f>
        <v>0</v>
      </c>
      <c r="E67" s="4">
        <f>IF(ISNUMBER(SEARCH("营",'17.04'!M67)),(-$Y67+50*IF('17.04'!$AK67="是",'17.04'!$AY$4,'17.04'!$AY$3)),(VLOOKUP('17.04'!M67,'17.04'!$AM$4:$AO$55,2,FALSE))*IF('17.04'!$AK67="是",'17.04'!$AY$4,'17.04'!$AY$3))</f>
        <v>0</v>
      </c>
      <c r="F67" s="4">
        <f>IF(ISNUMBER(SEARCH("营",'17.04'!N67)),(-$Y67+50*IF('17.04'!$AK67="是",'17.04'!$AY$4,'17.04'!$AY$3)),(VLOOKUP('17.04'!N67,'17.04'!$AM$4:$AO$55,2,FALSE))*IF('17.04'!$AK67="是",'17.04'!$AY$4,'17.04'!$AY$3))</f>
        <v>0</v>
      </c>
      <c r="G67" s="4">
        <f>IF(ISNUMBER(SEARCH("营",'17.04'!O67)),(-$Y67+50*IF('17.04'!$AK67="是",'17.04'!$AY$4,'17.04'!$AY$3)),(VLOOKUP('17.04'!O67,'17.04'!$AM$4:$AO$55,2,FALSE))*IF('17.04'!$AK67="是",'17.04'!$AY$4,'17.04'!$AY$3))</f>
        <v>0</v>
      </c>
      <c r="H67" s="4">
        <f>IF(ISNUMBER(SEARCH("营",'17.04'!P67)),(-$Y67+50*IF('17.04'!$AK67="是",'17.04'!$AY$4,'17.04'!$AY$3)),(VLOOKUP('17.04'!P67,'17.04'!$AM$4:$AO$55,2,FALSE))*IF('17.04'!$AK67="是",'17.04'!$AY$4,'17.04'!$AY$3))</f>
        <v>0</v>
      </c>
      <c r="I67" s="4">
        <f>IF(ISNUMBER(SEARCH("营",'17.04'!Q67)),(-$Y67+50*IF('17.04'!$AK67="是",'17.04'!$AY$4,'17.04'!$AY$3)),(VLOOKUP('17.04'!Q67,'17.04'!$AM$4:$AO$55,2,FALSE))*IF('17.04'!$AK67="是",'17.04'!$AY$4,'17.04'!$AY$3))</f>
        <v>0</v>
      </c>
      <c r="J67" s="4">
        <f>IF(ISNUMBER(SEARCH("营",'17.04'!R67)),(-$Y67+50*IF('17.04'!$AK67="是",'17.04'!$AY$4,'17.04'!$AY$3)),(VLOOKUP('17.04'!R67,'17.04'!$AM$4:$AO$55,2,FALSE))*IF('17.04'!$AK67="是",'17.04'!$AY$4,'17.04'!$AY$3))</f>
        <v>0</v>
      </c>
      <c r="K67" s="4">
        <f>IF(ISNUMBER(SEARCH("营",'17.04'!S67)),(-$Y67+50*IF('17.04'!$AK67="是",'17.04'!$AY$4,'17.04'!$AY$3)),(VLOOKUP('17.04'!S67,'17.04'!$AM$4:$AO$55,2,FALSE))*IF('17.04'!$AK67="是",'17.04'!$AY$4,'17.04'!$AY$3))</f>
        <v>0</v>
      </c>
      <c r="L67" s="4">
        <f>IF(ISNUMBER(SEARCH("营",'17.04'!T67)),(-$Y67+50*IF('17.04'!$AK67="是",'17.04'!$AY$4,'17.04'!$AY$3)),(VLOOKUP('17.04'!T67,'17.04'!$AM$4:$AO$55,2,FALSE))*IF('17.04'!$AK67="是",'17.04'!$AY$4,'17.04'!$AY$3))</f>
        <v>0</v>
      </c>
      <c r="M67" s="4">
        <f>IF(ISNUMBER(SEARCH("营",'17.04'!U67)),(-$Y67+50*IF('17.04'!$AK67="是",'17.04'!$AY$4,'17.04'!$AY$3)),(VLOOKUP('17.04'!U67,'17.04'!$AM$4:$AO$55,2,FALSE))*IF('17.04'!$AK67="是",'17.04'!$AY$4,'17.04'!$AY$3))</f>
        <v>0</v>
      </c>
      <c r="N67" s="4">
        <f>IF(ISNUMBER(SEARCH("营",'17.04'!V67)),(-$Y67+50*IF('17.04'!$AK67="是",'17.04'!$AY$4,'17.04'!$AY$3)),(VLOOKUP('17.04'!V67,'17.04'!$AM$4:$AO$55,2,FALSE))*IF('17.04'!$AK67="是",'17.04'!$AY$4,'17.04'!$AY$3))</f>
        <v>0</v>
      </c>
      <c r="O67" s="4">
        <f>IF(ISNUMBER(SEARCH("营",'17.04'!W67)),(-$Y67+50*IF('17.04'!$AK67="是",'17.04'!$AY$4,'17.04'!$AY$3)),(VLOOKUP('17.04'!W67,'17.04'!$AM$4:$AO$55,2,FALSE))*IF('17.04'!$AK67="是",'17.04'!$AY$4,'17.04'!$AY$3))</f>
        <v>0</v>
      </c>
      <c r="P67" s="4">
        <f>IF(ISNUMBER(SEARCH("营",'17.04'!X67)),(-$Y67+50*IF('17.04'!$AK67="是",'17.04'!$AY$4,'17.04'!$AY$3)),(VLOOKUP('17.04'!X67,'17.04'!$AM$4:$AO$55,2,FALSE))*IF('17.04'!$AK67="是",'17.04'!$AY$4,'17.04'!$AY$3))</f>
        <v>0</v>
      </c>
      <c r="Q67" s="4">
        <f>IF(ISNUMBER(SEARCH("营",'17.04'!Y67)),(-$Y67+50*IF('17.04'!$AK67="是",'17.04'!$AY$4,'17.04'!$AY$3)),(VLOOKUP('17.04'!Y67,'17.04'!$AM$4:$AO$55,2,FALSE))*IF('17.04'!$AK67="是",'17.04'!$AY$4,'17.04'!$AY$3))</f>
        <v>0</v>
      </c>
      <c r="R67" s="4">
        <f>IF(ISNUMBER(SEARCH("营",'17.04'!Z67)),(-$Y67+50*IF('17.04'!$AK67="是",'17.04'!$AY$4,'17.04'!$AY$3)),(VLOOKUP('17.04'!Z67,'17.04'!$AM$4:$AO$55,2,FALSE))*IF('17.04'!$AK67="是",'17.04'!$AY$4,'17.04'!$AY$3))</f>
        <v>0</v>
      </c>
      <c r="S67" s="4">
        <f>IF(ISNUMBER(SEARCH("营",'17.04'!AA67)),(-$Y67+50*IF('17.04'!$AK67="是",'17.04'!$AY$4,'17.04'!$AY$3)),(VLOOKUP('17.04'!AA67,'17.04'!$AM$4:$AO$55,2,FALSE))*IF('17.04'!$AK67="是",'17.04'!$AY$4,'17.04'!$AY$3))</f>
        <v>0</v>
      </c>
      <c r="T67" s="4">
        <f>IF(ISNUMBER(SEARCH("营",'17.04'!AB67)),(-$Y67+50*IF('17.04'!$AK67="是",'17.04'!$AY$4,'17.04'!$AY$3)),(VLOOKUP('17.04'!AB67,'17.04'!$AM$4:$AO$55,2,FALSE))*IF('17.04'!$AK67="是",'17.04'!$AY$4,'17.04'!$AY$3))</f>
        <v>0</v>
      </c>
      <c r="U67" s="4">
        <f>IF(ISNUMBER(SEARCH("营",'17.04'!AC67)),(-$Y67+50*IF('17.04'!$AK67="是",'17.04'!$AY$4,'17.04'!$AY$3)),(VLOOKUP('17.04'!AC67,'17.04'!$AM$4:$AO$55,2,FALSE))*IF('17.04'!$AK67="是",'17.04'!$AY$4,'17.04'!$AY$3))</f>
        <v>0</v>
      </c>
      <c r="V67" s="4">
        <f>IF(ISNUMBER(SEARCH("营",'17.04'!AD67)),(-$Y67+50*IF('17.04'!$AK67="是",'17.04'!$AY$4,'17.04'!$AY$3)),(VLOOKUP('17.04'!AD67,'17.04'!$AM$4:$AO$55,2,FALSE))*IF('17.04'!$AK67="是",'17.04'!$AY$4,'17.04'!$AY$3))</f>
        <v>0</v>
      </c>
      <c r="W67" s="4">
        <f>IF(ISNUMBER(SEARCH("营",'17.04'!AE67)),(-$Y67+50*IF('17.04'!$AK67="是",'17.04'!$AY$4,'17.04'!$AY$3)),(VLOOKUP('17.04'!AE67,'17.04'!$AM$4:$AO$55,2,FALSE))*IF('17.04'!$AK67="是",'17.04'!$AY$4,'17.04'!$AY$3))</f>
        <v>0</v>
      </c>
      <c r="X67" s="4">
        <f>IF(ISNUMBER(SEARCH("营",'17.04'!AF67)),(-$Y67+50*IF('17.04'!$AK67="是",'17.04'!$AY$4,'17.04'!$AY$3)),(VLOOKUP('17.04'!AF67,'17.04'!$AM$4:$AO$55,2,FALSE))*IF('17.04'!$AK67="是",'17.04'!$AY$4,'17.04'!$AY$3))</f>
        <v>0</v>
      </c>
      <c r="Y67" s="89">
        <v>100</v>
      </c>
    </row>
    <row r="68" spans="1:25">
      <c r="A68" s="4">
        <f>IF(ISNUMBER(SEARCH("营",'17.04'!I68)),(-$Y68+50*IF('17.04'!$AK68="是",'17.04'!$AY$4,'17.04'!$AY$3)),(VLOOKUP('17.04'!I68,'17.04'!$AM$4:$AO$55,2,FALSE))*IF('17.04'!$AK68="是",'17.04'!$AY$4,'17.04'!$AY$3))</f>
        <v>0</v>
      </c>
      <c r="B68" s="4">
        <f>IF(ISNUMBER(SEARCH("营",'17.04'!J68)),(-$Y68+50*IF('17.04'!$AK68="是",'17.04'!$AY$4,'17.04'!$AY$3)),(VLOOKUP('17.04'!J68,'17.04'!$AM$4:$AO$55,2,FALSE))*IF('17.04'!$AK68="是",'17.04'!$AY$4,'17.04'!$AY$3))</f>
        <v>0</v>
      </c>
      <c r="C68" s="4">
        <f>IF(ISNUMBER(SEARCH("营",'17.04'!K68)),(-$Y68+50*IF('17.04'!$AK68="是",'17.04'!$AY$4,'17.04'!$AY$3)),(VLOOKUP('17.04'!K68,'17.04'!$AM$4:$AO$55,2,FALSE))*IF('17.04'!$AK68="是",'17.04'!$AY$4,'17.04'!$AY$3))</f>
        <v>0</v>
      </c>
      <c r="D68" s="4">
        <f>IF(ISNUMBER(SEARCH("营",'17.04'!L68)),(-$Y68+50*IF('17.04'!$AK68="是",'17.04'!$AY$4,'17.04'!$AY$3)),(VLOOKUP('17.04'!L68,'17.04'!$AM$4:$AO$55,2,FALSE))*IF('17.04'!$AK68="是",'17.04'!$AY$4,'17.04'!$AY$3))</f>
        <v>0</v>
      </c>
      <c r="E68" s="4">
        <f>IF(ISNUMBER(SEARCH("营",'17.04'!M68)),(-$Y68+50*IF('17.04'!$AK68="是",'17.04'!$AY$4,'17.04'!$AY$3)),(VLOOKUP('17.04'!M68,'17.04'!$AM$4:$AO$55,2,FALSE))*IF('17.04'!$AK68="是",'17.04'!$AY$4,'17.04'!$AY$3))</f>
        <v>0</v>
      </c>
      <c r="F68" s="4">
        <f>IF(ISNUMBER(SEARCH("营",'17.04'!N68)),(-$Y68+50*IF('17.04'!$AK68="是",'17.04'!$AY$4,'17.04'!$AY$3)),(VLOOKUP('17.04'!N68,'17.04'!$AM$4:$AO$55,2,FALSE))*IF('17.04'!$AK68="是",'17.04'!$AY$4,'17.04'!$AY$3))</f>
        <v>0</v>
      </c>
      <c r="G68" s="4">
        <f>IF(ISNUMBER(SEARCH("营",'17.04'!O68)),(-$Y68+50*IF('17.04'!$AK68="是",'17.04'!$AY$4,'17.04'!$AY$3)),(VLOOKUP('17.04'!O68,'17.04'!$AM$4:$AO$55,2,FALSE))*IF('17.04'!$AK68="是",'17.04'!$AY$4,'17.04'!$AY$3))</f>
        <v>0</v>
      </c>
      <c r="H68" s="4">
        <f>IF(ISNUMBER(SEARCH("营",'17.04'!P68)),(-$Y68+50*IF('17.04'!$AK68="是",'17.04'!$AY$4,'17.04'!$AY$3)),(VLOOKUP('17.04'!P68,'17.04'!$AM$4:$AO$55,2,FALSE))*IF('17.04'!$AK68="是",'17.04'!$AY$4,'17.04'!$AY$3))</f>
        <v>0</v>
      </c>
      <c r="I68" s="4">
        <f>IF(ISNUMBER(SEARCH("营",'17.04'!Q68)),(-$Y68+50*IF('17.04'!$AK68="是",'17.04'!$AY$4,'17.04'!$AY$3)),(VLOOKUP('17.04'!Q68,'17.04'!$AM$4:$AO$55,2,FALSE))*IF('17.04'!$AK68="是",'17.04'!$AY$4,'17.04'!$AY$3))</f>
        <v>0</v>
      </c>
      <c r="J68" s="4">
        <f>IF(ISNUMBER(SEARCH("营",'17.04'!R68)),(-$Y68+50*IF('17.04'!$AK68="是",'17.04'!$AY$4,'17.04'!$AY$3)),(VLOOKUP('17.04'!R68,'17.04'!$AM$4:$AO$55,2,FALSE))*IF('17.04'!$AK68="是",'17.04'!$AY$4,'17.04'!$AY$3))</f>
        <v>0</v>
      </c>
      <c r="K68" s="4">
        <f>IF(ISNUMBER(SEARCH("营",'17.04'!S68)),(-$Y68+50*IF('17.04'!$AK68="是",'17.04'!$AY$4,'17.04'!$AY$3)),(VLOOKUP('17.04'!S68,'17.04'!$AM$4:$AO$55,2,FALSE))*IF('17.04'!$AK68="是",'17.04'!$AY$4,'17.04'!$AY$3))</f>
        <v>0</v>
      </c>
      <c r="L68" s="4">
        <f>IF(ISNUMBER(SEARCH("营",'17.04'!T68)),(-$Y68+50*IF('17.04'!$AK68="是",'17.04'!$AY$4,'17.04'!$AY$3)),(VLOOKUP('17.04'!T68,'17.04'!$AM$4:$AO$55,2,FALSE))*IF('17.04'!$AK68="是",'17.04'!$AY$4,'17.04'!$AY$3))</f>
        <v>0</v>
      </c>
      <c r="M68" s="4">
        <f>IF(ISNUMBER(SEARCH("营",'17.04'!U68)),(-$Y68+50*IF('17.04'!$AK68="是",'17.04'!$AY$4,'17.04'!$AY$3)),(VLOOKUP('17.04'!U68,'17.04'!$AM$4:$AO$55,2,FALSE))*IF('17.04'!$AK68="是",'17.04'!$AY$4,'17.04'!$AY$3))</f>
        <v>0</v>
      </c>
      <c r="N68" s="4">
        <f>IF(ISNUMBER(SEARCH("营",'17.04'!V68)),(-$Y68+50*IF('17.04'!$AK68="是",'17.04'!$AY$4,'17.04'!$AY$3)),(VLOOKUP('17.04'!V68,'17.04'!$AM$4:$AO$55,2,FALSE))*IF('17.04'!$AK68="是",'17.04'!$AY$4,'17.04'!$AY$3))</f>
        <v>0</v>
      </c>
      <c r="O68" s="4">
        <f>IF(ISNUMBER(SEARCH("营",'17.04'!W68)),(-$Y68+50*IF('17.04'!$AK68="是",'17.04'!$AY$4,'17.04'!$AY$3)),(VLOOKUP('17.04'!W68,'17.04'!$AM$4:$AO$55,2,FALSE))*IF('17.04'!$AK68="是",'17.04'!$AY$4,'17.04'!$AY$3))</f>
        <v>0</v>
      </c>
      <c r="P68" s="4">
        <f>IF(ISNUMBER(SEARCH("营",'17.04'!X68)),(-$Y68+50*IF('17.04'!$AK68="是",'17.04'!$AY$4,'17.04'!$AY$3)),(VLOOKUP('17.04'!X68,'17.04'!$AM$4:$AO$55,2,FALSE))*IF('17.04'!$AK68="是",'17.04'!$AY$4,'17.04'!$AY$3))</f>
        <v>0</v>
      </c>
      <c r="Q68" s="4">
        <f>IF(ISNUMBER(SEARCH("营",'17.04'!Y68)),(-$Y68+50*IF('17.04'!$AK68="是",'17.04'!$AY$4,'17.04'!$AY$3)),(VLOOKUP('17.04'!Y68,'17.04'!$AM$4:$AO$55,2,FALSE))*IF('17.04'!$AK68="是",'17.04'!$AY$4,'17.04'!$AY$3))</f>
        <v>0</v>
      </c>
      <c r="R68" s="4">
        <f>IF(ISNUMBER(SEARCH("营",'17.04'!Z68)),(-$Y68+50*IF('17.04'!$AK68="是",'17.04'!$AY$4,'17.04'!$AY$3)),(VLOOKUP('17.04'!Z68,'17.04'!$AM$4:$AO$55,2,FALSE))*IF('17.04'!$AK68="是",'17.04'!$AY$4,'17.04'!$AY$3))</f>
        <v>0</v>
      </c>
      <c r="S68" s="4">
        <f>IF(ISNUMBER(SEARCH("营",'17.04'!AA68)),(-$Y68+50*IF('17.04'!$AK68="是",'17.04'!$AY$4,'17.04'!$AY$3)),(VLOOKUP('17.04'!AA68,'17.04'!$AM$4:$AO$55,2,FALSE))*IF('17.04'!$AK68="是",'17.04'!$AY$4,'17.04'!$AY$3))</f>
        <v>0</v>
      </c>
      <c r="T68" s="4">
        <f>IF(ISNUMBER(SEARCH("营",'17.04'!AB68)),(-$Y68+50*IF('17.04'!$AK68="是",'17.04'!$AY$4,'17.04'!$AY$3)),(VLOOKUP('17.04'!AB68,'17.04'!$AM$4:$AO$55,2,FALSE))*IF('17.04'!$AK68="是",'17.04'!$AY$4,'17.04'!$AY$3))</f>
        <v>0</v>
      </c>
      <c r="U68" s="4">
        <f>IF(ISNUMBER(SEARCH("营",'17.04'!AC68)),(-$Y68+50*IF('17.04'!$AK68="是",'17.04'!$AY$4,'17.04'!$AY$3)),(VLOOKUP('17.04'!AC68,'17.04'!$AM$4:$AO$55,2,FALSE))*IF('17.04'!$AK68="是",'17.04'!$AY$4,'17.04'!$AY$3))</f>
        <v>0</v>
      </c>
      <c r="V68" s="4">
        <f>IF(ISNUMBER(SEARCH("营",'17.04'!AD68)),(-$Y68+50*IF('17.04'!$AK68="是",'17.04'!$AY$4,'17.04'!$AY$3)),(VLOOKUP('17.04'!AD68,'17.04'!$AM$4:$AO$55,2,FALSE))*IF('17.04'!$AK68="是",'17.04'!$AY$4,'17.04'!$AY$3))</f>
        <v>0</v>
      </c>
      <c r="W68" s="4">
        <f>IF(ISNUMBER(SEARCH("营",'17.04'!AE68)),(-$Y68+50*IF('17.04'!$AK68="是",'17.04'!$AY$4,'17.04'!$AY$3)),(VLOOKUP('17.04'!AE68,'17.04'!$AM$4:$AO$55,2,FALSE))*IF('17.04'!$AK68="是",'17.04'!$AY$4,'17.04'!$AY$3))</f>
        <v>0</v>
      </c>
      <c r="X68" s="4">
        <f>IF(ISNUMBER(SEARCH("营",'17.04'!AF68)),(-$Y68+50*IF('17.04'!$AK68="是",'17.04'!$AY$4,'17.04'!$AY$3)),(VLOOKUP('17.04'!AF68,'17.04'!$AM$4:$AO$55,2,FALSE))*IF('17.04'!$AK68="是",'17.04'!$AY$4,'17.04'!$AY$3))</f>
        <v>0</v>
      </c>
      <c r="Y68" s="89">
        <v>100</v>
      </c>
    </row>
    <row r="69" spans="1:25">
      <c r="A69" s="4">
        <f>IF(ISNUMBER(SEARCH("营",'17.04'!I69)),(-$Y69+50*IF('17.04'!$AK69="是",'17.04'!$AY$4,'17.04'!$AY$3)),(VLOOKUP('17.04'!I69,'17.04'!$AM$4:$AO$55,2,FALSE))*IF('17.04'!$AK69="是",'17.04'!$AY$4,'17.04'!$AY$3))</f>
        <v>0</v>
      </c>
      <c r="B69" s="4">
        <f>IF(ISNUMBER(SEARCH("营",'17.04'!J69)),(-$Y69+50*IF('17.04'!$AK69="是",'17.04'!$AY$4,'17.04'!$AY$3)),(VLOOKUP('17.04'!J69,'17.04'!$AM$4:$AO$55,2,FALSE))*IF('17.04'!$AK69="是",'17.04'!$AY$4,'17.04'!$AY$3))</f>
        <v>0</v>
      </c>
      <c r="C69" s="4">
        <f>IF(ISNUMBER(SEARCH("营",'17.04'!K69)),(-$Y69+50*IF('17.04'!$AK69="是",'17.04'!$AY$4,'17.04'!$AY$3)),(VLOOKUP('17.04'!K69,'17.04'!$AM$4:$AO$55,2,FALSE))*IF('17.04'!$AK69="是",'17.04'!$AY$4,'17.04'!$AY$3))</f>
        <v>0</v>
      </c>
      <c r="D69" s="4">
        <f>IF(ISNUMBER(SEARCH("营",'17.04'!L69)),(-$Y69+50*IF('17.04'!$AK69="是",'17.04'!$AY$4,'17.04'!$AY$3)),(VLOOKUP('17.04'!L69,'17.04'!$AM$4:$AO$55,2,FALSE))*IF('17.04'!$AK69="是",'17.04'!$AY$4,'17.04'!$AY$3))</f>
        <v>0</v>
      </c>
      <c r="E69" s="4">
        <f>IF(ISNUMBER(SEARCH("营",'17.04'!M69)),(-$Y69+50*IF('17.04'!$AK69="是",'17.04'!$AY$4,'17.04'!$AY$3)),(VLOOKUP('17.04'!M69,'17.04'!$AM$4:$AO$55,2,FALSE))*IF('17.04'!$AK69="是",'17.04'!$AY$4,'17.04'!$AY$3))</f>
        <v>0</v>
      </c>
      <c r="F69" s="4">
        <f>IF(ISNUMBER(SEARCH("营",'17.04'!N69)),(-$Y69+50*IF('17.04'!$AK69="是",'17.04'!$AY$4,'17.04'!$AY$3)),(VLOOKUP('17.04'!N69,'17.04'!$AM$4:$AO$55,2,FALSE))*IF('17.04'!$AK69="是",'17.04'!$AY$4,'17.04'!$AY$3))</f>
        <v>0</v>
      </c>
      <c r="G69" s="4">
        <f>IF(ISNUMBER(SEARCH("营",'17.04'!O69)),(-$Y69+50*IF('17.04'!$AK69="是",'17.04'!$AY$4,'17.04'!$AY$3)),(VLOOKUP('17.04'!O69,'17.04'!$AM$4:$AO$55,2,FALSE))*IF('17.04'!$AK69="是",'17.04'!$AY$4,'17.04'!$AY$3))</f>
        <v>0</v>
      </c>
      <c r="H69" s="4">
        <f>IF(ISNUMBER(SEARCH("营",'17.04'!P69)),(-$Y69+50*IF('17.04'!$AK69="是",'17.04'!$AY$4,'17.04'!$AY$3)),(VLOOKUP('17.04'!P69,'17.04'!$AM$4:$AO$55,2,FALSE))*IF('17.04'!$AK69="是",'17.04'!$AY$4,'17.04'!$AY$3))</f>
        <v>0</v>
      </c>
      <c r="I69" s="4">
        <f>IF(ISNUMBER(SEARCH("营",'17.04'!Q69)),(-$Y69+50*IF('17.04'!$AK69="是",'17.04'!$AY$4,'17.04'!$AY$3)),(VLOOKUP('17.04'!Q69,'17.04'!$AM$4:$AO$55,2,FALSE))*IF('17.04'!$AK69="是",'17.04'!$AY$4,'17.04'!$AY$3))</f>
        <v>0</v>
      </c>
      <c r="J69" s="4">
        <f>IF(ISNUMBER(SEARCH("营",'17.04'!R69)),(-$Y69+50*IF('17.04'!$AK69="是",'17.04'!$AY$4,'17.04'!$AY$3)),(VLOOKUP('17.04'!R69,'17.04'!$AM$4:$AO$55,2,FALSE))*IF('17.04'!$AK69="是",'17.04'!$AY$4,'17.04'!$AY$3))</f>
        <v>0</v>
      </c>
      <c r="K69" s="4">
        <f>IF(ISNUMBER(SEARCH("营",'17.04'!S69)),(-$Y69+50*IF('17.04'!$AK69="是",'17.04'!$AY$4,'17.04'!$AY$3)),(VLOOKUP('17.04'!S69,'17.04'!$AM$4:$AO$55,2,FALSE))*IF('17.04'!$AK69="是",'17.04'!$AY$4,'17.04'!$AY$3))</f>
        <v>0</v>
      </c>
      <c r="L69" s="4">
        <f>IF(ISNUMBER(SEARCH("营",'17.04'!T69)),(-$Y69+50*IF('17.04'!$AK69="是",'17.04'!$AY$4,'17.04'!$AY$3)),(VLOOKUP('17.04'!T69,'17.04'!$AM$4:$AO$55,2,FALSE))*IF('17.04'!$AK69="是",'17.04'!$AY$4,'17.04'!$AY$3))</f>
        <v>0</v>
      </c>
      <c r="M69" s="4">
        <f>IF(ISNUMBER(SEARCH("营",'17.04'!U69)),(-$Y69+50*IF('17.04'!$AK69="是",'17.04'!$AY$4,'17.04'!$AY$3)),(VLOOKUP('17.04'!U69,'17.04'!$AM$4:$AO$55,2,FALSE))*IF('17.04'!$AK69="是",'17.04'!$AY$4,'17.04'!$AY$3))</f>
        <v>0</v>
      </c>
      <c r="N69" s="4">
        <f>IF(ISNUMBER(SEARCH("营",'17.04'!V69)),(-$Y69+50*IF('17.04'!$AK69="是",'17.04'!$AY$4,'17.04'!$AY$3)),(VLOOKUP('17.04'!V69,'17.04'!$AM$4:$AO$55,2,FALSE))*IF('17.04'!$AK69="是",'17.04'!$AY$4,'17.04'!$AY$3))</f>
        <v>0</v>
      </c>
      <c r="O69" s="4">
        <f>IF(ISNUMBER(SEARCH("营",'17.04'!W69)),(-$Y69+50*IF('17.04'!$AK69="是",'17.04'!$AY$4,'17.04'!$AY$3)),(VLOOKUP('17.04'!W69,'17.04'!$AM$4:$AO$55,2,FALSE))*IF('17.04'!$AK69="是",'17.04'!$AY$4,'17.04'!$AY$3))</f>
        <v>0</v>
      </c>
      <c r="P69" s="4">
        <f>IF(ISNUMBER(SEARCH("营",'17.04'!X69)),(-$Y69+50*IF('17.04'!$AK69="是",'17.04'!$AY$4,'17.04'!$AY$3)),(VLOOKUP('17.04'!X69,'17.04'!$AM$4:$AO$55,2,FALSE))*IF('17.04'!$AK69="是",'17.04'!$AY$4,'17.04'!$AY$3))</f>
        <v>0</v>
      </c>
      <c r="Q69" s="4">
        <f>IF(ISNUMBER(SEARCH("营",'17.04'!Y69)),(-$Y69+50*IF('17.04'!$AK69="是",'17.04'!$AY$4,'17.04'!$AY$3)),(VLOOKUP('17.04'!Y69,'17.04'!$AM$4:$AO$55,2,FALSE))*IF('17.04'!$AK69="是",'17.04'!$AY$4,'17.04'!$AY$3))</f>
        <v>0</v>
      </c>
      <c r="R69" s="4">
        <f>IF(ISNUMBER(SEARCH("营",'17.04'!Z69)),(-$Y69+50*IF('17.04'!$AK69="是",'17.04'!$AY$4,'17.04'!$AY$3)),(VLOOKUP('17.04'!Z69,'17.04'!$AM$4:$AO$55,2,FALSE))*IF('17.04'!$AK69="是",'17.04'!$AY$4,'17.04'!$AY$3))</f>
        <v>0</v>
      </c>
      <c r="S69" s="4">
        <f>IF(ISNUMBER(SEARCH("营",'17.04'!AA69)),(-$Y69+50*IF('17.04'!$AK69="是",'17.04'!$AY$4,'17.04'!$AY$3)),(VLOOKUP('17.04'!AA69,'17.04'!$AM$4:$AO$55,2,FALSE))*IF('17.04'!$AK69="是",'17.04'!$AY$4,'17.04'!$AY$3))</f>
        <v>0</v>
      </c>
      <c r="T69" s="4">
        <f>IF(ISNUMBER(SEARCH("营",'17.04'!AB69)),(-$Y69+50*IF('17.04'!$AK69="是",'17.04'!$AY$4,'17.04'!$AY$3)),(VLOOKUP('17.04'!AB69,'17.04'!$AM$4:$AO$55,2,FALSE))*IF('17.04'!$AK69="是",'17.04'!$AY$4,'17.04'!$AY$3))</f>
        <v>0</v>
      </c>
      <c r="U69" s="4">
        <f>IF(ISNUMBER(SEARCH("营",'17.04'!AC69)),(-$Y69+50*IF('17.04'!$AK69="是",'17.04'!$AY$4,'17.04'!$AY$3)),(VLOOKUP('17.04'!AC69,'17.04'!$AM$4:$AO$55,2,FALSE))*IF('17.04'!$AK69="是",'17.04'!$AY$4,'17.04'!$AY$3))</f>
        <v>0</v>
      </c>
      <c r="V69" s="4">
        <f>IF(ISNUMBER(SEARCH("营",'17.04'!AD69)),(-$Y69+50*IF('17.04'!$AK69="是",'17.04'!$AY$4,'17.04'!$AY$3)),(VLOOKUP('17.04'!AD69,'17.04'!$AM$4:$AO$55,2,FALSE))*IF('17.04'!$AK69="是",'17.04'!$AY$4,'17.04'!$AY$3))</f>
        <v>0</v>
      </c>
      <c r="W69" s="4">
        <f>IF(ISNUMBER(SEARCH("营",'17.04'!AE69)),(-$Y69+50*IF('17.04'!$AK69="是",'17.04'!$AY$4,'17.04'!$AY$3)),(VLOOKUP('17.04'!AE69,'17.04'!$AM$4:$AO$55,2,FALSE))*IF('17.04'!$AK69="是",'17.04'!$AY$4,'17.04'!$AY$3))</f>
        <v>0</v>
      </c>
      <c r="X69" s="4">
        <f>IF(ISNUMBER(SEARCH("营",'17.04'!AF69)),(-$Y69+50*IF('17.04'!$AK69="是",'17.04'!$AY$4,'17.04'!$AY$3)),(VLOOKUP('17.04'!AF69,'17.04'!$AM$4:$AO$55,2,FALSE))*IF('17.04'!$AK69="是",'17.04'!$AY$4,'17.04'!$AY$3))</f>
        <v>0</v>
      </c>
      <c r="Y69" s="89">
        <v>100</v>
      </c>
    </row>
    <row r="70" spans="1:25">
      <c r="A70" s="4">
        <f>IF(ISNUMBER(SEARCH("营",'17.04'!I70)),(-$Y70+50*IF('17.04'!$AK70="是",'17.04'!$AY$4,'17.04'!$AY$3)),(VLOOKUP('17.04'!I70,'17.04'!$AM$4:$AO$55,2,FALSE))*IF('17.04'!$AK70="是",'17.04'!$AY$4,'17.04'!$AY$3))</f>
        <v>0</v>
      </c>
      <c r="B70" s="4">
        <f>IF(ISNUMBER(SEARCH("营",'17.04'!J70)),(-$Y70+50*IF('17.04'!$AK70="是",'17.04'!$AY$4,'17.04'!$AY$3)),(VLOOKUP('17.04'!J70,'17.04'!$AM$4:$AO$55,2,FALSE))*IF('17.04'!$AK70="是",'17.04'!$AY$4,'17.04'!$AY$3))</f>
        <v>0</v>
      </c>
      <c r="C70" s="4">
        <f>IF(ISNUMBER(SEARCH("营",'17.04'!K70)),(-$Y70+50*IF('17.04'!$AK70="是",'17.04'!$AY$4,'17.04'!$AY$3)),(VLOOKUP('17.04'!K70,'17.04'!$AM$4:$AO$55,2,FALSE))*IF('17.04'!$AK70="是",'17.04'!$AY$4,'17.04'!$AY$3))</f>
        <v>0</v>
      </c>
      <c r="D70" s="4">
        <f>IF(ISNUMBER(SEARCH("营",'17.04'!L70)),(-$Y70+50*IF('17.04'!$AK70="是",'17.04'!$AY$4,'17.04'!$AY$3)),(VLOOKUP('17.04'!L70,'17.04'!$AM$4:$AO$55,2,FALSE))*IF('17.04'!$AK70="是",'17.04'!$AY$4,'17.04'!$AY$3))</f>
        <v>0</v>
      </c>
      <c r="E70" s="4">
        <f>IF(ISNUMBER(SEARCH("营",'17.04'!M70)),(-$Y70+50*IF('17.04'!$AK70="是",'17.04'!$AY$4,'17.04'!$AY$3)),(VLOOKUP('17.04'!M70,'17.04'!$AM$4:$AO$55,2,FALSE))*IF('17.04'!$AK70="是",'17.04'!$AY$4,'17.04'!$AY$3))</f>
        <v>0</v>
      </c>
      <c r="F70" s="4">
        <f>IF(ISNUMBER(SEARCH("营",'17.04'!N70)),(-$Y70+50*IF('17.04'!$AK70="是",'17.04'!$AY$4,'17.04'!$AY$3)),(VLOOKUP('17.04'!N70,'17.04'!$AM$4:$AO$55,2,FALSE))*IF('17.04'!$AK70="是",'17.04'!$AY$4,'17.04'!$AY$3))</f>
        <v>0</v>
      </c>
      <c r="G70" s="4">
        <f>IF(ISNUMBER(SEARCH("营",'17.04'!O70)),(-$Y70+50*IF('17.04'!$AK70="是",'17.04'!$AY$4,'17.04'!$AY$3)),(VLOOKUP('17.04'!O70,'17.04'!$AM$4:$AO$55,2,FALSE))*IF('17.04'!$AK70="是",'17.04'!$AY$4,'17.04'!$AY$3))</f>
        <v>0</v>
      </c>
      <c r="H70" s="4">
        <f>IF(ISNUMBER(SEARCH("营",'17.04'!P70)),(-$Y70+50*IF('17.04'!$AK70="是",'17.04'!$AY$4,'17.04'!$AY$3)),(VLOOKUP('17.04'!P70,'17.04'!$AM$4:$AO$55,2,FALSE))*IF('17.04'!$AK70="是",'17.04'!$AY$4,'17.04'!$AY$3))</f>
        <v>0</v>
      </c>
      <c r="I70" s="4">
        <f>IF(ISNUMBER(SEARCH("营",'17.04'!Q70)),(-$Y70+50*IF('17.04'!$AK70="是",'17.04'!$AY$4,'17.04'!$AY$3)),(VLOOKUP('17.04'!Q70,'17.04'!$AM$4:$AO$55,2,FALSE))*IF('17.04'!$AK70="是",'17.04'!$AY$4,'17.04'!$AY$3))</f>
        <v>0</v>
      </c>
      <c r="J70" s="4">
        <f>IF(ISNUMBER(SEARCH("营",'17.04'!R70)),(-$Y70+50*IF('17.04'!$AK70="是",'17.04'!$AY$4,'17.04'!$AY$3)),(VLOOKUP('17.04'!R70,'17.04'!$AM$4:$AO$55,2,FALSE))*IF('17.04'!$AK70="是",'17.04'!$AY$4,'17.04'!$AY$3))</f>
        <v>0</v>
      </c>
      <c r="K70" s="4">
        <f>IF(ISNUMBER(SEARCH("营",'17.04'!S70)),(-$Y70+50*IF('17.04'!$AK70="是",'17.04'!$AY$4,'17.04'!$AY$3)),(VLOOKUP('17.04'!S70,'17.04'!$AM$4:$AO$55,2,FALSE))*IF('17.04'!$AK70="是",'17.04'!$AY$4,'17.04'!$AY$3))</f>
        <v>0</v>
      </c>
      <c r="L70" s="4">
        <f>IF(ISNUMBER(SEARCH("营",'17.04'!T70)),(-$Y70+50*IF('17.04'!$AK70="是",'17.04'!$AY$4,'17.04'!$AY$3)),(VLOOKUP('17.04'!T70,'17.04'!$AM$4:$AO$55,2,FALSE))*IF('17.04'!$AK70="是",'17.04'!$AY$4,'17.04'!$AY$3))</f>
        <v>0</v>
      </c>
      <c r="M70" s="4">
        <f>IF(ISNUMBER(SEARCH("营",'17.04'!U70)),(-$Y70+50*IF('17.04'!$AK70="是",'17.04'!$AY$4,'17.04'!$AY$3)),(VLOOKUP('17.04'!U70,'17.04'!$AM$4:$AO$55,2,FALSE))*IF('17.04'!$AK70="是",'17.04'!$AY$4,'17.04'!$AY$3))</f>
        <v>0</v>
      </c>
      <c r="N70" s="4">
        <f>IF(ISNUMBER(SEARCH("营",'17.04'!V70)),(-$Y70+50*IF('17.04'!$AK70="是",'17.04'!$AY$4,'17.04'!$AY$3)),(VLOOKUP('17.04'!V70,'17.04'!$AM$4:$AO$55,2,FALSE))*IF('17.04'!$AK70="是",'17.04'!$AY$4,'17.04'!$AY$3))</f>
        <v>0</v>
      </c>
      <c r="O70" s="4">
        <f>IF(ISNUMBER(SEARCH("营",'17.04'!W70)),(-$Y70+50*IF('17.04'!$AK70="是",'17.04'!$AY$4,'17.04'!$AY$3)),(VLOOKUP('17.04'!W70,'17.04'!$AM$4:$AO$55,2,FALSE))*IF('17.04'!$AK70="是",'17.04'!$AY$4,'17.04'!$AY$3))</f>
        <v>0</v>
      </c>
      <c r="P70" s="4">
        <f>IF(ISNUMBER(SEARCH("营",'17.04'!X70)),(-$Y70+50*IF('17.04'!$AK70="是",'17.04'!$AY$4,'17.04'!$AY$3)),(VLOOKUP('17.04'!X70,'17.04'!$AM$4:$AO$55,2,FALSE))*IF('17.04'!$AK70="是",'17.04'!$AY$4,'17.04'!$AY$3))</f>
        <v>0</v>
      </c>
      <c r="Q70" s="4">
        <f>IF(ISNUMBER(SEARCH("营",'17.04'!Y70)),(-$Y70+50*IF('17.04'!$AK70="是",'17.04'!$AY$4,'17.04'!$AY$3)),(VLOOKUP('17.04'!Y70,'17.04'!$AM$4:$AO$55,2,FALSE))*IF('17.04'!$AK70="是",'17.04'!$AY$4,'17.04'!$AY$3))</f>
        <v>0</v>
      </c>
      <c r="R70" s="4">
        <f>IF(ISNUMBER(SEARCH("营",'17.04'!Z70)),(-$Y70+50*IF('17.04'!$AK70="是",'17.04'!$AY$4,'17.04'!$AY$3)),(VLOOKUP('17.04'!Z70,'17.04'!$AM$4:$AO$55,2,FALSE))*IF('17.04'!$AK70="是",'17.04'!$AY$4,'17.04'!$AY$3))</f>
        <v>0</v>
      </c>
      <c r="S70" s="4">
        <f>IF(ISNUMBER(SEARCH("营",'17.04'!AA70)),(-$Y70+50*IF('17.04'!$AK70="是",'17.04'!$AY$4,'17.04'!$AY$3)),(VLOOKUP('17.04'!AA70,'17.04'!$AM$4:$AO$55,2,FALSE))*IF('17.04'!$AK70="是",'17.04'!$AY$4,'17.04'!$AY$3))</f>
        <v>0</v>
      </c>
      <c r="T70" s="4">
        <f>IF(ISNUMBER(SEARCH("营",'17.04'!AB70)),(-$Y70+50*IF('17.04'!$AK70="是",'17.04'!$AY$4,'17.04'!$AY$3)),(VLOOKUP('17.04'!AB70,'17.04'!$AM$4:$AO$55,2,FALSE))*IF('17.04'!$AK70="是",'17.04'!$AY$4,'17.04'!$AY$3))</f>
        <v>0</v>
      </c>
      <c r="U70" s="4">
        <f>IF(ISNUMBER(SEARCH("营",'17.04'!AC70)),(-$Y70+50*IF('17.04'!$AK70="是",'17.04'!$AY$4,'17.04'!$AY$3)),(VLOOKUP('17.04'!AC70,'17.04'!$AM$4:$AO$55,2,FALSE))*IF('17.04'!$AK70="是",'17.04'!$AY$4,'17.04'!$AY$3))</f>
        <v>0</v>
      </c>
      <c r="V70" s="4">
        <f>IF(ISNUMBER(SEARCH("营",'17.04'!AD70)),(-$Y70+50*IF('17.04'!$AK70="是",'17.04'!$AY$4,'17.04'!$AY$3)),(VLOOKUP('17.04'!AD70,'17.04'!$AM$4:$AO$55,2,FALSE))*IF('17.04'!$AK70="是",'17.04'!$AY$4,'17.04'!$AY$3))</f>
        <v>0</v>
      </c>
      <c r="W70" s="4">
        <f>IF(ISNUMBER(SEARCH("营",'17.04'!AE70)),(-$Y70+50*IF('17.04'!$AK70="是",'17.04'!$AY$4,'17.04'!$AY$3)),(VLOOKUP('17.04'!AE70,'17.04'!$AM$4:$AO$55,2,FALSE))*IF('17.04'!$AK70="是",'17.04'!$AY$4,'17.04'!$AY$3))</f>
        <v>0</v>
      </c>
      <c r="X70" s="4">
        <f>IF(ISNUMBER(SEARCH("营",'17.04'!AF70)),(-$Y70+50*IF('17.04'!$AK70="是",'17.04'!$AY$4,'17.04'!$AY$3)),(VLOOKUP('17.04'!AF70,'17.04'!$AM$4:$AO$55,2,FALSE))*IF('17.04'!$AK70="是",'17.04'!$AY$4,'17.04'!$AY$3))</f>
        <v>0</v>
      </c>
      <c r="Y70" s="89">
        <v>100</v>
      </c>
    </row>
    <row r="71" spans="1:25">
      <c r="A71" s="4">
        <f>IF(ISNUMBER(SEARCH("营",'17.04'!I71)),(-$Y71+50*IF('17.04'!$AK71="是",'17.04'!$AY$4,'17.04'!$AY$3)),(VLOOKUP('17.04'!I71,'17.04'!$AM$4:$AO$55,2,FALSE))*IF('17.04'!$AK71="是",'17.04'!$AY$4,'17.04'!$AY$3))</f>
        <v>0</v>
      </c>
      <c r="B71" s="4">
        <f>IF(ISNUMBER(SEARCH("营",'17.04'!J71)),(-$Y71+50*IF('17.04'!$AK71="是",'17.04'!$AY$4,'17.04'!$AY$3)),(VLOOKUP('17.04'!J71,'17.04'!$AM$4:$AO$55,2,FALSE))*IF('17.04'!$AK71="是",'17.04'!$AY$4,'17.04'!$AY$3))</f>
        <v>0</v>
      </c>
      <c r="C71" s="4">
        <f>IF(ISNUMBER(SEARCH("营",'17.04'!K71)),(-$Y71+50*IF('17.04'!$AK71="是",'17.04'!$AY$4,'17.04'!$AY$3)),(VLOOKUP('17.04'!K71,'17.04'!$AM$4:$AO$55,2,FALSE))*IF('17.04'!$AK71="是",'17.04'!$AY$4,'17.04'!$AY$3))</f>
        <v>0</v>
      </c>
      <c r="D71" s="4">
        <f>IF(ISNUMBER(SEARCH("营",'17.04'!L71)),(-$Y71+50*IF('17.04'!$AK71="是",'17.04'!$AY$4,'17.04'!$AY$3)),(VLOOKUP('17.04'!L71,'17.04'!$AM$4:$AO$55,2,FALSE))*IF('17.04'!$AK71="是",'17.04'!$AY$4,'17.04'!$AY$3))</f>
        <v>0</v>
      </c>
      <c r="E71" s="4">
        <f>IF(ISNUMBER(SEARCH("营",'17.04'!M71)),(-$Y71+50*IF('17.04'!$AK71="是",'17.04'!$AY$4,'17.04'!$AY$3)),(VLOOKUP('17.04'!M71,'17.04'!$AM$4:$AO$55,2,FALSE))*IF('17.04'!$AK71="是",'17.04'!$AY$4,'17.04'!$AY$3))</f>
        <v>0</v>
      </c>
      <c r="F71" s="4">
        <f>IF(ISNUMBER(SEARCH("营",'17.04'!N71)),(-$Y71+50*IF('17.04'!$AK71="是",'17.04'!$AY$4,'17.04'!$AY$3)),(VLOOKUP('17.04'!N71,'17.04'!$AM$4:$AO$55,2,FALSE))*IF('17.04'!$AK71="是",'17.04'!$AY$4,'17.04'!$AY$3))</f>
        <v>0</v>
      </c>
      <c r="G71" s="4">
        <f>IF(ISNUMBER(SEARCH("营",'17.04'!O71)),(-$Y71+50*IF('17.04'!$AK71="是",'17.04'!$AY$4,'17.04'!$AY$3)),(VLOOKUP('17.04'!O71,'17.04'!$AM$4:$AO$55,2,FALSE))*IF('17.04'!$AK71="是",'17.04'!$AY$4,'17.04'!$AY$3))</f>
        <v>0</v>
      </c>
      <c r="H71" s="4">
        <f>IF(ISNUMBER(SEARCH("营",'17.04'!P71)),(-$Y71+50*IF('17.04'!$AK71="是",'17.04'!$AY$4,'17.04'!$AY$3)),(VLOOKUP('17.04'!P71,'17.04'!$AM$4:$AO$55,2,FALSE))*IF('17.04'!$AK71="是",'17.04'!$AY$4,'17.04'!$AY$3))</f>
        <v>0</v>
      </c>
      <c r="I71" s="4">
        <f>IF(ISNUMBER(SEARCH("营",'17.04'!Q71)),(-$Y71+50*IF('17.04'!$AK71="是",'17.04'!$AY$4,'17.04'!$AY$3)),(VLOOKUP('17.04'!Q71,'17.04'!$AM$4:$AO$55,2,FALSE))*IF('17.04'!$AK71="是",'17.04'!$AY$4,'17.04'!$AY$3))</f>
        <v>0</v>
      </c>
      <c r="J71" s="4">
        <f>IF(ISNUMBER(SEARCH("营",'17.04'!R71)),(-$Y71+50*IF('17.04'!$AK71="是",'17.04'!$AY$4,'17.04'!$AY$3)),(VLOOKUP('17.04'!R71,'17.04'!$AM$4:$AO$55,2,FALSE))*IF('17.04'!$AK71="是",'17.04'!$AY$4,'17.04'!$AY$3))</f>
        <v>0</v>
      </c>
      <c r="K71" s="4">
        <f>IF(ISNUMBER(SEARCH("营",'17.04'!S71)),(-$Y71+50*IF('17.04'!$AK71="是",'17.04'!$AY$4,'17.04'!$AY$3)),(VLOOKUP('17.04'!S71,'17.04'!$AM$4:$AO$55,2,FALSE))*IF('17.04'!$AK71="是",'17.04'!$AY$4,'17.04'!$AY$3))</f>
        <v>0</v>
      </c>
      <c r="L71" s="4">
        <f>IF(ISNUMBER(SEARCH("营",'17.04'!T71)),(-$Y71+50*IF('17.04'!$AK71="是",'17.04'!$AY$4,'17.04'!$AY$3)),(VLOOKUP('17.04'!T71,'17.04'!$AM$4:$AO$55,2,FALSE))*IF('17.04'!$AK71="是",'17.04'!$AY$4,'17.04'!$AY$3))</f>
        <v>0</v>
      </c>
      <c r="M71" s="4">
        <f>IF(ISNUMBER(SEARCH("营",'17.04'!U71)),(-$Y71+50*IF('17.04'!$AK71="是",'17.04'!$AY$4,'17.04'!$AY$3)),(VLOOKUP('17.04'!U71,'17.04'!$AM$4:$AO$55,2,FALSE))*IF('17.04'!$AK71="是",'17.04'!$AY$4,'17.04'!$AY$3))</f>
        <v>0</v>
      </c>
      <c r="N71" s="4">
        <f>IF(ISNUMBER(SEARCH("营",'17.04'!V71)),(-$Y71+50*IF('17.04'!$AK71="是",'17.04'!$AY$4,'17.04'!$AY$3)),(VLOOKUP('17.04'!V71,'17.04'!$AM$4:$AO$55,2,FALSE))*IF('17.04'!$AK71="是",'17.04'!$AY$4,'17.04'!$AY$3))</f>
        <v>0</v>
      </c>
      <c r="O71" s="4">
        <f>IF(ISNUMBER(SEARCH("营",'17.04'!W71)),(-$Y71+50*IF('17.04'!$AK71="是",'17.04'!$AY$4,'17.04'!$AY$3)),(VLOOKUP('17.04'!W71,'17.04'!$AM$4:$AO$55,2,FALSE))*IF('17.04'!$AK71="是",'17.04'!$AY$4,'17.04'!$AY$3))</f>
        <v>0</v>
      </c>
      <c r="P71" s="4">
        <f>IF(ISNUMBER(SEARCH("营",'17.04'!X71)),(-$Y71+50*IF('17.04'!$AK71="是",'17.04'!$AY$4,'17.04'!$AY$3)),(VLOOKUP('17.04'!X71,'17.04'!$AM$4:$AO$55,2,FALSE))*IF('17.04'!$AK71="是",'17.04'!$AY$4,'17.04'!$AY$3))</f>
        <v>0</v>
      </c>
      <c r="Q71" s="4">
        <f>IF(ISNUMBER(SEARCH("营",'17.04'!Y71)),(-$Y71+50*IF('17.04'!$AK71="是",'17.04'!$AY$4,'17.04'!$AY$3)),(VLOOKUP('17.04'!Y71,'17.04'!$AM$4:$AO$55,2,FALSE))*IF('17.04'!$AK71="是",'17.04'!$AY$4,'17.04'!$AY$3))</f>
        <v>0</v>
      </c>
      <c r="R71" s="4">
        <f>IF(ISNUMBER(SEARCH("营",'17.04'!Z71)),(-$Y71+50*IF('17.04'!$AK71="是",'17.04'!$AY$4,'17.04'!$AY$3)),(VLOOKUP('17.04'!Z71,'17.04'!$AM$4:$AO$55,2,FALSE))*IF('17.04'!$AK71="是",'17.04'!$AY$4,'17.04'!$AY$3))</f>
        <v>0</v>
      </c>
      <c r="S71" s="4">
        <f>IF(ISNUMBER(SEARCH("营",'17.04'!AA71)),(-$Y71+50*IF('17.04'!$AK71="是",'17.04'!$AY$4,'17.04'!$AY$3)),(VLOOKUP('17.04'!AA71,'17.04'!$AM$4:$AO$55,2,FALSE))*IF('17.04'!$AK71="是",'17.04'!$AY$4,'17.04'!$AY$3))</f>
        <v>0</v>
      </c>
      <c r="T71" s="4">
        <f>IF(ISNUMBER(SEARCH("营",'17.04'!AB71)),(-$Y71+50*IF('17.04'!$AK71="是",'17.04'!$AY$4,'17.04'!$AY$3)),(VLOOKUP('17.04'!AB71,'17.04'!$AM$4:$AO$55,2,FALSE))*IF('17.04'!$AK71="是",'17.04'!$AY$4,'17.04'!$AY$3))</f>
        <v>0</v>
      </c>
      <c r="U71" s="4">
        <f>IF(ISNUMBER(SEARCH("营",'17.04'!AC71)),(-$Y71+50*IF('17.04'!$AK71="是",'17.04'!$AY$4,'17.04'!$AY$3)),(VLOOKUP('17.04'!AC71,'17.04'!$AM$4:$AO$55,2,FALSE))*IF('17.04'!$AK71="是",'17.04'!$AY$4,'17.04'!$AY$3))</f>
        <v>0</v>
      </c>
      <c r="V71" s="4">
        <f>IF(ISNUMBER(SEARCH("营",'17.04'!AD71)),(-$Y71+50*IF('17.04'!$AK71="是",'17.04'!$AY$4,'17.04'!$AY$3)),(VLOOKUP('17.04'!AD71,'17.04'!$AM$4:$AO$55,2,FALSE))*IF('17.04'!$AK71="是",'17.04'!$AY$4,'17.04'!$AY$3))</f>
        <v>0</v>
      </c>
      <c r="W71" s="4">
        <f>IF(ISNUMBER(SEARCH("营",'17.04'!AE71)),(-$Y71+50*IF('17.04'!$AK71="是",'17.04'!$AY$4,'17.04'!$AY$3)),(VLOOKUP('17.04'!AE71,'17.04'!$AM$4:$AO$55,2,FALSE))*IF('17.04'!$AK71="是",'17.04'!$AY$4,'17.04'!$AY$3))</f>
        <v>0</v>
      </c>
      <c r="X71" s="4">
        <f>IF(ISNUMBER(SEARCH("营",'17.04'!AF71)),(-$Y71+50*IF('17.04'!$AK71="是",'17.04'!$AY$4,'17.04'!$AY$3)),(VLOOKUP('17.04'!AF71,'17.04'!$AM$4:$AO$55,2,FALSE))*IF('17.04'!$AK71="是",'17.04'!$AY$4,'17.04'!$AY$3))</f>
        <v>0</v>
      </c>
      <c r="Y71" s="89">
        <v>100</v>
      </c>
    </row>
    <row r="72" spans="1:25">
      <c r="A72" s="4">
        <f>IF(ISNUMBER(SEARCH("营",'17.04'!I72)),(-$Y72+50*IF('17.04'!$AK72="是",'17.04'!$AY$4,'17.04'!$AY$3)),(VLOOKUP('17.04'!I72,'17.04'!$AM$4:$AO$55,2,FALSE))*IF('17.04'!$AK72="是",'17.04'!$AY$4,'17.04'!$AY$3))</f>
        <v>0</v>
      </c>
      <c r="B72" s="4">
        <f>IF(ISNUMBER(SEARCH("营",'17.04'!J72)),(-$Y72+50*IF('17.04'!$AK72="是",'17.04'!$AY$4,'17.04'!$AY$3)),(VLOOKUP('17.04'!J72,'17.04'!$AM$4:$AO$55,2,FALSE))*IF('17.04'!$AK72="是",'17.04'!$AY$4,'17.04'!$AY$3))</f>
        <v>0</v>
      </c>
      <c r="C72" s="4">
        <f>IF(ISNUMBER(SEARCH("营",'17.04'!K72)),(-$Y72+50*IF('17.04'!$AK72="是",'17.04'!$AY$4,'17.04'!$AY$3)),(VLOOKUP('17.04'!K72,'17.04'!$AM$4:$AO$55,2,FALSE))*IF('17.04'!$AK72="是",'17.04'!$AY$4,'17.04'!$AY$3))</f>
        <v>0</v>
      </c>
      <c r="D72" s="4">
        <f>IF(ISNUMBER(SEARCH("营",'17.04'!L72)),(-$Y72+50*IF('17.04'!$AK72="是",'17.04'!$AY$4,'17.04'!$AY$3)),(VLOOKUP('17.04'!L72,'17.04'!$AM$4:$AO$55,2,FALSE))*IF('17.04'!$AK72="是",'17.04'!$AY$4,'17.04'!$AY$3))</f>
        <v>0</v>
      </c>
      <c r="E72" s="4">
        <f>IF(ISNUMBER(SEARCH("营",'17.04'!M72)),(-$Y72+50*IF('17.04'!$AK72="是",'17.04'!$AY$4,'17.04'!$AY$3)),(VLOOKUP('17.04'!M72,'17.04'!$AM$4:$AO$55,2,FALSE))*IF('17.04'!$AK72="是",'17.04'!$AY$4,'17.04'!$AY$3))</f>
        <v>0</v>
      </c>
      <c r="F72" s="4">
        <f>IF(ISNUMBER(SEARCH("营",'17.04'!N72)),(-$Y72+50*IF('17.04'!$AK72="是",'17.04'!$AY$4,'17.04'!$AY$3)),(VLOOKUP('17.04'!N72,'17.04'!$AM$4:$AO$55,2,FALSE))*IF('17.04'!$AK72="是",'17.04'!$AY$4,'17.04'!$AY$3))</f>
        <v>0</v>
      </c>
      <c r="G72" s="4">
        <f>IF(ISNUMBER(SEARCH("营",'17.04'!O72)),(-$Y72+50*IF('17.04'!$AK72="是",'17.04'!$AY$4,'17.04'!$AY$3)),(VLOOKUP('17.04'!O72,'17.04'!$AM$4:$AO$55,2,FALSE))*IF('17.04'!$AK72="是",'17.04'!$AY$4,'17.04'!$AY$3))</f>
        <v>0</v>
      </c>
      <c r="H72" s="4">
        <f>IF(ISNUMBER(SEARCH("营",'17.04'!P72)),(-$Y72+50*IF('17.04'!$AK72="是",'17.04'!$AY$4,'17.04'!$AY$3)),(VLOOKUP('17.04'!P72,'17.04'!$AM$4:$AO$55,2,FALSE))*IF('17.04'!$AK72="是",'17.04'!$AY$4,'17.04'!$AY$3))</f>
        <v>0</v>
      </c>
      <c r="I72" s="4">
        <f>IF(ISNUMBER(SEARCH("营",'17.04'!Q72)),(-$Y72+50*IF('17.04'!$AK72="是",'17.04'!$AY$4,'17.04'!$AY$3)),(VLOOKUP('17.04'!Q72,'17.04'!$AM$4:$AO$55,2,FALSE))*IF('17.04'!$AK72="是",'17.04'!$AY$4,'17.04'!$AY$3))</f>
        <v>0</v>
      </c>
      <c r="J72" s="4">
        <f>IF(ISNUMBER(SEARCH("营",'17.04'!R72)),(-$Y72+50*IF('17.04'!$AK72="是",'17.04'!$AY$4,'17.04'!$AY$3)),(VLOOKUP('17.04'!R72,'17.04'!$AM$4:$AO$55,2,FALSE))*IF('17.04'!$AK72="是",'17.04'!$AY$4,'17.04'!$AY$3))</f>
        <v>0</v>
      </c>
      <c r="K72" s="4">
        <f>IF(ISNUMBER(SEARCH("营",'17.04'!S72)),(-$Y72+50*IF('17.04'!$AK72="是",'17.04'!$AY$4,'17.04'!$AY$3)),(VLOOKUP('17.04'!S72,'17.04'!$AM$4:$AO$55,2,FALSE))*IF('17.04'!$AK72="是",'17.04'!$AY$4,'17.04'!$AY$3))</f>
        <v>0</v>
      </c>
      <c r="L72" s="4">
        <f>IF(ISNUMBER(SEARCH("营",'17.04'!T72)),(-$Y72+50*IF('17.04'!$AK72="是",'17.04'!$AY$4,'17.04'!$AY$3)),(VLOOKUP('17.04'!T72,'17.04'!$AM$4:$AO$55,2,FALSE))*IF('17.04'!$AK72="是",'17.04'!$AY$4,'17.04'!$AY$3))</f>
        <v>0</v>
      </c>
      <c r="M72" s="4">
        <f>IF(ISNUMBER(SEARCH("营",'17.04'!U72)),(-$Y72+50*IF('17.04'!$AK72="是",'17.04'!$AY$4,'17.04'!$AY$3)),(VLOOKUP('17.04'!U72,'17.04'!$AM$4:$AO$55,2,FALSE))*IF('17.04'!$AK72="是",'17.04'!$AY$4,'17.04'!$AY$3))</f>
        <v>0</v>
      </c>
      <c r="N72" s="4">
        <f>IF(ISNUMBER(SEARCH("营",'17.04'!V72)),(-$Y72+50*IF('17.04'!$AK72="是",'17.04'!$AY$4,'17.04'!$AY$3)),(VLOOKUP('17.04'!V72,'17.04'!$AM$4:$AO$55,2,FALSE))*IF('17.04'!$AK72="是",'17.04'!$AY$4,'17.04'!$AY$3))</f>
        <v>0</v>
      </c>
      <c r="O72" s="4">
        <f>IF(ISNUMBER(SEARCH("营",'17.04'!W72)),(-$Y72+50*IF('17.04'!$AK72="是",'17.04'!$AY$4,'17.04'!$AY$3)),(VLOOKUP('17.04'!W72,'17.04'!$AM$4:$AO$55,2,FALSE))*IF('17.04'!$AK72="是",'17.04'!$AY$4,'17.04'!$AY$3))</f>
        <v>0</v>
      </c>
      <c r="P72" s="4">
        <f>IF(ISNUMBER(SEARCH("营",'17.04'!X72)),(-$Y72+50*IF('17.04'!$AK72="是",'17.04'!$AY$4,'17.04'!$AY$3)),(VLOOKUP('17.04'!X72,'17.04'!$AM$4:$AO$55,2,FALSE))*IF('17.04'!$AK72="是",'17.04'!$AY$4,'17.04'!$AY$3))</f>
        <v>0</v>
      </c>
      <c r="Q72" s="4">
        <f>IF(ISNUMBER(SEARCH("营",'17.04'!Y72)),(-$Y72+50*IF('17.04'!$AK72="是",'17.04'!$AY$4,'17.04'!$AY$3)),(VLOOKUP('17.04'!Y72,'17.04'!$AM$4:$AO$55,2,FALSE))*IF('17.04'!$AK72="是",'17.04'!$AY$4,'17.04'!$AY$3))</f>
        <v>0</v>
      </c>
      <c r="R72" s="4">
        <f>IF(ISNUMBER(SEARCH("营",'17.04'!Z72)),(-$Y72+50*IF('17.04'!$AK72="是",'17.04'!$AY$4,'17.04'!$AY$3)),(VLOOKUP('17.04'!Z72,'17.04'!$AM$4:$AO$55,2,FALSE))*IF('17.04'!$AK72="是",'17.04'!$AY$4,'17.04'!$AY$3))</f>
        <v>0</v>
      </c>
      <c r="S72" s="4">
        <f>IF(ISNUMBER(SEARCH("营",'17.04'!AA72)),(-$Y72+50*IF('17.04'!$AK72="是",'17.04'!$AY$4,'17.04'!$AY$3)),(VLOOKUP('17.04'!AA72,'17.04'!$AM$4:$AO$55,2,FALSE))*IF('17.04'!$AK72="是",'17.04'!$AY$4,'17.04'!$AY$3))</f>
        <v>0</v>
      </c>
      <c r="T72" s="4">
        <f>IF(ISNUMBER(SEARCH("营",'17.04'!AB72)),(-$Y72+50*IF('17.04'!$AK72="是",'17.04'!$AY$4,'17.04'!$AY$3)),(VLOOKUP('17.04'!AB72,'17.04'!$AM$4:$AO$55,2,FALSE))*IF('17.04'!$AK72="是",'17.04'!$AY$4,'17.04'!$AY$3))</f>
        <v>0</v>
      </c>
      <c r="U72" s="4">
        <f>IF(ISNUMBER(SEARCH("营",'17.04'!AC72)),(-$Y72+50*IF('17.04'!$AK72="是",'17.04'!$AY$4,'17.04'!$AY$3)),(VLOOKUP('17.04'!AC72,'17.04'!$AM$4:$AO$55,2,FALSE))*IF('17.04'!$AK72="是",'17.04'!$AY$4,'17.04'!$AY$3))</f>
        <v>0</v>
      </c>
      <c r="V72" s="4">
        <f>IF(ISNUMBER(SEARCH("营",'17.04'!AD72)),(-$Y72+50*IF('17.04'!$AK72="是",'17.04'!$AY$4,'17.04'!$AY$3)),(VLOOKUP('17.04'!AD72,'17.04'!$AM$4:$AO$55,2,FALSE))*IF('17.04'!$AK72="是",'17.04'!$AY$4,'17.04'!$AY$3))</f>
        <v>0</v>
      </c>
      <c r="W72" s="4">
        <f>IF(ISNUMBER(SEARCH("营",'17.04'!AE72)),(-$Y72+50*IF('17.04'!$AK72="是",'17.04'!$AY$4,'17.04'!$AY$3)),(VLOOKUP('17.04'!AE72,'17.04'!$AM$4:$AO$55,2,FALSE))*IF('17.04'!$AK72="是",'17.04'!$AY$4,'17.04'!$AY$3))</f>
        <v>0</v>
      </c>
      <c r="X72" s="4">
        <f>IF(ISNUMBER(SEARCH("营",'17.04'!AF72)),(-$Y72+50*IF('17.04'!$AK72="是",'17.04'!$AY$4,'17.04'!$AY$3)),(VLOOKUP('17.04'!AF72,'17.04'!$AM$4:$AO$55,2,FALSE))*IF('17.04'!$AK72="是",'17.04'!$AY$4,'17.04'!$AY$3))</f>
        <v>0</v>
      </c>
      <c r="Y72" s="89">
        <v>100</v>
      </c>
    </row>
    <row r="73" spans="1:25">
      <c r="A73" s="4">
        <f>IF(ISNUMBER(SEARCH("营",'17.04'!I73)),(-$Y73+50*IF('17.04'!$AK73="是",'17.04'!$AY$4,'17.04'!$AY$3)),(VLOOKUP('17.04'!I73,'17.04'!$AM$4:$AO$55,2,FALSE))*IF('17.04'!$AK73="是",'17.04'!$AY$4,'17.04'!$AY$3))</f>
        <v>0</v>
      </c>
      <c r="B73" s="4">
        <f>IF(ISNUMBER(SEARCH("营",'17.04'!J73)),(-$Y73+50*IF('17.04'!$AK73="是",'17.04'!$AY$4,'17.04'!$AY$3)),(VLOOKUP('17.04'!J73,'17.04'!$AM$4:$AO$55,2,FALSE))*IF('17.04'!$AK73="是",'17.04'!$AY$4,'17.04'!$AY$3))</f>
        <v>0</v>
      </c>
      <c r="C73" s="4">
        <f>IF(ISNUMBER(SEARCH("营",'17.04'!K73)),(-$Y73+50*IF('17.04'!$AK73="是",'17.04'!$AY$4,'17.04'!$AY$3)),(VLOOKUP('17.04'!K73,'17.04'!$AM$4:$AO$55,2,FALSE))*IF('17.04'!$AK73="是",'17.04'!$AY$4,'17.04'!$AY$3))</f>
        <v>0</v>
      </c>
      <c r="D73" s="4">
        <f>IF(ISNUMBER(SEARCH("营",'17.04'!L73)),(-$Y73+50*IF('17.04'!$AK73="是",'17.04'!$AY$4,'17.04'!$AY$3)),(VLOOKUP('17.04'!L73,'17.04'!$AM$4:$AO$55,2,FALSE))*IF('17.04'!$AK73="是",'17.04'!$AY$4,'17.04'!$AY$3))</f>
        <v>0</v>
      </c>
      <c r="E73" s="4">
        <f>IF(ISNUMBER(SEARCH("营",'17.04'!M73)),(-$Y73+50*IF('17.04'!$AK73="是",'17.04'!$AY$4,'17.04'!$AY$3)),(VLOOKUP('17.04'!M73,'17.04'!$AM$4:$AO$55,2,FALSE))*IF('17.04'!$AK73="是",'17.04'!$AY$4,'17.04'!$AY$3))</f>
        <v>0</v>
      </c>
      <c r="F73" s="4">
        <f>IF(ISNUMBER(SEARCH("营",'17.04'!N73)),(-$Y73+50*IF('17.04'!$AK73="是",'17.04'!$AY$4,'17.04'!$AY$3)),(VLOOKUP('17.04'!N73,'17.04'!$AM$4:$AO$55,2,FALSE))*IF('17.04'!$AK73="是",'17.04'!$AY$4,'17.04'!$AY$3))</f>
        <v>0</v>
      </c>
      <c r="G73" s="4">
        <f>IF(ISNUMBER(SEARCH("营",'17.04'!O73)),(-$Y73+50*IF('17.04'!$AK73="是",'17.04'!$AY$4,'17.04'!$AY$3)),(VLOOKUP('17.04'!O73,'17.04'!$AM$4:$AO$55,2,FALSE))*IF('17.04'!$AK73="是",'17.04'!$AY$4,'17.04'!$AY$3))</f>
        <v>0</v>
      </c>
      <c r="H73" s="4">
        <f>IF(ISNUMBER(SEARCH("营",'17.04'!P73)),(-$Y73+50*IF('17.04'!$AK73="是",'17.04'!$AY$4,'17.04'!$AY$3)),(VLOOKUP('17.04'!P73,'17.04'!$AM$4:$AO$55,2,FALSE))*IF('17.04'!$AK73="是",'17.04'!$AY$4,'17.04'!$AY$3))</f>
        <v>0</v>
      </c>
      <c r="I73" s="4">
        <f>IF(ISNUMBER(SEARCH("营",'17.04'!Q73)),(-$Y73+50*IF('17.04'!$AK73="是",'17.04'!$AY$4,'17.04'!$AY$3)),(VLOOKUP('17.04'!Q73,'17.04'!$AM$4:$AO$55,2,FALSE))*IF('17.04'!$AK73="是",'17.04'!$AY$4,'17.04'!$AY$3))</f>
        <v>0</v>
      </c>
      <c r="J73" s="4">
        <f>IF(ISNUMBER(SEARCH("营",'17.04'!R73)),(-$Y73+50*IF('17.04'!$AK73="是",'17.04'!$AY$4,'17.04'!$AY$3)),(VLOOKUP('17.04'!R73,'17.04'!$AM$4:$AO$55,2,FALSE))*IF('17.04'!$AK73="是",'17.04'!$AY$4,'17.04'!$AY$3))</f>
        <v>0</v>
      </c>
      <c r="K73" s="4">
        <f>IF(ISNUMBER(SEARCH("营",'17.04'!S73)),(-$Y73+50*IF('17.04'!$AK73="是",'17.04'!$AY$4,'17.04'!$AY$3)),(VLOOKUP('17.04'!S73,'17.04'!$AM$4:$AO$55,2,FALSE))*IF('17.04'!$AK73="是",'17.04'!$AY$4,'17.04'!$AY$3))</f>
        <v>0</v>
      </c>
      <c r="L73" s="4">
        <f>IF(ISNUMBER(SEARCH("营",'17.04'!T73)),(-$Y73+50*IF('17.04'!$AK73="是",'17.04'!$AY$4,'17.04'!$AY$3)),(VLOOKUP('17.04'!T73,'17.04'!$AM$4:$AO$55,2,FALSE))*IF('17.04'!$AK73="是",'17.04'!$AY$4,'17.04'!$AY$3))</f>
        <v>0</v>
      </c>
      <c r="M73" s="4">
        <f>IF(ISNUMBER(SEARCH("营",'17.04'!U73)),(-$Y73+50*IF('17.04'!$AK73="是",'17.04'!$AY$4,'17.04'!$AY$3)),(VLOOKUP('17.04'!U73,'17.04'!$AM$4:$AO$55,2,FALSE))*IF('17.04'!$AK73="是",'17.04'!$AY$4,'17.04'!$AY$3))</f>
        <v>0</v>
      </c>
      <c r="N73" s="4">
        <f>IF(ISNUMBER(SEARCH("营",'17.04'!V73)),(-$Y73+50*IF('17.04'!$AK73="是",'17.04'!$AY$4,'17.04'!$AY$3)),(VLOOKUP('17.04'!V73,'17.04'!$AM$4:$AO$55,2,FALSE))*IF('17.04'!$AK73="是",'17.04'!$AY$4,'17.04'!$AY$3))</f>
        <v>0</v>
      </c>
      <c r="O73" s="4">
        <f>IF(ISNUMBER(SEARCH("营",'17.04'!W73)),(-$Y73+50*IF('17.04'!$AK73="是",'17.04'!$AY$4,'17.04'!$AY$3)),(VLOOKUP('17.04'!W73,'17.04'!$AM$4:$AO$55,2,FALSE))*IF('17.04'!$AK73="是",'17.04'!$AY$4,'17.04'!$AY$3))</f>
        <v>0</v>
      </c>
      <c r="P73" s="4">
        <f>IF(ISNUMBER(SEARCH("营",'17.04'!X73)),(-$Y73+50*IF('17.04'!$AK73="是",'17.04'!$AY$4,'17.04'!$AY$3)),(VLOOKUP('17.04'!X73,'17.04'!$AM$4:$AO$55,2,FALSE))*IF('17.04'!$AK73="是",'17.04'!$AY$4,'17.04'!$AY$3))</f>
        <v>0</v>
      </c>
      <c r="Q73" s="4">
        <f>IF(ISNUMBER(SEARCH("营",'17.04'!Y73)),(-$Y73+50*IF('17.04'!$AK73="是",'17.04'!$AY$4,'17.04'!$AY$3)),(VLOOKUP('17.04'!Y73,'17.04'!$AM$4:$AO$55,2,FALSE))*IF('17.04'!$AK73="是",'17.04'!$AY$4,'17.04'!$AY$3))</f>
        <v>0</v>
      </c>
      <c r="R73" s="4">
        <f>IF(ISNUMBER(SEARCH("营",'17.04'!Z73)),(-$Y73+50*IF('17.04'!$AK73="是",'17.04'!$AY$4,'17.04'!$AY$3)),(VLOOKUP('17.04'!Z73,'17.04'!$AM$4:$AO$55,2,FALSE))*IF('17.04'!$AK73="是",'17.04'!$AY$4,'17.04'!$AY$3))</f>
        <v>0</v>
      </c>
      <c r="S73" s="4">
        <f>IF(ISNUMBER(SEARCH("营",'17.04'!AA73)),(-$Y73+50*IF('17.04'!$AK73="是",'17.04'!$AY$4,'17.04'!$AY$3)),(VLOOKUP('17.04'!AA73,'17.04'!$AM$4:$AO$55,2,FALSE))*IF('17.04'!$AK73="是",'17.04'!$AY$4,'17.04'!$AY$3))</f>
        <v>0</v>
      </c>
      <c r="T73" s="4">
        <f>IF(ISNUMBER(SEARCH("营",'17.04'!AB73)),(-$Y73+50*IF('17.04'!$AK73="是",'17.04'!$AY$4,'17.04'!$AY$3)),(VLOOKUP('17.04'!AB73,'17.04'!$AM$4:$AO$55,2,FALSE))*IF('17.04'!$AK73="是",'17.04'!$AY$4,'17.04'!$AY$3))</f>
        <v>0</v>
      </c>
      <c r="U73" s="4">
        <f>IF(ISNUMBER(SEARCH("营",'17.04'!AC73)),(-$Y73+50*IF('17.04'!$AK73="是",'17.04'!$AY$4,'17.04'!$AY$3)),(VLOOKUP('17.04'!AC73,'17.04'!$AM$4:$AO$55,2,FALSE))*IF('17.04'!$AK73="是",'17.04'!$AY$4,'17.04'!$AY$3))</f>
        <v>0</v>
      </c>
      <c r="V73" s="4">
        <f>IF(ISNUMBER(SEARCH("营",'17.04'!AD73)),(-$Y73+50*IF('17.04'!$AK73="是",'17.04'!$AY$4,'17.04'!$AY$3)),(VLOOKUP('17.04'!AD73,'17.04'!$AM$4:$AO$55,2,FALSE))*IF('17.04'!$AK73="是",'17.04'!$AY$4,'17.04'!$AY$3))</f>
        <v>0</v>
      </c>
      <c r="W73" s="4">
        <f>IF(ISNUMBER(SEARCH("营",'17.04'!AE73)),(-$Y73+50*IF('17.04'!$AK73="是",'17.04'!$AY$4,'17.04'!$AY$3)),(VLOOKUP('17.04'!AE73,'17.04'!$AM$4:$AO$55,2,FALSE))*IF('17.04'!$AK73="是",'17.04'!$AY$4,'17.04'!$AY$3))</f>
        <v>0</v>
      </c>
      <c r="X73" s="4">
        <f>IF(ISNUMBER(SEARCH("营",'17.04'!AF73)),(-$Y73+50*IF('17.04'!$AK73="是",'17.04'!$AY$4,'17.04'!$AY$3)),(VLOOKUP('17.04'!AF73,'17.04'!$AM$4:$AO$55,2,FALSE))*IF('17.04'!$AK73="是",'17.04'!$AY$4,'17.04'!$AY$3))</f>
        <v>0</v>
      </c>
      <c r="Y73" s="89">
        <v>100</v>
      </c>
    </row>
    <row r="74" spans="1:25">
      <c r="A74" s="4">
        <f>IF(ISNUMBER(SEARCH("营",'17.04'!I74)),(-$Y74+50*IF('17.04'!$AK74="是",'17.04'!$AY$4,'17.04'!$AY$3)),(VLOOKUP('17.04'!I74,'17.04'!$AM$4:$AO$55,2,FALSE))*IF('17.04'!$AK74="是",'17.04'!$AY$4,'17.04'!$AY$3))</f>
        <v>0</v>
      </c>
      <c r="B74" s="4">
        <f>IF(ISNUMBER(SEARCH("营",'17.04'!J74)),(-$Y74+50*IF('17.04'!$AK74="是",'17.04'!$AY$4,'17.04'!$AY$3)),(VLOOKUP('17.04'!J74,'17.04'!$AM$4:$AO$55,2,FALSE))*IF('17.04'!$AK74="是",'17.04'!$AY$4,'17.04'!$AY$3))</f>
        <v>0</v>
      </c>
      <c r="C74" s="4">
        <f>IF(ISNUMBER(SEARCH("营",'17.04'!K74)),(-$Y74+50*IF('17.04'!$AK74="是",'17.04'!$AY$4,'17.04'!$AY$3)),(VLOOKUP('17.04'!K74,'17.04'!$AM$4:$AO$55,2,FALSE))*IF('17.04'!$AK74="是",'17.04'!$AY$4,'17.04'!$AY$3))</f>
        <v>0</v>
      </c>
      <c r="D74" s="4">
        <f>IF(ISNUMBER(SEARCH("营",'17.04'!L74)),(-$Y74+50*IF('17.04'!$AK74="是",'17.04'!$AY$4,'17.04'!$AY$3)),(VLOOKUP('17.04'!L74,'17.04'!$AM$4:$AO$55,2,FALSE))*IF('17.04'!$AK74="是",'17.04'!$AY$4,'17.04'!$AY$3))</f>
        <v>0</v>
      </c>
      <c r="E74" s="4">
        <f>IF(ISNUMBER(SEARCH("营",'17.04'!M74)),(-$Y74+50*IF('17.04'!$AK74="是",'17.04'!$AY$4,'17.04'!$AY$3)),(VLOOKUP('17.04'!M74,'17.04'!$AM$4:$AO$55,2,FALSE))*IF('17.04'!$AK74="是",'17.04'!$AY$4,'17.04'!$AY$3))</f>
        <v>0</v>
      </c>
      <c r="F74" s="4">
        <f>IF(ISNUMBER(SEARCH("营",'17.04'!N74)),(-$Y74+50*IF('17.04'!$AK74="是",'17.04'!$AY$4,'17.04'!$AY$3)),(VLOOKUP('17.04'!N74,'17.04'!$AM$4:$AO$55,2,FALSE))*IF('17.04'!$AK74="是",'17.04'!$AY$4,'17.04'!$AY$3))</f>
        <v>0</v>
      </c>
      <c r="G74" s="4">
        <f>IF(ISNUMBER(SEARCH("营",'17.04'!O74)),(-$Y74+50*IF('17.04'!$AK74="是",'17.04'!$AY$4,'17.04'!$AY$3)),(VLOOKUP('17.04'!O74,'17.04'!$AM$4:$AO$55,2,FALSE))*IF('17.04'!$AK74="是",'17.04'!$AY$4,'17.04'!$AY$3))</f>
        <v>0</v>
      </c>
      <c r="H74" s="4">
        <f>IF(ISNUMBER(SEARCH("营",'17.04'!P74)),(-$Y74+50*IF('17.04'!$AK74="是",'17.04'!$AY$4,'17.04'!$AY$3)),(VLOOKUP('17.04'!P74,'17.04'!$AM$4:$AO$55,2,FALSE))*IF('17.04'!$AK74="是",'17.04'!$AY$4,'17.04'!$AY$3))</f>
        <v>0</v>
      </c>
      <c r="I74" s="4">
        <f>IF(ISNUMBER(SEARCH("营",'17.04'!Q74)),(-$Y74+50*IF('17.04'!$AK74="是",'17.04'!$AY$4,'17.04'!$AY$3)),(VLOOKUP('17.04'!Q74,'17.04'!$AM$4:$AO$55,2,FALSE))*IF('17.04'!$AK74="是",'17.04'!$AY$4,'17.04'!$AY$3))</f>
        <v>0</v>
      </c>
      <c r="J74" s="4">
        <f>IF(ISNUMBER(SEARCH("营",'17.04'!R74)),(-$Y74+50*IF('17.04'!$AK74="是",'17.04'!$AY$4,'17.04'!$AY$3)),(VLOOKUP('17.04'!R74,'17.04'!$AM$4:$AO$55,2,FALSE))*IF('17.04'!$AK74="是",'17.04'!$AY$4,'17.04'!$AY$3))</f>
        <v>0</v>
      </c>
      <c r="K74" s="4">
        <f>IF(ISNUMBER(SEARCH("营",'17.04'!S74)),(-$Y74+50*IF('17.04'!$AK74="是",'17.04'!$AY$4,'17.04'!$AY$3)),(VLOOKUP('17.04'!S74,'17.04'!$AM$4:$AO$55,2,FALSE))*IF('17.04'!$AK74="是",'17.04'!$AY$4,'17.04'!$AY$3))</f>
        <v>0</v>
      </c>
      <c r="L74" s="4">
        <f>IF(ISNUMBER(SEARCH("营",'17.04'!T74)),(-$Y74+50*IF('17.04'!$AK74="是",'17.04'!$AY$4,'17.04'!$AY$3)),(VLOOKUP('17.04'!T74,'17.04'!$AM$4:$AO$55,2,FALSE))*IF('17.04'!$AK74="是",'17.04'!$AY$4,'17.04'!$AY$3))</f>
        <v>0</v>
      </c>
      <c r="M74" s="4">
        <f>IF(ISNUMBER(SEARCH("营",'17.04'!U74)),(-$Y74+50*IF('17.04'!$AK74="是",'17.04'!$AY$4,'17.04'!$AY$3)),(VLOOKUP('17.04'!U74,'17.04'!$AM$4:$AO$55,2,FALSE))*IF('17.04'!$AK74="是",'17.04'!$AY$4,'17.04'!$AY$3))</f>
        <v>0</v>
      </c>
      <c r="N74" s="4">
        <f>IF(ISNUMBER(SEARCH("营",'17.04'!V74)),(-$Y74+50*IF('17.04'!$AK74="是",'17.04'!$AY$4,'17.04'!$AY$3)),(VLOOKUP('17.04'!V74,'17.04'!$AM$4:$AO$55,2,FALSE))*IF('17.04'!$AK74="是",'17.04'!$AY$4,'17.04'!$AY$3))</f>
        <v>0</v>
      </c>
      <c r="O74" s="4">
        <f>IF(ISNUMBER(SEARCH("营",'17.04'!W74)),(-$Y74+50*IF('17.04'!$AK74="是",'17.04'!$AY$4,'17.04'!$AY$3)),(VLOOKUP('17.04'!W74,'17.04'!$AM$4:$AO$55,2,FALSE))*IF('17.04'!$AK74="是",'17.04'!$AY$4,'17.04'!$AY$3))</f>
        <v>0</v>
      </c>
      <c r="P74" s="4">
        <f>IF(ISNUMBER(SEARCH("营",'17.04'!X74)),(-$Y74+50*IF('17.04'!$AK74="是",'17.04'!$AY$4,'17.04'!$AY$3)),(VLOOKUP('17.04'!X74,'17.04'!$AM$4:$AO$55,2,FALSE))*IF('17.04'!$AK74="是",'17.04'!$AY$4,'17.04'!$AY$3))</f>
        <v>0</v>
      </c>
      <c r="Q74" s="4">
        <f>IF(ISNUMBER(SEARCH("营",'17.04'!Y74)),(-$Y74+50*IF('17.04'!$AK74="是",'17.04'!$AY$4,'17.04'!$AY$3)),(VLOOKUP('17.04'!Y74,'17.04'!$AM$4:$AO$55,2,FALSE))*IF('17.04'!$AK74="是",'17.04'!$AY$4,'17.04'!$AY$3))</f>
        <v>0</v>
      </c>
      <c r="R74" s="4">
        <f>IF(ISNUMBER(SEARCH("营",'17.04'!Z74)),(-$Y74+50*IF('17.04'!$AK74="是",'17.04'!$AY$4,'17.04'!$AY$3)),(VLOOKUP('17.04'!Z74,'17.04'!$AM$4:$AO$55,2,FALSE))*IF('17.04'!$AK74="是",'17.04'!$AY$4,'17.04'!$AY$3))</f>
        <v>0</v>
      </c>
      <c r="S74" s="4">
        <f>IF(ISNUMBER(SEARCH("营",'17.04'!AA74)),(-$Y74+50*IF('17.04'!$AK74="是",'17.04'!$AY$4,'17.04'!$AY$3)),(VLOOKUP('17.04'!AA74,'17.04'!$AM$4:$AO$55,2,FALSE))*IF('17.04'!$AK74="是",'17.04'!$AY$4,'17.04'!$AY$3))</f>
        <v>0</v>
      </c>
      <c r="T74" s="4">
        <f>IF(ISNUMBER(SEARCH("营",'17.04'!AB74)),(-$Y74+50*IF('17.04'!$AK74="是",'17.04'!$AY$4,'17.04'!$AY$3)),(VLOOKUP('17.04'!AB74,'17.04'!$AM$4:$AO$55,2,FALSE))*IF('17.04'!$AK74="是",'17.04'!$AY$4,'17.04'!$AY$3))</f>
        <v>0</v>
      </c>
      <c r="U74" s="4">
        <f>IF(ISNUMBER(SEARCH("营",'17.04'!AC74)),(-$Y74+50*IF('17.04'!$AK74="是",'17.04'!$AY$4,'17.04'!$AY$3)),(VLOOKUP('17.04'!AC74,'17.04'!$AM$4:$AO$55,2,FALSE))*IF('17.04'!$AK74="是",'17.04'!$AY$4,'17.04'!$AY$3))</f>
        <v>0</v>
      </c>
      <c r="V74" s="4">
        <f>IF(ISNUMBER(SEARCH("营",'17.04'!AD74)),(-$Y74+50*IF('17.04'!$AK74="是",'17.04'!$AY$4,'17.04'!$AY$3)),(VLOOKUP('17.04'!AD74,'17.04'!$AM$4:$AO$55,2,FALSE))*IF('17.04'!$AK74="是",'17.04'!$AY$4,'17.04'!$AY$3))</f>
        <v>0</v>
      </c>
      <c r="W74" s="4">
        <f>IF(ISNUMBER(SEARCH("营",'17.04'!AE74)),(-$Y74+50*IF('17.04'!$AK74="是",'17.04'!$AY$4,'17.04'!$AY$3)),(VLOOKUP('17.04'!AE74,'17.04'!$AM$4:$AO$55,2,FALSE))*IF('17.04'!$AK74="是",'17.04'!$AY$4,'17.04'!$AY$3))</f>
        <v>0</v>
      </c>
      <c r="X74" s="4">
        <f>IF(ISNUMBER(SEARCH("营",'17.04'!AF74)),(-$Y74+50*IF('17.04'!$AK74="是",'17.04'!$AY$4,'17.04'!$AY$3)),(VLOOKUP('17.04'!AF74,'17.04'!$AM$4:$AO$55,2,FALSE))*IF('17.04'!$AK74="是",'17.04'!$AY$4,'17.04'!$AY$3))</f>
        <v>0</v>
      </c>
      <c r="Y74" s="89">
        <v>100</v>
      </c>
    </row>
    <row r="75" spans="1:25">
      <c r="A75" s="4">
        <f>IF(ISNUMBER(SEARCH("营",'17.04'!I75)),(-$Y75+50*IF('17.04'!$AK75="是",'17.04'!$AY$4,'17.04'!$AY$3)),(VLOOKUP('17.04'!I75,'17.04'!$AM$4:$AO$55,2,FALSE))*IF('17.04'!$AK75="是",'17.04'!$AY$4,'17.04'!$AY$3))</f>
        <v>0</v>
      </c>
      <c r="B75" s="4">
        <f>IF(ISNUMBER(SEARCH("营",'17.04'!J75)),(-$Y75+50*IF('17.04'!$AK75="是",'17.04'!$AY$4,'17.04'!$AY$3)),(VLOOKUP('17.04'!J75,'17.04'!$AM$4:$AO$55,2,FALSE))*IF('17.04'!$AK75="是",'17.04'!$AY$4,'17.04'!$AY$3))</f>
        <v>0</v>
      </c>
      <c r="C75" s="4">
        <f>IF(ISNUMBER(SEARCH("营",'17.04'!K75)),(-$Y75+50*IF('17.04'!$AK75="是",'17.04'!$AY$4,'17.04'!$AY$3)),(VLOOKUP('17.04'!K75,'17.04'!$AM$4:$AO$55,2,FALSE))*IF('17.04'!$AK75="是",'17.04'!$AY$4,'17.04'!$AY$3))</f>
        <v>0</v>
      </c>
      <c r="D75" s="4">
        <f>IF(ISNUMBER(SEARCH("营",'17.04'!L75)),(-$Y75+50*IF('17.04'!$AK75="是",'17.04'!$AY$4,'17.04'!$AY$3)),(VLOOKUP('17.04'!L75,'17.04'!$AM$4:$AO$55,2,FALSE))*IF('17.04'!$AK75="是",'17.04'!$AY$4,'17.04'!$AY$3))</f>
        <v>0</v>
      </c>
      <c r="E75" s="4">
        <f>IF(ISNUMBER(SEARCH("营",'17.04'!M75)),(-$Y75+50*IF('17.04'!$AK75="是",'17.04'!$AY$4,'17.04'!$AY$3)),(VLOOKUP('17.04'!M75,'17.04'!$AM$4:$AO$55,2,FALSE))*IF('17.04'!$AK75="是",'17.04'!$AY$4,'17.04'!$AY$3))</f>
        <v>0</v>
      </c>
      <c r="F75" s="4">
        <f>IF(ISNUMBER(SEARCH("营",'17.04'!N75)),(-$Y75+50*IF('17.04'!$AK75="是",'17.04'!$AY$4,'17.04'!$AY$3)),(VLOOKUP('17.04'!N75,'17.04'!$AM$4:$AO$55,2,FALSE))*IF('17.04'!$AK75="是",'17.04'!$AY$4,'17.04'!$AY$3))</f>
        <v>0</v>
      </c>
      <c r="G75" s="4">
        <f>IF(ISNUMBER(SEARCH("营",'17.04'!O75)),(-$Y75+50*IF('17.04'!$AK75="是",'17.04'!$AY$4,'17.04'!$AY$3)),(VLOOKUP('17.04'!O75,'17.04'!$AM$4:$AO$55,2,FALSE))*IF('17.04'!$AK75="是",'17.04'!$AY$4,'17.04'!$AY$3))</f>
        <v>0</v>
      </c>
      <c r="H75" s="4">
        <f>IF(ISNUMBER(SEARCH("营",'17.04'!P75)),(-$Y75+50*IF('17.04'!$AK75="是",'17.04'!$AY$4,'17.04'!$AY$3)),(VLOOKUP('17.04'!P75,'17.04'!$AM$4:$AO$55,2,FALSE))*IF('17.04'!$AK75="是",'17.04'!$AY$4,'17.04'!$AY$3))</f>
        <v>0</v>
      </c>
      <c r="I75" s="4">
        <f>IF(ISNUMBER(SEARCH("营",'17.04'!Q75)),(-$Y75+50*IF('17.04'!$AK75="是",'17.04'!$AY$4,'17.04'!$AY$3)),(VLOOKUP('17.04'!Q75,'17.04'!$AM$4:$AO$55,2,FALSE))*IF('17.04'!$AK75="是",'17.04'!$AY$4,'17.04'!$AY$3))</f>
        <v>0</v>
      </c>
      <c r="J75" s="4">
        <f>IF(ISNUMBER(SEARCH("营",'17.04'!R75)),(-$Y75+50*IF('17.04'!$AK75="是",'17.04'!$AY$4,'17.04'!$AY$3)),(VLOOKUP('17.04'!R75,'17.04'!$AM$4:$AO$55,2,FALSE))*IF('17.04'!$AK75="是",'17.04'!$AY$4,'17.04'!$AY$3))</f>
        <v>0</v>
      </c>
      <c r="K75" s="4">
        <f>IF(ISNUMBER(SEARCH("营",'17.04'!S75)),(-$Y75+50*IF('17.04'!$AK75="是",'17.04'!$AY$4,'17.04'!$AY$3)),(VLOOKUP('17.04'!S75,'17.04'!$AM$4:$AO$55,2,FALSE))*IF('17.04'!$AK75="是",'17.04'!$AY$4,'17.04'!$AY$3))</f>
        <v>0</v>
      </c>
      <c r="L75" s="4">
        <f>IF(ISNUMBER(SEARCH("营",'17.04'!T75)),(-$Y75+50*IF('17.04'!$AK75="是",'17.04'!$AY$4,'17.04'!$AY$3)),(VLOOKUP('17.04'!T75,'17.04'!$AM$4:$AO$55,2,FALSE))*IF('17.04'!$AK75="是",'17.04'!$AY$4,'17.04'!$AY$3))</f>
        <v>0</v>
      </c>
      <c r="M75" s="4">
        <f>IF(ISNUMBER(SEARCH("营",'17.04'!U75)),(-$Y75+50*IF('17.04'!$AK75="是",'17.04'!$AY$4,'17.04'!$AY$3)),(VLOOKUP('17.04'!U75,'17.04'!$AM$4:$AO$55,2,FALSE))*IF('17.04'!$AK75="是",'17.04'!$AY$4,'17.04'!$AY$3))</f>
        <v>0</v>
      </c>
      <c r="N75" s="4">
        <f>IF(ISNUMBER(SEARCH("营",'17.04'!V75)),(-$Y75+50*IF('17.04'!$AK75="是",'17.04'!$AY$4,'17.04'!$AY$3)),(VLOOKUP('17.04'!V75,'17.04'!$AM$4:$AO$55,2,FALSE))*IF('17.04'!$AK75="是",'17.04'!$AY$4,'17.04'!$AY$3))</f>
        <v>0</v>
      </c>
      <c r="O75" s="4">
        <f>IF(ISNUMBER(SEARCH("营",'17.04'!W75)),(-$Y75+50*IF('17.04'!$AK75="是",'17.04'!$AY$4,'17.04'!$AY$3)),(VLOOKUP('17.04'!W75,'17.04'!$AM$4:$AO$55,2,FALSE))*IF('17.04'!$AK75="是",'17.04'!$AY$4,'17.04'!$AY$3))</f>
        <v>0</v>
      </c>
      <c r="P75" s="4">
        <f>IF(ISNUMBER(SEARCH("营",'17.04'!X75)),(-$Y75+50*IF('17.04'!$AK75="是",'17.04'!$AY$4,'17.04'!$AY$3)),(VLOOKUP('17.04'!X75,'17.04'!$AM$4:$AO$55,2,FALSE))*IF('17.04'!$AK75="是",'17.04'!$AY$4,'17.04'!$AY$3))</f>
        <v>0</v>
      </c>
      <c r="Q75" s="4">
        <f>IF(ISNUMBER(SEARCH("营",'17.04'!Y75)),(-$Y75+50*IF('17.04'!$AK75="是",'17.04'!$AY$4,'17.04'!$AY$3)),(VLOOKUP('17.04'!Y75,'17.04'!$AM$4:$AO$55,2,FALSE))*IF('17.04'!$AK75="是",'17.04'!$AY$4,'17.04'!$AY$3))</f>
        <v>0</v>
      </c>
      <c r="R75" s="4">
        <f>IF(ISNUMBER(SEARCH("营",'17.04'!Z75)),(-$Y75+50*IF('17.04'!$AK75="是",'17.04'!$AY$4,'17.04'!$AY$3)),(VLOOKUP('17.04'!Z75,'17.04'!$AM$4:$AO$55,2,FALSE))*IF('17.04'!$AK75="是",'17.04'!$AY$4,'17.04'!$AY$3))</f>
        <v>0</v>
      </c>
      <c r="S75" s="4">
        <f>IF(ISNUMBER(SEARCH("营",'17.04'!AA75)),(-$Y75+50*IF('17.04'!$AK75="是",'17.04'!$AY$4,'17.04'!$AY$3)),(VLOOKUP('17.04'!AA75,'17.04'!$AM$4:$AO$55,2,FALSE))*IF('17.04'!$AK75="是",'17.04'!$AY$4,'17.04'!$AY$3))</f>
        <v>0</v>
      </c>
      <c r="T75" s="4">
        <f>IF(ISNUMBER(SEARCH("营",'17.04'!AB75)),(-$Y75+50*IF('17.04'!$AK75="是",'17.04'!$AY$4,'17.04'!$AY$3)),(VLOOKUP('17.04'!AB75,'17.04'!$AM$4:$AO$55,2,FALSE))*IF('17.04'!$AK75="是",'17.04'!$AY$4,'17.04'!$AY$3))</f>
        <v>0</v>
      </c>
      <c r="U75" s="4">
        <f>IF(ISNUMBER(SEARCH("营",'17.04'!AC75)),(-$Y75+50*IF('17.04'!$AK75="是",'17.04'!$AY$4,'17.04'!$AY$3)),(VLOOKUP('17.04'!AC75,'17.04'!$AM$4:$AO$55,2,FALSE))*IF('17.04'!$AK75="是",'17.04'!$AY$4,'17.04'!$AY$3))</f>
        <v>0</v>
      </c>
      <c r="V75" s="4">
        <f>IF(ISNUMBER(SEARCH("营",'17.04'!AD75)),(-$Y75+50*IF('17.04'!$AK75="是",'17.04'!$AY$4,'17.04'!$AY$3)),(VLOOKUP('17.04'!AD75,'17.04'!$AM$4:$AO$55,2,FALSE))*IF('17.04'!$AK75="是",'17.04'!$AY$4,'17.04'!$AY$3))</f>
        <v>0</v>
      </c>
      <c r="W75" s="4">
        <f>IF(ISNUMBER(SEARCH("营",'17.04'!AE75)),(-$Y75+50*IF('17.04'!$AK75="是",'17.04'!$AY$4,'17.04'!$AY$3)),(VLOOKUP('17.04'!AE75,'17.04'!$AM$4:$AO$55,2,FALSE))*IF('17.04'!$AK75="是",'17.04'!$AY$4,'17.04'!$AY$3))</f>
        <v>0</v>
      </c>
      <c r="X75" s="4">
        <f>IF(ISNUMBER(SEARCH("营",'17.04'!AF75)),(-$Y75+50*IF('17.04'!$AK75="是",'17.04'!$AY$4,'17.04'!$AY$3)),(VLOOKUP('17.04'!AF75,'17.04'!$AM$4:$AO$55,2,FALSE))*IF('17.04'!$AK75="是",'17.04'!$AY$4,'17.04'!$AY$3))</f>
        <v>0</v>
      </c>
      <c r="Y75" s="89">
        <v>100</v>
      </c>
    </row>
    <row r="76" spans="1:25">
      <c r="A76" s="4">
        <f>IF(ISNUMBER(SEARCH("营",'17.04'!I76)),(-$Y76+50*IF('17.04'!$AK76="是",'17.04'!$AY$4,'17.04'!$AY$3)),(VLOOKUP('17.04'!I76,'17.04'!$AM$4:$AO$55,2,FALSE))*IF('17.04'!$AK76="是",'17.04'!$AY$4,'17.04'!$AY$3))</f>
        <v>0</v>
      </c>
      <c r="B76" s="4">
        <f>IF(ISNUMBER(SEARCH("营",'17.04'!J76)),(-$Y76+50*IF('17.04'!$AK76="是",'17.04'!$AY$4,'17.04'!$AY$3)),(VLOOKUP('17.04'!J76,'17.04'!$AM$4:$AO$55,2,FALSE))*IF('17.04'!$AK76="是",'17.04'!$AY$4,'17.04'!$AY$3))</f>
        <v>0</v>
      </c>
      <c r="C76" s="4">
        <f>IF(ISNUMBER(SEARCH("营",'17.04'!K76)),(-$Y76+50*IF('17.04'!$AK76="是",'17.04'!$AY$4,'17.04'!$AY$3)),(VLOOKUP('17.04'!K76,'17.04'!$AM$4:$AO$55,2,FALSE))*IF('17.04'!$AK76="是",'17.04'!$AY$4,'17.04'!$AY$3))</f>
        <v>0</v>
      </c>
      <c r="D76" s="4">
        <f>IF(ISNUMBER(SEARCH("营",'17.04'!L76)),(-$Y76+50*IF('17.04'!$AK76="是",'17.04'!$AY$4,'17.04'!$AY$3)),(VLOOKUP('17.04'!L76,'17.04'!$AM$4:$AO$55,2,FALSE))*IF('17.04'!$AK76="是",'17.04'!$AY$4,'17.04'!$AY$3))</f>
        <v>0</v>
      </c>
      <c r="E76" s="4">
        <f>IF(ISNUMBER(SEARCH("营",'17.04'!M76)),(-$Y76+50*IF('17.04'!$AK76="是",'17.04'!$AY$4,'17.04'!$AY$3)),(VLOOKUP('17.04'!M76,'17.04'!$AM$4:$AO$55,2,FALSE))*IF('17.04'!$AK76="是",'17.04'!$AY$4,'17.04'!$AY$3))</f>
        <v>0</v>
      </c>
      <c r="F76" s="4">
        <f>IF(ISNUMBER(SEARCH("营",'17.04'!N76)),(-$Y76+50*IF('17.04'!$AK76="是",'17.04'!$AY$4,'17.04'!$AY$3)),(VLOOKUP('17.04'!N76,'17.04'!$AM$4:$AO$55,2,FALSE))*IF('17.04'!$AK76="是",'17.04'!$AY$4,'17.04'!$AY$3))</f>
        <v>0</v>
      </c>
      <c r="G76" s="4">
        <f>IF(ISNUMBER(SEARCH("营",'17.04'!O76)),(-$Y76+50*IF('17.04'!$AK76="是",'17.04'!$AY$4,'17.04'!$AY$3)),(VLOOKUP('17.04'!O76,'17.04'!$AM$4:$AO$55,2,FALSE))*IF('17.04'!$AK76="是",'17.04'!$AY$4,'17.04'!$AY$3))</f>
        <v>0</v>
      </c>
      <c r="H76" s="4">
        <f>IF(ISNUMBER(SEARCH("营",'17.04'!P76)),(-$Y76+50*IF('17.04'!$AK76="是",'17.04'!$AY$4,'17.04'!$AY$3)),(VLOOKUP('17.04'!P76,'17.04'!$AM$4:$AO$55,2,FALSE))*IF('17.04'!$AK76="是",'17.04'!$AY$4,'17.04'!$AY$3))</f>
        <v>0</v>
      </c>
      <c r="I76" s="4">
        <f>IF(ISNUMBER(SEARCH("营",'17.04'!Q76)),(-$Y76+50*IF('17.04'!$AK76="是",'17.04'!$AY$4,'17.04'!$AY$3)),(VLOOKUP('17.04'!Q76,'17.04'!$AM$4:$AO$55,2,FALSE))*IF('17.04'!$AK76="是",'17.04'!$AY$4,'17.04'!$AY$3))</f>
        <v>0</v>
      </c>
      <c r="J76" s="4">
        <f>IF(ISNUMBER(SEARCH("营",'17.04'!R76)),(-$Y76+50*IF('17.04'!$AK76="是",'17.04'!$AY$4,'17.04'!$AY$3)),(VLOOKUP('17.04'!R76,'17.04'!$AM$4:$AO$55,2,FALSE))*IF('17.04'!$AK76="是",'17.04'!$AY$4,'17.04'!$AY$3))</f>
        <v>0</v>
      </c>
      <c r="K76" s="4">
        <f>IF(ISNUMBER(SEARCH("营",'17.04'!S76)),(-$Y76+50*IF('17.04'!$AK76="是",'17.04'!$AY$4,'17.04'!$AY$3)),(VLOOKUP('17.04'!S76,'17.04'!$AM$4:$AO$55,2,FALSE))*IF('17.04'!$AK76="是",'17.04'!$AY$4,'17.04'!$AY$3))</f>
        <v>0</v>
      </c>
      <c r="L76" s="4">
        <f>IF(ISNUMBER(SEARCH("营",'17.04'!T76)),(-$Y76+50*IF('17.04'!$AK76="是",'17.04'!$AY$4,'17.04'!$AY$3)),(VLOOKUP('17.04'!T76,'17.04'!$AM$4:$AO$55,2,FALSE))*IF('17.04'!$AK76="是",'17.04'!$AY$4,'17.04'!$AY$3))</f>
        <v>0</v>
      </c>
      <c r="M76" s="4">
        <f>IF(ISNUMBER(SEARCH("营",'17.04'!U76)),(-$Y76+50*IF('17.04'!$AK76="是",'17.04'!$AY$4,'17.04'!$AY$3)),(VLOOKUP('17.04'!U76,'17.04'!$AM$4:$AO$55,2,FALSE))*IF('17.04'!$AK76="是",'17.04'!$AY$4,'17.04'!$AY$3))</f>
        <v>0</v>
      </c>
      <c r="N76" s="4">
        <f>IF(ISNUMBER(SEARCH("营",'17.04'!V76)),(-$Y76+50*IF('17.04'!$AK76="是",'17.04'!$AY$4,'17.04'!$AY$3)),(VLOOKUP('17.04'!V76,'17.04'!$AM$4:$AO$55,2,FALSE))*IF('17.04'!$AK76="是",'17.04'!$AY$4,'17.04'!$AY$3))</f>
        <v>0</v>
      </c>
      <c r="O76" s="4">
        <f>IF(ISNUMBER(SEARCH("营",'17.04'!W76)),(-$Y76+50*IF('17.04'!$AK76="是",'17.04'!$AY$4,'17.04'!$AY$3)),(VLOOKUP('17.04'!W76,'17.04'!$AM$4:$AO$55,2,FALSE))*IF('17.04'!$AK76="是",'17.04'!$AY$4,'17.04'!$AY$3))</f>
        <v>0</v>
      </c>
      <c r="P76" s="4">
        <f>IF(ISNUMBER(SEARCH("营",'17.04'!X76)),(-$Y76+50*IF('17.04'!$AK76="是",'17.04'!$AY$4,'17.04'!$AY$3)),(VLOOKUP('17.04'!X76,'17.04'!$AM$4:$AO$55,2,FALSE))*IF('17.04'!$AK76="是",'17.04'!$AY$4,'17.04'!$AY$3))</f>
        <v>0</v>
      </c>
      <c r="Q76" s="4">
        <f>IF(ISNUMBER(SEARCH("营",'17.04'!Y76)),(-$Y76+50*IF('17.04'!$AK76="是",'17.04'!$AY$4,'17.04'!$AY$3)),(VLOOKUP('17.04'!Y76,'17.04'!$AM$4:$AO$55,2,FALSE))*IF('17.04'!$AK76="是",'17.04'!$AY$4,'17.04'!$AY$3))</f>
        <v>0</v>
      </c>
      <c r="R76" s="4">
        <f>IF(ISNUMBER(SEARCH("营",'17.04'!Z76)),(-$Y76+50*IF('17.04'!$AK76="是",'17.04'!$AY$4,'17.04'!$AY$3)),(VLOOKUP('17.04'!Z76,'17.04'!$AM$4:$AO$55,2,FALSE))*IF('17.04'!$AK76="是",'17.04'!$AY$4,'17.04'!$AY$3))</f>
        <v>0</v>
      </c>
      <c r="S76" s="4">
        <f>IF(ISNUMBER(SEARCH("营",'17.04'!AA76)),(-$Y76+50*IF('17.04'!$AK76="是",'17.04'!$AY$4,'17.04'!$AY$3)),(VLOOKUP('17.04'!AA76,'17.04'!$AM$4:$AO$55,2,FALSE))*IF('17.04'!$AK76="是",'17.04'!$AY$4,'17.04'!$AY$3))</f>
        <v>0</v>
      </c>
      <c r="T76" s="4">
        <f>IF(ISNUMBER(SEARCH("营",'17.04'!AB76)),(-$Y76+50*IF('17.04'!$AK76="是",'17.04'!$AY$4,'17.04'!$AY$3)),(VLOOKUP('17.04'!AB76,'17.04'!$AM$4:$AO$55,2,FALSE))*IF('17.04'!$AK76="是",'17.04'!$AY$4,'17.04'!$AY$3))</f>
        <v>0</v>
      </c>
      <c r="U76" s="4">
        <f>IF(ISNUMBER(SEARCH("营",'17.04'!AC76)),(-$Y76+50*IF('17.04'!$AK76="是",'17.04'!$AY$4,'17.04'!$AY$3)),(VLOOKUP('17.04'!AC76,'17.04'!$AM$4:$AO$55,2,FALSE))*IF('17.04'!$AK76="是",'17.04'!$AY$4,'17.04'!$AY$3))</f>
        <v>0</v>
      </c>
      <c r="V76" s="4">
        <f>IF(ISNUMBER(SEARCH("营",'17.04'!AD76)),(-$Y76+50*IF('17.04'!$AK76="是",'17.04'!$AY$4,'17.04'!$AY$3)),(VLOOKUP('17.04'!AD76,'17.04'!$AM$4:$AO$55,2,FALSE))*IF('17.04'!$AK76="是",'17.04'!$AY$4,'17.04'!$AY$3))</f>
        <v>0</v>
      </c>
      <c r="W76" s="4">
        <f>IF(ISNUMBER(SEARCH("营",'17.04'!AE76)),(-$Y76+50*IF('17.04'!$AK76="是",'17.04'!$AY$4,'17.04'!$AY$3)),(VLOOKUP('17.04'!AE76,'17.04'!$AM$4:$AO$55,2,FALSE))*IF('17.04'!$AK76="是",'17.04'!$AY$4,'17.04'!$AY$3))</f>
        <v>0</v>
      </c>
      <c r="X76" s="4">
        <f>IF(ISNUMBER(SEARCH("营",'17.04'!AF76)),(-$Y76+50*IF('17.04'!$AK76="是",'17.04'!$AY$4,'17.04'!$AY$3)),(VLOOKUP('17.04'!AF76,'17.04'!$AM$4:$AO$55,2,FALSE))*IF('17.04'!$AK76="是",'17.04'!$AY$4,'17.04'!$AY$3))</f>
        <v>0</v>
      </c>
      <c r="Y76" s="89">
        <v>100</v>
      </c>
    </row>
    <row r="77" spans="1:25">
      <c r="A77" s="4">
        <f>IF(ISNUMBER(SEARCH("营",'17.04'!I77)),(-$Y77+50*IF('17.04'!$AK77="是",'17.04'!$AY$4,'17.04'!$AY$3)),(VLOOKUP('17.04'!I77,'17.04'!$AM$4:$AO$55,2,FALSE))*IF('17.04'!$AK77="是",'17.04'!$AY$4,'17.04'!$AY$3))</f>
        <v>0</v>
      </c>
      <c r="B77" s="4">
        <f>IF(ISNUMBER(SEARCH("营",'17.04'!J77)),(-$Y77+50*IF('17.04'!$AK77="是",'17.04'!$AY$4,'17.04'!$AY$3)),(VLOOKUP('17.04'!J77,'17.04'!$AM$4:$AO$55,2,FALSE))*IF('17.04'!$AK77="是",'17.04'!$AY$4,'17.04'!$AY$3))</f>
        <v>0</v>
      </c>
      <c r="C77" s="4">
        <f>IF(ISNUMBER(SEARCH("营",'17.04'!K77)),(-$Y77+50*IF('17.04'!$AK77="是",'17.04'!$AY$4,'17.04'!$AY$3)),(VLOOKUP('17.04'!K77,'17.04'!$AM$4:$AO$55,2,FALSE))*IF('17.04'!$AK77="是",'17.04'!$AY$4,'17.04'!$AY$3))</f>
        <v>0</v>
      </c>
      <c r="D77" s="4">
        <f>IF(ISNUMBER(SEARCH("营",'17.04'!L77)),(-$Y77+50*IF('17.04'!$AK77="是",'17.04'!$AY$4,'17.04'!$AY$3)),(VLOOKUP('17.04'!L77,'17.04'!$AM$4:$AO$55,2,FALSE))*IF('17.04'!$AK77="是",'17.04'!$AY$4,'17.04'!$AY$3))</f>
        <v>0</v>
      </c>
      <c r="E77" s="4">
        <f>IF(ISNUMBER(SEARCH("营",'17.04'!M77)),(-$Y77+50*IF('17.04'!$AK77="是",'17.04'!$AY$4,'17.04'!$AY$3)),(VLOOKUP('17.04'!M77,'17.04'!$AM$4:$AO$55,2,FALSE))*IF('17.04'!$AK77="是",'17.04'!$AY$4,'17.04'!$AY$3))</f>
        <v>0</v>
      </c>
      <c r="F77" s="4">
        <f>IF(ISNUMBER(SEARCH("营",'17.04'!N77)),(-$Y77+50*IF('17.04'!$AK77="是",'17.04'!$AY$4,'17.04'!$AY$3)),(VLOOKUP('17.04'!N77,'17.04'!$AM$4:$AO$55,2,FALSE))*IF('17.04'!$AK77="是",'17.04'!$AY$4,'17.04'!$AY$3))</f>
        <v>0</v>
      </c>
      <c r="G77" s="4">
        <f>IF(ISNUMBER(SEARCH("营",'17.04'!O77)),(-$Y77+50*IF('17.04'!$AK77="是",'17.04'!$AY$4,'17.04'!$AY$3)),(VLOOKUP('17.04'!O77,'17.04'!$AM$4:$AO$55,2,FALSE))*IF('17.04'!$AK77="是",'17.04'!$AY$4,'17.04'!$AY$3))</f>
        <v>0</v>
      </c>
      <c r="H77" s="4">
        <f>IF(ISNUMBER(SEARCH("营",'17.04'!P77)),(-$Y77+50*IF('17.04'!$AK77="是",'17.04'!$AY$4,'17.04'!$AY$3)),(VLOOKUP('17.04'!P77,'17.04'!$AM$4:$AO$55,2,FALSE))*IF('17.04'!$AK77="是",'17.04'!$AY$4,'17.04'!$AY$3))</f>
        <v>0</v>
      </c>
      <c r="I77" s="4">
        <f>IF(ISNUMBER(SEARCH("营",'17.04'!Q77)),(-$Y77+50*IF('17.04'!$AK77="是",'17.04'!$AY$4,'17.04'!$AY$3)),(VLOOKUP('17.04'!Q77,'17.04'!$AM$4:$AO$55,2,FALSE))*IF('17.04'!$AK77="是",'17.04'!$AY$4,'17.04'!$AY$3))</f>
        <v>0</v>
      </c>
      <c r="J77" s="4">
        <f>IF(ISNUMBER(SEARCH("营",'17.04'!R77)),(-$Y77+50*IF('17.04'!$AK77="是",'17.04'!$AY$4,'17.04'!$AY$3)),(VLOOKUP('17.04'!R77,'17.04'!$AM$4:$AO$55,2,FALSE))*IF('17.04'!$AK77="是",'17.04'!$AY$4,'17.04'!$AY$3))</f>
        <v>0</v>
      </c>
      <c r="K77" s="4">
        <f>IF(ISNUMBER(SEARCH("营",'17.04'!S77)),(-$Y77+50*IF('17.04'!$AK77="是",'17.04'!$AY$4,'17.04'!$AY$3)),(VLOOKUP('17.04'!S77,'17.04'!$AM$4:$AO$55,2,FALSE))*IF('17.04'!$AK77="是",'17.04'!$AY$4,'17.04'!$AY$3))</f>
        <v>0</v>
      </c>
      <c r="L77" s="4">
        <f>IF(ISNUMBER(SEARCH("营",'17.04'!T77)),(-$Y77+50*IF('17.04'!$AK77="是",'17.04'!$AY$4,'17.04'!$AY$3)),(VLOOKUP('17.04'!T77,'17.04'!$AM$4:$AO$55,2,FALSE))*IF('17.04'!$AK77="是",'17.04'!$AY$4,'17.04'!$AY$3))</f>
        <v>0</v>
      </c>
      <c r="M77" s="4">
        <f>IF(ISNUMBER(SEARCH("营",'17.04'!U77)),(-$Y77+50*IF('17.04'!$AK77="是",'17.04'!$AY$4,'17.04'!$AY$3)),(VLOOKUP('17.04'!U77,'17.04'!$AM$4:$AO$55,2,FALSE))*IF('17.04'!$AK77="是",'17.04'!$AY$4,'17.04'!$AY$3))</f>
        <v>0</v>
      </c>
      <c r="N77" s="4">
        <f>IF(ISNUMBER(SEARCH("营",'17.04'!V77)),(-$Y77+50*IF('17.04'!$AK77="是",'17.04'!$AY$4,'17.04'!$AY$3)),(VLOOKUP('17.04'!V77,'17.04'!$AM$4:$AO$55,2,FALSE))*IF('17.04'!$AK77="是",'17.04'!$AY$4,'17.04'!$AY$3))</f>
        <v>0</v>
      </c>
      <c r="O77" s="4">
        <f>IF(ISNUMBER(SEARCH("营",'17.04'!W77)),(-$Y77+50*IF('17.04'!$AK77="是",'17.04'!$AY$4,'17.04'!$AY$3)),(VLOOKUP('17.04'!W77,'17.04'!$AM$4:$AO$55,2,FALSE))*IF('17.04'!$AK77="是",'17.04'!$AY$4,'17.04'!$AY$3))</f>
        <v>0</v>
      </c>
      <c r="P77" s="4">
        <f>IF(ISNUMBER(SEARCH("营",'17.04'!X77)),(-$Y77+50*IF('17.04'!$AK77="是",'17.04'!$AY$4,'17.04'!$AY$3)),(VLOOKUP('17.04'!X77,'17.04'!$AM$4:$AO$55,2,FALSE))*IF('17.04'!$AK77="是",'17.04'!$AY$4,'17.04'!$AY$3))</f>
        <v>0</v>
      </c>
      <c r="Q77" s="4">
        <f>IF(ISNUMBER(SEARCH("营",'17.04'!Y77)),(-$Y77+50*IF('17.04'!$AK77="是",'17.04'!$AY$4,'17.04'!$AY$3)),(VLOOKUP('17.04'!Y77,'17.04'!$AM$4:$AO$55,2,FALSE))*IF('17.04'!$AK77="是",'17.04'!$AY$4,'17.04'!$AY$3))</f>
        <v>0</v>
      </c>
      <c r="R77" s="4">
        <f>IF(ISNUMBER(SEARCH("营",'17.04'!Z77)),(-$Y77+50*IF('17.04'!$AK77="是",'17.04'!$AY$4,'17.04'!$AY$3)),(VLOOKUP('17.04'!Z77,'17.04'!$AM$4:$AO$55,2,FALSE))*IF('17.04'!$AK77="是",'17.04'!$AY$4,'17.04'!$AY$3))</f>
        <v>0</v>
      </c>
      <c r="S77" s="4">
        <f>IF(ISNUMBER(SEARCH("营",'17.04'!AA77)),(-$Y77+50*IF('17.04'!$AK77="是",'17.04'!$AY$4,'17.04'!$AY$3)),(VLOOKUP('17.04'!AA77,'17.04'!$AM$4:$AO$55,2,FALSE))*IF('17.04'!$AK77="是",'17.04'!$AY$4,'17.04'!$AY$3))</f>
        <v>0</v>
      </c>
      <c r="T77" s="4">
        <f>IF(ISNUMBER(SEARCH("营",'17.04'!AB77)),(-$Y77+50*IF('17.04'!$AK77="是",'17.04'!$AY$4,'17.04'!$AY$3)),(VLOOKUP('17.04'!AB77,'17.04'!$AM$4:$AO$55,2,FALSE))*IF('17.04'!$AK77="是",'17.04'!$AY$4,'17.04'!$AY$3))</f>
        <v>0</v>
      </c>
      <c r="U77" s="4">
        <f>IF(ISNUMBER(SEARCH("营",'17.04'!AC77)),(-$Y77+50*IF('17.04'!$AK77="是",'17.04'!$AY$4,'17.04'!$AY$3)),(VLOOKUP('17.04'!AC77,'17.04'!$AM$4:$AO$55,2,FALSE))*IF('17.04'!$AK77="是",'17.04'!$AY$4,'17.04'!$AY$3))</f>
        <v>0</v>
      </c>
      <c r="V77" s="4">
        <f>IF(ISNUMBER(SEARCH("营",'17.04'!AD77)),(-$Y77+50*IF('17.04'!$AK77="是",'17.04'!$AY$4,'17.04'!$AY$3)),(VLOOKUP('17.04'!AD77,'17.04'!$AM$4:$AO$55,2,FALSE))*IF('17.04'!$AK77="是",'17.04'!$AY$4,'17.04'!$AY$3))</f>
        <v>0</v>
      </c>
      <c r="W77" s="4">
        <f>IF(ISNUMBER(SEARCH("营",'17.04'!AE77)),(-$Y77+50*IF('17.04'!$AK77="是",'17.04'!$AY$4,'17.04'!$AY$3)),(VLOOKUP('17.04'!AE77,'17.04'!$AM$4:$AO$55,2,FALSE))*IF('17.04'!$AK77="是",'17.04'!$AY$4,'17.04'!$AY$3))</f>
        <v>0</v>
      </c>
      <c r="X77" s="4">
        <f>IF(ISNUMBER(SEARCH("营",'17.04'!AF77)),(-$Y77+50*IF('17.04'!$AK77="是",'17.04'!$AY$4,'17.04'!$AY$3)),(VLOOKUP('17.04'!AF77,'17.04'!$AM$4:$AO$55,2,FALSE))*IF('17.04'!$AK77="是",'17.04'!$AY$4,'17.04'!$AY$3))</f>
        <v>0</v>
      </c>
      <c r="Y77" s="89">
        <v>100</v>
      </c>
    </row>
    <row r="78" spans="1:25">
      <c r="A78" s="4">
        <f>IF(ISNUMBER(SEARCH("营",'17.04'!I78)),(-$Y78+50*IF('17.04'!$AK78="是",'17.04'!$AY$4,'17.04'!$AY$3)),(VLOOKUP('17.04'!I78,'17.04'!$AM$4:$AO$55,2,FALSE))*IF('17.04'!$AK78="是",'17.04'!$AY$4,'17.04'!$AY$3))</f>
        <v>0</v>
      </c>
      <c r="B78" s="4">
        <f>IF(ISNUMBER(SEARCH("营",'17.04'!J78)),(-$Y78+50*IF('17.04'!$AK78="是",'17.04'!$AY$4,'17.04'!$AY$3)),(VLOOKUP('17.04'!J78,'17.04'!$AM$4:$AO$55,2,FALSE))*IF('17.04'!$AK78="是",'17.04'!$AY$4,'17.04'!$AY$3))</f>
        <v>0</v>
      </c>
      <c r="C78" s="4">
        <f>IF(ISNUMBER(SEARCH("营",'17.04'!K78)),(-$Y78+50*IF('17.04'!$AK78="是",'17.04'!$AY$4,'17.04'!$AY$3)),(VLOOKUP('17.04'!K78,'17.04'!$AM$4:$AO$55,2,FALSE))*IF('17.04'!$AK78="是",'17.04'!$AY$4,'17.04'!$AY$3))</f>
        <v>0</v>
      </c>
      <c r="D78" s="4">
        <f>IF(ISNUMBER(SEARCH("营",'17.04'!L78)),(-$Y78+50*IF('17.04'!$AK78="是",'17.04'!$AY$4,'17.04'!$AY$3)),(VLOOKUP('17.04'!L78,'17.04'!$AM$4:$AO$55,2,FALSE))*IF('17.04'!$AK78="是",'17.04'!$AY$4,'17.04'!$AY$3))</f>
        <v>0</v>
      </c>
      <c r="E78" s="4">
        <f>IF(ISNUMBER(SEARCH("营",'17.04'!M78)),(-$Y78+50*IF('17.04'!$AK78="是",'17.04'!$AY$4,'17.04'!$AY$3)),(VLOOKUP('17.04'!M78,'17.04'!$AM$4:$AO$55,2,FALSE))*IF('17.04'!$AK78="是",'17.04'!$AY$4,'17.04'!$AY$3))</f>
        <v>0</v>
      </c>
      <c r="F78" s="4">
        <f>IF(ISNUMBER(SEARCH("营",'17.04'!N78)),(-$Y78+50*IF('17.04'!$AK78="是",'17.04'!$AY$4,'17.04'!$AY$3)),(VLOOKUP('17.04'!N78,'17.04'!$AM$4:$AO$55,2,FALSE))*IF('17.04'!$AK78="是",'17.04'!$AY$4,'17.04'!$AY$3))</f>
        <v>0</v>
      </c>
      <c r="G78" s="4">
        <f>IF(ISNUMBER(SEARCH("营",'17.04'!O78)),(-$Y78+50*IF('17.04'!$AK78="是",'17.04'!$AY$4,'17.04'!$AY$3)),(VLOOKUP('17.04'!O78,'17.04'!$AM$4:$AO$55,2,FALSE))*IF('17.04'!$AK78="是",'17.04'!$AY$4,'17.04'!$AY$3))</f>
        <v>0</v>
      </c>
      <c r="H78" s="4">
        <f>IF(ISNUMBER(SEARCH("营",'17.04'!P78)),(-$Y78+50*IF('17.04'!$AK78="是",'17.04'!$AY$4,'17.04'!$AY$3)),(VLOOKUP('17.04'!P78,'17.04'!$AM$4:$AO$55,2,FALSE))*IF('17.04'!$AK78="是",'17.04'!$AY$4,'17.04'!$AY$3))</f>
        <v>0</v>
      </c>
      <c r="I78" s="4">
        <f>IF(ISNUMBER(SEARCH("营",'17.04'!Q78)),(-$Y78+50*IF('17.04'!$AK78="是",'17.04'!$AY$4,'17.04'!$AY$3)),(VLOOKUP('17.04'!Q78,'17.04'!$AM$4:$AO$55,2,FALSE))*IF('17.04'!$AK78="是",'17.04'!$AY$4,'17.04'!$AY$3))</f>
        <v>0</v>
      </c>
      <c r="J78" s="4">
        <f>IF(ISNUMBER(SEARCH("营",'17.04'!R78)),(-$Y78+50*IF('17.04'!$AK78="是",'17.04'!$AY$4,'17.04'!$AY$3)),(VLOOKUP('17.04'!R78,'17.04'!$AM$4:$AO$55,2,FALSE))*IF('17.04'!$AK78="是",'17.04'!$AY$4,'17.04'!$AY$3))</f>
        <v>0</v>
      </c>
      <c r="K78" s="4">
        <f>IF(ISNUMBER(SEARCH("营",'17.04'!S78)),(-$Y78+50*IF('17.04'!$AK78="是",'17.04'!$AY$4,'17.04'!$AY$3)),(VLOOKUP('17.04'!S78,'17.04'!$AM$4:$AO$55,2,FALSE))*IF('17.04'!$AK78="是",'17.04'!$AY$4,'17.04'!$AY$3))</f>
        <v>0</v>
      </c>
      <c r="L78" s="4">
        <f>IF(ISNUMBER(SEARCH("营",'17.04'!T78)),(-$Y78+50*IF('17.04'!$AK78="是",'17.04'!$AY$4,'17.04'!$AY$3)),(VLOOKUP('17.04'!T78,'17.04'!$AM$4:$AO$55,2,FALSE))*IF('17.04'!$AK78="是",'17.04'!$AY$4,'17.04'!$AY$3))</f>
        <v>0</v>
      </c>
      <c r="M78" s="4">
        <f>IF(ISNUMBER(SEARCH("营",'17.04'!U78)),(-$Y78+50*IF('17.04'!$AK78="是",'17.04'!$AY$4,'17.04'!$AY$3)),(VLOOKUP('17.04'!U78,'17.04'!$AM$4:$AO$55,2,FALSE))*IF('17.04'!$AK78="是",'17.04'!$AY$4,'17.04'!$AY$3))</f>
        <v>0</v>
      </c>
      <c r="N78" s="4">
        <f>IF(ISNUMBER(SEARCH("营",'17.04'!V78)),(-$Y78+50*IF('17.04'!$AK78="是",'17.04'!$AY$4,'17.04'!$AY$3)),(VLOOKUP('17.04'!V78,'17.04'!$AM$4:$AO$55,2,FALSE))*IF('17.04'!$AK78="是",'17.04'!$AY$4,'17.04'!$AY$3))</f>
        <v>0</v>
      </c>
      <c r="O78" s="4">
        <f>IF(ISNUMBER(SEARCH("营",'17.04'!W78)),(-$Y78+50*IF('17.04'!$AK78="是",'17.04'!$AY$4,'17.04'!$AY$3)),(VLOOKUP('17.04'!W78,'17.04'!$AM$4:$AO$55,2,FALSE))*IF('17.04'!$AK78="是",'17.04'!$AY$4,'17.04'!$AY$3))</f>
        <v>0</v>
      </c>
      <c r="P78" s="4">
        <f>IF(ISNUMBER(SEARCH("营",'17.04'!X78)),(-$Y78+50*IF('17.04'!$AK78="是",'17.04'!$AY$4,'17.04'!$AY$3)),(VLOOKUP('17.04'!X78,'17.04'!$AM$4:$AO$55,2,FALSE))*IF('17.04'!$AK78="是",'17.04'!$AY$4,'17.04'!$AY$3))</f>
        <v>0</v>
      </c>
      <c r="Q78" s="4">
        <f>IF(ISNUMBER(SEARCH("营",'17.04'!Y78)),(-$Y78+50*IF('17.04'!$AK78="是",'17.04'!$AY$4,'17.04'!$AY$3)),(VLOOKUP('17.04'!Y78,'17.04'!$AM$4:$AO$55,2,FALSE))*IF('17.04'!$AK78="是",'17.04'!$AY$4,'17.04'!$AY$3))</f>
        <v>0</v>
      </c>
      <c r="R78" s="4">
        <f>IF(ISNUMBER(SEARCH("营",'17.04'!Z78)),(-$Y78+50*IF('17.04'!$AK78="是",'17.04'!$AY$4,'17.04'!$AY$3)),(VLOOKUP('17.04'!Z78,'17.04'!$AM$4:$AO$55,2,FALSE))*IF('17.04'!$AK78="是",'17.04'!$AY$4,'17.04'!$AY$3))</f>
        <v>0</v>
      </c>
      <c r="S78" s="4">
        <f>IF(ISNUMBER(SEARCH("营",'17.04'!AA78)),(-$Y78+50*IF('17.04'!$AK78="是",'17.04'!$AY$4,'17.04'!$AY$3)),(VLOOKUP('17.04'!AA78,'17.04'!$AM$4:$AO$55,2,FALSE))*IF('17.04'!$AK78="是",'17.04'!$AY$4,'17.04'!$AY$3))</f>
        <v>0</v>
      </c>
      <c r="T78" s="4">
        <f>IF(ISNUMBER(SEARCH("营",'17.04'!AB78)),(-$Y78+50*IF('17.04'!$AK78="是",'17.04'!$AY$4,'17.04'!$AY$3)),(VLOOKUP('17.04'!AB78,'17.04'!$AM$4:$AO$55,2,FALSE))*IF('17.04'!$AK78="是",'17.04'!$AY$4,'17.04'!$AY$3))</f>
        <v>0</v>
      </c>
      <c r="U78" s="4">
        <f>IF(ISNUMBER(SEARCH("营",'17.04'!AC78)),(-$Y78+50*IF('17.04'!$AK78="是",'17.04'!$AY$4,'17.04'!$AY$3)),(VLOOKUP('17.04'!AC78,'17.04'!$AM$4:$AO$55,2,FALSE))*IF('17.04'!$AK78="是",'17.04'!$AY$4,'17.04'!$AY$3))</f>
        <v>0</v>
      </c>
      <c r="V78" s="4">
        <f>IF(ISNUMBER(SEARCH("营",'17.04'!AD78)),(-$Y78+50*IF('17.04'!$AK78="是",'17.04'!$AY$4,'17.04'!$AY$3)),(VLOOKUP('17.04'!AD78,'17.04'!$AM$4:$AO$55,2,FALSE))*IF('17.04'!$AK78="是",'17.04'!$AY$4,'17.04'!$AY$3))</f>
        <v>0</v>
      </c>
      <c r="W78" s="4">
        <f>IF(ISNUMBER(SEARCH("营",'17.04'!AE78)),(-$Y78+50*IF('17.04'!$AK78="是",'17.04'!$AY$4,'17.04'!$AY$3)),(VLOOKUP('17.04'!AE78,'17.04'!$AM$4:$AO$55,2,FALSE))*IF('17.04'!$AK78="是",'17.04'!$AY$4,'17.04'!$AY$3))</f>
        <v>0</v>
      </c>
      <c r="X78" s="4">
        <f>IF(ISNUMBER(SEARCH("营",'17.04'!AF78)),(-$Y78+50*IF('17.04'!$AK78="是",'17.04'!$AY$4,'17.04'!$AY$3)),(VLOOKUP('17.04'!AF78,'17.04'!$AM$4:$AO$55,2,FALSE))*IF('17.04'!$AK78="是",'17.04'!$AY$4,'17.04'!$AY$3))</f>
        <v>0</v>
      </c>
      <c r="Y78" s="89">
        <v>100</v>
      </c>
    </row>
    <row r="79" spans="1:25">
      <c r="A79" s="4">
        <f>IF(ISNUMBER(SEARCH("营",'17.04'!I79)),(-$Y79+50*IF('17.04'!$AK79="是",'17.04'!$AY$4,'17.04'!$AY$3)),(VLOOKUP('17.04'!I79,'17.04'!$AM$4:$AO$55,2,FALSE))*IF('17.04'!$AK79="是",'17.04'!$AY$4,'17.04'!$AY$3))</f>
        <v>0</v>
      </c>
      <c r="B79" s="4">
        <f>IF(ISNUMBER(SEARCH("营",'17.04'!J79)),(-$Y79+50*IF('17.04'!$AK79="是",'17.04'!$AY$4,'17.04'!$AY$3)),(VLOOKUP('17.04'!J79,'17.04'!$AM$4:$AO$55,2,FALSE))*IF('17.04'!$AK79="是",'17.04'!$AY$4,'17.04'!$AY$3))</f>
        <v>0</v>
      </c>
      <c r="C79" s="4">
        <f>IF(ISNUMBER(SEARCH("营",'17.04'!K79)),(-$Y79+50*IF('17.04'!$AK79="是",'17.04'!$AY$4,'17.04'!$AY$3)),(VLOOKUP('17.04'!K79,'17.04'!$AM$4:$AO$55,2,FALSE))*IF('17.04'!$AK79="是",'17.04'!$AY$4,'17.04'!$AY$3))</f>
        <v>0</v>
      </c>
      <c r="D79" s="4">
        <f>IF(ISNUMBER(SEARCH("营",'17.04'!L79)),(-$Y79+50*IF('17.04'!$AK79="是",'17.04'!$AY$4,'17.04'!$AY$3)),(VLOOKUP('17.04'!L79,'17.04'!$AM$4:$AO$55,2,FALSE))*IF('17.04'!$AK79="是",'17.04'!$AY$4,'17.04'!$AY$3))</f>
        <v>0</v>
      </c>
      <c r="E79" s="4">
        <f>IF(ISNUMBER(SEARCH("营",'17.04'!M79)),(-$Y79+50*IF('17.04'!$AK79="是",'17.04'!$AY$4,'17.04'!$AY$3)),(VLOOKUP('17.04'!M79,'17.04'!$AM$4:$AO$55,2,FALSE))*IF('17.04'!$AK79="是",'17.04'!$AY$4,'17.04'!$AY$3))</f>
        <v>0</v>
      </c>
      <c r="F79" s="4">
        <f>IF(ISNUMBER(SEARCH("营",'17.04'!N79)),(-$Y79+50*IF('17.04'!$AK79="是",'17.04'!$AY$4,'17.04'!$AY$3)),(VLOOKUP('17.04'!N79,'17.04'!$AM$4:$AO$55,2,FALSE))*IF('17.04'!$AK79="是",'17.04'!$AY$4,'17.04'!$AY$3))</f>
        <v>0</v>
      </c>
      <c r="G79" s="4">
        <f>IF(ISNUMBER(SEARCH("营",'17.04'!O79)),(-$Y79+50*IF('17.04'!$AK79="是",'17.04'!$AY$4,'17.04'!$AY$3)),(VLOOKUP('17.04'!O79,'17.04'!$AM$4:$AO$55,2,FALSE))*IF('17.04'!$AK79="是",'17.04'!$AY$4,'17.04'!$AY$3))</f>
        <v>0</v>
      </c>
      <c r="H79" s="4">
        <f>IF(ISNUMBER(SEARCH("营",'17.04'!P79)),(-$Y79+50*IF('17.04'!$AK79="是",'17.04'!$AY$4,'17.04'!$AY$3)),(VLOOKUP('17.04'!P79,'17.04'!$AM$4:$AO$55,2,FALSE))*IF('17.04'!$AK79="是",'17.04'!$AY$4,'17.04'!$AY$3))</f>
        <v>0</v>
      </c>
      <c r="I79" s="4">
        <f>IF(ISNUMBER(SEARCH("营",'17.04'!Q79)),(-$Y79+50*IF('17.04'!$AK79="是",'17.04'!$AY$4,'17.04'!$AY$3)),(VLOOKUP('17.04'!Q79,'17.04'!$AM$4:$AO$55,2,FALSE))*IF('17.04'!$AK79="是",'17.04'!$AY$4,'17.04'!$AY$3))</f>
        <v>0</v>
      </c>
      <c r="J79" s="4">
        <f>IF(ISNUMBER(SEARCH("营",'17.04'!R79)),(-$Y79+50*IF('17.04'!$AK79="是",'17.04'!$AY$4,'17.04'!$AY$3)),(VLOOKUP('17.04'!R79,'17.04'!$AM$4:$AO$55,2,FALSE))*IF('17.04'!$AK79="是",'17.04'!$AY$4,'17.04'!$AY$3))</f>
        <v>0</v>
      </c>
      <c r="K79" s="4">
        <f>IF(ISNUMBER(SEARCH("营",'17.04'!S79)),(-$Y79+50*IF('17.04'!$AK79="是",'17.04'!$AY$4,'17.04'!$AY$3)),(VLOOKUP('17.04'!S79,'17.04'!$AM$4:$AO$55,2,FALSE))*IF('17.04'!$AK79="是",'17.04'!$AY$4,'17.04'!$AY$3))</f>
        <v>0</v>
      </c>
      <c r="L79" s="4">
        <f>IF(ISNUMBER(SEARCH("营",'17.04'!T79)),(-$Y79+50*IF('17.04'!$AK79="是",'17.04'!$AY$4,'17.04'!$AY$3)),(VLOOKUP('17.04'!T79,'17.04'!$AM$4:$AO$55,2,FALSE))*IF('17.04'!$AK79="是",'17.04'!$AY$4,'17.04'!$AY$3))</f>
        <v>0</v>
      </c>
      <c r="M79" s="4">
        <f>IF(ISNUMBER(SEARCH("营",'17.04'!U79)),(-$Y79+50*IF('17.04'!$AK79="是",'17.04'!$AY$4,'17.04'!$AY$3)),(VLOOKUP('17.04'!U79,'17.04'!$AM$4:$AO$55,2,FALSE))*IF('17.04'!$AK79="是",'17.04'!$AY$4,'17.04'!$AY$3))</f>
        <v>0</v>
      </c>
      <c r="N79" s="4">
        <f>IF(ISNUMBER(SEARCH("营",'17.04'!V79)),(-$Y79+50*IF('17.04'!$AK79="是",'17.04'!$AY$4,'17.04'!$AY$3)),(VLOOKUP('17.04'!V79,'17.04'!$AM$4:$AO$55,2,FALSE))*IF('17.04'!$AK79="是",'17.04'!$AY$4,'17.04'!$AY$3))</f>
        <v>0</v>
      </c>
      <c r="O79" s="4">
        <f>IF(ISNUMBER(SEARCH("营",'17.04'!W79)),(-$Y79+50*IF('17.04'!$AK79="是",'17.04'!$AY$4,'17.04'!$AY$3)),(VLOOKUP('17.04'!W79,'17.04'!$AM$4:$AO$55,2,FALSE))*IF('17.04'!$AK79="是",'17.04'!$AY$4,'17.04'!$AY$3))</f>
        <v>0</v>
      </c>
      <c r="P79" s="4">
        <f>IF(ISNUMBER(SEARCH("营",'17.04'!X79)),(-$Y79+50*IF('17.04'!$AK79="是",'17.04'!$AY$4,'17.04'!$AY$3)),(VLOOKUP('17.04'!X79,'17.04'!$AM$4:$AO$55,2,FALSE))*IF('17.04'!$AK79="是",'17.04'!$AY$4,'17.04'!$AY$3))</f>
        <v>0</v>
      </c>
      <c r="Q79" s="4">
        <f>IF(ISNUMBER(SEARCH("营",'17.04'!Y79)),(-$Y79+50*IF('17.04'!$AK79="是",'17.04'!$AY$4,'17.04'!$AY$3)),(VLOOKUP('17.04'!Y79,'17.04'!$AM$4:$AO$55,2,FALSE))*IF('17.04'!$AK79="是",'17.04'!$AY$4,'17.04'!$AY$3))</f>
        <v>0</v>
      </c>
      <c r="R79" s="4">
        <f>IF(ISNUMBER(SEARCH("营",'17.04'!Z79)),(-$Y79+50*IF('17.04'!$AK79="是",'17.04'!$AY$4,'17.04'!$AY$3)),(VLOOKUP('17.04'!Z79,'17.04'!$AM$4:$AO$55,2,FALSE))*IF('17.04'!$AK79="是",'17.04'!$AY$4,'17.04'!$AY$3))</f>
        <v>0</v>
      </c>
      <c r="S79" s="4">
        <f>IF(ISNUMBER(SEARCH("营",'17.04'!AA79)),(-$Y79+50*IF('17.04'!$AK79="是",'17.04'!$AY$4,'17.04'!$AY$3)),(VLOOKUP('17.04'!AA79,'17.04'!$AM$4:$AO$55,2,FALSE))*IF('17.04'!$AK79="是",'17.04'!$AY$4,'17.04'!$AY$3))</f>
        <v>0</v>
      </c>
      <c r="T79" s="4">
        <f>IF(ISNUMBER(SEARCH("营",'17.04'!AB79)),(-$Y79+50*IF('17.04'!$AK79="是",'17.04'!$AY$4,'17.04'!$AY$3)),(VLOOKUP('17.04'!AB79,'17.04'!$AM$4:$AO$55,2,FALSE))*IF('17.04'!$AK79="是",'17.04'!$AY$4,'17.04'!$AY$3))</f>
        <v>0</v>
      </c>
      <c r="U79" s="4">
        <f>IF(ISNUMBER(SEARCH("营",'17.04'!AC79)),(-$Y79+50*IF('17.04'!$AK79="是",'17.04'!$AY$4,'17.04'!$AY$3)),(VLOOKUP('17.04'!AC79,'17.04'!$AM$4:$AO$55,2,FALSE))*IF('17.04'!$AK79="是",'17.04'!$AY$4,'17.04'!$AY$3))</f>
        <v>0</v>
      </c>
      <c r="V79" s="4">
        <f>IF(ISNUMBER(SEARCH("营",'17.04'!AD79)),(-$Y79+50*IF('17.04'!$AK79="是",'17.04'!$AY$4,'17.04'!$AY$3)),(VLOOKUP('17.04'!AD79,'17.04'!$AM$4:$AO$55,2,FALSE))*IF('17.04'!$AK79="是",'17.04'!$AY$4,'17.04'!$AY$3))</f>
        <v>0</v>
      </c>
      <c r="W79" s="4">
        <f>IF(ISNUMBER(SEARCH("营",'17.04'!AE79)),(-$Y79+50*IF('17.04'!$AK79="是",'17.04'!$AY$4,'17.04'!$AY$3)),(VLOOKUP('17.04'!AE79,'17.04'!$AM$4:$AO$55,2,FALSE))*IF('17.04'!$AK79="是",'17.04'!$AY$4,'17.04'!$AY$3))</f>
        <v>0</v>
      </c>
      <c r="X79" s="4">
        <f>IF(ISNUMBER(SEARCH("营",'17.04'!AF79)),(-$Y79+50*IF('17.04'!$AK79="是",'17.04'!$AY$4,'17.04'!$AY$3)),(VLOOKUP('17.04'!AF79,'17.04'!$AM$4:$AO$55,2,FALSE))*IF('17.04'!$AK79="是",'17.04'!$AY$4,'17.04'!$AY$3))</f>
        <v>0</v>
      </c>
      <c r="Y79" s="89">
        <v>100</v>
      </c>
    </row>
    <row r="80" spans="1:25">
      <c r="A80" s="4">
        <f>IF(ISNUMBER(SEARCH("营",'17.04'!I80)),(-$Y80+50*IF('17.04'!$AK80="是",'17.04'!$AY$4,'17.04'!$AY$3)),(VLOOKUP('17.04'!I80,'17.04'!$AM$4:$AO$55,2,FALSE))*IF('17.04'!$AK80="是",'17.04'!$AY$4,'17.04'!$AY$3))</f>
        <v>0</v>
      </c>
      <c r="B80" s="4">
        <f>IF(ISNUMBER(SEARCH("营",'17.04'!J80)),(-$Y80+50*IF('17.04'!$AK80="是",'17.04'!$AY$4,'17.04'!$AY$3)),(VLOOKUP('17.04'!J80,'17.04'!$AM$4:$AO$55,2,FALSE))*IF('17.04'!$AK80="是",'17.04'!$AY$4,'17.04'!$AY$3))</f>
        <v>0</v>
      </c>
      <c r="C80" s="4">
        <f>IF(ISNUMBER(SEARCH("营",'17.04'!K80)),(-$Y80+50*IF('17.04'!$AK80="是",'17.04'!$AY$4,'17.04'!$AY$3)),(VLOOKUP('17.04'!K80,'17.04'!$AM$4:$AO$55,2,FALSE))*IF('17.04'!$AK80="是",'17.04'!$AY$4,'17.04'!$AY$3))</f>
        <v>0</v>
      </c>
      <c r="D80" s="4">
        <f>IF(ISNUMBER(SEARCH("营",'17.04'!L80)),(-$Y80+50*IF('17.04'!$AK80="是",'17.04'!$AY$4,'17.04'!$AY$3)),(VLOOKUP('17.04'!L80,'17.04'!$AM$4:$AO$55,2,FALSE))*IF('17.04'!$AK80="是",'17.04'!$AY$4,'17.04'!$AY$3))</f>
        <v>0</v>
      </c>
      <c r="E80" s="4">
        <f>IF(ISNUMBER(SEARCH("营",'17.04'!M80)),(-$Y80+50*IF('17.04'!$AK80="是",'17.04'!$AY$4,'17.04'!$AY$3)),(VLOOKUP('17.04'!M80,'17.04'!$AM$4:$AO$55,2,FALSE))*IF('17.04'!$AK80="是",'17.04'!$AY$4,'17.04'!$AY$3))</f>
        <v>0</v>
      </c>
      <c r="F80" s="4">
        <f>IF(ISNUMBER(SEARCH("营",'17.04'!N80)),(-$Y80+50*IF('17.04'!$AK80="是",'17.04'!$AY$4,'17.04'!$AY$3)),(VLOOKUP('17.04'!N80,'17.04'!$AM$4:$AO$55,2,FALSE))*IF('17.04'!$AK80="是",'17.04'!$AY$4,'17.04'!$AY$3))</f>
        <v>0</v>
      </c>
      <c r="G80" s="4">
        <f>IF(ISNUMBER(SEARCH("营",'17.04'!O80)),(-$Y80+50*IF('17.04'!$AK80="是",'17.04'!$AY$4,'17.04'!$AY$3)),(VLOOKUP('17.04'!O80,'17.04'!$AM$4:$AO$55,2,FALSE))*IF('17.04'!$AK80="是",'17.04'!$AY$4,'17.04'!$AY$3))</f>
        <v>0</v>
      </c>
      <c r="H80" s="4">
        <f>IF(ISNUMBER(SEARCH("营",'17.04'!P80)),(-$Y80+50*IF('17.04'!$AK80="是",'17.04'!$AY$4,'17.04'!$AY$3)),(VLOOKUP('17.04'!P80,'17.04'!$AM$4:$AO$55,2,FALSE))*IF('17.04'!$AK80="是",'17.04'!$AY$4,'17.04'!$AY$3))</f>
        <v>0</v>
      </c>
      <c r="I80" s="4">
        <f>IF(ISNUMBER(SEARCH("营",'17.04'!Q80)),(-$Y80+50*IF('17.04'!$AK80="是",'17.04'!$AY$4,'17.04'!$AY$3)),(VLOOKUP('17.04'!Q80,'17.04'!$AM$4:$AO$55,2,FALSE))*IF('17.04'!$AK80="是",'17.04'!$AY$4,'17.04'!$AY$3))</f>
        <v>0</v>
      </c>
      <c r="J80" s="4">
        <f>IF(ISNUMBER(SEARCH("营",'17.04'!R80)),(-$Y80+50*IF('17.04'!$AK80="是",'17.04'!$AY$4,'17.04'!$AY$3)),(VLOOKUP('17.04'!R80,'17.04'!$AM$4:$AO$55,2,FALSE))*IF('17.04'!$AK80="是",'17.04'!$AY$4,'17.04'!$AY$3))</f>
        <v>0</v>
      </c>
      <c r="K80" s="4">
        <f>IF(ISNUMBER(SEARCH("营",'17.04'!S80)),(-$Y80+50*IF('17.04'!$AK80="是",'17.04'!$AY$4,'17.04'!$AY$3)),(VLOOKUP('17.04'!S80,'17.04'!$AM$4:$AO$55,2,FALSE))*IF('17.04'!$AK80="是",'17.04'!$AY$4,'17.04'!$AY$3))</f>
        <v>0</v>
      </c>
      <c r="L80" s="4">
        <f>IF(ISNUMBER(SEARCH("营",'17.04'!T80)),(-$Y80+50*IF('17.04'!$AK80="是",'17.04'!$AY$4,'17.04'!$AY$3)),(VLOOKUP('17.04'!T80,'17.04'!$AM$4:$AO$55,2,FALSE))*IF('17.04'!$AK80="是",'17.04'!$AY$4,'17.04'!$AY$3))</f>
        <v>0</v>
      </c>
      <c r="M80" s="4">
        <f>IF(ISNUMBER(SEARCH("营",'17.04'!U80)),(-$Y80+50*IF('17.04'!$AK80="是",'17.04'!$AY$4,'17.04'!$AY$3)),(VLOOKUP('17.04'!U80,'17.04'!$AM$4:$AO$55,2,FALSE))*IF('17.04'!$AK80="是",'17.04'!$AY$4,'17.04'!$AY$3))</f>
        <v>0</v>
      </c>
      <c r="N80" s="4">
        <f>IF(ISNUMBER(SEARCH("营",'17.04'!V80)),(-$Y80+50*IF('17.04'!$AK80="是",'17.04'!$AY$4,'17.04'!$AY$3)),(VLOOKUP('17.04'!V80,'17.04'!$AM$4:$AO$55,2,FALSE))*IF('17.04'!$AK80="是",'17.04'!$AY$4,'17.04'!$AY$3))</f>
        <v>0</v>
      </c>
      <c r="O80" s="4">
        <f>IF(ISNUMBER(SEARCH("营",'17.04'!W80)),(-$Y80+50*IF('17.04'!$AK80="是",'17.04'!$AY$4,'17.04'!$AY$3)),(VLOOKUP('17.04'!W80,'17.04'!$AM$4:$AO$55,2,FALSE))*IF('17.04'!$AK80="是",'17.04'!$AY$4,'17.04'!$AY$3))</f>
        <v>0</v>
      </c>
      <c r="P80" s="4">
        <f>IF(ISNUMBER(SEARCH("营",'17.04'!X80)),(-$Y80+50*IF('17.04'!$AK80="是",'17.04'!$AY$4,'17.04'!$AY$3)),(VLOOKUP('17.04'!X80,'17.04'!$AM$4:$AO$55,2,FALSE))*IF('17.04'!$AK80="是",'17.04'!$AY$4,'17.04'!$AY$3))</f>
        <v>0</v>
      </c>
      <c r="Q80" s="4">
        <f>IF(ISNUMBER(SEARCH("营",'17.04'!Y80)),(-$Y80+50*IF('17.04'!$AK80="是",'17.04'!$AY$4,'17.04'!$AY$3)),(VLOOKUP('17.04'!Y80,'17.04'!$AM$4:$AO$55,2,FALSE))*IF('17.04'!$AK80="是",'17.04'!$AY$4,'17.04'!$AY$3))</f>
        <v>0</v>
      </c>
      <c r="R80" s="4">
        <f>IF(ISNUMBER(SEARCH("营",'17.04'!Z80)),(-$Y80+50*IF('17.04'!$AK80="是",'17.04'!$AY$4,'17.04'!$AY$3)),(VLOOKUP('17.04'!Z80,'17.04'!$AM$4:$AO$55,2,FALSE))*IF('17.04'!$AK80="是",'17.04'!$AY$4,'17.04'!$AY$3))</f>
        <v>0</v>
      </c>
      <c r="S80" s="4">
        <f>IF(ISNUMBER(SEARCH("营",'17.04'!AA80)),(-$Y80+50*IF('17.04'!$AK80="是",'17.04'!$AY$4,'17.04'!$AY$3)),(VLOOKUP('17.04'!AA80,'17.04'!$AM$4:$AO$55,2,FALSE))*IF('17.04'!$AK80="是",'17.04'!$AY$4,'17.04'!$AY$3))</f>
        <v>0</v>
      </c>
      <c r="T80" s="4">
        <f>IF(ISNUMBER(SEARCH("营",'17.04'!AB80)),(-$Y80+50*IF('17.04'!$AK80="是",'17.04'!$AY$4,'17.04'!$AY$3)),(VLOOKUP('17.04'!AB80,'17.04'!$AM$4:$AO$55,2,FALSE))*IF('17.04'!$AK80="是",'17.04'!$AY$4,'17.04'!$AY$3))</f>
        <v>0</v>
      </c>
      <c r="U80" s="4">
        <f>IF(ISNUMBER(SEARCH("营",'17.04'!AC80)),(-$Y80+50*IF('17.04'!$AK80="是",'17.04'!$AY$4,'17.04'!$AY$3)),(VLOOKUP('17.04'!AC80,'17.04'!$AM$4:$AO$55,2,FALSE))*IF('17.04'!$AK80="是",'17.04'!$AY$4,'17.04'!$AY$3))</f>
        <v>0</v>
      </c>
      <c r="V80" s="4">
        <f>IF(ISNUMBER(SEARCH("营",'17.04'!AD80)),(-$Y80+50*IF('17.04'!$AK80="是",'17.04'!$AY$4,'17.04'!$AY$3)),(VLOOKUP('17.04'!AD80,'17.04'!$AM$4:$AO$55,2,FALSE))*IF('17.04'!$AK80="是",'17.04'!$AY$4,'17.04'!$AY$3))</f>
        <v>0</v>
      </c>
      <c r="W80" s="4">
        <f>IF(ISNUMBER(SEARCH("营",'17.04'!AE80)),(-$Y80+50*IF('17.04'!$AK80="是",'17.04'!$AY$4,'17.04'!$AY$3)),(VLOOKUP('17.04'!AE80,'17.04'!$AM$4:$AO$55,2,FALSE))*IF('17.04'!$AK80="是",'17.04'!$AY$4,'17.04'!$AY$3))</f>
        <v>0</v>
      </c>
      <c r="X80" s="4">
        <f>IF(ISNUMBER(SEARCH("营",'17.04'!AF80)),(-$Y80+50*IF('17.04'!$AK80="是",'17.04'!$AY$4,'17.04'!$AY$3)),(VLOOKUP('17.04'!AF80,'17.04'!$AM$4:$AO$55,2,FALSE))*IF('17.04'!$AK80="是",'17.04'!$AY$4,'17.04'!$AY$3))</f>
        <v>0</v>
      </c>
      <c r="Y80" s="89">
        <v>100</v>
      </c>
    </row>
    <row r="81" spans="1:25">
      <c r="A81" s="4">
        <f>IF(ISNUMBER(SEARCH("营",'17.04'!I81)),(-$Y81+50*IF('17.04'!$AK81="是",'17.04'!$AY$4,'17.04'!$AY$3)),(VLOOKUP('17.04'!I81,'17.04'!$AM$4:$AO$55,2,FALSE))*IF('17.04'!$AK81="是",'17.04'!$AY$4,'17.04'!$AY$3))</f>
        <v>0</v>
      </c>
      <c r="B81" s="4">
        <f>IF(ISNUMBER(SEARCH("营",'17.04'!J81)),(-$Y81+50*IF('17.04'!$AK81="是",'17.04'!$AY$4,'17.04'!$AY$3)),(VLOOKUP('17.04'!J81,'17.04'!$AM$4:$AO$55,2,FALSE))*IF('17.04'!$AK81="是",'17.04'!$AY$4,'17.04'!$AY$3))</f>
        <v>0</v>
      </c>
      <c r="C81" s="4">
        <f>IF(ISNUMBER(SEARCH("营",'17.04'!K81)),(-$Y81+50*IF('17.04'!$AK81="是",'17.04'!$AY$4,'17.04'!$AY$3)),(VLOOKUP('17.04'!K81,'17.04'!$AM$4:$AO$55,2,FALSE))*IF('17.04'!$AK81="是",'17.04'!$AY$4,'17.04'!$AY$3))</f>
        <v>0</v>
      </c>
      <c r="D81" s="4">
        <f>IF(ISNUMBER(SEARCH("营",'17.04'!L81)),(-$Y81+50*IF('17.04'!$AK81="是",'17.04'!$AY$4,'17.04'!$AY$3)),(VLOOKUP('17.04'!L81,'17.04'!$AM$4:$AO$55,2,FALSE))*IF('17.04'!$AK81="是",'17.04'!$AY$4,'17.04'!$AY$3))</f>
        <v>0</v>
      </c>
      <c r="E81" s="4">
        <f>IF(ISNUMBER(SEARCH("营",'17.04'!M81)),(-$Y81+50*IF('17.04'!$AK81="是",'17.04'!$AY$4,'17.04'!$AY$3)),(VLOOKUP('17.04'!M81,'17.04'!$AM$4:$AO$55,2,FALSE))*IF('17.04'!$AK81="是",'17.04'!$AY$4,'17.04'!$AY$3))</f>
        <v>0</v>
      </c>
      <c r="F81" s="4">
        <f>IF(ISNUMBER(SEARCH("营",'17.04'!N81)),(-$Y81+50*IF('17.04'!$AK81="是",'17.04'!$AY$4,'17.04'!$AY$3)),(VLOOKUP('17.04'!N81,'17.04'!$AM$4:$AO$55,2,FALSE))*IF('17.04'!$AK81="是",'17.04'!$AY$4,'17.04'!$AY$3))</f>
        <v>0</v>
      </c>
      <c r="G81" s="4">
        <f>IF(ISNUMBER(SEARCH("营",'17.04'!O81)),(-$Y81+50*IF('17.04'!$AK81="是",'17.04'!$AY$4,'17.04'!$AY$3)),(VLOOKUP('17.04'!O81,'17.04'!$AM$4:$AO$55,2,FALSE))*IF('17.04'!$AK81="是",'17.04'!$AY$4,'17.04'!$AY$3))</f>
        <v>0</v>
      </c>
      <c r="H81" s="4">
        <f>IF(ISNUMBER(SEARCH("营",'17.04'!P81)),(-$Y81+50*IF('17.04'!$AK81="是",'17.04'!$AY$4,'17.04'!$AY$3)),(VLOOKUP('17.04'!P81,'17.04'!$AM$4:$AO$55,2,FALSE))*IF('17.04'!$AK81="是",'17.04'!$AY$4,'17.04'!$AY$3))</f>
        <v>0</v>
      </c>
      <c r="I81" s="4">
        <f>IF(ISNUMBER(SEARCH("营",'17.04'!Q81)),(-$Y81+50*IF('17.04'!$AK81="是",'17.04'!$AY$4,'17.04'!$AY$3)),(VLOOKUP('17.04'!Q81,'17.04'!$AM$4:$AO$55,2,FALSE))*IF('17.04'!$AK81="是",'17.04'!$AY$4,'17.04'!$AY$3))</f>
        <v>0</v>
      </c>
      <c r="J81" s="4">
        <f>IF(ISNUMBER(SEARCH("营",'17.04'!R81)),(-$Y81+50*IF('17.04'!$AK81="是",'17.04'!$AY$4,'17.04'!$AY$3)),(VLOOKUP('17.04'!R81,'17.04'!$AM$4:$AO$55,2,FALSE))*IF('17.04'!$AK81="是",'17.04'!$AY$4,'17.04'!$AY$3))</f>
        <v>0</v>
      </c>
      <c r="K81" s="4">
        <f>IF(ISNUMBER(SEARCH("营",'17.04'!S81)),(-$Y81+50*IF('17.04'!$AK81="是",'17.04'!$AY$4,'17.04'!$AY$3)),(VLOOKUP('17.04'!S81,'17.04'!$AM$4:$AO$55,2,FALSE))*IF('17.04'!$AK81="是",'17.04'!$AY$4,'17.04'!$AY$3))</f>
        <v>0</v>
      </c>
      <c r="L81" s="4">
        <f>IF(ISNUMBER(SEARCH("营",'17.04'!T81)),(-$Y81+50*IF('17.04'!$AK81="是",'17.04'!$AY$4,'17.04'!$AY$3)),(VLOOKUP('17.04'!T81,'17.04'!$AM$4:$AO$55,2,FALSE))*IF('17.04'!$AK81="是",'17.04'!$AY$4,'17.04'!$AY$3))</f>
        <v>0</v>
      </c>
      <c r="M81" s="4">
        <f>IF(ISNUMBER(SEARCH("营",'17.04'!U81)),(-$Y81+50*IF('17.04'!$AK81="是",'17.04'!$AY$4,'17.04'!$AY$3)),(VLOOKUP('17.04'!U81,'17.04'!$AM$4:$AO$55,2,FALSE))*IF('17.04'!$AK81="是",'17.04'!$AY$4,'17.04'!$AY$3))</f>
        <v>0</v>
      </c>
      <c r="N81" s="4">
        <f>IF(ISNUMBER(SEARCH("营",'17.04'!V81)),(-$Y81+50*IF('17.04'!$AK81="是",'17.04'!$AY$4,'17.04'!$AY$3)),(VLOOKUP('17.04'!V81,'17.04'!$AM$4:$AO$55,2,FALSE))*IF('17.04'!$AK81="是",'17.04'!$AY$4,'17.04'!$AY$3))</f>
        <v>0</v>
      </c>
      <c r="O81" s="4">
        <f>IF(ISNUMBER(SEARCH("营",'17.04'!W81)),(-$Y81+50*IF('17.04'!$AK81="是",'17.04'!$AY$4,'17.04'!$AY$3)),(VLOOKUP('17.04'!W81,'17.04'!$AM$4:$AO$55,2,FALSE))*IF('17.04'!$AK81="是",'17.04'!$AY$4,'17.04'!$AY$3))</f>
        <v>0</v>
      </c>
      <c r="P81" s="4">
        <f>IF(ISNUMBER(SEARCH("营",'17.04'!X81)),(-$Y81+50*IF('17.04'!$AK81="是",'17.04'!$AY$4,'17.04'!$AY$3)),(VLOOKUP('17.04'!X81,'17.04'!$AM$4:$AO$55,2,FALSE))*IF('17.04'!$AK81="是",'17.04'!$AY$4,'17.04'!$AY$3))</f>
        <v>0</v>
      </c>
      <c r="Q81" s="4">
        <f>IF(ISNUMBER(SEARCH("营",'17.04'!Y81)),(-$Y81+50*IF('17.04'!$AK81="是",'17.04'!$AY$4,'17.04'!$AY$3)),(VLOOKUP('17.04'!Y81,'17.04'!$AM$4:$AO$55,2,FALSE))*IF('17.04'!$AK81="是",'17.04'!$AY$4,'17.04'!$AY$3))</f>
        <v>0</v>
      </c>
      <c r="R81" s="4">
        <f>IF(ISNUMBER(SEARCH("营",'17.04'!Z81)),(-$Y81+50*IF('17.04'!$AK81="是",'17.04'!$AY$4,'17.04'!$AY$3)),(VLOOKUP('17.04'!Z81,'17.04'!$AM$4:$AO$55,2,FALSE))*IF('17.04'!$AK81="是",'17.04'!$AY$4,'17.04'!$AY$3))</f>
        <v>0</v>
      </c>
      <c r="S81" s="4">
        <f>IF(ISNUMBER(SEARCH("营",'17.04'!AA81)),(-$Y81+50*IF('17.04'!$AK81="是",'17.04'!$AY$4,'17.04'!$AY$3)),(VLOOKUP('17.04'!AA81,'17.04'!$AM$4:$AO$55,2,FALSE))*IF('17.04'!$AK81="是",'17.04'!$AY$4,'17.04'!$AY$3))</f>
        <v>0</v>
      </c>
      <c r="T81" s="4">
        <f>IF(ISNUMBER(SEARCH("营",'17.04'!AB81)),(-$Y81+50*IF('17.04'!$AK81="是",'17.04'!$AY$4,'17.04'!$AY$3)),(VLOOKUP('17.04'!AB81,'17.04'!$AM$4:$AO$55,2,FALSE))*IF('17.04'!$AK81="是",'17.04'!$AY$4,'17.04'!$AY$3))</f>
        <v>0</v>
      </c>
      <c r="U81" s="4">
        <f>IF(ISNUMBER(SEARCH("营",'17.04'!AC81)),(-$Y81+50*IF('17.04'!$AK81="是",'17.04'!$AY$4,'17.04'!$AY$3)),(VLOOKUP('17.04'!AC81,'17.04'!$AM$4:$AO$55,2,FALSE))*IF('17.04'!$AK81="是",'17.04'!$AY$4,'17.04'!$AY$3))</f>
        <v>0</v>
      </c>
      <c r="V81" s="4">
        <f>IF(ISNUMBER(SEARCH("营",'17.04'!AD81)),(-$Y81+50*IF('17.04'!$AK81="是",'17.04'!$AY$4,'17.04'!$AY$3)),(VLOOKUP('17.04'!AD81,'17.04'!$AM$4:$AO$55,2,FALSE))*IF('17.04'!$AK81="是",'17.04'!$AY$4,'17.04'!$AY$3))</f>
        <v>0</v>
      </c>
      <c r="W81" s="4">
        <f>IF(ISNUMBER(SEARCH("营",'17.04'!AE81)),(-$Y81+50*IF('17.04'!$AK81="是",'17.04'!$AY$4,'17.04'!$AY$3)),(VLOOKUP('17.04'!AE81,'17.04'!$AM$4:$AO$55,2,FALSE))*IF('17.04'!$AK81="是",'17.04'!$AY$4,'17.04'!$AY$3))</f>
        <v>0</v>
      </c>
      <c r="X81" s="4">
        <f>IF(ISNUMBER(SEARCH("营",'17.04'!AF81)),(-$Y81+50*IF('17.04'!$AK81="是",'17.04'!$AY$4,'17.04'!$AY$3)),(VLOOKUP('17.04'!AF81,'17.04'!$AM$4:$AO$55,2,FALSE))*IF('17.04'!$AK81="是",'17.04'!$AY$4,'17.04'!$AY$3))</f>
        <v>0</v>
      </c>
      <c r="Y81" s="89">
        <v>100</v>
      </c>
    </row>
    <row r="82" spans="1:25">
      <c r="A82" s="4">
        <f>IF(ISNUMBER(SEARCH("营",'17.04'!I82)),(-$Y82+50*IF('17.04'!$AK82="是",'17.04'!$AY$4,'17.04'!$AY$3)),(VLOOKUP('17.04'!I82,'17.04'!$AM$4:$AO$55,2,FALSE))*IF('17.04'!$AK82="是",'17.04'!$AY$4,'17.04'!$AY$3))</f>
        <v>0</v>
      </c>
      <c r="B82" s="4">
        <f>IF(ISNUMBER(SEARCH("营",'17.04'!J82)),(-$Y82+50*IF('17.04'!$AK82="是",'17.04'!$AY$4,'17.04'!$AY$3)),(VLOOKUP('17.04'!J82,'17.04'!$AM$4:$AO$55,2,FALSE))*IF('17.04'!$AK82="是",'17.04'!$AY$4,'17.04'!$AY$3))</f>
        <v>0</v>
      </c>
      <c r="C82" s="4">
        <f>IF(ISNUMBER(SEARCH("营",'17.04'!K82)),(-$Y82+50*IF('17.04'!$AK82="是",'17.04'!$AY$4,'17.04'!$AY$3)),(VLOOKUP('17.04'!K82,'17.04'!$AM$4:$AO$55,2,FALSE))*IF('17.04'!$AK82="是",'17.04'!$AY$4,'17.04'!$AY$3))</f>
        <v>0</v>
      </c>
      <c r="D82" s="4">
        <f>IF(ISNUMBER(SEARCH("营",'17.04'!L82)),(-$Y82+50*IF('17.04'!$AK82="是",'17.04'!$AY$4,'17.04'!$AY$3)),(VLOOKUP('17.04'!L82,'17.04'!$AM$4:$AO$55,2,FALSE))*IF('17.04'!$AK82="是",'17.04'!$AY$4,'17.04'!$AY$3))</f>
        <v>0</v>
      </c>
      <c r="E82" s="4">
        <f>IF(ISNUMBER(SEARCH("营",'17.04'!M82)),(-$Y82+50*IF('17.04'!$AK82="是",'17.04'!$AY$4,'17.04'!$AY$3)),(VLOOKUP('17.04'!M82,'17.04'!$AM$4:$AO$55,2,FALSE))*IF('17.04'!$AK82="是",'17.04'!$AY$4,'17.04'!$AY$3))</f>
        <v>0</v>
      </c>
      <c r="F82" s="4">
        <f>IF(ISNUMBER(SEARCH("营",'17.04'!N82)),(-$Y82+50*IF('17.04'!$AK82="是",'17.04'!$AY$4,'17.04'!$AY$3)),(VLOOKUP('17.04'!N82,'17.04'!$AM$4:$AO$55,2,FALSE))*IF('17.04'!$AK82="是",'17.04'!$AY$4,'17.04'!$AY$3))</f>
        <v>0</v>
      </c>
      <c r="G82" s="4">
        <f>IF(ISNUMBER(SEARCH("营",'17.04'!O82)),(-$Y82+50*IF('17.04'!$AK82="是",'17.04'!$AY$4,'17.04'!$AY$3)),(VLOOKUP('17.04'!O82,'17.04'!$AM$4:$AO$55,2,FALSE))*IF('17.04'!$AK82="是",'17.04'!$AY$4,'17.04'!$AY$3))</f>
        <v>0</v>
      </c>
      <c r="H82" s="4">
        <f>IF(ISNUMBER(SEARCH("营",'17.04'!P82)),(-$Y82+50*IF('17.04'!$AK82="是",'17.04'!$AY$4,'17.04'!$AY$3)),(VLOOKUP('17.04'!P82,'17.04'!$AM$4:$AO$55,2,FALSE))*IF('17.04'!$AK82="是",'17.04'!$AY$4,'17.04'!$AY$3))</f>
        <v>0</v>
      </c>
      <c r="I82" s="4">
        <f>IF(ISNUMBER(SEARCH("营",'17.04'!Q82)),(-$Y82+50*IF('17.04'!$AK82="是",'17.04'!$AY$4,'17.04'!$AY$3)),(VLOOKUP('17.04'!Q82,'17.04'!$AM$4:$AO$55,2,FALSE))*IF('17.04'!$AK82="是",'17.04'!$AY$4,'17.04'!$AY$3))</f>
        <v>0</v>
      </c>
      <c r="J82" s="4">
        <f>IF(ISNUMBER(SEARCH("营",'17.04'!R82)),(-$Y82+50*IF('17.04'!$AK82="是",'17.04'!$AY$4,'17.04'!$AY$3)),(VLOOKUP('17.04'!R82,'17.04'!$AM$4:$AO$55,2,FALSE))*IF('17.04'!$AK82="是",'17.04'!$AY$4,'17.04'!$AY$3))</f>
        <v>0</v>
      </c>
      <c r="K82" s="4">
        <f>IF(ISNUMBER(SEARCH("营",'17.04'!S82)),(-$Y82+50*IF('17.04'!$AK82="是",'17.04'!$AY$4,'17.04'!$AY$3)),(VLOOKUP('17.04'!S82,'17.04'!$AM$4:$AO$55,2,FALSE))*IF('17.04'!$AK82="是",'17.04'!$AY$4,'17.04'!$AY$3))</f>
        <v>0</v>
      </c>
      <c r="L82" s="4">
        <f>IF(ISNUMBER(SEARCH("营",'17.04'!T82)),(-$Y82+50*IF('17.04'!$AK82="是",'17.04'!$AY$4,'17.04'!$AY$3)),(VLOOKUP('17.04'!T82,'17.04'!$AM$4:$AO$55,2,FALSE))*IF('17.04'!$AK82="是",'17.04'!$AY$4,'17.04'!$AY$3))</f>
        <v>0</v>
      </c>
      <c r="M82" s="4">
        <f>IF(ISNUMBER(SEARCH("营",'17.04'!U82)),(-$Y82+50*IF('17.04'!$AK82="是",'17.04'!$AY$4,'17.04'!$AY$3)),(VLOOKUP('17.04'!U82,'17.04'!$AM$4:$AO$55,2,FALSE))*IF('17.04'!$AK82="是",'17.04'!$AY$4,'17.04'!$AY$3))</f>
        <v>0</v>
      </c>
      <c r="N82" s="4">
        <f>IF(ISNUMBER(SEARCH("营",'17.04'!V82)),(-$Y82+50*IF('17.04'!$AK82="是",'17.04'!$AY$4,'17.04'!$AY$3)),(VLOOKUP('17.04'!V82,'17.04'!$AM$4:$AO$55,2,FALSE))*IF('17.04'!$AK82="是",'17.04'!$AY$4,'17.04'!$AY$3))</f>
        <v>0</v>
      </c>
      <c r="O82" s="4">
        <f>IF(ISNUMBER(SEARCH("营",'17.04'!W82)),(-$Y82+50*IF('17.04'!$AK82="是",'17.04'!$AY$4,'17.04'!$AY$3)),(VLOOKUP('17.04'!W82,'17.04'!$AM$4:$AO$55,2,FALSE))*IF('17.04'!$AK82="是",'17.04'!$AY$4,'17.04'!$AY$3))</f>
        <v>0</v>
      </c>
      <c r="P82" s="4">
        <f>IF(ISNUMBER(SEARCH("营",'17.04'!X82)),(-$Y82+50*IF('17.04'!$AK82="是",'17.04'!$AY$4,'17.04'!$AY$3)),(VLOOKUP('17.04'!X82,'17.04'!$AM$4:$AO$55,2,FALSE))*IF('17.04'!$AK82="是",'17.04'!$AY$4,'17.04'!$AY$3))</f>
        <v>0</v>
      </c>
      <c r="Q82" s="4">
        <f>IF(ISNUMBER(SEARCH("营",'17.04'!Y82)),(-$Y82+50*IF('17.04'!$AK82="是",'17.04'!$AY$4,'17.04'!$AY$3)),(VLOOKUP('17.04'!Y82,'17.04'!$AM$4:$AO$55,2,FALSE))*IF('17.04'!$AK82="是",'17.04'!$AY$4,'17.04'!$AY$3))</f>
        <v>0</v>
      </c>
      <c r="R82" s="4">
        <f>IF(ISNUMBER(SEARCH("营",'17.04'!Z82)),(-$Y82+50*IF('17.04'!$AK82="是",'17.04'!$AY$4,'17.04'!$AY$3)),(VLOOKUP('17.04'!Z82,'17.04'!$AM$4:$AO$55,2,FALSE))*IF('17.04'!$AK82="是",'17.04'!$AY$4,'17.04'!$AY$3))</f>
        <v>0</v>
      </c>
      <c r="S82" s="4">
        <f>IF(ISNUMBER(SEARCH("营",'17.04'!AA82)),(-$Y82+50*IF('17.04'!$AK82="是",'17.04'!$AY$4,'17.04'!$AY$3)),(VLOOKUP('17.04'!AA82,'17.04'!$AM$4:$AO$55,2,FALSE))*IF('17.04'!$AK82="是",'17.04'!$AY$4,'17.04'!$AY$3))</f>
        <v>0</v>
      </c>
      <c r="T82" s="4">
        <f>IF(ISNUMBER(SEARCH("营",'17.04'!AB82)),(-$Y82+50*IF('17.04'!$AK82="是",'17.04'!$AY$4,'17.04'!$AY$3)),(VLOOKUP('17.04'!AB82,'17.04'!$AM$4:$AO$55,2,FALSE))*IF('17.04'!$AK82="是",'17.04'!$AY$4,'17.04'!$AY$3))</f>
        <v>0</v>
      </c>
      <c r="U82" s="4">
        <f>IF(ISNUMBER(SEARCH("营",'17.04'!AC82)),(-$Y82+50*IF('17.04'!$AK82="是",'17.04'!$AY$4,'17.04'!$AY$3)),(VLOOKUP('17.04'!AC82,'17.04'!$AM$4:$AO$55,2,FALSE))*IF('17.04'!$AK82="是",'17.04'!$AY$4,'17.04'!$AY$3))</f>
        <v>0</v>
      </c>
      <c r="V82" s="4">
        <f>IF(ISNUMBER(SEARCH("营",'17.04'!AD82)),(-$Y82+50*IF('17.04'!$AK82="是",'17.04'!$AY$4,'17.04'!$AY$3)),(VLOOKUP('17.04'!AD82,'17.04'!$AM$4:$AO$55,2,FALSE))*IF('17.04'!$AK82="是",'17.04'!$AY$4,'17.04'!$AY$3))</f>
        <v>0</v>
      </c>
      <c r="W82" s="4">
        <f>IF(ISNUMBER(SEARCH("营",'17.04'!AE82)),(-$Y82+50*IF('17.04'!$AK82="是",'17.04'!$AY$4,'17.04'!$AY$3)),(VLOOKUP('17.04'!AE82,'17.04'!$AM$4:$AO$55,2,FALSE))*IF('17.04'!$AK82="是",'17.04'!$AY$4,'17.04'!$AY$3))</f>
        <v>0</v>
      </c>
      <c r="X82" s="4">
        <f>IF(ISNUMBER(SEARCH("营",'17.04'!AF82)),(-$Y82+50*IF('17.04'!$AK82="是",'17.04'!$AY$4,'17.04'!$AY$3)),(VLOOKUP('17.04'!AF82,'17.04'!$AM$4:$AO$55,2,FALSE))*IF('17.04'!$AK82="是",'17.04'!$AY$4,'17.04'!$AY$3))</f>
        <v>0</v>
      </c>
      <c r="Y82" s="89">
        <v>100</v>
      </c>
    </row>
    <row r="83" spans="1:25">
      <c r="A83" s="4">
        <f>IF(ISNUMBER(SEARCH("营",'17.04'!I83)),(-$Y83+50*IF('17.04'!$AK83="是",'17.04'!$AY$4,'17.04'!$AY$3)),(VLOOKUP('17.04'!I83,'17.04'!$AM$4:$AO$55,2,FALSE))*IF('17.04'!$AK83="是",'17.04'!$AY$4,'17.04'!$AY$3))</f>
        <v>0</v>
      </c>
      <c r="B83" s="4">
        <f>IF(ISNUMBER(SEARCH("营",'17.04'!J83)),(-$Y83+50*IF('17.04'!$AK83="是",'17.04'!$AY$4,'17.04'!$AY$3)),(VLOOKUP('17.04'!J83,'17.04'!$AM$4:$AO$55,2,FALSE))*IF('17.04'!$AK83="是",'17.04'!$AY$4,'17.04'!$AY$3))</f>
        <v>0</v>
      </c>
      <c r="C83" s="4">
        <f>IF(ISNUMBER(SEARCH("营",'17.04'!K83)),(-$Y83+50*IF('17.04'!$AK83="是",'17.04'!$AY$4,'17.04'!$AY$3)),(VLOOKUP('17.04'!K83,'17.04'!$AM$4:$AO$55,2,FALSE))*IF('17.04'!$AK83="是",'17.04'!$AY$4,'17.04'!$AY$3))</f>
        <v>0</v>
      </c>
      <c r="D83" s="4">
        <f>IF(ISNUMBER(SEARCH("营",'17.04'!L83)),(-$Y83+50*IF('17.04'!$AK83="是",'17.04'!$AY$4,'17.04'!$AY$3)),(VLOOKUP('17.04'!L83,'17.04'!$AM$4:$AO$55,2,FALSE))*IF('17.04'!$AK83="是",'17.04'!$AY$4,'17.04'!$AY$3))</f>
        <v>0</v>
      </c>
      <c r="E83" s="4">
        <f>IF(ISNUMBER(SEARCH("营",'17.04'!M83)),(-$Y83+50*IF('17.04'!$AK83="是",'17.04'!$AY$4,'17.04'!$AY$3)),(VLOOKUP('17.04'!M83,'17.04'!$AM$4:$AO$55,2,FALSE))*IF('17.04'!$AK83="是",'17.04'!$AY$4,'17.04'!$AY$3))</f>
        <v>0</v>
      </c>
      <c r="F83" s="4">
        <f>IF(ISNUMBER(SEARCH("营",'17.04'!N83)),(-$Y83+50*IF('17.04'!$AK83="是",'17.04'!$AY$4,'17.04'!$AY$3)),(VLOOKUP('17.04'!N83,'17.04'!$AM$4:$AO$55,2,FALSE))*IF('17.04'!$AK83="是",'17.04'!$AY$4,'17.04'!$AY$3))</f>
        <v>0</v>
      </c>
      <c r="G83" s="4">
        <f>IF(ISNUMBER(SEARCH("营",'17.04'!O83)),(-$Y83+50*IF('17.04'!$AK83="是",'17.04'!$AY$4,'17.04'!$AY$3)),(VLOOKUP('17.04'!O83,'17.04'!$AM$4:$AO$55,2,FALSE))*IF('17.04'!$AK83="是",'17.04'!$AY$4,'17.04'!$AY$3))</f>
        <v>0</v>
      </c>
      <c r="H83" s="4">
        <f>IF(ISNUMBER(SEARCH("营",'17.04'!P83)),(-$Y83+50*IF('17.04'!$AK83="是",'17.04'!$AY$4,'17.04'!$AY$3)),(VLOOKUP('17.04'!P83,'17.04'!$AM$4:$AO$55,2,FALSE))*IF('17.04'!$AK83="是",'17.04'!$AY$4,'17.04'!$AY$3))</f>
        <v>0</v>
      </c>
      <c r="I83" s="4">
        <f>IF(ISNUMBER(SEARCH("营",'17.04'!Q83)),(-$Y83+50*IF('17.04'!$AK83="是",'17.04'!$AY$4,'17.04'!$AY$3)),(VLOOKUP('17.04'!Q83,'17.04'!$AM$4:$AO$55,2,FALSE))*IF('17.04'!$AK83="是",'17.04'!$AY$4,'17.04'!$AY$3))</f>
        <v>0</v>
      </c>
      <c r="J83" s="4">
        <f>IF(ISNUMBER(SEARCH("营",'17.04'!R83)),(-$Y83+50*IF('17.04'!$AK83="是",'17.04'!$AY$4,'17.04'!$AY$3)),(VLOOKUP('17.04'!R83,'17.04'!$AM$4:$AO$55,2,FALSE))*IF('17.04'!$AK83="是",'17.04'!$AY$4,'17.04'!$AY$3))</f>
        <v>0</v>
      </c>
      <c r="K83" s="4">
        <f>IF(ISNUMBER(SEARCH("营",'17.04'!S83)),(-$Y83+50*IF('17.04'!$AK83="是",'17.04'!$AY$4,'17.04'!$AY$3)),(VLOOKUP('17.04'!S83,'17.04'!$AM$4:$AO$55,2,FALSE))*IF('17.04'!$AK83="是",'17.04'!$AY$4,'17.04'!$AY$3))</f>
        <v>0</v>
      </c>
      <c r="L83" s="4">
        <f>IF(ISNUMBER(SEARCH("营",'17.04'!T83)),(-$Y83+50*IF('17.04'!$AK83="是",'17.04'!$AY$4,'17.04'!$AY$3)),(VLOOKUP('17.04'!T83,'17.04'!$AM$4:$AO$55,2,FALSE))*IF('17.04'!$AK83="是",'17.04'!$AY$4,'17.04'!$AY$3))</f>
        <v>0</v>
      </c>
      <c r="M83" s="4">
        <f>IF(ISNUMBER(SEARCH("营",'17.04'!U83)),(-$Y83+50*IF('17.04'!$AK83="是",'17.04'!$AY$4,'17.04'!$AY$3)),(VLOOKUP('17.04'!U83,'17.04'!$AM$4:$AO$55,2,FALSE))*IF('17.04'!$AK83="是",'17.04'!$AY$4,'17.04'!$AY$3))</f>
        <v>0</v>
      </c>
      <c r="N83" s="4">
        <f>IF(ISNUMBER(SEARCH("营",'17.04'!V83)),(-$Y83+50*IF('17.04'!$AK83="是",'17.04'!$AY$4,'17.04'!$AY$3)),(VLOOKUP('17.04'!V83,'17.04'!$AM$4:$AO$55,2,FALSE))*IF('17.04'!$AK83="是",'17.04'!$AY$4,'17.04'!$AY$3))</f>
        <v>0</v>
      </c>
      <c r="O83" s="4">
        <f>IF(ISNUMBER(SEARCH("营",'17.04'!W83)),(-$Y83+50*IF('17.04'!$AK83="是",'17.04'!$AY$4,'17.04'!$AY$3)),(VLOOKUP('17.04'!W83,'17.04'!$AM$4:$AO$55,2,FALSE))*IF('17.04'!$AK83="是",'17.04'!$AY$4,'17.04'!$AY$3))</f>
        <v>0</v>
      </c>
      <c r="P83" s="4">
        <f>IF(ISNUMBER(SEARCH("营",'17.04'!X83)),(-$Y83+50*IF('17.04'!$AK83="是",'17.04'!$AY$4,'17.04'!$AY$3)),(VLOOKUP('17.04'!X83,'17.04'!$AM$4:$AO$55,2,FALSE))*IF('17.04'!$AK83="是",'17.04'!$AY$4,'17.04'!$AY$3))</f>
        <v>0</v>
      </c>
      <c r="Q83" s="4">
        <f>IF(ISNUMBER(SEARCH("营",'17.04'!Y83)),(-$Y83+50*IF('17.04'!$AK83="是",'17.04'!$AY$4,'17.04'!$AY$3)),(VLOOKUP('17.04'!Y83,'17.04'!$AM$4:$AO$55,2,FALSE))*IF('17.04'!$AK83="是",'17.04'!$AY$4,'17.04'!$AY$3))</f>
        <v>0</v>
      </c>
      <c r="R83" s="4">
        <f>IF(ISNUMBER(SEARCH("营",'17.04'!Z83)),(-$Y83+50*IF('17.04'!$AK83="是",'17.04'!$AY$4,'17.04'!$AY$3)),(VLOOKUP('17.04'!Z83,'17.04'!$AM$4:$AO$55,2,FALSE))*IF('17.04'!$AK83="是",'17.04'!$AY$4,'17.04'!$AY$3))</f>
        <v>0</v>
      </c>
      <c r="S83" s="4">
        <f>IF(ISNUMBER(SEARCH("营",'17.04'!AA83)),(-$Y83+50*IF('17.04'!$AK83="是",'17.04'!$AY$4,'17.04'!$AY$3)),(VLOOKUP('17.04'!AA83,'17.04'!$AM$4:$AO$55,2,FALSE))*IF('17.04'!$AK83="是",'17.04'!$AY$4,'17.04'!$AY$3))</f>
        <v>0</v>
      </c>
      <c r="T83" s="4">
        <f>IF(ISNUMBER(SEARCH("营",'17.04'!AB83)),(-$Y83+50*IF('17.04'!$AK83="是",'17.04'!$AY$4,'17.04'!$AY$3)),(VLOOKUP('17.04'!AB83,'17.04'!$AM$4:$AO$55,2,FALSE))*IF('17.04'!$AK83="是",'17.04'!$AY$4,'17.04'!$AY$3))</f>
        <v>0</v>
      </c>
      <c r="U83" s="4">
        <f>IF(ISNUMBER(SEARCH("营",'17.04'!AC83)),(-$Y83+50*IF('17.04'!$AK83="是",'17.04'!$AY$4,'17.04'!$AY$3)),(VLOOKUP('17.04'!AC83,'17.04'!$AM$4:$AO$55,2,FALSE))*IF('17.04'!$AK83="是",'17.04'!$AY$4,'17.04'!$AY$3))</f>
        <v>0</v>
      </c>
      <c r="V83" s="4">
        <f>IF(ISNUMBER(SEARCH("营",'17.04'!AD83)),(-$Y83+50*IF('17.04'!$AK83="是",'17.04'!$AY$4,'17.04'!$AY$3)),(VLOOKUP('17.04'!AD83,'17.04'!$AM$4:$AO$55,2,FALSE))*IF('17.04'!$AK83="是",'17.04'!$AY$4,'17.04'!$AY$3))</f>
        <v>0</v>
      </c>
      <c r="W83" s="4">
        <f>IF(ISNUMBER(SEARCH("营",'17.04'!AE83)),(-$Y83+50*IF('17.04'!$AK83="是",'17.04'!$AY$4,'17.04'!$AY$3)),(VLOOKUP('17.04'!AE83,'17.04'!$AM$4:$AO$55,2,FALSE))*IF('17.04'!$AK83="是",'17.04'!$AY$4,'17.04'!$AY$3))</f>
        <v>0</v>
      </c>
      <c r="X83" s="4">
        <f>IF(ISNUMBER(SEARCH("营",'17.04'!AF83)),(-$Y83+50*IF('17.04'!$AK83="是",'17.04'!$AY$4,'17.04'!$AY$3)),(VLOOKUP('17.04'!AF83,'17.04'!$AM$4:$AO$55,2,FALSE))*IF('17.04'!$AK83="是",'17.04'!$AY$4,'17.04'!$AY$3))</f>
        <v>0</v>
      </c>
      <c r="Y83" s="89">
        <v>100</v>
      </c>
    </row>
    <row r="84" spans="1:25">
      <c r="A84" s="4">
        <f>IF(ISNUMBER(SEARCH("营",'17.04'!I84)),(-$Y84+50*IF('17.04'!$AK84="是",'17.04'!$AY$4,'17.04'!$AY$3)),(VLOOKUP('17.04'!I84,'17.04'!$AM$4:$AO$55,2,FALSE))*IF('17.04'!$AK84="是",'17.04'!$AY$4,'17.04'!$AY$3))</f>
        <v>0</v>
      </c>
      <c r="B84" s="4">
        <f>IF(ISNUMBER(SEARCH("营",'17.04'!J84)),(-$Y84+50*IF('17.04'!$AK84="是",'17.04'!$AY$4,'17.04'!$AY$3)),(VLOOKUP('17.04'!J84,'17.04'!$AM$4:$AO$55,2,FALSE))*IF('17.04'!$AK84="是",'17.04'!$AY$4,'17.04'!$AY$3))</f>
        <v>0</v>
      </c>
      <c r="C84" s="4">
        <f>IF(ISNUMBER(SEARCH("营",'17.04'!K84)),(-$Y84+50*IF('17.04'!$AK84="是",'17.04'!$AY$4,'17.04'!$AY$3)),(VLOOKUP('17.04'!K84,'17.04'!$AM$4:$AO$55,2,FALSE))*IF('17.04'!$AK84="是",'17.04'!$AY$4,'17.04'!$AY$3))</f>
        <v>0</v>
      </c>
      <c r="D84" s="4">
        <f>IF(ISNUMBER(SEARCH("营",'17.04'!L84)),(-$Y84+50*IF('17.04'!$AK84="是",'17.04'!$AY$4,'17.04'!$AY$3)),(VLOOKUP('17.04'!L84,'17.04'!$AM$4:$AO$55,2,FALSE))*IF('17.04'!$AK84="是",'17.04'!$AY$4,'17.04'!$AY$3))</f>
        <v>0</v>
      </c>
      <c r="E84" s="4">
        <f>IF(ISNUMBER(SEARCH("营",'17.04'!M84)),(-$Y84+50*IF('17.04'!$AK84="是",'17.04'!$AY$4,'17.04'!$AY$3)),(VLOOKUP('17.04'!M84,'17.04'!$AM$4:$AO$55,2,FALSE))*IF('17.04'!$AK84="是",'17.04'!$AY$4,'17.04'!$AY$3))</f>
        <v>0</v>
      </c>
      <c r="F84" s="4">
        <f>IF(ISNUMBER(SEARCH("营",'17.04'!N84)),(-$Y84+50*IF('17.04'!$AK84="是",'17.04'!$AY$4,'17.04'!$AY$3)),(VLOOKUP('17.04'!N84,'17.04'!$AM$4:$AO$55,2,FALSE))*IF('17.04'!$AK84="是",'17.04'!$AY$4,'17.04'!$AY$3))</f>
        <v>0</v>
      </c>
      <c r="G84" s="4">
        <f>IF(ISNUMBER(SEARCH("营",'17.04'!O84)),(-$Y84+50*IF('17.04'!$AK84="是",'17.04'!$AY$4,'17.04'!$AY$3)),(VLOOKUP('17.04'!O84,'17.04'!$AM$4:$AO$55,2,FALSE))*IF('17.04'!$AK84="是",'17.04'!$AY$4,'17.04'!$AY$3))</f>
        <v>0</v>
      </c>
      <c r="H84" s="4">
        <f>IF(ISNUMBER(SEARCH("营",'17.04'!P84)),(-$Y84+50*IF('17.04'!$AK84="是",'17.04'!$AY$4,'17.04'!$AY$3)),(VLOOKUP('17.04'!P84,'17.04'!$AM$4:$AO$55,2,FALSE))*IF('17.04'!$AK84="是",'17.04'!$AY$4,'17.04'!$AY$3))</f>
        <v>0</v>
      </c>
      <c r="I84" s="4">
        <f>IF(ISNUMBER(SEARCH("营",'17.04'!Q84)),(-$Y84+50*IF('17.04'!$AK84="是",'17.04'!$AY$4,'17.04'!$AY$3)),(VLOOKUP('17.04'!Q84,'17.04'!$AM$4:$AO$55,2,FALSE))*IF('17.04'!$AK84="是",'17.04'!$AY$4,'17.04'!$AY$3))</f>
        <v>0</v>
      </c>
      <c r="J84" s="4">
        <f>IF(ISNUMBER(SEARCH("营",'17.04'!R84)),(-$Y84+50*IF('17.04'!$AK84="是",'17.04'!$AY$4,'17.04'!$AY$3)),(VLOOKUP('17.04'!R84,'17.04'!$AM$4:$AO$55,2,FALSE))*IF('17.04'!$AK84="是",'17.04'!$AY$4,'17.04'!$AY$3))</f>
        <v>0</v>
      </c>
      <c r="K84" s="4">
        <f>IF(ISNUMBER(SEARCH("营",'17.04'!S84)),(-$Y84+50*IF('17.04'!$AK84="是",'17.04'!$AY$4,'17.04'!$AY$3)),(VLOOKUP('17.04'!S84,'17.04'!$AM$4:$AO$55,2,FALSE))*IF('17.04'!$AK84="是",'17.04'!$AY$4,'17.04'!$AY$3))</f>
        <v>0</v>
      </c>
      <c r="L84" s="4">
        <f>IF(ISNUMBER(SEARCH("营",'17.04'!T84)),(-$Y84+50*IF('17.04'!$AK84="是",'17.04'!$AY$4,'17.04'!$AY$3)),(VLOOKUP('17.04'!T84,'17.04'!$AM$4:$AO$55,2,FALSE))*IF('17.04'!$AK84="是",'17.04'!$AY$4,'17.04'!$AY$3))</f>
        <v>0</v>
      </c>
      <c r="M84" s="4">
        <f>IF(ISNUMBER(SEARCH("营",'17.04'!U84)),(-$Y84+50*IF('17.04'!$AK84="是",'17.04'!$AY$4,'17.04'!$AY$3)),(VLOOKUP('17.04'!U84,'17.04'!$AM$4:$AO$55,2,FALSE))*IF('17.04'!$AK84="是",'17.04'!$AY$4,'17.04'!$AY$3))</f>
        <v>0</v>
      </c>
      <c r="N84" s="4">
        <f>IF(ISNUMBER(SEARCH("营",'17.04'!V84)),(-$Y84+50*IF('17.04'!$AK84="是",'17.04'!$AY$4,'17.04'!$AY$3)),(VLOOKUP('17.04'!V84,'17.04'!$AM$4:$AO$55,2,FALSE))*IF('17.04'!$AK84="是",'17.04'!$AY$4,'17.04'!$AY$3))</f>
        <v>0</v>
      </c>
      <c r="O84" s="4">
        <f>IF(ISNUMBER(SEARCH("营",'17.04'!W84)),(-$Y84+50*IF('17.04'!$AK84="是",'17.04'!$AY$4,'17.04'!$AY$3)),(VLOOKUP('17.04'!W84,'17.04'!$AM$4:$AO$55,2,FALSE))*IF('17.04'!$AK84="是",'17.04'!$AY$4,'17.04'!$AY$3))</f>
        <v>0</v>
      </c>
      <c r="P84" s="4">
        <f>IF(ISNUMBER(SEARCH("营",'17.04'!X84)),(-$Y84+50*IF('17.04'!$AK84="是",'17.04'!$AY$4,'17.04'!$AY$3)),(VLOOKUP('17.04'!X84,'17.04'!$AM$4:$AO$55,2,FALSE))*IF('17.04'!$AK84="是",'17.04'!$AY$4,'17.04'!$AY$3))</f>
        <v>0</v>
      </c>
      <c r="Q84" s="4">
        <f>IF(ISNUMBER(SEARCH("营",'17.04'!Y84)),(-$Y84+50*IF('17.04'!$AK84="是",'17.04'!$AY$4,'17.04'!$AY$3)),(VLOOKUP('17.04'!Y84,'17.04'!$AM$4:$AO$55,2,FALSE))*IF('17.04'!$AK84="是",'17.04'!$AY$4,'17.04'!$AY$3))</f>
        <v>0</v>
      </c>
      <c r="R84" s="4">
        <f>IF(ISNUMBER(SEARCH("营",'17.04'!Z84)),(-$Y84+50*IF('17.04'!$AK84="是",'17.04'!$AY$4,'17.04'!$AY$3)),(VLOOKUP('17.04'!Z84,'17.04'!$AM$4:$AO$55,2,FALSE))*IF('17.04'!$AK84="是",'17.04'!$AY$4,'17.04'!$AY$3))</f>
        <v>0</v>
      </c>
      <c r="S84" s="4">
        <f>IF(ISNUMBER(SEARCH("营",'17.04'!AA84)),(-$Y84+50*IF('17.04'!$AK84="是",'17.04'!$AY$4,'17.04'!$AY$3)),(VLOOKUP('17.04'!AA84,'17.04'!$AM$4:$AO$55,2,FALSE))*IF('17.04'!$AK84="是",'17.04'!$AY$4,'17.04'!$AY$3))</f>
        <v>0</v>
      </c>
      <c r="T84" s="4">
        <f>IF(ISNUMBER(SEARCH("营",'17.04'!AB84)),(-$Y84+50*IF('17.04'!$AK84="是",'17.04'!$AY$4,'17.04'!$AY$3)),(VLOOKUP('17.04'!AB84,'17.04'!$AM$4:$AO$55,2,FALSE))*IF('17.04'!$AK84="是",'17.04'!$AY$4,'17.04'!$AY$3))</f>
        <v>0</v>
      </c>
      <c r="U84" s="4">
        <f>IF(ISNUMBER(SEARCH("营",'17.04'!AC84)),(-$Y84+50*IF('17.04'!$AK84="是",'17.04'!$AY$4,'17.04'!$AY$3)),(VLOOKUP('17.04'!AC84,'17.04'!$AM$4:$AO$55,2,FALSE))*IF('17.04'!$AK84="是",'17.04'!$AY$4,'17.04'!$AY$3))</f>
        <v>0</v>
      </c>
      <c r="V84" s="4">
        <f>IF(ISNUMBER(SEARCH("营",'17.04'!AD84)),(-$Y84+50*IF('17.04'!$AK84="是",'17.04'!$AY$4,'17.04'!$AY$3)),(VLOOKUP('17.04'!AD84,'17.04'!$AM$4:$AO$55,2,FALSE))*IF('17.04'!$AK84="是",'17.04'!$AY$4,'17.04'!$AY$3))</f>
        <v>0</v>
      </c>
      <c r="W84" s="4">
        <f>IF(ISNUMBER(SEARCH("营",'17.04'!AE84)),(-$Y84+50*IF('17.04'!$AK84="是",'17.04'!$AY$4,'17.04'!$AY$3)),(VLOOKUP('17.04'!AE84,'17.04'!$AM$4:$AO$55,2,FALSE))*IF('17.04'!$AK84="是",'17.04'!$AY$4,'17.04'!$AY$3))</f>
        <v>0</v>
      </c>
      <c r="X84" s="4">
        <f>IF(ISNUMBER(SEARCH("营",'17.04'!AF84)),(-$Y84+50*IF('17.04'!$AK84="是",'17.04'!$AY$4,'17.04'!$AY$3)),(VLOOKUP('17.04'!AF84,'17.04'!$AM$4:$AO$55,2,FALSE))*IF('17.04'!$AK84="是",'17.04'!$AY$4,'17.04'!$AY$3))</f>
        <v>0</v>
      </c>
      <c r="Y84" s="89">
        <v>100</v>
      </c>
    </row>
    <row r="85" spans="1:25">
      <c r="A85" s="4">
        <f>IF(ISNUMBER(SEARCH("营",'17.04'!I85)),(-$Y85+50*IF('17.04'!$AK85="是",'17.04'!$AY$4,'17.04'!$AY$3)),(VLOOKUP('17.04'!I85,'17.04'!$AM$4:$AO$55,2,FALSE))*IF('17.04'!$AK85="是",'17.04'!$AY$4,'17.04'!$AY$3))</f>
        <v>0</v>
      </c>
      <c r="B85" s="4">
        <f>IF(ISNUMBER(SEARCH("营",'17.04'!J85)),(-$Y85+50*IF('17.04'!$AK85="是",'17.04'!$AY$4,'17.04'!$AY$3)),(VLOOKUP('17.04'!J85,'17.04'!$AM$4:$AO$55,2,FALSE))*IF('17.04'!$AK85="是",'17.04'!$AY$4,'17.04'!$AY$3))</f>
        <v>0</v>
      </c>
      <c r="C85" s="4">
        <f>IF(ISNUMBER(SEARCH("营",'17.04'!K85)),(-$Y85+50*IF('17.04'!$AK85="是",'17.04'!$AY$4,'17.04'!$AY$3)),(VLOOKUP('17.04'!K85,'17.04'!$AM$4:$AO$55,2,FALSE))*IF('17.04'!$AK85="是",'17.04'!$AY$4,'17.04'!$AY$3))</f>
        <v>0</v>
      </c>
      <c r="D85" s="4">
        <f>IF(ISNUMBER(SEARCH("营",'17.04'!L85)),(-$Y85+50*IF('17.04'!$AK85="是",'17.04'!$AY$4,'17.04'!$AY$3)),(VLOOKUP('17.04'!L85,'17.04'!$AM$4:$AO$55,2,FALSE))*IF('17.04'!$AK85="是",'17.04'!$AY$4,'17.04'!$AY$3))</f>
        <v>0</v>
      </c>
      <c r="E85" s="4">
        <f>IF(ISNUMBER(SEARCH("营",'17.04'!M85)),(-$Y85+50*IF('17.04'!$AK85="是",'17.04'!$AY$4,'17.04'!$AY$3)),(VLOOKUP('17.04'!M85,'17.04'!$AM$4:$AO$55,2,FALSE))*IF('17.04'!$AK85="是",'17.04'!$AY$4,'17.04'!$AY$3))</f>
        <v>0</v>
      </c>
      <c r="F85" s="4">
        <f>IF(ISNUMBER(SEARCH("营",'17.04'!N85)),(-$Y85+50*IF('17.04'!$AK85="是",'17.04'!$AY$4,'17.04'!$AY$3)),(VLOOKUP('17.04'!N85,'17.04'!$AM$4:$AO$55,2,FALSE))*IF('17.04'!$AK85="是",'17.04'!$AY$4,'17.04'!$AY$3))</f>
        <v>0</v>
      </c>
      <c r="G85" s="4">
        <f>IF(ISNUMBER(SEARCH("营",'17.04'!O85)),(-$Y85+50*IF('17.04'!$AK85="是",'17.04'!$AY$4,'17.04'!$AY$3)),(VLOOKUP('17.04'!O85,'17.04'!$AM$4:$AO$55,2,FALSE))*IF('17.04'!$AK85="是",'17.04'!$AY$4,'17.04'!$AY$3))</f>
        <v>0</v>
      </c>
      <c r="H85" s="4">
        <f>IF(ISNUMBER(SEARCH("营",'17.04'!P85)),(-$Y85+50*IF('17.04'!$AK85="是",'17.04'!$AY$4,'17.04'!$AY$3)),(VLOOKUP('17.04'!P85,'17.04'!$AM$4:$AO$55,2,FALSE))*IF('17.04'!$AK85="是",'17.04'!$AY$4,'17.04'!$AY$3))</f>
        <v>0</v>
      </c>
      <c r="I85" s="4">
        <f>IF(ISNUMBER(SEARCH("营",'17.04'!Q85)),(-$Y85+50*IF('17.04'!$AK85="是",'17.04'!$AY$4,'17.04'!$AY$3)),(VLOOKUP('17.04'!Q85,'17.04'!$AM$4:$AO$55,2,FALSE))*IF('17.04'!$AK85="是",'17.04'!$AY$4,'17.04'!$AY$3))</f>
        <v>0</v>
      </c>
      <c r="J85" s="4">
        <f>IF(ISNUMBER(SEARCH("营",'17.04'!R85)),(-$Y85+50*IF('17.04'!$AK85="是",'17.04'!$AY$4,'17.04'!$AY$3)),(VLOOKUP('17.04'!R85,'17.04'!$AM$4:$AO$55,2,FALSE))*IF('17.04'!$AK85="是",'17.04'!$AY$4,'17.04'!$AY$3))</f>
        <v>0</v>
      </c>
      <c r="K85" s="4">
        <f>IF(ISNUMBER(SEARCH("营",'17.04'!S85)),(-$Y85+50*IF('17.04'!$AK85="是",'17.04'!$AY$4,'17.04'!$AY$3)),(VLOOKUP('17.04'!S85,'17.04'!$AM$4:$AO$55,2,FALSE))*IF('17.04'!$AK85="是",'17.04'!$AY$4,'17.04'!$AY$3))</f>
        <v>0</v>
      </c>
      <c r="L85" s="4">
        <f>IF(ISNUMBER(SEARCH("营",'17.04'!T85)),(-$Y85+50*IF('17.04'!$AK85="是",'17.04'!$AY$4,'17.04'!$AY$3)),(VLOOKUP('17.04'!T85,'17.04'!$AM$4:$AO$55,2,FALSE))*IF('17.04'!$AK85="是",'17.04'!$AY$4,'17.04'!$AY$3))</f>
        <v>0</v>
      </c>
      <c r="M85" s="4">
        <f>IF(ISNUMBER(SEARCH("营",'17.04'!U85)),(-$Y85+50*IF('17.04'!$AK85="是",'17.04'!$AY$4,'17.04'!$AY$3)),(VLOOKUP('17.04'!U85,'17.04'!$AM$4:$AO$55,2,FALSE))*IF('17.04'!$AK85="是",'17.04'!$AY$4,'17.04'!$AY$3))</f>
        <v>0</v>
      </c>
      <c r="N85" s="4">
        <f>IF(ISNUMBER(SEARCH("营",'17.04'!V85)),(-$Y85+50*IF('17.04'!$AK85="是",'17.04'!$AY$4,'17.04'!$AY$3)),(VLOOKUP('17.04'!V85,'17.04'!$AM$4:$AO$55,2,FALSE))*IF('17.04'!$AK85="是",'17.04'!$AY$4,'17.04'!$AY$3))</f>
        <v>0</v>
      </c>
      <c r="O85" s="4">
        <f>IF(ISNUMBER(SEARCH("营",'17.04'!W85)),(-$Y85+50*IF('17.04'!$AK85="是",'17.04'!$AY$4,'17.04'!$AY$3)),(VLOOKUP('17.04'!W85,'17.04'!$AM$4:$AO$55,2,FALSE))*IF('17.04'!$AK85="是",'17.04'!$AY$4,'17.04'!$AY$3))</f>
        <v>0</v>
      </c>
      <c r="P85" s="4">
        <f>IF(ISNUMBER(SEARCH("营",'17.04'!X85)),(-$Y85+50*IF('17.04'!$AK85="是",'17.04'!$AY$4,'17.04'!$AY$3)),(VLOOKUP('17.04'!X85,'17.04'!$AM$4:$AO$55,2,FALSE))*IF('17.04'!$AK85="是",'17.04'!$AY$4,'17.04'!$AY$3))</f>
        <v>0</v>
      </c>
      <c r="Q85" s="4">
        <f>IF(ISNUMBER(SEARCH("营",'17.04'!Y85)),(-$Y85+50*IF('17.04'!$AK85="是",'17.04'!$AY$4,'17.04'!$AY$3)),(VLOOKUP('17.04'!Y85,'17.04'!$AM$4:$AO$55,2,FALSE))*IF('17.04'!$AK85="是",'17.04'!$AY$4,'17.04'!$AY$3))</f>
        <v>0</v>
      </c>
      <c r="R85" s="4">
        <f>IF(ISNUMBER(SEARCH("营",'17.04'!Z85)),(-$Y85+50*IF('17.04'!$AK85="是",'17.04'!$AY$4,'17.04'!$AY$3)),(VLOOKUP('17.04'!Z85,'17.04'!$AM$4:$AO$55,2,FALSE))*IF('17.04'!$AK85="是",'17.04'!$AY$4,'17.04'!$AY$3))</f>
        <v>0</v>
      </c>
      <c r="S85" s="4">
        <f>IF(ISNUMBER(SEARCH("营",'17.04'!AA85)),(-$Y85+50*IF('17.04'!$AK85="是",'17.04'!$AY$4,'17.04'!$AY$3)),(VLOOKUP('17.04'!AA85,'17.04'!$AM$4:$AO$55,2,FALSE))*IF('17.04'!$AK85="是",'17.04'!$AY$4,'17.04'!$AY$3))</f>
        <v>0</v>
      </c>
      <c r="T85" s="4">
        <f>IF(ISNUMBER(SEARCH("营",'17.04'!AB85)),(-$Y85+50*IF('17.04'!$AK85="是",'17.04'!$AY$4,'17.04'!$AY$3)),(VLOOKUP('17.04'!AB85,'17.04'!$AM$4:$AO$55,2,FALSE))*IF('17.04'!$AK85="是",'17.04'!$AY$4,'17.04'!$AY$3))</f>
        <v>0</v>
      </c>
      <c r="U85" s="4">
        <f>IF(ISNUMBER(SEARCH("营",'17.04'!AC85)),(-$Y85+50*IF('17.04'!$AK85="是",'17.04'!$AY$4,'17.04'!$AY$3)),(VLOOKUP('17.04'!AC85,'17.04'!$AM$4:$AO$55,2,FALSE))*IF('17.04'!$AK85="是",'17.04'!$AY$4,'17.04'!$AY$3))</f>
        <v>0</v>
      </c>
      <c r="V85" s="4">
        <f>IF(ISNUMBER(SEARCH("营",'17.04'!AD85)),(-$Y85+50*IF('17.04'!$AK85="是",'17.04'!$AY$4,'17.04'!$AY$3)),(VLOOKUP('17.04'!AD85,'17.04'!$AM$4:$AO$55,2,FALSE))*IF('17.04'!$AK85="是",'17.04'!$AY$4,'17.04'!$AY$3))</f>
        <v>0</v>
      </c>
      <c r="W85" s="4">
        <f>IF(ISNUMBER(SEARCH("营",'17.04'!AE85)),(-$Y85+50*IF('17.04'!$AK85="是",'17.04'!$AY$4,'17.04'!$AY$3)),(VLOOKUP('17.04'!AE85,'17.04'!$AM$4:$AO$55,2,FALSE))*IF('17.04'!$AK85="是",'17.04'!$AY$4,'17.04'!$AY$3))</f>
        <v>0</v>
      </c>
      <c r="X85" s="4">
        <f>IF(ISNUMBER(SEARCH("营",'17.04'!AF85)),(-$Y85+50*IF('17.04'!$AK85="是",'17.04'!$AY$4,'17.04'!$AY$3)),(VLOOKUP('17.04'!AF85,'17.04'!$AM$4:$AO$55,2,FALSE))*IF('17.04'!$AK85="是",'17.04'!$AY$4,'17.04'!$AY$3))</f>
        <v>0</v>
      </c>
      <c r="Y85" s="89">
        <v>100</v>
      </c>
    </row>
    <row r="86" spans="1:25">
      <c r="A86" s="4">
        <f>IF(ISNUMBER(SEARCH("营",'17.04'!I86)),(-$Y86+50*IF('17.04'!$AK86="是",'17.04'!$AY$4,'17.04'!$AY$3)),(VLOOKUP('17.04'!I86,'17.04'!$AM$4:$AO$55,2,FALSE))*IF('17.04'!$AK86="是",'17.04'!$AY$4,'17.04'!$AY$3))</f>
        <v>0</v>
      </c>
      <c r="B86" s="4">
        <f>IF(ISNUMBER(SEARCH("营",'17.04'!J86)),(-$Y86+50*IF('17.04'!$AK86="是",'17.04'!$AY$4,'17.04'!$AY$3)),(VLOOKUP('17.04'!J86,'17.04'!$AM$4:$AO$55,2,FALSE))*IF('17.04'!$AK86="是",'17.04'!$AY$4,'17.04'!$AY$3))</f>
        <v>0</v>
      </c>
      <c r="C86" s="4">
        <f>IF(ISNUMBER(SEARCH("营",'17.04'!K86)),(-$Y86+50*IF('17.04'!$AK86="是",'17.04'!$AY$4,'17.04'!$AY$3)),(VLOOKUP('17.04'!K86,'17.04'!$AM$4:$AO$55,2,FALSE))*IF('17.04'!$AK86="是",'17.04'!$AY$4,'17.04'!$AY$3))</f>
        <v>0</v>
      </c>
      <c r="D86" s="4">
        <f>IF(ISNUMBER(SEARCH("营",'17.04'!L86)),(-$Y86+50*IF('17.04'!$AK86="是",'17.04'!$AY$4,'17.04'!$AY$3)),(VLOOKUP('17.04'!L86,'17.04'!$AM$4:$AO$55,2,FALSE))*IF('17.04'!$AK86="是",'17.04'!$AY$4,'17.04'!$AY$3))</f>
        <v>0</v>
      </c>
      <c r="E86" s="4">
        <f>IF(ISNUMBER(SEARCH("营",'17.04'!M86)),(-$Y86+50*IF('17.04'!$AK86="是",'17.04'!$AY$4,'17.04'!$AY$3)),(VLOOKUP('17.04'!M86,'17.04'!$AM$4:$AO$55,2,FALSE))*IF('17.04'!$AK86="是",'17.04'!$AY$4,'17.04'!$AY$3))</f>
        <v>0</v>
      </c>
      <c r="F86" s="4">
        <f>IF(ISNUMBER(SEARCH("营",'17.04'!N86)),(-$Y86+50*IF('17.04'!$AK86="是",'17.04'!$AY$4,'17.04'!$AY$3)),(VLOOKUP('17.04'!N86,'17.04'!$AM$4:$AO$55,2,FALSE))*IF('17.04'!$AK86="是",'17.04'!$AY$4,'17.04'!$AY$3))</f>
        <v>0</v>
      </c>
      <c r="G86" s="4">
        <f>IF(ISNUMBER(SEARCH("营",'17.04'!O86)),(-$Y86+50*IF('17.04'!$AK86="是",'17.04'!$AY$4,'17.04'!$AY$3)),(VLOOKUP('17.04'!O86,'17.04'!$AM$4:$AO$55,2,FALSE))*IF('17.04'!$AK86="是",'17.04'!$AY$4,'17.04'!$AY$3))</f>
        <v>0</v>
      </c>
      <c r="H86" s="4">
        <f>IF(ISNUMBER(SEARCH("营",'17.04'!P86)),(-$Y86+50*IF('17.04'!$AK86="是",'17.04'!$AY$4,'17.04'!$AY$3)),(VLOOKUP('17.04'!P86,'17.04'!$AM$4:$AO$55,2,FALSE))*IF('17.04'!$AK86="是",'17.04'!$AY$4,'17.04'!$AY$3))</f>
        <v>0</v>
      </c>
      <c r="I86" s="4">
        <f>IF(ISNUMBER(SEARCH("营",'17.04'!Q86)),(-$Y86+50*IF('17.04'!$AK86="是",'17.04'!$AY$4,'17.04'!$AY$3)),(VLOOKUP('17.04'!Q86,'17.04'!$AM$4:$AO$55,2,FALSE))*IF('17.04'!$AK86="是",'17.04'!$AY$4,'17.04'!$AY$3))</f>
        <v>0</v>
      </c>
      <c r="J86" s="4">
        <f>IF(ISNUMBER(SEARCH("营",'17.04'!R86)),(-$Y86+50*IF('17.04'!$AK86="是",'17.04'!$AY$4,'17.04'!$AY$3)),(VLOOKUP('17.04'!R86,'17.04'!$AM$4:$AO$55,2,FALSE))*IF('17.04'!$AK86="是",'17.04'!$AY$4,'17.04'!$AY$3))</f>
        <v>0</v>
      </c>
      <c r="K86" s="4">
        <f>IF(ISNUMBER(SEARCH("营",'17.04'!S86)),(-$Y86+50*IF('17.04'!$AK86="是",'17.04'!$AY$4,'17.04'!$AY$3)),(VLOOKUP('17.04'!S86,'17.04'!$AM$4:$AO$55,2,FALSE))*IF('17.04'!$AK86="是",'17.04'!$AY$4,'17.04'!$AY$3))</f>
        <v>0</v>
      </c>
      <c r="L86" s="4">
        <f>IF(ISNUMBER(SEARCH("营",'17.04'!T86)),(-$Y86+50*IF('17.04'!$AK86="是",'17.04'!$AY$4,'17.04'!$AY$3)),(VLOOKUP('17.04'!T86,'17.04'!$AM$4:$AO$55,2,FALSE))*IF('17.04'!$AK86="是",'17.04'!$AY$4,'17.04'!$AY$3))</f>
        <v>0</v>
      </c>
      <c r="M86" s="4">
        <f>IF(ISNUMBER(SEARCH("营",'17.04'!U86)),(-$Y86+50*IF('17.04'!$AK86="是",'17.04'!$AY$4,'17.04'!$AY$3)),(VLOOKUP('17.04'!U86,'17.04'!$AM$4:$AO$55,2,FALSE))*IF('17.04'!$AK86="是",'17.04'!$AY$4,'17.04'!$AY$3))</f>
        <v>0</v>
      </c>
      <c r="N86" s="4">
        <f>IF(ISNUMBER(SEARCH("营",'17.04'!V86)),(-$Y86+50*IF('17.04'!$AK86="是",'17.04'!$AY$4,'17.04'!$AY$3)),(VLOOKUP('17.04'!V86,'17.04'!$AM$4:$AO$55,2,FALSE))*IF('17.04'!$AK86="是",'17.04'!$AY$4,'17.04'!$AY$3))</f>
        <v>0</v>
      </c>
      <c r="O86" s="4">
        <f>IF(ISNUMBER(SEARCH("营",'17.04'!W86)),(-$Y86+50*IF('17.04'!$AK86="是",'17.04'!$AY$4,'17.04'!$AY$3)),(VLOOKUP('17.04'!W86,'17.04'!$AM$4:$AO$55,2,FALSE))*IF('17.04'!$AK86="是",'17.04'!$AY$4,'17.04'!$AY$3))</f>
        <v>0</v>
      </c>
      <c r="P86" s="4">
        <f>IF(ISNUMBER(SEARCH("营",'17.04'!X86)),(-$Y86+50*IF('17.04'!$AK86="是",'17.04'!$AY$4,'17.04'!$AY$3)),(VLOOKUP('17.04'!X86,'17.04'!$AM$4:$AO$55,2,FALSE))*IF('17.04'!$AK86="是",'17.04'!$AY$4,'17.04'!$AY$3))</f>
        <v>0</v>
      </c>
      <c r="Q86" s="4">
        <f>IF(ISNUMBER(SEARCH("营",'17.04'!Y86)),(-$Y86+50*IF('17.04'!$AK86="是",'17.04'!$AY$4,'17.04'!$AY$3)),(VLOOKUP('17.04'!Y86,'17.04'!$AM$4:$AO$55,2,FALSE))*IF('17.04'!$AK86="是",'17.04'!$AY$4,'17.04'!$AY$3))</f>
        <v>0</v>
      </c>
      <c r="R86" s="4">
        <f>IF(ISNUMBER(SEARCH("营",'17.04'!Z86)),(-$Y86+50*IF('17.04'!$AK86="是",'17.04'!$AY$4,'17.04'!$AY$3)),(VLOOKUP('17.04'!Z86,'17.04'!$AM$4:$AO$55,2,FALSE))*IF('17.04'!$AK86="是",'17.04'!$AY$4,'17.04'!$AY$3))</f>
        <v>0</v>
      </c>
      <c r="S86" s="4">
        <f>IF(ISNUMBER(SEARCH("营",'17.04'!AA86)),(-$Y86+50*IF('17.04'!$AK86="是",'17.04'!$AY$4,'17.04'!$AY$3)),(VLOOKUP('17.04'!AA86,'17.04'!$AM$4:$AO$55,2,FALSE))*IF('17.04'!$AK86="是",'17.04'!$AY$4,'17.04'!$AY$3))</f>
        <v>0</v>
      </c>
      <c r="T86" s="4">
        <f>IF(ISNUMBER(SEARCH("营",'17.04'!AB86)),(-$Y86+50*IF('17.04'!$AK86="是",'17.04'!$AY$4,'17.04'!$AY$3)),(VLOOKUP('17.04'!AB86,'17.04'!$AM$4:$AO$55,2,FALSE))*IF('17.04'!$AK86="是",'17.04'!$AY$4,'17.04'!$AY$3))</f>
        <v>0</v>
      </c>
      <c r="U86" s="4">
        <f>IF(ISNUMBER(SEARCH("营",'17.04'!AC86)),(-$Y86+50*IF('17.04'!$AK86="是",'17.04'!$AY$4,'17.04'!$AY$3)),(VLOOKUP('17.04'!AC86,'17.04'!$AM$4:$AO$55,2,FALSE))*IF('17.04'!$AK86="是",'17.04'!$AY$4,'17.04'!$AY$3))</f>
        <v>0</v>
      </c>
      <c r="V86" s="4">
        <f>IF(ISNUMBER(SEARCH("营",'17.04'!AD86)),(-$Y86+50*IF('17.04'!$AK86="是",'17.04'!$AY$4,'17.04'!$AY$3)),(VLOOKUP('17.04'!AD86,'17.04'!$AM$4:$AO$55,2,FALSE))*IF('17.04'!$AK86="是",'17.04'!$AY$4,'17.04'!$AY$3))</f>
        <v>0</v>
      </c>
      <c r="W86" s="4">
        <f>IF(ISNUMBER(SEARCH("营",'17.04'!AE86)),(-$Y86+50*IF('17.04'!$AK86="是",'17.04'!$AY$4,'17.04'!$AY$3)),(VLOOKUP('17.04'!AE86,'17.04'!$AM$4:$AO$55,2,FALSE))*IF('17.04'!$AK86="是",'17.04'!$AY$4,'17.04'!$AY$3))</f>
        <v>0</v>
      </c>
      <c r="X86" s="4">
        <f>IF(ISNUMBER(SEARCH("营",'17.04'!AF86)),(-$Y86+50*IF('17.04'!$AK86="是",'17.04'!$AY$4,'17.04'!$AY$3)),(VLOOKUP('17.04'!AF86,'17.04'!$AM$4:$AO$55,2,FALSE))*IF('17.04'!$AK86="是",'17.04'!$AY$4,'17.04'!$AY$3))</f>
        <v>0</v>
      </c>
      <c r="Y86" s="89">
        <v>100</v>
      </c>
    </row>
    <row r="87" spans="1:25">
      <c r="A87" s="4">
        <f>IF(ISNUMBER(SEARCH("营",'17.04'!I87)),(-$Y87+50*IF('17.04'!$AK87="是",'17.04'!$AY$4,'17.04'!$AY$3)),(VLOOKUP('17.04'!I87,'17.04'!$AM$4:$AO$55,2,FALSE))*IF('17.04'!$AK87="是",'17.04'!$AY$4,'17.04'!$AY$3))</f>
        <v>0</v>
      </c>
      <c r="B87" s="4">
        <f>IF(ISNUMBER(SEARCH("营",'17.04'!J87)),(-$Y87+50*IF('17.04'!$AK87="是",'17.04'!$AY$4,'17.04'!$AY$3)),(VLOOKUP('17.04'!J87,'17.04'!$AM$4:$AO$55,2,FALSE))*IF('17.04'!$AK87="是",'17.04'!$AY$4,'17.04'!$AY$3))</f>
        <v>0</v>
      </c>
      <c r="C87" s="4">
        <f>IF(ISNUMBER(SEARCH("营",'17.04'!K87)),(-$Y87+50*IF('17.04'!$AK87="是",'17.04'!$AY$4,'17.04'!$AY$3)),(VLOOKUP('17.04'!K87,'17.04'!$AM$4:$AO$55,2,FALSE))*IF('17.04'!$AK87="是",'17.04'!$AY$4,'17.04'!$AY$3))</f>
        <v>0</v>
      </c>
      <c r="D87" s="4">
        <f>IF(ISNUMBER(SEARCH("营",'17.04'!L87)),(-$Y87+50*IF('17.04'!$AK87="是",'17.04'!$AY$4,'17.04'!$AY$3)),(VLOOKUP('17.04'!L87,'17.04'!$AM$4:$AO$55,2,FALSE))*IF('17.04'!$AK87="是",'17.04'!$AY$4,'17.04'!$AY$3))</f>
        <v>0</v>
      </c>
      <c r="E87" s="4">
        <f>IF(ISNUMBER(SEARCH("营",'17.04'!M87)),(-$Y87+50*IF('17.04'!$AK87="是",'17.04'!$AY$4,'17.04'!$AY$3)),(VLOOKUP('17.04'!M87,'17.04'!$AM$4:$AO$55,2,FALSE))*IF('17.04'!$AK87="是",'17.04'!$AY$4,'17.04'!$AY$3))</f>
        <v>0</v>
      </c>
      <c r="F87" s="4">
        <f>IF(ISNUMBER(SEARCH("营",'17.04'!N87)),(-$Y87+50*IF('17.04'!$AK87="是",'17.04'!$AY$4,'17.04'!$AY$3)),(VLOOKUP('17.04'!N87,'17.04'!$AM$4:$AO$55,2,FALSE))*IF('17.04'!$AK87="是",'17.04'!$AY$4,'17.04'!$AY$3))</f>
        <v>0</v>
      </c>
      <c r="G87" s="4">
        <f>IF(ISNUMBER(SEARCH("营",'17.04'!O87)),(-$Y87+50*IF('17.04'!$AK87="是",'17.04'!$AY$4,'17.04'!$AY$3)),(VLOOKUP('17.04'!O87,'17.04'!$AM$4:$AO$55,2,FALSE))*IF('17.04'!$AK87="是",'17.04'!$AY$4,'17.04'!$AY$3))</f>
        <v>0</v>
      </c>
      <c r="H87" s="4">
        <f>IF(ISNUMBER(SEARCH("营",'17.04'!P87)),(-$Y87+50*IF('17.04'!$AK87="是",'17.04'!$AY$4,'17.04'!$AY$3)),(VLOOKUP('17.04'!P87,'17.04'!$AM$4:$AO$55,2,FALSE))*IF('17.04'!$AK87="是",'17.04'!$AY$4,'17.04'!$AY$3))</f>
        <v>0</v>
      </c>
      <c r="I87" s="4">
        <f>IF(ISNUMBER(SEARCH("营",'17.04'!Q87)),(-$Y87+50*IF('17.04'!$AK87="是",'17.04'!$AY$4,'17.04'!$AY$3)),(VLOOKUP('17.04'!Q87,'17.04'!$AM$4:$AO$55,2,FALSE))*IF('17.04'!$AK87="是",'17.04'!$AY$4,'17.04'!$AY$3))</f>
        <v>0</v>
      </c>
      <c r="J87" s="4">
        <f>IF(ISNUMBER(SEARCH("营",'17.04'!R87)),(-$Y87+50*IF('17.04'!$AK87="是",'17.04'!$AY$4,'17.04'!$AY$3)),(VLOOKUP('17.04'!R87,'17.04'!$AM$4:$AO$55,2,FALSE))*IF('17.04'!$AK87="是",'17.04'!$AY$4,'17.04'!$AY$3))</f>
        <v>0</v>
      </c>
      <c r="K87" s="4">
        <f>IF(ISNUMBER(SEARCH("营",'17.04'!S87)),(-$Y87+50*IF('17.04'!$AK87="是",'17.04'!$AY$4,'17.04'!$AY$3)),(VLOOKUP('17.04'!S87,'17.04'!$AM$4:$AO$55,2,FALSE))*IF('17.04'!$AK87="是",'17.04'!$AY$4,'17.04'!$AY$3))</f>
        <v>0</v>
      </c>
      <c r="L87" s="4">
        <f>IF(ISNUMBER(SEARCH("营",'17.04'!T87)),(-$Y87+50*IF('17.04'!$AK87="是",'17.04'!$AY$4,'17.04'!$AY$3)),(VLOOKUP('17.04'!T87,'17.04'!$AM$4:$AO$55,2,FALSE))*IF('17.04'!$AK87="是",'17.04'!$AY$4,'17.04'!$AY$3))</f>
        <v>0</v>
      </c>
      <c r="M87" s="4">
        <f>IF(ISNUMBER(SEARCH("营",'17.04'!U87)),(-$Y87+50*IF('17.04'!$AK87="是",'17.04'!$AY$4,'17.04'!$AY$3)),(VLOOKUP('17.04'!U87,'17.04'!$AM$4:$AO$55,2,FALSE))*IF('17.04'!$AK87="是",'17.04'!$AY$4,'17.04'!$AY$3))</f>
        <v>0</v>
      </c>
      <c r="N87" s="4">
        <f>IF(ISNUMBER(SEARCH("营",'17.04'!V87)),(-$Y87+50*IF('17.04'!$AK87="是",'17.04'!$AY$4,'17.04'!$AY$3)),(VLOOKUP('17.04'!V87,'17.04'!$AM$4:$AO$55,2,FALSE))*IF('17.04'!$AK87="是",'17.04'!$AY$4,'17.04'!$AY$3))</f>
        <v>0</v>
      </c>
      <c r="O87" s="4">
        <f>IF(ISNUMBER(SEARCH("营",'17.04'!W87)),(-$Y87+50*IF('17.04'!$AK87="是",'17.04'!$AY$4,'17.04'!$AY$3)),(VLOOKUP('17.04'!W87,'17.04'!$AM$4:$AO$55,2,FALSE))*IF('17.04'!$AK87="是",'17.04'!$AY$4,'17.04'!$AY$3))</f>
        <v>0</v>
      </c>
      <c r="P87" s="4">
        <f>IF(ISNUMBER(SEARCH("营",'17.04'!X87)),(-$Y87+50*IF('17.04'!$AK87="是",'17.04'!$AY$4,'17.04'!$AY$3)),(VLOOKUP('17.04'!X87,'17.04'!$AM$4:$AO$55,2,FALSE))*IF('17.04'!$AK87="是",'17.04'!$AY$4,'17.04'!$AY$3))</f>
        <v>0</v>
      </c>
      <c r="Q87" s="4">
        <f>IF(ISNUMBER(SEARCH("营",'17.04'!Y87)),(-$Y87+50*IF('17.04'!$AK87="是",'17.04'!$AY$4,'17.04'!$AY$3)),(VLOOKUP('17.04'!Y87,'17.04'!$AM$4:$AO$55,2,FALSE))*IF('17.04'!$AK87="是",'17.04'!$AY$4,'17.04'!$AY$3))</f>
        <v>0</v>
      </c>
      <c r="R87" s="4">
        <f>IF(ISNUMBER(SEARCH("营",'17.04'!Z87)),(-$Y87+50*IF('17.04'!$AK87="是",'17.04'!$AY$4,'17.04'!$AY$3)),(VLOOKUP('17.04'!Z87,'17.04'!$AM$4:$AO$55,2,FALSE))*IF('17.04'!$AK87="是",'17.04'!$AY$4,'17.04'!$AY$3))</f>
        <v>0</v>
      </c>
      <c r="S87" s="4">
        <f>IF(ISNUMBER(SEARCH("营",'17.04'!AA87)),(-$Y87+50*IF('17.04'!$AK87="是",'17.04'!$AY$4,'17.04'!$AY$3)),(VLOOKUP('17.04'!AA87,'17.04'!$AM$4:$AO$55,2,FALSE))*IF('17.04'!$AK87="是",'17.04'!$AY$4,'17.04'!$AY$3))</f>
        <v>0</v>
      </c>
      <c r="T87" s="4">
        <f>IF(ISNUMBER(SEARCH("营",'17.04'!AB87)),(-$Y87+50*IF('17.04'!$AK87="是",'17.04'!$AY$4,'17.04'!$AY$3)),(VLOOKUP('17.04'!AB87,'17.04'!$AM$4:$AO$55,2,FALSE))*IF('17.04'!$AK87="是",'17.04'!$AY$4,'17.04'!$AY$3))</f>
        <v>0</v>
      </c>
      <c r="U87" s="4">
        <f>IF(ISNUMBER(SEARCH("营",'17.04'!AC87)),(-$Y87+50*IF('17.04'!$AK87="是",'17.04'!$AY$4,'17.04'!$AY$3)),(VLOOKUP('17.04'!AC87,'17.04'!$AM$4:$AO$55,2,FALSE))*IF('17.04'!$AK87="是",'17.04'!$AY$4,'17.04'!$AY$3))</f>
        <v>0</v>
      </c>
      <c r="V87" s="4">
        <f>IF(ISNUMBER(SEARCH("营",'17.04'!AD87)),(-$Y87+50*IF('17.04'!$AK87="是",'17.04'!$AY$4,'17.04'!$AY$3)),(VLOOKUP('17.04'!AD87,'17.04'!$AM$4:$AO$55,2,FALSE))*IF('17.04'!$AK87="是",'17.04'!$AY$4,'17.04'!$AY$3))</f>
        <v>0</v>
      </c>
      <c r="W87" s="4">
        <f>IF(ISNUMBER(SEARCH("营",'17.04'!AE87)),(-$Y87+50*IF('17.04'!$AK87="是",'17.04'!$AY$4,'17.04'!$AY$3)),(VLOOKUP('17.04'!AE87,'17.04'!$AM$4:$AO$55,2,FALSE))*IF('17.04'!$AK87="是",'17.04'!$AY$4,'17.04'!$AY$3))</f>
        <v>0</v>
      </c>
      <c r="X87" s="4">
        <f>IF(ISNUMBER(SEARCH("营",'17.04'!AF87)),(-$Y87+50*IF('17.04'!$AK87="是",'17.04'!$AY$4,'17.04'!$AY$3)),(VLOOKUP('17.04'!AF87,'17.04'!$AM$4:$AO$55,2,FALSE))*IF('17.04'!$AK87="是",'17.04'!$AY$4,'17.04'!$AY$3))</f>
        <v>0</v>
      </c>
      <c r="Y87" s="89">
        <v>100</v>
      </c>
    </row>
    <row r="88" spans="1:25">
      <c r="A88" s="4">
        <f>IF(ISNUMBER(SEARCH("营",'17.04'!I88)),(-$Y88+50*IF('17.04'!$AK88="是",'17.04'!$AY$4,'17.04'!$AY$3)),(VLOOKUP('17.04'!I88,'17.04'!$AM$4:$AO$55,2,FALSE))*IF('17.04'!$AK88="是",'17.04'!$AY$4,'17.04'!$AY$3))</f>
        <v>0</v>
      </c>
      <c r="B88" s="4">
        <f>IF(ISNUMBER(SEARCH("营",'17.04'!J88)),(-$Y88+50*IF('17.04'!$AK88="是",'17.04'!$AY$4,'17.04'!$AY$3)),(VLOOKUP('17.04'!J88,'17.04'!$AM$4:$AO$55,2,FALSE))*IF('17.04'!$AK88="是",'17.04'!$AY$4,'17.04'!$AY$3))</f>
        <v>0</v>
      </c>
      <c r="C88" s="4">
        <f>IF(ISNUMBER(SEARCH("营",'17.04'!K88)),(-$Y88+50*IF('17.04'!$AK88="是",'17.04'!$AY$4,'17.04'!$AY$3)),(VLOOKUP('17.04'!K88,'17.04'!$AM$4:$AO$55,2,FALSE))*IF('17.04'!$AK88="是",'17.04'!$AY$4,'17.04'!$AY$3))</f>
        <v>0</v>
      </c>
      <c r="D88" s="4">
        <f>IF(ISNUMBER(SEARCH("营",'17.04'!L88)),(-$Y88+50*IF('17.04'!$AK88="是",'17.04'!$AY$4,'17.04'!$AY$3)),(VLOOKUP('17.04'!L88,'17.04'!$AM$4:$AO$55,2,FALSE))*IF('17.04'!$AK88="是",'17.04'!$AY$4,'17.04'!$AY$3))</f>
        <v>0</v>
      </c>
      <c r="E88" s="4">
        <f>IF(ISNUMBER(SEARCH("营",'17.04'!M88)),(-$Y88+50*IF('17.04'!$AK88="是",'17.04'!$AY$4,'17.04'!$AY$3)),(VLOOKUP('17.04'!M88,'17.04'!$AM$4:$AO$55,2,FALSE))*IF('17.04'!$AK88="是",'17.04'!$AY$4,'17.04'!$AY$3))</f>
        <v>0</v>
      </c>
      <c r="F88" s="4">
        <f>IF(ISNUMBER(SEARCH("营",'17.04'!N88)),(-$Y88+50*IF('17.04'!$AK88="是",'17.04'!$AY$4,'17.04'!$AY$3)),(VLOOKUP('17.04'!N88,'17.04'!$AM$4:$AO$55,2,FALSE))*IF('17.04'!$AK88="是",'17.04'!$AY$4,'17.04'!$AY$3))</f>
        <v>0</v>
      </c>
      <c r="G88" s="4">
        <f>IF(ISNUMBER(SEARCH("营",'17.04'!O88)),(-$Y88+50*IF('17.04'!$AK88="是",'17.04'!$AY$4,'17.04'!$AY$3)),(VLOOKUP('17.04'!O88,'17.04'!$AM$4:$AO$55,2,FALSE))*IF('17.04'!$AK88="是",'17.04'!$AY$4,'17.04'!$AY$3))</f>
        <v>0</v>
      </c>
      <c r="H88" s="4">
        <f>IF(ISNUMBER(SEARCH("营",'17.04'!P88)),(-$Y88+50*IF('17.04'!$AK88="是",'17.04'!$AY$4,'17.04'!$AY$3)),(VLOOKUP('17.04'!P88,'17.04'!$AM$4:$AO$55,2,FALSE))*IF('17.04'!$AK88="是",'17.04'!$AY$4,'17.04'!$AY$3))</f>
        <v>0</v>
      </c>
      <c r="I88" s="4">
        <f>IF(ISNUMBER(SEARCH("营",'17.04'!Q88)),(-$Y88+50*IF('17.04'!$AK88="是",'17.04'!$AY$4,'17.04'!$AY$3)),(VLOOKUP('17.04'!Q88,'17.04'!$AM$4:$AO$55,2,FALSE))*IF('17.04'!$AK88="是",'17.04'!$AY$4,'17.04'!$AY$3))</f>
        <v>0</v>
      </c>
      <c r="J88" s="4">
        <f>IF(ISNUMBER(SEARCH("营",'17.04'!R88)),(-$Y88+50*IF('17.04'!$AK88="是",'17.04'!$AY$4,'17.04'!$AY$3)),(VLOOKUP('17.04'!R88,'17.04'!$AM$4:$AO$55,2,FALSE))*IF('17.04'!$AK88="是",'17.04'!$AY$4,'17.04'!$AY$3))</f>
        <v>0</v>
      </c>
      <c r="K88" s="4">
        <f>IF(ISNUMBER(SEARCH("营",'17.04'!S88)),(-$Y88+50*IF('17.04'!$AK88="是",'17.04'!$AY$4,'17.04'!$AY$3)),(VLOOKUP('17.04'!S88,'17.04'!$AM$4:$AO$55,2,FALSE))*IF('17.04'!$AK88="是",'17.04'!$AY$4,'17.04'!$AY$3))</f>
        <v>0</v>
      </c>
      <c r="L88" s="4">
        <f>IF(ISNUMBER(SEARCH("营",'17.04'!T88)),(-$Y88+50*IF('17.04'!$AK88="是",'17.04'!$AY$4,'17.04'!$AY$3)),(VLOOKUP('17.04'!T88,'17.04'!$AM$4:$AO$55,2,FALSE))*IF('17.04'!$AK88="是",'17.04'!$AY$4,'17.04'!$AY$3))</f>
        <v>0</v>
      </c>
      <c r="M88" s="4">
        <f>IF(ISNUMBER(SEARCH("营",'17.04'!U88)),(-$Y88+50*IF('17.04'!$AK88="是",'17.04'!$AY$4,'17.04'!$AY$3)),(VLOOKUP('17.04'!U88,'17.04'!$AM$4:$AO$55,2,FALSE))*IF('17.04'!$AK88="是",'17.04'!$AY$4,'17.04'!$AY$3))</f>
        <v>0</v>
      </c>
      <c r="N88" s="4">
        <f>IF(ISNUMBER(SEARCH("营",'17.04'!V88)),(-$Y88+50*IF('17.04'!$AK88="是",'17.04'!$AY$4,'17.04'!$AY$3)),(VLOOKUP('17.04'!V88,'17.04'!$AM$4:$AO$55,2,FALSE))*IF('17.04'!$AK88="是",'17.04'!$AY$4,'17.04'!$AY$3))</f>
        <v>0</v>
      </c>
      <c r="O88" s="4">
        <f>IF(ISNUMBER(SEARCH("营",'17.04'!W88)),(-$Y88+50*IF('17.04'!$AK88="是",'17.04'!$AY$4,'17.04'!$AY$3)),(VLOOKUP('17.04'!W88,'17.04'!$AM$4:$AO$55,2,FALSE))*IF('17.04'!$AK88="是",'17.04'!$AY$4,'17.04'!$AY$3))</f>
        <v>0</v>
      </c>
      <c r="P88" s="4">
        <f>IF(ISNUMBER(SEARCH("营",'17.04'!X88)),(-$Y88+50*IF('17.04'!$AK88="是",'17.04'!$AY$4,'17.04'!$AY$3)),(VLOOKUP('17.04'!X88,'17.04'!$AM$4:$AO$55,2,FALSE))*IF('17.04'!$AK88="是",'17.04'!$AY$4,'17.04'!$AY$3))</f>
        <v>0</v>
      </c>
      <c r="Q88" s="4">
        <f>IF(ISNUMBER(SEARCH("营",'17.04'!Y88)),(-$Y88+50*IF('17.04'!$AK88="是",'17.04'!$AY$4,'17.04'!$AY$3)),(VLOOKUP('17.04'!Y88,'17.04'!$AM$4:$AO$55,2,FALSE))*IF('17.04'!$AK88="是",'17.04'!$AY$4,'17.04'!$AY$3))</f>
        <v>0</v>
      </c>
      <c r="R88" s="4">
        <f>IF(ISNUMBER(SEARCH("营",'17.04'!Z88)),(-$Y88+50*IF('17.04'!$AK88="是",'17.04'!$AY$4,'17.04'!$AY$3)),(VLOOKUP('17.04'!Z88,'17.04'!$AM$4:$AO$55,2,FALSE))*IF('17.04'!$AK88="是",'17.04'!$AY$4,'17.04'!$AY$3))</f>
        <v>0</v>
      </c>
      <c r="S88" s="4">
        <f>IF(ISNUMBER(SEARCH("营",'17.04'!AA88)),(-$Y88+50*IF('17.04'!$AK88="是",'17.04'!$AY$4,'17.04'!$AY$3)),(VLOOKUP('17.04'!AA88,'17.04'!$AM$4:$AO$55,2,FALSE))*IF('17.04'!$AK88="是",'17.04'!$AY$4,'17.04'!$AY$3))</f>
        <v>0</v>
      </c>
      <c r="T88" s="4">
        <f>IF(ISNUMBER(SEARCH("营",'17.04'!AB88)),(-$Y88+50*IF('17.04'!$AK88="是",'17.04'!$AY$4,'17.04'!$AY$3)),(VLOOKUP('17.04'!AB88,'17.04'!$AM$4:$AO$55,2,FALSE))*IF('17.04'!$AK88="是",'17.04'!$AY$4,'17.04'!$AY$3))</f>
        <v>0</v>
      </c>
      <c r="U88" s="4">
        <f>IF(ISNUMBER(SEARCH("营",'17.04'!AC88)),(-$Y88+50*IF('17.04'!$AK88="是",'17.04'!$AY$4,'17.04'!$AY$3)),(VLOOKUP('17.04'!AC88,'17.04'!$AM$4:$AO$55,2,FALSE))*IF('17.04'!$AK88="是",'17.04'!$AY$4,'17.04'!$AY$3))</f>
        <v>0</v>
      </c>
      <c r="V88" s="4">
        <f>IF(ISNUMBER(SEARCH("营",'17.04'!AD88)),(-$Y88+50*IF('17.04'!$AK88="是",'17.04'!$AY$4,'17.04'!$AY$3)),(VLOOKUP('17.04'!AD88,'17.04'!$AM$4:$AO$55,2,FALSE))*IF('17.04'!$AK88="是",'17.04'!$AY$4,'17.04'!$AY$3))</f>
        <v>0</v>
      </c>
      <c r="W88" s="4">
        <f>IF(ISNUMBER(SEARCH("营",'17.04'!AE88)),(-$Y88+50*IF('17.04'!$AK88="是",'17.04'!$AY$4,'17.04'!$AY$3)),(VLOOKUP('17.04'!AE88,'17.04'!$AM$4:$AO$55,2,FALSE))*IF('17.04'!$AK88="是",'17.04'!$AY$4,'17.04'!$AY$3))</f>
        <v>0</v>
      </c>
      <c r="X88" s="4">
        <f>IF(ISNUMBER(SEARCH("营",'17.04'!AF88)),(-$Y88+50*IF('17.04'!$AK88="是",'17.04'!$AY$4,'17.04'!$AY$3)),(VLOOKUP('17.04'!AF88,'17.04'!$AM$4:$AO$55,2,FALSE))*IF('17.04'!$AK88="是",'17.04'!$AY$4,'17.04'!$AY$3))</f>
        <v>0</v>
      </c>
      <c r="Y88" s="89">
        <v>100</v>
      </c>
    </row>
    <row r="89" spans="1:25">
      <c r="A89" s="4">
        <f>IF(ISNUMBER(SEARCH("营",'17.04'!I89)),(-$Y89+50*IF('17.04'!$AK89="是",'17.04'!$AY$4,'17.04'!$AY$3)),(VLOOKUP('17.04'!I89,'17.04'!$AM$4:$AO$55,2,FALSE))*IF('17.04'!$AK89="是",'17.04'!$AY$4,'17.04'!$AY$3))</f>
        <v>0</v>
      </c>
      <c r="B89" s="4">
        <f>IF(ISNUMBER(SEARCH("营",'17.04'!J89)),(-$Y89+50*IF('17.04'!$AK89="是",'17.04'!$AY$4,'17.04'!$AY$3)),(VLOOKUP('17.04'!J89,'17.04'!$AM$4:$AO$55,2,FALSE))*IF('17.04'!$AK89="是",'17.04'!$AY$4,'17.04'!$AY$3))</f>
        <v>0</v>
      </c>
      <c r="C89" s="4">
        <f>IF(ISNUMBER(SEARCH("营",'17.04'!K89)),(-$Y89+50*IF('17.04'!$AK89="是",'17.04'!$AY$4,'17.04'!$AY$3)),(VLOOKUP('17.04'!K89,'17.04'!$AM$4:$AO$55,2,FALSE))*IF('17.04'!$AK89="是",'17.04'!$AY$4,'17.04'!$AY$3))</f>
        <v>0</v>
      </c>
      <c r="D89" s="4">
        <f>IF(ISNUMBER(SEARCH("营",'17.04'!L89)),(-$Y89+50*IF('17.04'!$AK89="是",'17.04'!$AY$4,'17.04'!$AY$3)),(VLOOKUP('17.04'!L89,'17.04'!$AM$4:$AO$55,2,FALSE))*IF('17.04'!$AK89="是",'17.04'!$AY$4,'17.04'!$AY$3))</f>
        <v>0</v>
      </c>
      <c r="E89" s="4">
        <f>IF(ISNUMBER(SEARCH("营",'17.04'!M89)),(-$Y89+50*IF('17.04'!$AK89="是",'17.04'!$AY$4,'17.04'!$AY$3)),(VLOOKUP('17.04'!M89,'17.04'!$AM$4:$AO$55,2,FALSE))*IF('17.04'!$AK89="是",'17.04'!$AY$4,'17.04'!$AY$3))</f>
        <v>0</v>
      </c>
      <c r="F89" s="4">
        <f>IF(ISNUMBER(SEARCH("营",'17.04'!N89)),(-$Y89+50*IF('17.04'!$AK89="是",'17.04'!$AY$4,'17.04'!$AY$3)),(VLOOKUP('17.04'!N89,'17.04'!$AM$4:$AO$55,2,FALSE))*IF('17.04'!$AK89="是",'17.04'!$AY$4,'17.04'!$AY$3))</f>
        <v>0</v>
      </c>
      <c r="G89" s="4">
        <f>IF(ISNUMBER(SEARCH("营",'17.04'!O89)),(-$Y89+50*IF('17.04'!$AK89="是",'17.04'!$AY$4,'17.04'!$AY$3)),(VLOOKUP('17.04'!O89,'17.04'!$AM$4:$AO$55,2,FALSE))*IF('17.04'!$AK89="是",'17.04'!$AY$4,'17.04'!$AY$3))</f>
        <v>0</v>
      </c>
      <c r="H89" s="4">
        <f>IF(ISNUMBER(SEARCH("营",'17.04'!P89)),(-$Y89+50*IF('17.04'!$AK89="是",'17.04'!$AY$4,'17.04'!$AY$3)),(VLOOKUP('17.04'!P89,'17.04'!$AM$4:$AO$55,2,FALSE))*IF('17.04'!$AK89="是",'17.04'!$AY$4,'17.04'!$AY$3))</f>
        <v>0</v>
      </c>
      <c r="I89" s="4">
        <f>IF(ISNUMBER(SEARCH("营",'17.04'!Q89)),(-$Y89+50*IF('17.04'!$AK89="是",'17.04'!$AY$4,'17.04'!$AY$3)),(VLOOKUP('17.04'!Q89,'17.04'!$AM$4:$AO$55,2,FALSE))*IF('17.04'!$AK89="是",'17.04'!$AY$4,'17.04'!$AY$3))</f>
        <v>0</v>
      </c>
      <c r="J89" s="4">
        <f>IF(ISNUMBER(SEARCH("营",'17.04'!R89)),(-$Y89+50*IF('17.04'!$AK89="是",'17.04'!$AY$4,'17.04'!$AY$3)),(VLOOKUP('17.04'!R89,'17.04'!$AM$4:$AO$55,2,FALSE))*IF('17.04'!$AK89="是",'17.04'!$AY$4,'17.04'!$AY$3))</f>
        <v>0</v>
      </c>
      <c r="K89" s="4">
        <f>IF(ISNUMBER(SEARCH("营",'17.04'!S89)),(-$Y89+50*IF('17.04'!$AK89="是",'17.04'!$AY$4,'17.04'!$AY$3)),(VLOOKUP('17.04'!S89,'17.04'!$AM$4:$AO$55,2,FALSE))*IF('17.04'!$AK89="是",'17.04'!$AY$4,'17.04'!$AY$3))</f>
        <v>0</v>
      </c>
      <c r="L89" s="4">
        <f>IF(ISNUMBER(SEARCH("营",'17.04'!T89)),(-$Y89+50*IF('17.04'!$AK89="是",'17.04'!$AY$4,'17.04'!$AY$3)),(VLOOKUP('17.04'!T89,'17.04'!$AM$4:$AO$55,2,FALSE))*IF('17.04'!$AK89="是",'17.04'!$AY$4,'17.04'!$AY$3))</f>
        <v>0</v>
      </c>
      <c r="M89" s="4">
        <f>IF(ISNUMBER(SEARCH("营",'17.04'!U89)),(-$Y89+50*IF('17.04'!$AK89="是",'17.04'!$AY$4,'17.04'!$AY$3)),(VLOOKUP('17.04'!U89,'17.04'!$AM$4:$AO$55,2,FALSE))*IF('17.04'!$AK89="是",'17.04'!$AY$4,'17.04'!$AY$3))</f>
        <v>0</v>
      </c>
      <c r="N89" s="4">
        <f>IF(ISNUMBER(SEARCH("营",'17.04'!V89)),(-$Y89+50*IF('17.04'!$AK89="是",'17.04'!$AY$4,'17.04'!$AY$3)),(VLOOKUP('17.04'!V89,'17.04'!$AM$4:$AO$55,2,FALSE))*IF('17.04'!$AK89="是",'17.04'!$AY$4,'17.04'!$AY$3))</f>
        <v>0</v>
      </c>
      <c r="O89" s="4">
        <f>IF(ISNUMBER(SEARCH("营",'17.04'!W89)),(-$Y89+50*IF('17.04'!$AK89="是",'17.04'!$AY$4,'17.04'!$AY$3)),(VLOOKUP('17.04'!W89,'17.04'!$AM$4:$AO$55,2,FALSE))*IF('17.04'!$AK89="是",'17.04'!$AY$4,'17.04'!$AY$3))</f>
        <v>0</v>
      </c>
      <c r="P89" s="4">
        <f>IF(ISNUMBER(SEARCH("营",'17.04'!X89)),(-$Y89+50*IF('17.04'!$AK89="是",'17.04'!$AY$4,'17.04'!$AY$3)),(VLOOKUP('17.04'!X89,'17.04'!$AM$4:$AO$55,2,FALSE))*IF('17.04'!$AK89="是",'17.04'!$AY$4,'17.04'!$AY$3))</f>
        <v>0</v>
      </c>
      <c r="Q89" s="4">
        <f>IF(ISNUMBER(SEARCH("营",'17.04'!Y89)),(-$Y89+50*IF('17.04'!$AK89="是",'17.04'!$AY$4,'17.04'!$AY$3)),(VLOOKUP('17.04'!Y89,'17.04'!$AM$4:$AO$55,2,FALSE))*IF('17.04'!$AK89="是",'17.04'!$AY$4,'17.04'!$AY$3))</f>
        <v>0</v>
      </c>
      <c r="R89" s="4">
        <f>IF(ISNUMBER(SEARCH("营",'17.04'!Z89)),(-$Y89+50*IF('17.04'!$AK89="是",'17.04'!$AY$4,'17.04'!$AY$3)),(VLOOKUP('17.04'!Z89,'17.04'!$AM$4:$AO$55,2,FALSE))*IF('17.04'!$AK89="是",'17.04'!$AY$4,'17.04'!$AY$3))</f>
        <v>0</v>
      </c>
      <c r="S89" s="4">
        <f>IF(ISNUMBER(SEARCH("营",'17.04'!AA89)),(-$Y89+50*IF('17.04'!$AK89="是",'17.04'!$AY$4,'17.04'!$AY$3)),(VLOOKUP('17.04'!AA89,'17.04'!$AM$4:$AO$55,2,FALSE))*IF('17.04'!$AK89="是",'17.04'!$AY$4,'17.04'!$AY$3))</f>
        <v>0</v>
      </c>
      <c r="T89" s="4">
        <f>IF(ISNUMBER(SEARCH("营",'17.04'!AB89)),(-$Y89+50*IF('17.04'!$AK89="是",'17.04'!$AY$4,'17.04'!$AY$3)),(VLOOKUP('17.04'!AB89,'17.04'!$AM$4:$AO$55,2,FALSE))*IF('17.04'!$AK89="是",'17.04'!$AY$4,'17.04'!$AY$3))</f>
        <v>0</v>
      </c>
      <c r="U89" s="4">
        <f>IF(ISNUMBER(SEARCH("营",'17.04'!AC89)),(-$Y89+50*IF('17.04'!$AK89="是",'17.04'!$AY$4,'17.04'!$AY$3)),(VLOOKUP('17.04'!AC89,'17.04'!$AM$4:$AO$55,2,FALSE))*IF('17.04'!$AK89="是",'17.04'!$AY$4,'17.04'!$AY$3))</f>
        <v>0</v>
      </c>
      <c r="V89" s="4">
        <f>IF(ISNUMBER(SEARCH("营",'17.04'!AD89)),(-$Y89+50*IF('17.04'!$AK89="是",'17.04'!$AY$4,'17.04'!$AY$3)),(VLOOKUP('17.04'!AD89,'17.04'!$AM$4:$AO$55,2,FALSE))*IF('17.04'!$AK89="是",'17.04'!$AY$4,'17.04'!$AY$3))</f>
        <v>0</v>
      </c>
      <c r="W89" s="4">
        <f>IF(ISNUMBER(SEARCH("营",'17.04'!AE89)),(-$Y89+50*IF('17.04'!$AK89="是",'17.04'!$AY$4,'17.04'!$AY$3)),(VLOOKUP('17.04'!AE89,'17.04'!$AM$4:$AO$55,2,FALSE))*IF('17.04'!$AK89="是",'17.04'!$AY$4,'17.04'!$AY$3))</f>
        <v>0</v>
      </c>
      <c r="X89" s="4">
        <f>IF(ISNUMBER(SEARCH("营",'17.04'!AF89)),(-$Y89+50*IF('17.04'!$AK89="是",'17.04'!$AY$4,'17.04'!$AY$3)),(VLOOKUP('17.04'!AF89,'17.04'!$AM$4:$AO$55,2,FALSE))*IF('17.04'!$AK89="是",'17.04'!$AY$4,'17.04'!$AY$3))</f>
        <v>0</v>
      </c>
      <c r="Y89" s="89">
        <v>100</v>
      </c>
    </row>
    <row r="90" spans="1:25">
      <c r="A90" s="4">
        <f>IF(ISNUMBER(SEARCH("营",'17.04'!I90)),(-$Y90+50*IF('17.04'!$AK90="是",'17.04'!$AY$4,'17.04'!$AY$3)),(VLOOKUP('17.04'!I90,'17.04'!$AM$4:$AO$55,2,FALSE))*IF('17.04'!$AK90="是",'17.04'!$AY$4,'17.04'!$AY$3))</f>
        <v>0</v>
      </c>
      <c r="B90" s="4">
        <f>IF(ISNUMBER(SEARCH("营",'17.04'!J90)),(-$Y90+50*IF('17.04'!$AK90="是",'17.04'!$AY$4,'17.04'!$AY$3)),(VLOOKUP('17.04'!J90,'17.04'!$AM$4:$AO$55,2,FALSE))*IF('17.04'!$AK90="是",'17.04'!$AY$4,'17.04'!$AY$3))</f>
        <v>0</v>
      </c>
      <c r="C90" s="4">
        <f>IF(ISNUMBER(SEARCH("营",'17.04'!K90)),(-$Y90+50*IF('17.04'!$AK90="是",'17.04'!$AY$4,'17.04'!$AY$3)),(VLOOKUP('17.04'!K90,'17.04'!$AM$4:$AO$55,2,FALSE))*IF('17.04'!$AK90="是",'17.04'!$AY$4,'17.04'!$AY$3))</f>
        <v>0</v>
      </c>
      <c r="D90" s="4">
        <f>IF(ISNUMBER(SEARCH("营",'17.04'!L90)),(-$Y90+50*IF('17.04'!$AK90="是",'17.04'!$AY$4,'17.04'!$AY$3)),(VLOOKUP('17.04'!L90,'17.04'!$AM$4:$AO$55,2,FALSE))*IF('17.04'!$AK90="是",'17.04'!$AY$4,'17.04'!$AY$3))</f>
        <v>0</v>
      </c>
      <c r="E90" s="4">
        <f>IF(ISNUMBER(SEARCH("营",'17.04'!M90)),(-$Y90+50*IF('17.04'!$AK90="是",'17.04'!$AY$4,'17.04'!$AY$3)),(VLOOKUP('17.04'!M90,'17.04'!$AM$4:$AO$55,2,FALSE))*IF('17.04'!$AK90="是",'17.04'!$AY$4,'17.04'!$AY$3))</f>
        <v>0</v>
      </c>
      <c r="F90" s="4">
        <f>IF(ISNUMBER(SEARCH("营",'17.04'!N90)),(-$Y90+50*IF('17.04'!$AK90="是",'17.04'!$AY$4,'17.04'!$AY$3)),(VLOOKUP('17.04'!N90,'17.04'!$AM$4:$AO$55,2,FALSE))*IF('17.04'!$AK90="是",'17.04'!$AY$4,'17.04'!$AY$3))</f>
        <v>0</v>
      </c>
      <c r="G90" s="4">
        <f>IF(ISNUMBER(SEARCH("营",'17.04'!O90)),(-$Y90+50*IF('17.04'!$AK90="是",'17.04'!$AY$4,'17.04'!$AY$3)),(VLOOKUP('17.04'!O90,'17.04'!$AM$4:$AO$55,2,FALSE))*IF('17.04'!$AK90="是",'17.04'!$AY$4,'17.04'!$AY$3))</f>
        <v>0</v>
      </c>
      <c r="H90" s="4">
        <f>IF(ISNUMBER(SEARCH("营",'17.04'!P90)),(-$Y90+50*IF('17.04'!$AK90="是",'17.04'!$AY$4,'17.04'!$AY$3)),(VLOOKUP('17.04'!P90,'17.04'!$AM$4:$AO$55,2,FALSE))*IF('17.04'!$AK90="是",'17.04'!$AY$4,'17.04'!$AY$3))</f>
        <v>0</v>
      </c>
      <c r="I90" s="4">
        <f>IF(ISNUMBER(SEARCH("营",'17.04'!Q90)),(-$Y90+50*IF('17.04'!$AK90="是",'17.04'!$AY$4,'17.04'!$AY$3)),(VLOOKUP('17.04'!Q90,'17.04'!$AM$4:$AO$55,2,FALSE))*IF('17.04'!$AK90="是",'17.04'!$AY$4,'17.04'!$AY$3))</f>
        <v>120</v>
      </c>
      <c r="J90" s="4">
        <f>IF(ISNUMBER(SEARCH("营",'17.04'!R90)),(-$Y90+50*IF('17.04'!$AK90="是",'17.04'!$AY$4,'17.04'!$AY$3)),(VLOOKUP('17.04'!R90,'17.04'!$AM$4:$AO$55,2,FALSE))*IF('17.04'!$AK90="是",'17.04'!$AY$4,'17.04'!$AY$3))</f>
        <v>120</v>
      </c>
      <c r="K90" s="4">
        <f>IF(ISNUMBER(SEARCH("营",'17.04'!S90)),(-$Y90+50*IF('17.04'!$AK90="是",'17.04'!$AY$4,'17.04'!$AY$3)),(VLOOKUP('17.04'!S90,'17.04'!$AM$4:$AO$55,2,FALSE))*IF('17.04'!$AK90="是",'17.04'!$AY$4,'17.04'!$AY$3))</f>
        <v>0</v>
      </c>
      <c r="L90" s="4">
        <f>IF(ISNUMBER(SEARCH("营",'17.04'!T90)),(-$Y90+50*IF('17.04'!$AK90="是",'17.04'!$AY$4,'17.04'!$AY$3)),(VLOOKUP('17.04'!T90,'17.04'!$AM$4:$AO$55,2,FALSE))*IF('17.04'!$AK90="是",'17.04'!$AY$4,'17.04'!$AY$3))</f>
        <v>128</v>
      </c>
      <c r="M90" s="4">
        <f>IF(ISNUMBER(SEARCH("营",'17.04'!U90)),(-$Y90+50*IF('17.04'!$AK90="是",'17.04'!$AY$4,'17.04'!$AY$3)),(VLOOKUP('17.04'!U90,'17.04'!$AM$4:$AO$55,2,FALSE))*IF('17.04'!$AK90="是",'17.04'!$AY$4,'17.04'!$AY$3))</f>
        <v>40</v>
      </c>
      <c r="N90" s="4">
        <f>IF(ISNUMBER(SEARCH("营",'17.04'!V90)),(-$Y90+50*IF('17.04'!$AK90="是",'17.04'!$AY$4,'17.04'!$AY$3)),(VLOOKUP('17.04'!V90,'17.04'!$AM$4:$AO$55,2,FALSE))*IF('17.04'!$AK90="是",'17.04'!$AY$4,'17.04'!$AY$3))</f>
        <v>128</v>
      </c>
      <c r="O90" s="4">
        <f>IF(ISNUMBER(SEARCH("营",'17.04'!W90)),(-$Y90+50*IF('17.04'!$AK90="是",'17.04'!$AY$4,'17.04'!$AY$3)),(VLOOKUP('17.04'!W90,'17.04'!$AM$4:$AO$55,2,FALSE))*IF('17.04'!$AK90="是",'17.04'!$AY$4,'17.04'!$AY$3))</f>
        <v>0</v>
      </c>
      <c r="P90" s="4">
        <f>IF(ISNUMBER(SEARCH("营",'17.04'!X90)),(-$Y90+50*IF('17.04'!$AK90="是",'17.04'!$AY$4,'17.04'!$AY$3)),(VLOOKUP('17.04'!X90,'17.04'!$AM$4:$AO$55,2,FALSE))*IF('17.04'!$AK90="是",'17.04'!$AY$4,'17.04'!$AY$3))</f>
        <v>0</v>
      </c>
      <c r="Q90" s="4">
        <f>IF(ISNUMBER(SEARCH("营",'17.04'!Y90)),(-$Y90+50*IF('17.04'!$AK90="是",'17.04'!$AY$4,'17.04'!$AY$3)),(VLOOKUP('17.04'!Y90,'17.04'!$AM$4:$AO$55,2,FALSE))*IF('17.04'!$AK90="是",'17.04'!$AY$4,'17.04'!$AY$3))</f>
        <v>0</v>
      </c>
      <c r="R90" s="4">
        <f>IF(ISNUMBER(SEARCH("营",'17.04'!Z90)),(-$Y90+50*IF('17.04'!$AK90="是",'17.04'!$AY$4,'17.04'!$AY$3)),(VLOOKUP('17.04'!Z90,'17.04'!$AM$4:$AO$55,2,FALSE))*IF('17.04'!$AK90="是",'17.04'!$AY$4,'17.04'!$AY$3))</f>
        <v>0</v>
      </c>
      <c r="S90" s="4">
        <f>IF(ISNUMBER(SEARCH("营",'17.04'!AA90)),(-$Y90+50*IF('17.04'!$AK90="是",'17.04'!$AY$4,'17.04'!$AY$3)),(VLOOKUP('17.04'!AA90,'17.04'!$AM$4:$AO$55,2,FALSE))*IF('17.04'!$AK90="是",'17.04'!$AY$4,'17.04'!$AY$3))</f>
        <v>0</v>
      </c>
      <c r="T90" s="4">
        <f>IF(ISNUMBER(SEARCH("营",'17.04'!AB90)),(-$Y90+50*IF('17.04'!$AK90="是",'17.04'!$AY$4,'17.04'!$AY$3)),(VLOOKUP('17.04'!AB90,'17.04'!$AM$4:$AO$55,2,FALSE))*IF('17.04'!$AK90="是",'17.04'!$AY$4,'17.04'!$AY$3))</f>
        <v>0</v>
      </c>
      <c r="U90" s="4">
        <f>IF(ISNUMBER(SEARCH("营",'17.04'!AC90)),(-$Y90+50*IF('17.04'!$AK90="是",'17.04'!$AY$4,'17.04'!$AY$3)),(VLOOKUP('17.04'!AC90,'17.04'!$AM$4:$AO$55,2,FALSE))*IF('17.04'!$AK90="是",'17.04'!$AY$4,'17.04'!$AY$3))</f>
        <v>0</v>
      </c>
      <c r="V90" s="4">
        <f>IF(ISNUMBER(SEARCH("营",'17.04'!AD90)),(-$Y90+50*IF('17.04'!$AK90="是",'17.04'!$AY$4,'17.04'!$AY$3)),(VLOOKUP('17.04'!AD90,'17.04'!$AM$4:$AO$55,2,FALSE))*IF('17.04'!$AK90="是",'17.04'!$AY$4,'17.04'!$AY$3))</f>
        <v>0</v>
      </c>
      <c r="W90" s="4">
        <f>IF(ISNUMBER(SEARCH("营",'17.04'!AE90)),(-$Y90+50*IF('17.04'!$AK90="是",'17.04'!$AY$4,'17.04'!$AY$3)),(VLOOKUP('17.04'!AE90,'17.04'!$AM$4:$AO$55,2,FALSE))*IF('17.04'!$AK90="是",'17.04'!$AY$4,'17.04'!$AY$3))</f>
        <v>0</v>
      </c>
      <c r="X90" s="4">
        <f>IF(ISNUMBER(SEARCH("营",'17.04'!AF90)),(-$Y90+50*IF('17.04'!$AK90="是",'17.04'!$AY$4,'17.04'!$AY$3)),(VLOOKUP('17.04'!AF90,'17.04'!$AM$4:$AO$55,2,FALSE))*IF('17.04'!$AK90="是",'17.04'!$AY$4,'17.04'!$AY$3))</f>
        <v>0</v>
      </c>
      <c r="Y90" s="89">
        <v>100</v>
      </c>
    </row>
    <row r="91" spans="1:25">
      <c r="A91" s="4">
        <f>IF(ISNUMBER(SEARCH("营",'17.04'!I91)),(-$Y91+50*IF('17.04'!$AK91="是",'17.04'!$AY$4,'17.04'!$AY$3)),(VLOOKUP('17.04'!I91,'17.04'!$AM$4:$AO$55,2,FALSE))*IF('17.04'!$AK91="是",'17.04'!$AY$4,'17.04'!$AY$3))</f>
        <v>128</v>
      </c>
      <c r="B91" s="4">
        <f>IF(ISNUMBER(SEARCH("营",'17.04'!J91)),(-$Y91+50*IF('17.04'!$AK91="是",'17.04'!$AY$4,'17.04'!$AY$3)),(VLOOKUP('17.04'!J91,'17.04'!$AM$4:$AO$55,2,FALSE))*IF('17.04'!$AK91="是",'17.04'!$AY$4,'17.04'!$AY$3))</f>
        <v>128</v>
      </c>
      <c r="C91" s="4">
        <f>IF(ISNUMBER(SEARCH("营",'17.04'!K91)),(-$Y91+50*IF('17.04'!$AK91="是",'17.04'!$AY$4,'17.04'!$AY$3)),(VLOOKUP('17.04'!K91,'17.04'!$AM$4:$AO$55,2,FALSE))*IF('17.04'!$AK91="是",'17.04'!$AY$4,'17.04'!$AY$3))</f>
        <v>128</v>
      </c>
      <c r="D91" s="4">
        <f>IF(ISNUMBER(SEARCH("营",'17.04'!L91)),(-$Y91+50*IF('17.04'!$AK91="是",'17.04'!$AY$4,'17.04'!$AY$3)),(VLOOKUP('17.04'!L91,'17.04'!$AM$4:$AO$55,2,FALSE))*IF('17.04'!$AK91="是",'17.04'!$AY$4,'17.04'!$AY$3))</f>
        <v>128</v>
      </c>
      <c r="E91" s="4">
        <f>IF(ISNUMBER(SEARCH("营",'17.04'!M91)),(-$Y91+50*IF('17.04'!$AK91="是",'17.04'!$AY$4,'17.04'!$AY$3)),(VLOOKUP('17.04'!M91,'17.04'!$AM$4:$AO$55,2,FALSE))*IF('17.04'!$AK91="是",'17.04'!$AY$4,'17.04'!$AY$3))</f>
        <v>128</v>
      </c>
      <c r="F91" s="4">
        <f>IF(ISNUMBER(SEARCH("营",'17.04'!N91)),(-$Y91+50*IF('17.04'!$AK91="是",'17.04'!$AY$4,'17.04'!$AY$3)),(VLOOKUP('17.04'!N91,'17.04'!$AM$4:$AO$55,2,FALSE))*IF('17.04'!$AK91="是",'17.04'!$AY$4,'17.04'!$AY$3))</f>
        <v>40</v>
      </c>
      <c r="G91" s="4">
        <f>IF(ISNUMBER(SEARCH("营",'17.04'!O91)),(-$Y91+50*IF('17.04'!$AK91="是",'17.04'!$AY$4,'17.04'!$AY$3)),(VLOOKUP('17.04'!O91,'17.04'!$AM$4:$AO$55,2,FALSE))*IF('17.04'!$AK91="是",'17.04'!$AY$4,'17.04'!$AY$3))</f>
        <v>0</v>
      </c>
      <c r="H91" s="4">
        <f>IF(ISNUMBER(SEARCH("营",'17.04'!P91)),(-$Y91+50*IF('17.04'!$AK91="是",'17.04'!$AY$4,'17.04'!$AY$3)),(VLOOKUP('17.04'!P91,'17.04'!$AM$4:$AO$55,2,FALSE))*IF('17.04'!$AK91="是",'17.04'!$AY$4,'17.04'!$AY$3))</f>
        <v>0</v>
      </c>
      <c r="I91" s="4">
        <f>IF(ISNUMBER(SEARCH("营",'17.04'!Q91)),(-$Y91+50*IF('17.04'!$AK91="是",'17.04'!$AY$4,'17.04'!$AY$3)),(VLOOKUP('17.04'!Q91,'17.04'!$AM$4:$AO$55,2,FALSE))*IF('17.04'!$AK91="是",'17.04'!$AY$4,'17.04'!$AY$3))</f>
        <v>0</v>
      </c>
      <c r="J91" s="4">
        <f>IF(ISNUMBER(SEARCH("营",'17.04'!R91)),(-$Y91+50*IF('17.04'!$AK91="是",'17.04'!$AY$4,'17.04'!$AY$3)),(VLOOKUP('17.04'!R91,'17.04'!$AM$4:$AO$55,2,FALSE))*IF('17.04'!$AK91="是",'17.04'!$AY$4,'17.04'!$AY$3))</f>
        <v>0</v>
      </c>
      <c r="K91" s="4">
        <f>IF(ISNUMBER(SEARCH("营",'17.04'!S91)),(-$Y91+50*IF('17.04'!$AK91="是",'17.04'!$AY$4,'17.04'!$AY$3)),(VLOOKUP('17.04'!S91,'17.04'!$AM$4:$AO$55,2,FALSE))*IF('17.04'!$AK91="是",'17.04'!$AY$4,'17.04'!$AY$3))</f>
        <v>0</v>
      </c>
      <c r="L91" s="4">
        <f>IF(ISNUMBER(SEARCH("营",'17.04'!T91)),(-$Y91+50*IF('17.04'!$AK91="是",'17.04'!$AY$4,'17.04'!$AY$3)),(VLOOKUP('17.04'!T91,'17.04'!$AM$4:$AO$55,2,FALSE))*IF('17.04'!$AK91="是",'17.04'!$AY$4,'17.04'!$AY$3))</f>
        <v>0</v>
      </c>
      <c r="M91" s="4">
        <f>IF(ISNUMBER(SEARCH("营",'17.04'!U91)),(-$Y91+50*IF('17.04'!$AK91="是",'17.04'!$AY$4,'17.04'!$AY$3)),(VLOOKUP('17.04'!U91,'17.04'!$AM$4:$AO$55,2,FALSE))*IF('17.04'!$AK91="是",'17.04'!$AY$4,'17.04'!$AY$3))</f>
        <v>0</v>
      </c>
      <c r="N91" s="4">
        <f>IF(ISNUMBER(SEARCH("营",'17.04'!V91)),(-$Y91+50*IF('17.04'!$AK91="是",'17.04'!$AY$4,'17.04'!$AY$3)),(VLOOKUP('17.04'!V91,'17.04'!$AM$4:$AO$55,2,FALSE))*IF('17.04'!$AK91="是",'17.04'!$AY$4,'17.04'!$AY$3))</f>
        <v>0</v>
      </c>
      <c r="O91" s="4">
        <f>IF(ISNUMBER(SEARCH("营",'17.04'!W91)),(-$Y91+50*IF('17.04'!$AK91="是",'17.04'!$AY$4,'17.04'!$AY$3)),(VLOOKUP('17.04'!W91,'17.04'!$AM$4:$AO$55,2,FALSE))*IF('17.04'!$AK91="是",'17.04'!$AY$4,'17.04'!$AY$3))</f>
        <v>0</v>
      </c>
      <c r="P91" s="4">
        <f>IF(ISNUMBER(SEARCH("营",'17.04'!X91)),(-$Y91+50*IF('17.04'!$AK91="是",'17.04'!$AY$4,'17.04'!$AY$3)),(VLOOKUP('17.04'!X91,'17.04'!$AM$4:$AO$55,2,FALSE))*IF('17.04'!$AK91="是",'17.04'!$AY$4,'17.04'!$AY$3))</f>
        <v>0</v>
      </c>
      <c r="Q91" s="4">
        <f>IF(ISNUMBER(SEARCH("营",'17.04'!Y91)),(-$Y91+50*IF('17.04'!$AK91="是",'17.04'!$AY$4,'17.04'!$AY$3)),(VLOOKUP('17.04'!Y91,'17.04'!$AM$4:$AO$55,2,FALSE))*IF('17.04'!$AK91="是",'17.04'!$AY$4,'17.04'!$AY$3))</f>
        <v>0</v>
      </c>
      <c r="R91" s="4">
        <f>IF(ISNUMBER(SEARCH("营",'17.04'!Z91)),(-$Y91+50*IF('17.04'!$AK91="是",'17.04'!$AY$4,'17.04'!$AY$3)),(VLOOKUP('17.04'!Z91,'17.04'!$AM$4:$AO$55,2,FALSE))*IF('17.04'!$AK91="是",'17.04'!$AY$4,'17.04'!$AY$3))</f>
        <v>0</v>
      </c>
      <c r="S91" s="4">
        <f>IF(ISNUMBER(SEARCH("营",'17.04'!AA91)),(-$Y91+50*IF('17.04'!$AK91="是",'17.04'!$AY$4,'17.04'!$AY$3)),(VLOOKUP('17.04'!AA91,'17.04'!$AM$4:$AO$55,2,FALSE))*IF('17.04'!$AK91="是",'17.04'!$AY$4,'17.04'!$AY$3))</f>
        <v>0</v>
      </c>
      <c r="T91" s="4">
        <f>IF(ISNUMBER(SEARCH("营",'17.04'!AB91)),(-$Y91+50*IF('17.04'!$AK91="是",'17.04'!$AY$4,'17.04'!$AY$3)),(VLOOKUP('17.04'!AB91,'17.04'!$AM$4:$AO$55,2,FALSE))*IF('17.04'!$AK91="是",'17.04'!$AY$4,'17.04'!$AY$3))</f>
        <v>0</v>
      </c>
      <c r="U91" s="4">
        <f>IF(ISNUMBER(SEARCH("营",'17.04'!AC91)),(-$Y91+50*IF('17.04'!$AK91="是",'17.04'!$AY$4,'17.04'!$AY$3)),(VLOOKUP('17.04'!AC91,'17.04'!$AM$4:$AO$55,2,FALSE))*IF('17.04'!$AK91="是",'17.04'!$AY$4,'17.04'!$AY$3))</f>
        <v>0</v>
      </c>
      <c r="V91" s="4">
        <f>IF(ISNUMBER(SEARCH("营",'17.04'!AD91)),(-$Y91+50*IF('17.04'!$AK91="是",'17.04'!$AY$4,'17.04'!$AY$3)),(VLOOKUP('17.04'!AD91,'17.04'!$AM$4:$AO$55,2,FALSE))*IF('17.04'!$AK91="是",'17.04'!$AY$4,'17.04'!$AY$3))</f>
        <v>0</v>
      </c>
      <c r="W91" s="4">
        <f>IF(ISNUMBER(SEARCH("营",'17.04'!AE91)),(-$Y91+50*IF('17.04'!$AK91="是",'17.04'!$AY$4,'17.04'!$AY$3)),(VLOOKUP('17.04'!AE91,'17.04'!$AM$4:$AO$55,2,FALSE))*IF('17.04'!$AK91="是",'17.04'!$AY$4,'17.04'!$AY$3))</f>
        <v>0</v>
      </c>
      <c r="X91" s="4">
        <f>IF(ISNUMBER(SEARCH("营",'17.04'!AF91)),(-$Y91+50*IF('17.04'!$AK91="是",'17.04'!$AY$4,'17.04'!$AY$3)),(VLOOKUP('17.04'!AF91,'17.04'!$AM$4:$AO$55,2,FALSE))*IF('17.04'!$AK91="是",'17.04'!$AY$4,'17.04'!$AY$3))</f>
        <v>0</v>
      </c>
      <c r="Y91" s="89">
        <v>100</v>
      </c>
    </row>
    <row r="92" spans="1:25">
      <c r="A92" s="4">
        <f>IF(ISNUMBER(SEARCH("营",'17.04'!I92)),(-$Y92+50*IF('17.04'!$AK92="是",'17.04'!$AY$4,'17.04'!$AY$3)),(VLOOKUP('17.04'!I92,'17.04'!$AM$4:$AO$55,2,FALSE))*IF('17.04'!$AK92="是",'17.04'!$AY$4,'17.04'!$AY$3))</f>
        <v>128</v>
      </c>
      <c r="B92" s="4">
        <f>IF(ISNUMBER(SEARCH("营",'17.04'!J92)),(-$Y92+50*IF('17.04'!$AK92="是",'17.04'!$AY$4,'17.04'!$AY$3)),(VLOOKUP('17.04'!J92,'17.04'!$AM$4:$AO$55,2,FALSE))*IF('17.04'!$AK92="是",'17.04'!$AY$4,'17.04'!$AY$3))</f>
        <v>128</v>
      </c>
      <c r="C92" s="4">
        <f>IF(ISNUMBER(SEARCH("营",'17.04'!K92)),(-$Y92+50*IF('17.04'!$AK92="是",'17.04'!$AY$4,'17.04'!$AY$3)),(VLOOKUP('17.04'!K92,'17.04'!$AM$4:$AO$55,2,FALSE))*IF('17.04'!$AK92="是",'17.04'!$AY$4,'17.04'!$AY$3))</f>
        <v>120</v>
      </c>
      <c r="D92" s="4">
        <f>IF(ISNUMBER(SEARCH("营",'17.04'!L92)),(-$Y92+50*IF('17.04'!$AK92="是",'17.04'!$AY$4,'17.04'!$AY$3)),(VLOOKUP('17.04'!L92,'17.04'!$AM$4:$AO$55,2,FALSE))*IF('17.04'!$AK92="是",'17.04'!$AY$4,'17.04'!$AY$3))</f>
        <v>128</v>
      </c>
      <c r="E92" s="4">
        <f>IF(ISNUMBER(SEARCH("营",'17.04'!M92)),(-$Y92+50*IF('17.04'!$AK92="是",'17.04'!$AY$4,'17.04'!$AY$3)),(VLOOKUP('17.04'!M92,'17.04'!$AM$4:$AO$55,2,FALSE))*IF('17.04'!$AK92="是",'17.04'!$AY$4,'17.04'!$AY$3))</f>
        <v>128</v>
      </c>
      <c r="F92" s="4">
        <f>IF(ISNUMBER(SEARCH("营",'17.04'!N92)),(-$Y92+50*IF('17.04'!$AK92="是",'17.04'!$AY$4,'17.04'!$AY$3)),(VLOOKUP('17.04'!N92,'17.04'!$AM$4:$AO$55,2,FALSE))*IF('17.04'!$AK92="是",'17.04'!$AY$4,'17.04'!$AY$3))</f>
        <v>40</v>
      </c>
      <c r="G92" s="4">
        <f>IF(ISNUMBER(SEARCH("营",'17.04'!O92)),(-$Y92+50*IF('17.04'!$AK92="是",'17.04'!$AY$4,'17.04'!$AY$3)),(VLOOKUP('17.04'!O92,'17.04'!$AM$4:$AO$55,2,FALSE))*IF('17.04'!$AK92="是",'17.04'!$AY$4,'17.04'!$AY$3))</f>
        <v>0</v>
      </c>
      <c r="H92" s="4">
        <f>IF(ISNUMBER(SEARCH("营",'17.04'!P92)),(-$Y92+50*IF('17.04'!$AK92="是",'17.04'!$AY$4,'17.04'!$AY$3)),(VLOOKUP('17.04'!P92,'17.04'!$AM$4:$AO$55,2,FALSE))*IF('17.04'!$AK92="是",'17.04'!$AY$4,'17.04'!$AY$3))</f>
        <v>0</v>
      </c>
      <c r="I92" s="4">
        <f>IF(ISNUMBER(SEARCH("营",'17.04'!Q92)),(-$Y92+50*IF('17.04'!$AK92="是",'17.04'!$AY$4,'17.04'!$AY$3)),(VLOOKUP('17.04'!Q92,'17.04'!$AM$4:$AO$55,2,FALSE))*IF('17.04'!$AK92="是",'17.04'!$AY$4,'17.04'!$AY$3))</f>
        <v>0</v>
      </c>
      <c r="J92" s="4">
        <f>IF(ISNUMBER(SEARCH("营",'17.04'!R92)),(-$Y92+50*IF('17.04'!$AK92="是",'17.04'!$AY$4,'17.04'!$AY$3)),(VLOOKUP('17.04'!R92,'17.04'!$AM$4:$AO$55,2,FALSE))*IF('17.04'!$AK92="是",'17.04'!$AY$4,'17.04'!$AY$3))</f>
        <v>0</v>
      </c>
      <c r="K92" s="4">
        <f>IF(ISNUMBER(SEARCH("营",'17.04'!S92)),(-$Y92+50*IF('17.04'!$AK92="是",'17.04'!$AY$4,'17.04'!$AY$3)),(VLOOKUP('17.04'!S92,'17.04'!$AM$4:$AO$55,2,FALSE))*IF('17.04'!$AK92="是",'17.04'!$AY$4,'17.04'!$AY$3))</f>
        <v>0</v>
      </c>
      <c r="L92" s="4">
        <f>IF(ISNUMBER(SEARCH("营",'17.04'!T92)),(-$Y92+50*IF('17.04'!$AK92="是",'17.04'!$AY$4,'17.04'!$AY$3)),(VLOOKUP('17.04'!T92,'17.04'!$AM$4:$AO$55,2,FALSE))*IF('17.04'!$AK92="是",'17.04'!$AY$4,'17.04'!$AY$3))</f>
        <v>0</v>
      </c>
      <c r="M92" s="4">
        <f>IF(ISNUMBER(SEARCH("营",'17.04'!U92)),(-$Y92+50*IF('17.04'!$AK92="是",'17.04'!$AY$4,'17.04'!$AY$3)),(VLOOKUP('17.04'!U92,'17.04'!$AM$4:$AO$55,2,FALSE))*IF('17.04'!$AK92="是",'17.04'!$AY$4,'17.04'!$AY$3))</f>
        <v>0</v>
      </c>
      <c r="N92" s="4">
        <f>IF(ISNUMBER(SEARCH("营",'17.04'!V92)),(-$Y92+50*IF('17.04'!$AK92="是",'17.04'!$AY$4,'17.04'!$AY$3)),(VLOOKUP('17.04'!V92,'17.04'!$AM$4:$AO$55,2,FALSE))*IF('17.04'!$AK92="是",'17.04'!$AY$4,'17.04'!$AY$3))</f>
        <v>0</v>
      </c>
      <c r="O92" s="4">
        <f>IF(ISNUMBER(SEARCH("营",'17.04'!W92)),(-$Y92+50*IF('17.04'!$AK92="是",'17.04'!$AY$4,'17.04'!$AY$3)),(VLOOKUP('17.04'!W92,'17.04'!$AM$4:$AO$55,2,FALSE))*IF('17.04'!$AK92="是",'17.04'!$AY$4,'17.04'!$AY$3))</f>
        <v>0</v>
      </c>
      <c r="P92" s="4">
        <f>IF(ISNUMBER(SEARCH("营",'17.04'!X92)),(-$Y92+50*IF('17.04'!$AK92="是",'17.04'!$AY$4,'17.04'!$AY$3)),(VLOOKUP('17.04'!X92,'17.04'!$AM$4:$AO$55,2,FALSE))*IF('17.04'!$AK92="是",'17.04'!$AY$4,'17.04'!$AY$3))</f>
        <v>0</v>
      </c>
      <c r="Q92" s="4">
        <f>IF(ISNUMBER(SEARCH("营",'17.04'!Y92)),(-$Y92+50*IF('17.04'!$AK92="是",'17.04'!$AY$4,'17.04'!$AY$3)),(VLOOKUP('17.04'!Y92,'17.04'!$AM$4:$AO$55,2,FALSE))*IF('17.04'!$AK92="是",'17.04'!$AY$4,'17.04'!$AY$3))</f>
        <v>128</v>
      </c>
      <c r="R92" s="4">
        <f>IF(ISNUMBER(SEARCH("营",'17.04'!Z92)),(-$Y92+50*IF('17.04'!$AK92="是",'17.04'!$AY$4,'17.04'!$AY$3)),(VLOOKUP('17.04'!Z92,'17.04'!$AM$4:$AO$55,2,FALSE))*IF('17.04'!$AK92="是",'17.04'!$AY$4,'17.04'!$AY$3))</f>
        <v>128</v>
      </c>
      <c r="S92" s="4">
        <f>IF(ISNUMBER(SEARCH("营",'17.04'!AA92)),(-$Y92+50*IF('17.04'!$AK92="是",'17.04'!$AY$4,'17.04'!$AY$3)),(VLOOKUP('17.04'!AA92,'17.04'!$AM$4:$AO$55,2,FALSE))*IF('17.04'!$AK92="是",'17.04'!$AY$4,'17.04'!$AY$3))</f>
        <v>128</v>
      </c>
      <c r="T92" s="4">
        <f>IF(ISNUMBER(SEARCH("营",'17.04'!AB92)),(-$Y92+50*IF('17.04'!$AK92="是",'17.04'!$AY$4,'17.04'!$AY$3)),(VLOOKUP('17.04'!AB92,'17.04'!$AM$4:$AO$55,2,FALSE))*IF('17.04'!$AK92="是",'17.04'!$AY$4,'17.04'!$AY$3))</f>
        <v>128</v>
      </c>
      <c r="U92" s="4">
        <f>IF(ISNUMBER(SEARCH("营",'17.04'!AC92)),(-$Y92+50*IF('17.04'!$AK92="是",'17.04'!$AY$4,'17.04'!$AY$3)),(VLOOKUP('17.04'!AC92,'17.04'!$AM$4:$AO$55,2,FALSE))*IF('17.04'!$AK92="是",'17.04'!$AY$4,'17.04'!$AY$3))</f>
        <v>40</v>
      </c>
      <c r="V92" s="4">
        <f>IF(ISNUMBER(SEARCH("营",'17.04'!AD92)),(-$Y92+50*IF('17.04'!$AK92="是",'17.04'!$AY$4,'17.04'!$AY$3)),(VLOOKUP('17.04'!AD92,'17.04'!$AM$4:$AO$55,2,FALSE))*IF('17.04'!$AK92="是",'17.04'!$AY$4,'17.04'!$AY$3))</f>
        <v>0</v>
      </c>
      <c r="W92" s="4">
        <f>IF(ISNUMBER(SEARCH("营",'17.04'!AE92)),(-$Y92+50*IF('17.04'!$AK92="是",'17.04'!$AY$4,'17.04'!$AY$3)),(VLOOKUP('17.04'!AE92,'17.04'!$AM$4:$AO$55,2,FALSE))*IF('17.04'!$AK92="是",'17.04'!$AY$4,'17.04'!$AY$3))</f>
        <v>0</v>
      </c>
      <c r="X92" s="4">
        <f>IF(ISNUMBER(SEARCH("营",'17.04'!AF92)),(-$Y92+50*IF('17.04'!$AK92="是",'17.04'!$AY$4,'17.04'!$AY$3)),(VLOOKUP('17.04'!AF92,'17.04'!$AM$4:$AO$55,2,FALSE))*IF('17.04'!$AK92="是",'17.04'!$AY$4,'17.04'!$AY$3))</f>
        <v>0</v>
      </c>
      <c r="Y92" s="89">
        <v>100</v>
      </c>
    </row>
    <row r="93" spans="1:25">
      <c r="A93" s="4">
        <f>IF(ISNUMBER(SEARCH("营",'17.04'!I93)),(-$Y93+50*IF('17.04'!$AK93="是",'17.04'!$AY$4,'17.04'!$AY$3)),(VLOOKUP('17.04'!I93,'17.04'!$AM$4:$AO$55,2,FALSE))*IF('17.04'!$AK93="是",'17.04'!$AY$4,'17.04'!$AY$3))</f>
        <v>0</v>
      </c>
      <c r="B93" s="4">
        <f>IF(ISNUMBER(SEARCH("营",'17.04'!J93)),(-$Y93+50*IF('17.04'!$AK93="是",'17.04'!$AY$4,'17.04'!$AY$3)),(VLOOKUP('17.04'!J93,'17.04'!$AM$4:$AO$55,2,FALSE))*IF('17.04'!$AK93="是",'17.04'!$AY$4,'17.04'!$AY$3))</f>
        <v>0</v>
      </c>
      <c r="C93" s="4">
        <f>IF(ISNUMBER(SEARCH("营",'17.04'!K93)),(-$Y93+50*IF('17.04'!$AK93="是",'17.04'!$AY$4,'17.04'!$AY$3)),(VLOOKUP('17.04'!K93,'17.04'!$AM$4:$AO$55,2,FALSE))*IF('17.04'!$AK93="是",'17.04'!$AY$4,'17.04'!$AY$3))</f>
        <v>0</v>
      </c>
      <c r="D93" s="4">
        <f>IF(ISNUMBER(SEARCH("营",'17.04'!L93)),(-$Y93+50*IF('17.04'!$AK93="是",'17.04'!$AY$4,'17.04'!$AY$3)),(VLOOKUP('17.04'!L93,'17.04'!$AM$4:$AO$55,2,FALSE))*IF('17.04'!$AK93="是",'17.04'!$AY$4,'17.04'!$AY$3))</f>
        <v>0</v>
      </c>
      <c r="E93" s="4">
        <f>IF(ISNUMBER(SEARCH("营",'17.04'!M93)),(-$Y93+50*IF('17.04'!$AK93="是",'17.04'!$AY$4,'17.04'!$AY$3)),(VLOOKUP('17.04'!M93,'17.04'!$AM$4:$AO$55,2,FALSE))*IF('17.04'!$AK93="是",'17.04'!$AY$4,'17.04'!$AY$3))</f>
        <v>0</v>
      </c>
      <c r="F93" s="4">
        <f>IF(ISNUMBER(SEARCH("营",'17.04'!N93)),(-$Y93+50*IF('17.04'!$AK93="是",'17.04'!$AY$4,'17.04'!$AY$3)),(VLOOKUP('17.04'!N93,'17.04'!$AM$4:$AO$55,2,FALSE))*IF('17.04'!$AK93="是",'17.04'!$AY$4,'17.04'!$AY$3))</f>
        <v>0</v>
      </c>
      <c r="G93" s="4">
        <f>IF(ISNUMBER(SEARCH("营",'17.04'!O93)),(-$Y93+50*IF('17.04'!$AK93="是",'17.04'!$AY$4,'17.04'!$AY$3)),(VLOOKUP('17.04'!O93,'17.04'!$AM$4:$AO$55,2,FALSE))*IF('17.04'!$AK93="是",'17.04'!$AY$4,'17.04'!$AY$3))</f>
        <v>0</v>
      </c>
      <c r="H93" s="4">
        <f>IF(ISNUMBER(SEARCH("营",'17.04'!P93)),(-$Y93+50*IF('17.04'!$AK93="是",'17.04'!$AY$4,'17.04'!$AY$3)),(VLOOKUP('17.04'!P93,'17.04'!$AM$4:$AO$55,2,FALSE))*IF('17.04'!$AK93="是",'17.04'!$AY$4,'17.04'!$AY$3))</f>
        <v>0</v>
      </c>
      <c r="I93" s="4">
        <f>IF(ISNUMBER(SEARCH("营",'17.04'!Q93)),(-$Y93+50*IF('17.04'!$AK93="是",'17.04'!$AY$4,'17.04'!$AY$3)),(VLOOKUP('17.04'!Q93,'17.04'!$AM$4:$AO$55,2,FALSE))*IF('17.04'!$AK93="是",'17.04'!$AY$4,'17.04'!$AY$3))</f>
        <v>0</v>
      </c>
      <c r="J93" s="4">
        <f>IF(ISNUMBER(SEARCH("营",'17.04'!R93)),(-$Y93+50*IF('17.04'!$AK93="是",'17.04'!$AY$4,'17.04'!$AY$3)),(VLOOKUP('17.04'!R93,'17.04'!$AM$4:$AO$55,2,FALSE))*IF('17.04'!$AK93="是",'17.04'!$AY$4,'17.04'!$AY$3))</f>
        <v>0</v>
      </c>
      <c r="K93" s="4">
        <f>IF(ISNUMBER(SEARCH("营",'17.04'!S93)),(-$Y93+50*IF('17.04'!$AK93="是",'17.04'!$AY$4,'17.04'!$AY$3)),(VLOOKUP('17.04'!S93,'17.04'!$AM$4:$AO$55,2,FALSE))*IF('17.04'!$AK93="是",'17.04'!$AY$4,'17.04'!$AY$3))</f>
        <v>0</v>
      </c>
      <c r="L93" s="4">
        <f>IF(ISNUMBER(SEARCH("营",'17.04'!T93)),(-$Y93+50*IF('17.04'!$AK93="是",'17.04'!$AY$4,'17.04'!$AY$3)),(VLOOKUP('17.04'!T93,'17.04'!$AM$4:$AO$55,2,FALSE))*IF('17.04'!$AK93="是",'17.04'!$AY$4,'17.04'!$AY$3))</f>
        <v>0</v>
      </c>
      <c r="M93" s="4">
        <f>IF(ISNUMBER(SEARCH("营",'17.04'!U93)),(-$Y93+50*IF('17.04'!$AK93="是",'17.04'!$AY$4,'17.04'!$AY$3)),(VLOOKUP('17.04'!U93,'17.04'!$AM$4:$AO$55,2,FALSE))*IF('17.04'!$AK93="是",'17.04'!$AY$4,'17.04'!$AY$3))</f>
        <v>0</v>
      </c>
      <c r="N93" s="4">
        <f>IF(ISNUMBER(SEARCH("营",'17.04'!V93)),(-$Y93+50*IF('17.04'!$AK93="是",'17.04'!$AY$4,'17.04'!$AY$3)),(VLOOKUP('17.04'!V93,'17.04'!$AM$4:$AO$55,2,FALSE))*IF('17.04'!$AK93="是",'17.04'!$AY$4,'17.04'!$AY$3))</f>
        <v>0</v>
      </c>
      <c r="O93" s="4">
        <f>IF(ISNUMBER(SEARCH("营",'17.04'!W93)),(-$Y93+50*IF('17.04'!$AK93="是",'17.04'!$AY$4,'17.04'!$AY$3)),(VLOOKUP('17.04'!W93,'17.04'!$AM$4:$AO$55,2,FALSE))*IF('17.04'!$AK93="是",'17.04'!$AY$4,'17.04'!$AY$3))</f>
        <v>0</v>
      </c>
      <c r="P93" s="4">
        <f>IF(ISNUMBER(SEARCH("营",'17.04'!X93)),(-$Y93+50*IF('17.04'!$AK93="是",'17.04'!$AY$4,'17.04'!$AY$3)),(VLOOKUP('17.04'!X93,'17.04'!$AM$4:$AO$55,2,FALSE))*IF('17.04'!$AK93="是",'17.04'!$AY$4,'17.04'!$AY$3))</f>
        <v>0</v>
      </c>
      <c r="Q93" s="4">
        <f>IF(ISNUMBER(SEARCH("营",'17.04'!Y93)),(-$Y93+50*IF('17.04'!$AK93="是",'17.04'!$AY$4,'17.04'!$AY$3)),(VLOOKUP('17.04'!Y93,'17.04'!$AM$4:$AO$55,2,FALSE))*IF('17.04'!$AK93="是",'17.04'!$AY$4,'17.04'!$AY$3))</f>
        <v>0</v>
      </c>
      <c r="R93" s="4">
        <f>IF(ISNUMBER(SEARCH("营",'17.04'!Z93)),(-$Y93+50*IF('17.04'!$AK93="是",'17.04'!$AY$4,'17.04'!$AY$3)),(VLOOKUP('17.04'!Z93,'17.04'!$AM$4:$AO$55,2,FALSE))*IF('17.04'!$AK93="是",'17.04'!$AY$4,'17.04'!$AY$3))</f>
        <v>0</v>
      </c>
      <c r="S93" s="4">
        <f>IF(ISNUMBER(SEARCH("营",'17.04'!AA93)),(-$Y93+50*IF('17.04'!$AK93="是",'17.04'!$AY$4,'17.04'!$AY$3)),(VLOOKUP('17.04'!AA93,'17.04'!$AM$4:$AO$55,2,FALSE))*IF('17.04'!$AK93="是",'17.04'!$AY$4,'17.04'!$AY$3))</f>
        <v>0</v>
      </c>
      <c r="T93" s="4">
        <f>IF(ISNUMBER(SEARCH("营",'17.04'!AB93)),(-$Y93+50*IF('17.04'!$AK93="是",'17.04'!$AY$4,'17.04'!$AY$3)),(VLOOKUP('17.04'!AB93,'17.04'!$AM$4:$AO$55,2,FALSE))*IF('17.04'!$AK93="是",'17.04'!$AY$4,'17.04'!$AY$3))</f>
        <v>0</v>
      </c>
      <c r="U93" s="4">
        <f>IF(ISNUMBER(SEARCH("营",'17.04'!AC93)),(-$Y93+50*IF('17.04'!$AK93="是",'17.04'!$AY$4,'17.04'!$AY$3)),(VLOOKUP('17.04'!AC93,'17.04'!$AM$4:$AO$55,2,FALSE))*IF('17.04'!$AK93="是",'17.04'!$AY$4,'17.04'!$AY$3))</f>
        <v>0</v>
      </c>
      <c r="V93" s="4">
        <f>IF(ISNUMBER(SEARCH("营",'17.04'!AD93)),(-$Y93+50*IF('17.04'!$AK93="是",'17.04'!$AY$4,'17.04'!$AY$3)),(VLOOKUP('17.04'!AD93,'17.04'!$AM$4:$AO$55,2,FALSE))*IF('17.04'!$AK93="是",'17.04'!$AY$4,'17.04'!$AY$3))</f>
        <v>0</v>
      </c>
      <c r="W93" s="4">
        <f>IF(ISNUMBER(SEARCH("营",'17.04'!AE93)),(-$Y93+50*IF('17.04'!$AK93="是",'17.04'!$AY$4,'17.04'!$AY$3)),(VLOOKUP('17.04'!AE93,'17.04'!$AM$4:$AO$55,2,FALSE))*IF('17.04'!$AK93="是",'17.04'!$AY$4,'17.04'!$AY$3))</f>
        <v>0</v>
      </c>
      <c r="X93" s="4">
        <f>IF(ISNUMBER(SEARCH("营",'17.04'!AF93)),(-$Y93+50*IF('17.04'!$AK93="是",'17.04'!$AY$4,'17.04'!$AY$3)),(VLOOKUP('17.04'!AF93,'17.04'!$AM$4:$AO$55,2,FALSE))*IF('17.04'!$AK93="是",'17.04'!$AY$4,'17.04'!$AY$3))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(VLOOKUP('17.04'!I4,'17.04'!$AM$4:$AO$55,3,FALSE))</f>
        <v>35</v>
      </c>
      <c r="B4" s="4">
        <f>(VLOOKUP('17.04'!J4,'17.04'!$AM$4:$AO$55,3,FALSE))</f>
        <v>35</v>
      </c>
      <c r="C4" s="4">
        <f>(VLOOKUP('17.04'!K4,'17.04'!$AM$4:$AO$55,3,FALSE))</f>
        <v>35</v>
      </c>
      <c r="D4" s="4">
        <f>(VLOOKUP('17.04'!L4,'17.04'!$AM$4:$AO$55,3,FALSE))</f>
        <v>0</v>
      </c>
      <c r="E4" s="4">
        <f>(VLOOKUP('17.04'!M4,'17.04'!$AM$4:$AO$55,3,FALSE))</f>
        <v>0</v>
      </c>
      <c r="F4" s="4">
        <f>(VLOOKUP('17.04'!N4,'17.04'!$AM$4:$AO$55,3,FALSE))</f>
        <v>0</v>
      </c>
      <c r="G4" s="5">
        <f>(VLOOKUP('17.04'!O4,'17.04'!$AM$4:$AO$55,3,FALSE))</f>
        <v>0</v>
      </c>
      <c r="H4" s="5">
        <f>(VLOOKUP('17.04'!P4,'17.04'!$AM$4:$AO$55,3,FALSE))</f>
        <v>0</v>
      </c>
      <c r="I4" s="4">
        <f>(VLOOKUP('17.04'!Q4,'17.04'!$AM$4:$AO$55,3,FALSE))</f>
        <v>35</v>
      </c>
      <c r="J4" s="4">
        <f>(VLOOKUP('17.04'!R4,'17.04'!$AM$4:$AO$55,3,FALSE))</f>
        <v>35</v>
      </c>
      <c r="K4" s="4">
        <f>(VLOOKUP('17.04'!S4,'17.04'!$AM$4:$AO$55,3,FALSE))</f>
        <v>30</v>
      </c>
      <c r="L4" s="4">
        <f>(VLOOKUP('17.04'!T4,'17.04'!$AM$4:$AO$55,3,FALSE))</f>
        <v>35</v>
      </c>
      <c r="M4" s="4">
        <f>(VLOOKUP('17.04'!U4,'17.04'!$AM$4:$AO$55,3,FALSE))</f>
        <v>35</v>
      </c>
      <c r="N4" s="4">
        <f>(VLOOKUP('17.04'!V4,'17.04'!$AM$4:$AO$55,3,FALSE))</f>
        <v>35</v>
      </c>
      <c r="O4" s="5">
        <f>(VLOOKUP('17.04'!W4,'17.04'!$AM$4:$AO$55,3,FALSE))</f>
        <v>0</v>
      </c>
      <c r="P4" s="5">
        <f>(VLOOKUP('17.04'!X4,'17.04'!$AM$4:$AO$55,3,FALSE))</f>
        <v>0</v>
      </c>
      <c r="Q4" s="4">
        <f>(VLOOKUP('17.04'!Y4,'17.04'!$AM$4:$AO$55,3,FALSE))</f>
        <v>35</v>
      </c>
      <c r="R4" s="4">
        <f>(VLOOKUP('17.04'!Z4,'17.04'!$AM$4:$AO$55,3,FALSE))</f>
        <v>35</v>
      </c>
      <c r="S4" s="4">
        <f>(VLOOKUP('17.04'!AA4,'17.04'!$AM$4:$AO$55,3,FALSE))</f>
        <v>35</v>
      </c>
      <c r="T4" s="4">
        <f>(VLOOKUP('17.04'!AB4,'17.04'!$AM$4:$AO$55,3,FALSE))</f>
        <v>35</v>
      </c>
      <c r="U4" s="4">
        <f>(VLOOKUP('17.04'!AC4,'17.04'!$AM$4:$AO$55,3,FALSE))</f>
        <v>35</v>
      </c>
      <c r="V4" s="4">
        <f>(VLOOKUP('17.04'!AD4,'17.04'!$AM$4:$AO$55,3,FALSE))</f>
        <v>30</v>
      </c>
      <c r="W4" s="5">
        <f>(VLOOKUP('17.04'!AE4,'17.04'!$AM$4:$AO$55,3,FALSE))</f>
        <v>0</v>
      </c>
      <c r="X4" s="5">
        <f>(VLOOKUP('17.04'!AF4,'17.04'!$AM$4:$AO$55,3,FALSE))</f>
        <v>0</v>
      </c>
    </row>
    <row r="5" spans="1:24">
      <c r="A5" s="4">
        <f>(VLOOKUP('17.04'!I5,'17.04'!$AM$4:$AO$55,3,FALSE))</f>
        <v>0</v>
      </c>
      <c r="B5" s="4">
        <f>(VLOOKUP('17.04'!J5,'17.04'!$AM$4:$AO$55,3,FALSE))</f>
        <v>0</v>
      </c>
      <c r="C5" s="4">
        <f>(VLOOKUP('17.04'!K5,'17.04'!$AM$4:$AO$55,3,FALSE))</f>
        <v>0</v>
      </c>
      <c r="D5" s="4">
        <f>(VLOOKUP('17.04'!L5,'17.04'!$AM$4:$AO$55,3,FALSE))</f>
        <v>0</v>
      </c>
      <c r="E5" s="4">
        <f>(VLOOKUP('17.04'!M5,'17.04'!$AM$4:$AO$55,3,FALSE))</f>
        <v>0</v>
      </c>
      <c r="F5" s="4">
        <f>(VLOOKUP('17.04'!N5,'17.04'!$AM$4:$AO$55,3,FALSE))</f>
        <v>0</v>
      </c>
      <c r="G5" s="5">
        <f>(VLOOKUP('17.04'!O5,'17.04'!$AM$4:$AO$55,3,FALSE))</f>
        <v>0</v>
      </c>
      <c r="H5" s="5">
        <f>(VLOOKUP('17.04'!P5,'17.04'!$AM$4:$AO$55,3,FALSE))</f>
        <v>0</v>
      </c>
      <c r="I5" s="4">
        <f>(VLOOKUP('17.04'!Q5,'17.04'!$AM$4:$AO$55,3,FALSE))</f>
        <v>35</v>
      </c>
      <c r="J5" s="4">
        <f>(VLOOKUP('17.04'!R5,'17.04'!$AM$4:$AO$55,3,FALSE))</f>
        <v>30</v>
      </c>
      <c r="K5" s="4">
        <f>(VLOOKUP('17.04'!S5,'17.04'!$AM$4:$AO$55,3,FALSE))</f>
        <v>0</v>
      </c>
      <c r="L5" s="4">
        <f>(VLOOKUP('17.04'!T5,'17.04'!$AM$4:$AO$55,3,FALSE))</f>
        <v>0</v>
      </c>
      <c r="M5" s="4">
        <f>(VLOOKUP('17.04'!U5,'17.04'!$AM$4:$AO$55,3,FALSE))</f>
        <v>0</v>
      </c>
      <c r="N5" s="4">
        <f>(VLOOKUP('17.04'!V5,'17.04'!$AM$4:$AO$55,3,FALSE))</f>
        <v>0</v>
      </c>
      <c r="O5" s="5">
        <f>(VLOOKUP('17.04'!W5,'17.04'!$AM$4:$AO$55,3,FALSE))</f>
        <v>0</v>
      </c>
      <c r="P5" s="5">
        <f>(VLOOKUP('17.04'!X5,'17.04'!$AM$4:$AO$55,3,FALSE))</f>
        <v>0</v>
      </c>
      <c r="Q5" s="4">
        <f>(VLOOKUP('17.04'!Y5,'17.04'!$AM$4:$AO$55,3,FALSE))</f>
        <v>35</v>
      </c>
      <c r="R5" s="4">
        <f>(VLOOKUP('17.04'!Z5,'17.04'!$AM$4:$AO$55,3,FALSE))</f>
        <v>35</v>
      </c>
      <c r="S5" s="4">
        <f>(VLOOKUP('17.04'!AA5,'17.04'!$AM$4:$AO$55,3,FALSE))</f>
        <v>35</v>
      </c>
      <c r="T5" s="4">
        <f>(VLOOKUP('17.04'!AB5,'17.04'!$AM$4:$AO$55,3,FALSE))</f>
        <v>35</v>
      </c>
      <c r="U5" s="4">
        <f>(VLOOKUP('17.04'!AC5,'17.04'!$AM$4:$AO$55,3,FALSE))</f>
        <v>35</v>
      </c>
      <c r="V5" s="4">
        <f>(VLOOKUP('17.04'!AD5,'17.04'!$AM$4:$AO$55,3,FALSE))</f>
        <v>35</v>
      </c>
      <c r="W5" s="5">
        <f>(VLOOKUP('17.04'!AE5,'17.04'!$AM$4:$AO$55,3,FALSE))</f>
        <v>0</v>
      </c>
      <c r="X5" s="5">
        <f>(VLOOKUP('17.04'!AF5,'17.04'!$AM$4:$AO$55,3,FALSE))</f>
        <v>0</v>
      </c>
    </row>
    <row r="6" spans="1:24">
      <c r="A6" s="4">
        <f>(VLOOKUP('17.04'!I6,'17.04'!$AM$4:$AO$55,3,FALSE))</f>
        <v>0</v>
      </c>
      <c r="B6" s="4">
        <f>(VLOOKUP('17.04'!J6,'17.04'!$AM$4:$AO$55,3,FALSE))</f>
        <v>0</v>
      </c>
      <c r="C6" s="4">
        <f>(VLOOKUP('17.04'!K6,'17.04'!$AM$4:$AO$55,3,FALSE))</f>
        <v>0</v>
      </c>
      <c r="D6" s="4">
        <f>(VLOOKUP('17.04'!L6,'17.04'!$AM$4:$AO$55,3,FALSE))</f>
        <v>0</v>
      </c>
      <c r="E6" s="4">
        <f>(VLOOKUP('17.04'!M6,'17.04'!$AM$4:$AO$55,3,FALSE))</f>
        <v>0</v>
      </c>
      <c r="F6" s="4">
        <f>(VLOOKUP('17.04'!N6,'17.04'!$AM$4:$AO$55,3,FALSE))</f>
        <v>0</v>
      </c>
      <c r="G6" s="5">
        <f>(VLOOKUP('17.04'!O6,'17.04'!$AM$4:$AO$55,3,FALSE))</f>
        <v>0</v>
      </c>
      <c r="H6" s="5">
        <f>(VLOOKUP('17.04'!P6,'17.04'!$AM$4:$AO$55,3,FALSE))</f>
        <v>0</v>
      </c>
      <c r="I6" s="4">
        <f>(VLOOKUP('17.04'!Q6,'17.04'!$AM$4:$AO$55,3,FALSE))</f>
        <v>45</v>
      </c>
      <c r="J6" s="4">
        <f>(VLOOKUP('17.04'!R6,'17.04'!$AM$4:$AO$55,3,FALSE))</f>
        <v>45</v>
      </c>
      <c r="K6" s="4">
        <f>(VLOOKUP('17.04'!S6,'17.04'!$AM$4:$AO$55,3,FALSE))</f>
        <v>45</v>
      </c>
      <c r="L6" s="4">
        <f>(VLOOKUP('17.04'!T6,'17.04'!$AM$4:$AO$55,3,FALSE))</f>
        <v>45</v>
      </c>
      <c r="M6" s="4">
        <f>(VLOOKUP('17.04'!U6,'17.04'!$AM$4:$AO$55,3,FALSE))</f>
        <v>45</v>
      </c>
      <c r="N6" s="4">
        <f>(VLOOKUP('17.04'!V6,'17.04'!$AM$4:$AO$55,3,FALSE))</f>
        <v>45</v>
      </c>
      <c r="O6" s="5">
        <f>(VLOOKUP('17.04'!W6,'17.04'!$AM$4:$AO$55,3,FALSE))</f>
        <v>45</v>
      </c>
      <c r="P6" s="5">
        <f>(VLOOKUP('17.04'!X6,'17.04'!$AM$4:$AO$55,3,FALSE))</f>
        <v>0</v>
      </c>
      <c r="Q6" s="4">
        <f>(VLOOKUP('17.04'!Y6,'17.04'!$AM$4:$AO$55,3,FALSE))</f>
        <v>30</v>
      </c>
      <c r="R6" s="4">
        <f>(VLOOKUP('17.04'!Z6,'17.04'!$AM$4:$AO$55,3,FALSE))</f>
        <v>35</v>
      </c>
      <c r="S6" s="4">
        <f>(VLOOKUP('17.04'!AA6,'17.04'!$AM$4:$AO$55,3,FALSE))</f>
        <v>35</v>
      </c>
      <c r="T6" s="4">
        <f>(VLOOKUP('17.04'!AB6,'17.04'!$AM$4:$AO$55,3,FALSE))</f>
        <v>45</v>
      </c>
      <c r="U6" s="4">
        <f>(VLOOKUP('17.04'!AC6,'17.04'!$AM$4:$AO$55,3,FALSE))</f>
        <v>45</v>
      </c>
      <c r="V6" s="4">
        <f>(VLOOKUP('17.04'!AD6,'17.04'!$AM$4:$AO$55,3,FALSE))</f>
        <v>45</v>
      </c>
      <c r="W6" s="5">
        <f>(VLOOKUP('17.04'!AE6,'17.04'!$AM$4:$AO$55,3,FALSE))</f>
        <v>0</v>
      </c>
      <c r="X6" s="5">
        <f>(VLOOKUP('17.04'!AF6,'17.04'!$AM$4:$AO$55,3,FALSE))</f>
        <v>0</v>
      </c>
    </row>
    <row r="7" spans="1:24">
      <c r="A7" s="4">
        <f>(VLOOKUP('17.04'!I7,'17.04'!$AM$4:$AO$55,3,FALSE))</f>
        <v>0</v>
      </c>
      <c r="B7" s="4">
        <f>(VLOOKUP('17.04'!J7,'17.04'!$AM$4:$AO$55,3,FALSE))</f>
        <v>0</v>
      </c>
      <c r="C7" s="4">
        <f>(VLOOKUP('17.04'!K7,'17.04'!$AM$4:$AO$55,3,FALSE))</f>
        <v>0</v>
      </c>
      <c r="D7" s="4">
        <f>(VLOOKUP('17.04'!L7,'17.04'!$AM$4:$AO$55,3,FALSE))</f>
        <v>0</v>
      </c>
      <c r="E7" s="4">
        <f>(VLOOKUP('17.04'!M7,'17.04'!$AM$4:$AO$55,3,FALSE))</f>
        <v>0</v>
      </c>
      <c r="F7" s="4">
        <f>(VLOOKUP('17.04'!N7,'17.04'!$AM$4:$AO$55,3,FALSE))</f>
        <v>0</v>
      </c>
      <c r="G7" s="5">
        <f>(VLOOKUP('17.04'!O7,'17.04'!$AM$4:$AO$55,3,FALSE))</f>
        <v>0</v>
      </c>
      <c r="H7" s="5">
        <f>(VLOOKUP('17.04'!P7,'17.04'!$AM$4:$AO$55,3,FALSE))</f>
        <v>0</v>
      </c>
      <c r="I7" s="4">
        <f>(VLOOKUP('17.04'!Q7,'17.04'!$AM$4:$AO$55,3,FALSE))</f>
        <v>45</v>
      </c>
      <c r="J7" s="4">
        <f>(VLOOKUP('17.04'!R7,'17.04'!$AM$4:$AO$55,3,FALSE))</f>
        <v>45</v>
      </c>
      <c r="K7" s="4">
        <f>(VLOOKUP('17.04'!S7,'17.04'!$AM$4:$AO$55,3,FALSE))</f>
        <v>45</v>
      </c>
      <c r="L7" s="4">
        <f>(VLOOKUP('17.04'!T7,'17.04'!$AM$4:$AO$55,3,FALSE))</f>
        <v>45</v>
      </c>
      <c r="M7" s="4">
        <f>(VLOOKUP('17.04'!U7,'17.04'!$AM$4:$AO$55,3,FALSE))</f>
        <v>300</v>
      </c>
      <c r="N7" s="4">
        <f>(VLOOKUP('17.04'!V7,'17.04'!$AM$4:$AO$55,3,FALSE))</f>
        <v>45</v>
      </c>
      <c r="O7" s="5">
        <f>(VLOOKUP('17.04'!W7,'17.04'!$AM$4:$AO$55,3,FALSE))</f>
        <v>45</v>
      </c>
      <c r="P7" s="5">
        <f>(VLOOKUP('17.04'!X7,'17.04'!$AM$4:$AO$55,3,FALSE))</f>
        <v>45</v>
      </c>
      <c r="Q7" s="4">
        <f>(VLOOKUP('17.04'!Y7,'17.04'!$AM$4:$AO$55,3,FALSE))</f>
        <v>45</v>
      </c>
      <c r="R7" s="4">
        <f>(VLOOKUP('17.04'!Z7,'17.04'!$AM$4:$AO$55,3,FALSE))</f>
        <v>45</v>
      </c>
      <c r="S7" s="4">
        <f>(VLOOKUP('17.04'!AA7,'17.04'!$AM$4:$AO$55,3,FALSE))</f>
        <v>30</v>
      </c>
      <c r="T7" s="4">
        <f>(VLOOKUP('17.04'!AB7,'17.04'!$AM$4:$AO$55,3,FALSE))</f>
        <v>45</v>
      </c>
      <c r="U7" s="4">
        <f>(VLOOKUP('17.04'!AC7,'17.04'!$AM$4:$AO$55,3,FALSE))</f>
        <v>45</v>
      </c>
      <c r="V7" s="4">
        <f>(VLOOKUP('17.04'!AD7,'17.04'!$AM$4:$AO$55,3,FALSE))</f>
        <v>45</v>
      </c>
      <c r="W7" s="5">
        <f>(VLOOKUP('17.04'!AE7,'17.04'!$AM$4:$AO$55,3,FALSE))</f>
        <v>0</v>
      </c>
      <c r="X7" s="5">
        <f>(VLOOKUP('17.04'!AF7,'17.04'!$AM$4:$AO$55,3,FALSE))</f>
        <v>0</v>
      </c>
    </row>
    <row r="8" spans="1:24">
      <c r="A8" s="4">
        <f>(VLOOKUP('17.04'!I8,'17.04'!$AM$4:$AO$55,3,FALSE))</f>
        <v>0</v>
      </c>
      <c r="B8" s="4">
        <f>(VLOOKUP('17.04'!J8,'17.04'!$AM$4:$AO$55,3,FALSE))</f>
        <v>0</v>
      </c>
      <c r="C8" s="4">
        <f>(VLOOKUP('17.04'!K8,'17.04'!$AM$4:$AO$55,3,FALSE))</f>
        <v>0</v>
      </c>
      <c r="D8" s="4">
        <f>(VLOOKUP('17.04'!L8,'17.04'!$AM$4:$AO$55,3,FALSE))</f>
        <v>0</v>
      </c>
      <c r="E8" s="4">
        <f>(VLOOKUP('17.04'!M8,'17.04'!$AM$4:$AO$55,3,FALSE))</f>
        <v>0</v>
      </c>
      <c r="F8" s="4">
        <f>(VLOOKUP('17.04'!N8,'17.04'!$AM$4:$AO$55,3,FALSE))</f>
        <v>0</v>
      </c>
      <c r="G8" s="5">
        <f>(VLOOKUP('17.04'!O8,'17.04'!$AM$4:$AO$55,3,FALSE))</f>
        <v>0</v>
      </c>
      <c r="H8" s="5">
        <f>(VLOOKUP('17.04'!P8,'17.04'!$AM$4:$AO$55,3,FALSE))</f>
        <v>0</v>
      </c>
      <c r="I8" s="4">
        <f>(VLOOKUP('17.04'!Q8,'17.04'!$AM$4:$AO$55,3,FALSE))</f>
        <v>45</v>
      </c>
      <c r="J8" s="4">
        <f>(VLOOKUP('17.04'!R8,'17.04'!$AM$4:$AO$55,3,FALSE))</f>
        <v>45</v>
      </c>
      <c r="K8" s="4">
        <f>(VLOOKUP('17.04'!S8,'17.04'!$AM$4:$AO$55,3,FALSE))</f>
        <v>45</v>
      </c>
      <c r="L8" s="4">
        <f>(VLOOKUP('17.04'!T8,'17.04'!$AM$4:$AO$55,3,FALSE))</f>
        <v>30</v>
      </c>
      <c r="M8" s="4">
        <f>(VLOOKUP('17.04'!U8,'17.04'!$AM$4:$AO$55,3,FALSE))</f>
        <v>45</v>
      </c>
      <c r="N8" s="4">
        <f>(VLOOKUP('17.04'!V8,'17.04'!$AM$4:$AO$55,3,FALSE))</f>
        <v>45</v>
      </c>
      <c r="O8" s="5">
        <f>(VLOOKUP('17.04'!W8,'17.04'!$AM$4:$AO$55,3,FALSE))</f>
        <v>0</v>
      </c>
      <c r="P8" s="5">
        <f>(VLOOKUP('17.04'!X8,'17.04'!$AM$4:$AO$55,3,FALSE))</f>
        <v>0</v>
      </c>
      <c r="Q8" s="4">
        <f>(VLOOKUP('17.04'!Y8,'17.04'!$AM$4:$AO$55,3,FALSE))</f>
        <v>45</v>
      </c>
      <c r="R8" s="4">
        <f>(VLOOKUP('17.04'!Z8,'17.04'!$AM$4:$AO$55,3,FALSE))</f>
        <v>45</v>
      </c>
      <c r="S8" s="4">
        <f>(VLOOKUP('17.04'!AA8,'17.04'!$AM$4:$AO$55,3,FALSE))</f>
        <v>45</v>
      </c>
      <c r="T8" s="4">
        <f>(VLOOKUP('17.04'!AB8,'17.04'!$AM$4:$AO$55,3,FALSE))</f>
        <v>45</v>
      </c>
      <c r="U8" s="4">
        <f>(VLOOKUP('17.04'!AC8,'17.04'!$AM$4:$AO$55,3,FALSE))</f>
        <v>300</v>
      </c>
      <c r="V8" s="4">
        <f>(VLOOKUP('17.04'!AD8,'17.04'!$AM$4:$AO$55,3,FALSE))</f>
        <v>45</v>
      </c>
      <c r="W8" s="5">
        <f>(VLOOKUP('17.04'!AE8,'17.04'!$AM$4:$AO$55,3,FALSE))</f>
        <v>0</v>
      </c>
      <c r="X8" s="5">
        <f>(VLOOKUP('17.04'!AF8,'17.04'!$AM$4:$AO$55,3,FALSE))</f>
        <v>0</v>
      </c>
    </row>
    <row r="9" spans="1:24">
      <c r="A9" s="4">
        <f>(VLOOKUP('17.04'!I9,'17.04'!$AM$4:$AO$55,3,FALSE))</f>
        <v>0</v>
      </c>
      <c r="B9" s="4">
        <f>(VLOOKUP('17.04'!J9,'17.04'!$AM$4:$AO$55,3,FALSE))</f>
        <v>0</v>
      </c>
      <c r="C9" s="4">
        <f>(VLOOKUP('17.04'!K9,'17.04'!$AM$4:$AO$55,3,FALSE))</f>
        <v>0</v>
      </c>
      <c r="D9" s="4">
        <f>(VLOOKUP('17.04'!L9,'17.04'!$AM$4:$AO$55,3,FALSE))</f>
        <v>0</v>
      </c>
      <c r="E9" s="4">
        <f>(VLOOKUP('17.04'!M9,'17.04'!$AM$4:$AO$55,3,FALSE))</f>
        <v>0</v>
      </c>
      <c r="F9" s="4">
        <f>(VLOOKUP('17.04'!N9,'17.04'!$AM$4:$AO$55,3,FALSE))</f>
        <v>0</v>
      </c>
      <c r="G9" s="5">
        <f>(VLOOKUP('17.04'!O9,'17.04'!$AM$4:$AO$55,3,FALSE))</f>
        <v>0</v>
      </c>
      <c r="H9" s="5">
        <f>(VLOOKUP('17.04'!P9,'17.04'!$AM$4:$AO$55,3,FALSE))</f>
        <v>0</v>
      </c>
      <c r="I9" s="4">
        <f>(VLOOKUP('17.04'!Q9,'17.04'!$AM$4:$AO$55,3,FALSE))</f>
        <v>45</v>
      </c>
      <c r="J9" s="4">
        <f>(VLOOKUP('17.04'!R9,'17.04'!$AM$4:$AO$55,3,FALSE))</f>
        <v>50</v>
      </c>
      <c r="K9" s="4">
        <f>(VLOOKUP('17.04'!S9,'17.04'!$AM$4:$AO$55,3,FALSE))</f>
        <v>50</v>
      </c>
      <c r="L9" s="4">
        <f>(VLOOKUP('17.04'!T9,'17.04'!$AM$4:$AO$55,3,FALSE))</f>
        <v>50</v>
      </c>
      <c r="M9" s="4">
        <f>(VLOOKUP('17.04'!U9,'17.04'!$AM$4:$AO$55,3,FALSE))</f>
        <v>50</v>
      </c>
      <c r="N9" s="4">
        <f>(VLOOKUP('17.04'!V9,'17.04'!$AM$4:$AO$55,3,FALSE))</f>
        <v>50</v>
      </c>
      <c r="O9" s="5">
        <f>(VLOOKUP('17.04'!W9,'17.04'!$AM$4:$AO$55,3,FALSE))</f>
        <v>0</v>
      </c>
      <c r="P9" s="5">
        <f>(VLOOKUP('17.04'!X9,'17.04'!$AM$4:$AO$55,3,FALSE))</f>
        <v>0</v>
      </c>
      <c r="Q9" s="4">
        <f>(VLOOKUP('17.04'!Y9,'17.04'!$AM$4:$AO$55,3,FALSE))</f>
        <v>45</v>
      </c>
      <c r="R9" s="4">
        <f>(VLOOKUP('17.04'!Z9,'17.04'!$AM$4:$AO$55,3,FALSE))</f>
        <v>45</v>
      </c>
      <c r="S9" s="4">
        <f>(VLOOKUP('17.04'!AA9,'17.04'!$AM$4:$AO$55,3,FALSE))</f>
        <v>45</v>
      </c>
      <c r="T9" s="4">
        <f>(VLOOKUP('17.04'!AB9,'17.04'!$AM$4:$AO$55,3,FALSE))</f>
        <v>45</v>
      </c>
      <c r="U9" s="4">
        <f>(VLOOKUP('17.04'!AC9,'17.04'!$AM$4:$AO$55,3,FALSE))</f>
        <v>30</v>
      </c>
      <c r="V9" s="4">
        <f>(VLOOKUP('17.04'!AD9,'17.04'!$AM$4:$AO$55,3,FALSE))</f>
        <v>45</v>
      </c>
      <c r="W9" s="5">
        <f>(VLOOKUP('17.04'!AE9,'17.04'!$AM$4:$AO$55,3,FALSE))</f>
        <v>0</v>
      </c>
      <c r="X9" s="5">
        <f>(VLOOKUP('17.04'!AF9,'17.04'!$AM$4:$AO$55,3,FALSE))</f>
        <v>0</v>
      </c>
    </row>
    <row r="10" spans="1:24">
      <c r="A10" s="4">
        <f>(VLOOKUP('17.04'!I10,'17.04'!$AM$4:$AO$55,3,FALSE))</f>
        <v>0</v>
      </c>
      <c r="B10" s="4">
        <f>(VLOOKUP('17.04'!J10,'17.04'!$AM$4:$AO$55,3,FALSE))</f>
        <v>0</v>
      </c>
      <c r="C10" s="4">
        <f>(VLOOKUP('17.04'!K10,'17.04'!$AM$4:$AO$55,3,FALSE))</f>
        <v>0</v>
      </c>
      <c r="D10" s="4">
        <f>(VLOOKUP('17.04'!L10,'17.04'!$AM$4:$AO$55,3,FALSE))</f>
        <v>0</v>
      </c>
      <c r="E10" s="4">
        <f>(VLOOKUP('17.04'!M10,'17.04'!$AM$4:$AO$55,3,FALSE))</f>
        <v>0</v>
      </c>
      <c r="F10" s="4">
        <f>(VLOOKUP('17.04'!N10,'17.04'!$AM$4:$AO$55,3,FALSE))</f>
        <v>0</v>
      </c>
      <c r="G10" s="5">
        <f>(VLOOKUP('17.04'!O10,'17.04'!$AM$4:$AO$55,3,FALSE))</f>
        <v>0</v>
      </c>
      <c r="H10" s="5">
        <f>(VLOOKUP('17.04'!P10,'17.04'!$AM$4:$AO$55,3,FALSE))</f>
        <v>0</v>
      </c>
      <c r="I10" s="4">
        <f>(VLOOKUP('17.04'!Q10,'17.04'!$AM$4:$AO$55,3,FALSE))</f>
        <v>50</v>
      </c>
      <c r="J10" s="4">
        <f>(VLOOKUP('17.04'!R10,'17.04'!$AM$4:$AO$55,3,FALSE))</f>
        <v>50</v>
      </c>
      <c r="K10" s="4">
        <f>(VLOOKUP('17.04'!S10,'17.04'!$AM$4:$AO$55,3,FALSE))</f>
        <v>50</v>
      </c>
      <c r="L10" s="4">
        <f>(VLOOKUP('17.04'!T10,'17.04'!$AM$4:$AO$55,3,FALSE))</f>
        <v>45</v>
      </c>
      <c r="M10" s="4">
        <f>(VLOOKUP('17.04'!U10,'17.04'!$AM$4:$AO$55,3,FALSE))</f>
        <v>45</v>
      </c>
      <c r="N10" s="4">
        <f>(VLOOKUP('17.04'!V10,'17.04'!$AM$4:$AO$55,3,FALSE))</f>
        <v>45</v>
      </c>
      <c r="O10" s="5">
        <f>(VLOOKUP('17.04'!W10,'17.04'!$AM$4:$AO$55,3,FALSE))</f>
        <v>0</v>
      </c>
      <c r="P10" s="5">
        <f>(VLOOKUP('17.04'!X10,'17.04'!$AM$4:$AO$55,3,FALSE))</f>
        <v>0</v>
      </c>
      <c r="Q10" s="4">
        <f>(VLOOKUP('17.04'!Y10,'17.04'!$AM$4:$AO$55,3,FALSE))</f>
        <v>45</v>
      </c>
      <c r="R10" s="4">
        <f>(VLOOKUP('17.04'!Z10,'17.04'!$AM$4:$AO$55,3,FALSE))</f>
        <v>45</v>
      </c>
      <c r="S10" s="4">
        <f>(VLOOKUP('17.04'!AA10,'17.04'!$AM$4:$AO$55,3,FALSE))</f>
        <v>45</v>
      </c>
      <c r="T10" s="4">
        <f>(VLOOKUP('17.04'!AB10,'17.04'!$AM$4:$AO$55,3,FALSE))</f>
        <v>45</v>
      </c>
      <c r="U10" s="4">
        <f>(VLOOKUP('17.04'!AC10,'17.04'!$AM$4:$AO$55,3,FALSE))</f>
        <v>45</v>
      </c>
      <c r="V10" s="4">
        <f>(VLOOKUP('17.04'!AD10,'17.04'!$AM$4:$AO$55,3,FALSE))</f>
        <v>45</v>
      </c>
      <c r="W10" s="5">
        <f>(VLOOKUP('17.04'!AE10,'17.04'!$AM$4:$AO$55,3,FALSE))</f>
        <v>0</v>
      </c>
      <c r="X10" s="5">
        <f>(VLOOKUP('17.04'!AF10,'17.04'!$AM$4:$AO$55,3,FALSE))</f>
        <v>0</v>
      </c>
    </row>
    <row r="11" spans="1:24">
      <c r="A11" s="4">
        <f>(VLOOKUP('17.04'!I11,'17.04'!$AM$4:$AO$55,3,FALSE))</f>
        <v>0</v>
      </c>
      <c r="B11" s="4">
        <f>(VLOOKUP('17.04'!J11,'17.04'!$AM$4:$AO$55,3,FALSE))</f>
        <v>0</v>
      </c>
      <c r="C11" s="4">
        <f>(VLOOKUP('17.04'!K11,'17.04'!$AM$4:$AO$55,3,FALSE))</f>
        <v>0</v>
      </c>
      <c r="D11" s="4">
        <f>(VLOOKUP('17.04'!L11,'17.04'!$AM$4:$AO$55,3,FALSE))</f>
        <v>0</v>
      </c>
      <c r="E11" s="4">
        <f>(VLOOKUP('17.04'!M11,'17.04'!$AM$4:$AO$55,3,FALSE))</f>
        <v>0</v>
      </c>
      <c r="F11" s="4">
        <f>(VLOOKUP('17.04'!N11,'17.04'!$AM$4:$AO$55,3,FALSE))</f>
        <v>0</v>
      </c>
      <c r="G11" s="5">
        <f>(VLOOKUP('17.04'!O11,'17.04'!$AM$4:$AO$55,3,FALSE))</f>
        <v>0</v>
      </c>
      <c r="H11" s="5">
        <f>(VLOOKUP('17.04'!P11,'17.04'!$AM$4:$AO$55,3,FALSE))</f>
        <v>0</v>
      </c>
      <c r="I11" s="4">
        <f>(VLOOKUP('17.04'!Q11,'17.04'!$AM$4:$AO$55,3,FALSE))</f>
        <v>45</v>
      </c>
      <c r="J11" s="4">
        <f>(VLOOKUP('17.04'!R11,'17.04'!$AM$4:$AO$55,3,FALSE))</f>
        <v>45</v>
      </c>
      <c r="K11" s="4">
        <f>(VLOOKUP('17.04'!S11,'17.04'!$AM$4:$AO$55,3,FALSE))</f>
        <v>35</v>
      </c>
      <c r="L11" s="4">
        <f>(VLOOKUP('17.04'!T11,'17.04'!$AM$4:$AO$55,3,FALSE))</f>
        <v>45</v>
      </c>
      <c r="M11" s="4">
        <f>(VLOOKUP('17.04'!U11,'17.04'!$AM$4:$AO$55,3,FALSE))</f>
        <v>0</v>
      </c>
      <c r="N11" s="4">
        <f>(VLOOKUP('17.04'!V11,'17.04'!$AM$4:$AO$55,3,FALSE))</f>
        <v>45</v>
      </c>
      <c r="O11" s="5">
        <f>(VLOOKUP('17.04'!W11,'17.04'!$AM$4:$AO$55,3,FALSE))</f>
        <v>45</v>
      </c>
      <c r="P11" s="5">
        <f>(VLOOKUP('17.04'!X11,'17.04'!$AM$4:$AO$55,3,FALSE))</f>
        <v>45</v>
      </c>
      <c r="Q11" s="4">
        <f>(VLOOKUP('17.04'!Y11,'17.04'!$AM$4:$AO$55,3,FALSE))</f>
        <v>45</v>
      </c>
      <c r="R11" s="4">
        <f>(VLOOKUP('17.04'!Z11,'17.04'!$AM$4:$AO$55,3,FALSE))</f>
        <v>45</v>
      </c>
      <c r="S11" s="4">
        <f>(VLOOKUP('17.04'!AA11,'17.04'!$AM$4:$AO$55,3,FALSE))</f>
        <v>45</v>
      </c>
      <c r="T11" s="4">
        <f>(VLOOKUP('17.04'!AB11,'17.04'!$AM$4:$AO$55,3,FALSE))</f>
        <v>45</v>
      </c>
      <c r="U11" s="4">
        <f>(VLOOKUP('17.04'!AC11,'17.04'!$AM$4:$AO$55,3,FALSE))</f>
        <v>45</v>
      </c>
      <c r="V11" s="4">
        <f>(VLOOKUP('17.04'!AD11,'17.04'!$AM$4:$AO$55,3,FALSE))</f>
        <v>45</v>
      </c>
      <c r="W11" s="5">
        <f>(VLOOKUP('17.04'!AE11,'17.04'!$AM$4:$AO$55,3,FALSE))</f>
        <v>0</v>
      </c>
      <c r="X11" s="5">
        <f>(VLOOKUP('17.04'!AF11,'17.04'!$AM$4:$AO$55,3,FALSE))</f>
        <v>0</v>
      </c>
    </row>
    <row r="12" spans="1:24">
      <c r="A12" s="4">
        <f>(VLOOKUP('17.04'!I12,'17.04'!$AM$4:$AO$55,3,FALSE))</f>
        <v>0</v>
      </c>
      <c r="B12" s="4">
        <f>(VLOOKUP('17.04'!J12,'17.04'!$AM$4:$AO$55,3,FALSE))</f>
        <v>0</v>
      </c>
      <c r="C12" s="4">
        <f>(VLOOKUP('17.04'!K12,'17.04'!$AM$4:$AO$55,3,FALSE))</f>
        <v>0</v>
      </c>
      <c r="D12" s="4">
        <f>(VLOOKUP('17.04'!L12,'17.04'!$AM$4:$AO$55,3,FALSE))</f>
        <v>0</v>
      </c>
      <c r="E12" s="4">
        <f>(VLOOKUP('17.04'!M12,'17.04'!$AM$4:$AO$55,3,FALSE))</f>
        <v>0</v>
      </c>
      <c r="F12" s="4">
        <f>(VLOOKUP('17.04'!N12,'17.04'!$AM$4:$AO$55,3,FALSE))</f>
        <v>0</v>
      </c>
      <c r="G12" s="5">
        <f>(VLOOKUP('17.04'!O12,'17.04'!$AM$4:$AO$55,3,FALSE))</f>
        <v>0</v>
      </c>
      <c r="H12" s="5">
        <f>(VLOOKUP('17.04'!P12,'17.04'!$AM$4:$AO$55,3,FALSE))</f>
        <v>0</v>
      </c>
      <c r="I12" s="4">
        <f>(VLOOKUP('17.04'!Q12,'17.04'!$AM$4:$AO$55,3,FALSE))</f>
        <v>45</v>
      </c>
      <c r="J12" s="4">
        <f>(VLOOKUP('17.04'!R12,'17.04'!$AM$4:$AO$55,3,FALSE))</f>
        <v>45</v>
      </c>
      <c r="K12" s="4">
        <f>(VLOOKUP('17.04'!S12,'17.04'!$AM$4:$AO$55,3,FALSE))</f>
        <v>45</v>
      </c>
      <c r="L12" s="4">
        <f>(VLOOKUP('17.04'!T12,'17.04'!$AM$4:$AO$55,3,FALSE))</f>
        <v>45</v>
      </c>
      <c r="M12" s="4">
        <f>(VLOOKUP('17.04'!U12,'17.04'!$AM$4:$AO$55,3,FALSE))</f>
        <v>45</v>
      </c>
      <c r="N12" s="4">
        <f>(VLOOKUP('17.04'!V12,'17.04'!$AM$4:$AO$55,3,FALSE))</f>
        <v>45</v>
      </c>
      <c r="O12" s="5">
        <f>(VLOOKUP('17.04'!W12,'17.04'!$AM$4:$AO$55,3,FALSE))</f>
        <v>0</v>
      </c>
      <c r="P12" s="5">
        <f>(VLOOKUP('17.04'!X12,'17.04'!$AM$4:$AO$55,3,FALSE))</f>
        <v>0</v>
      </c>
      <c r="Q12" s="4">
        <f>(VLOOKUP('17.04'!Y12,'17.04'!$AM$4:$AO$55,3,FALSE))</f>
        <v>45</v>
      </c>
      <c r="R12" s="4">
        <f>(VLOOKUP('17.04'!Z12,'17.04'!$AM$4:$AO$55,3,FALSE))</f>
        <v>30</v>
      </c>
      <c r="S12" s="4">
        <f>(VLOOKUP('17.04'!AA12,'17.04'!$AM$4:$AO$55,3,FALSE))</f>
        <v>45</v>
      </c>
      <c r="T12" s="4">
        <f>(VLOOKUP('17.04'!AB12,'17.04'!$AM$4:$AO$55,3,FALSE))</f>
        <v>45</v>
      </c>
      <c r="U12" s="4">
        <f>(VLOOKUP('17.04'!AC12,'17.04'!$AM$4:$AO$55,3,FALSE))</f>
        <v>45</v>
      </c>
      <c r="V12" s="4">
        <f>(VLOOKUP('17.04'!AD12,'17.04'!$AM$4:$AO$55,3,FALSE))</f>
        <v>45</v>
      </c>
      <c r="W12" s="5">
        <f>(VLOOKUP('17.04'!AE12,'17.04'!$AM$4:$AO$55,3,FALSE))</f>
        <v>0</v>
      </c>
      <c r="X12" s="5">
        <f>(VLOOKUP('17.04'!AF12,'17.04'!$AM$4:$AO$55,3,FALSE))</f>
        <v>0</v>
      </c>
    </row>
    <row r="13" spans="1:24">
      <c r="A13" s="4">
        <f>(VLOOKUP('17.04'!I13,'17.04'!$AM$4:$AO$55,3,FALSE))</f>
        <v>0</v>
      </c>
      <c r="B13" s="4">
        <f>(VLOOKUP('17.04'!J13,'17.04'!$AM$4:$AO$55,3,FALSE))</f>
        <v>0</v>
      </c>
      <c r="C13" s="4">
        <f>(VLOOKUP('17.04'!K13,'17.04'!$AM$4:$AO$55,3,FALSE))</f>
        <v>0</v>
      </c>
      <c r="D13" s="4">
        <f>(VLOOKUP('17.04'!L13,'17.04'!$AM$4:$AO$55,3,FALSE))</f>
        <v>0</v>
      </c>
      <c r="E13" s="4">
        <f>(VLOOKUP('17.04'!M13,'17.04'!$AM$4:$AO$55,3,FALSE))</f>
        <v>0</v>
      </c>
      <c r="F13" s="4">
        <f>(VLOOKUP('17.04'!N13,'17.04'!$AM$4:$AO$55,3,FALSE))</f>
        <v>0</v>
      </c>
      <c r="G13" s="5">
        <f>(VLOOKUP('17.04'!O13,'17.04'!$AM$4:$AO$55,3,FALSE))</f>
        <v>0</v>
      </c>
      <c r="H13" s="5">
        <f>(VLOOKUP('17.04'!P13,'17.04'!$AM$4:$AO$55,3,FALSE))</f>
        <v>0</v>
      </c>
      <c r="I13" s="4">
        <f>(VLOOKUP('17.04'!Q13,'17.04'!$AM$4:$AO$55,3,FALSE))</f>
        <v>50</v>
      </c>
      <c r="J13" s="4">
        <f>(VLOOKUP('17.04'!R13,'17.04'!$AM$4:$AO$55,3,FALSE))</f>
        <v>30</v>
      </c>
      <c r="K13" s="4">
        <f>(VLOOKUP('17.04'!S13,'17.04'!$AM$4:$AO$55,3,FALSE))</f>
        <v>50</v>
      </c>
      <c r="L13" s="4">
        <f>(VLOOKUP('17.04'!T13,'17.04'!$AM$4:$AO$55,3,FALSE))</f>
        <v>50</v>
      </c>
      <c r="M13" s="4">
        <f>(VLOOKUP('17.04'!U13,'17.04'!$AM$4:$AO$55,3,FALSE))</f>
        <v>50</v>
      </c>
      <c r="N13" s="4">
        <f>(VLOOKUP('17.04'!V13,'17.04'!$AM$4:$AO$55,3,FALSE))</f>
        <v>50</v>
      </c>
      <c r="O13" s="5">
        <f>(VLOOKUP('17.04'!W13,'17.04'!$AM$4:$AO$55,3,FALSE))</f>
        <v>0</v>
      </c>
      <c r="P13" s="5">
        <f>(VLOOKUP('17.04'!X13,'17.04'!$AM$4:$AO$55,3,FALSE))</f>
        <v>0</v>
      </c>
      <c r="Q13" s="4">
        <f>(VLOOKUP('17.04'!Y13,'17.04'!$AM$4:$AO$55,3,FALSE))</f>
        <v>300</v>
      </c>
      <c r="R13" s="4">
        <f>(VLOOKUP('17.04'!Z13,'17.04'!$AM$4:$AO$55,3,FALSE))</f>
        <v>0</v>
      </c>
      <c r="S13" s="4">
        <f>(VLOOKUP('17.04'!AA13,'17.04'!$AM$4:$AO$55,3,FALSE))</f>
        <v>0</v>
      </c>
      <c r="T13" s="4">
        <f>(VLOOKUP('17.04'!AB13,'17.04'!$AM$4:$AO$55,3,FALSE))</f>
        <v>0</v>
      </c>
      <c r="U13" s="4">
        <f>(VLOOKUP('17.04'!AC13,'17.04'!$AM$4:$AO$55,3,FALSE))</f>
        <v>0</v>
      </c>
      <c r="V13" s="4">
        <f>(VLOOKUP('17.04'!AD13,'17.04'!$AM$4:$AO$55,3,FALSE))</f>
        <v>0</v>
      </c>
      <c r="W13" s="5">
        <f>(VLOOKUP('17.04'!AE13,'17.04'!$AM$4:$AO$55,3,FALSE))</f>
        <v>0</v>
      </c>
      <c r="X13" s="5">
        <f>(VLOOKUP('17.04'!AF13,'17.04'!$AM$4:$AO$55,3,FALSE))</f>
        <v>0</v>
      </c>
    </row>
    <row r="14" spans="1:24">
      <c r="A14" s="4">
        <f>(VLOOKUP('17.04'!I14,'17.04'!$AM$4:$AO$55,3,FALSE))</f>
        <v>0</v>
      </c>
      <c r="B14" s="4">
        <f>(VLOOKUP('17.04'!J14,'17.04'!$AM$4:$AO$55,3,FALSE))</f>
        <v>0</v>
      </c>
      <c r="C14" s="4">
        <f>(VLOOKUP('17.04'!K14,'17.04'!$AM$4:$AO$55,3,FALSE))</f>
        <v>0</v>
      </c>
      <c r="D14" s="4">
        <f>(VLOOKUP('17.04'!L14,'17.04'!$AM$4:$AO$55,3,FALSE))</f>
        <v>0</v>
      </c>
      <c r="E14" s="4">
        <f>(VLOOKUP('17.04'!M14,'17.04'!$AM$4:$AO$55,3,FALSE))</f>
        <v>0</v>
      </c>
      <c r="F14" s="4">
        <f>(VLOOKUP('17.04'!N14,'17.04'!$AM$4:$AO$55,3,FALSE))</f>
        <v>0</v>
      </c>
      <c r="G14" s="5">
        <f>(VLOOKUP('17.04'!O14,'17.04'!$AM$4:$AO$55,3,FALSE))</f>
        <v>0</v>
      </c>
      <c r="H14" s="5">
        <f>(VLOOKUP('17.04'!P14,'17.04'!$AM$4:$AO$55,3,FALSE))</f>
        <v>0</v>
      </c>
      <c r="I14" s="4">
        <f>(VLOOKUP('17.04'!Q14,'17.04'!$AM$4:$AO$55,3,FALSE))</f>
        <v>50</v>
      </c>
      <c r="J14" s="4">
        <f>(VLOOKUP('17.04'!R14,'17.04'!$AM$4:$AO$55,3,FALSE))</f>
        <v>50</v>
      </c>
      <c r="K14" s="4">
        <f>(VLOOKUP('17.04'!S14,'17.04'!$AM$4:$AO$55,3,FALSE))</f>
        <v>50</v>
      </c>
      <c r="L14" s="4">
        <f>(VLOOKUP('17.04'!T14,'17.04'!$AM$4:$AO$55,3,FALSE))</f>
        <v>50</v>
      </c>
      <c r="M14" s="4">
        <f>(VLOOKUP('17.04'!U14,'17.04'!$AM$4:$AO$55,3,FALSE))</f>
        <v>50</v>
      </c>
      <c r="N14" s="4">
        <f>(VLOOKUP('17.04'!V14,'17.04'!$AM$4:$AO$55,3,FALSE))</f>
        <v>30</v>
      </c>
      <c r="O14" s="5">
        <f>(VLOOKUP('17.04'!W14,'17.04'!$AM$4:$AO$55,3,FALSE))</f>
        <v>0</v>
      </c>
      <c r="P14" s="5">
        <f>(VLOOKUP('17.04'!X14,'17.04'!$AM$4:$AO$55,3,FALSE))</f>
        <v>0</v>
      </c>
      <c r="Q14" s="4">
        <f>(VLOOKUP('17.04'!Y14,'17.04'!$AM$4:$AO$55,3,FALSE))</f>
        <v>45</v>
      </c>
      <c r="R14" s="4">
        <f>(VLOOKUP('17.04'!Z14,'17.04'!$AM$4:$AO$55,3,FALSE))</f>
        <v>45</v>
      </c>
      <c r="S14" s="4">
        <f>(VLOOKUP('17.04'!AA14,'17.04'!$AM$4:$AO$55,3,FALSE))</f>
        <v>45</v>
      </c>
      <c r="T14" s="4">
        <f>(VLOOKUP('17.04'!AB14,'17.04'!$AM$4:$AO$55,3,FALSE))</f>
        <v>45</v>
      </c>
      <c r="U14" s="4">
        <f>(VLOOKUP('17.04'!AC14,'17.04'!$AM$4:$AO$55,3,FALSE))</f>
        <v>45</v>
      </c>
      <c r="V14" s="4">
        <f>(VLOOKUP('17.04'!AD14,'17.04'!$AM$4:$AO$55,3,FALSE))</f>
        <v>45</v>
      </c>
      <c r="W14" s="5">
        <f>(VLOOKUP('17.04'!AE14,'17.04'!$AM$4:$AO$55,3,FALSE))</f>
        <v>45</v>
      </c>
      <c r="X14" s="5">
        <f>(VLOOKUP('17.04'!AF14,'17.04'!$AM$4:$AO$55,3,FALSE))</f>
        <v>45</v>
      </c>
    </row>
    <row r="15" spans="1:24">
      <c r="A15" s="4">
        <f>(VLOOKUP('17.04'!I15,'17.04'!$AM$4:$AO$55,3,FALSE))</f>
        <v>0</v>
      </c>
      <c r="B15" s="4">
        <f>(VLOOKUP('17.04'!J15,'17.04'!$AM$4:$AO$55,3,FALSE))</f>
        <v>0</v>
      </c>
      <c r="C15" s="4">
        <f>(VLOOKUP('17.04'!K15,'17.04'!$AM$4:$AO$55,3,FALSE))</f>
        <v>0</v>
      </c>
      <c r="D15" s="4">
        <f>(VLOOKUP('17.04'!L15,'17.04'!$AM$4:$AO$55,3,FALSE))</f>
        <v>0</v>
      </c>
      <c r="E15" s="4">
        <f>(VLOOKUP('17.04'!M15,'17.04'!$AM$4:$AO$55,3,FALSE))</f>
        <v>0</v>
      </c>
      <c r="F15" s="4">
        <f>(VLOOKUP('17.04'!N15,'17.04'!$AM$4:$AO$55,3,FALSE))</f>
        <v>0</v>
      </c>
      <c r="G15" s="5">
        <f>(VLOOKUP('17.04'!O15,'17.04'!$AM$4:$AO$55,3,FALSE))</f>
        <v>0</v>
      </c>
      <c r="H15" s="5">
        <f>(VLOOKUP('17.04'!P15,'17.04'!$AM$4:$AO$55,3,FALSE))</f>
        <v>0</v>
      </c>
      <c r="I15" s="4">
        <f>(VLOOKUP('17.04'!Q15,'17.04'!$AM$4:$AO$55,3,FALSE))</f>
        <v>50</v>
      </c>
      <c r="J15" s="4">
        <f>(VLOOKUP('17.04'!R15,'17.04'!$AM$4:$AO$55,3,FALSE))</f>
        <v>45</v>
      </c>
      <c r="K15" s="4">
        <f>(VLOOKUP('17.04'!S15,'17.04'!$AM$4:$AO$55,3,FALSE))</f>
        <v>45</v>
      </c>
      <c r="L15" s="4">
        <f>(VLOOKUP('17.04'!T15,'17.04'!$AM$4:$AO$55,3,FALSE))</f>
        <v>45</v>
      </c>
      <c r="M15" s="4">
        <f>(VLOOKUP('17.04'!U15,'17.04'!$AM$4:$AO$55,3,FALSE))</f>
        <v>45</v>
      </c>
      <c r="N15" s="4">
        <f>(VLOOKUP('17.04'!V15,'17.04'!$AM$4:$AO$55,3,FALSE))</f>
        <v>45</v>
      </c>
      <c r="O15" s="5">
        <f>(VLOOKUP('17.04'!W15,'17.04'!$AM$4:$AO$55,3,FALSE))</f>
        <v>45</v>
      </c>
      <c r="P15" s="5">
        <f>(VLOOKUP('17.04'!X15,'17.04'!$AM$4:$AO$55,3,FALSE))</f>
        <v>0</v>
      </c>
      <c r="Q15" s="4">
        <f>(VLOOKUP('17.04'!Y15,'17.04'!$AM$4:$AO$55,3,FALSE))</f>
        <v>45</v>
      </c>
      <c r="R15" s="4">
        <f>(VLOOKUP('17.04'!Z15,'17.04'!$AM$4:$AO$55,3,FALSE))</f>
        <v>45</v>
      </c>
      <c r="S15" s="4">
        <f>(VLOOKUP('17.04'!AA15,'17.04'!$AM$4:$AO$55,3,FALSE))</f>
        <v>30</v>
      </c>
      <c r="T15" s="4">
        <f>(VLOOKUP('17.04'!AB15,'17.04'!$AM$4:$AO$55,3,FALSE))</f>
        <v>45</v>
      </c>
      <c r="U15" s="4">
        <f>(VLOOKUP('17.04'!AC15,'17.04'!$AM$4:$AO$55,3,FALSE))</f>
        <v>45</v>
      </c>
      <c r="V15" s="4">
        <f>(VLOOKUP('17.04'!AD15,'17.04'!$AM$4:$AO$55,3,FALSE))</f>
        <v>45</v>
      </c>
      <c r="W15" s="5">
        <f>(VLOOKUP('17.04'!AE15,'17.04'!$AM$4:$AO$55,3,FALSE))</f>
        <v>45</v>
      </c>
      <c r="X15" s="5">
        <f>(VLOOKUP('17.04'!AF15,'17.04'!$AM$4:$AO$55,3,FALSE))</f>
        <v>45</v>
      </c>
    </row>
    <row r="16" spans="1:24">
      <c r="A16" s="4">
        <f>(VLOOKUP('17.04'!I16,'17.04'!$AM$4:$AO$55,3,FALSE))</f>
        <v>0</v>
      </c>
      <c r="B16" s="4">
        <f>(VLOOKUP('17.04'!J16,'17.04'!$AM$4:$AO$55,3,FALSE))</f>
        <v>0</v>
      </c>
      <c r="C16" s="4">
        <f>(VLOOKUP('17.04'!K16,'17.04'!$AM$4:$AO$55,3,FALSE))</f>
        <v>0</v>
      </c>
      <c r="D16" s="4">
        <f>(VLOOKUP('17.04'!L16,'17.04'!$AM$4:$AO$55,3,FALSE))</f>
        <v>0</v>
      </c>
      <c r="E16" s="4">
        <f>(VLOOKUP('17.04'!M16,'17.04'!$AM$4:$AO$55,3,FALSE))</f>
        <v>0</v>
      </c>
      <c r="F16" s="4">
        <f>(VLOOKUP('17.04'!N16,'17.04'!$AM$4:$AO$55,3,FALSE))</f>
        <v>0</v>
      </c>
      <c r="G16" s="5">
        <f>(VLOOKUP('17.04'!O16,'17.04'!$AM$4:$AO$55,3,FALSE))</f>
        <v>0</v>
      </c>
      <c r="H16" s="5">
        <f>(VLOOKUP('17.04'!P16,'17.04'!$AM$4:$AO$55,3,FALSE))</f>
        <v>0</v>
      </c>
      <c r="I16" s="4">
        <f>(VLOOKUP('17.04'!Q16,'17.04'!$AM$4:$AO$55,3,FALSE))</f>
        <v>45</v>
      </c>
      <c r="J16" s="4">
        <f>(VLOOKUP('17.04'!R16,'17.04'!$AM$4:$AO$55,3,FALSE))</f>
        <v>45</v>
      </c>
      <c r="K16" s="4">
        <f>(VLOOKUP('17.04'!S16,'17.04'!$AM$4:$AO$55,3,FALSE))</f>
        <v>45</v>
      </c>
      <c r="L16" s="4">
        <f>(VLOOKUP('17.04'!T16,'17.04'!$AM$4:$AO$55,3,FALSE))</f>
        <v>50</v>
      </c>
      <c r="M16" s="4">
        <f>(VLOOKUP('17.04'!U16,'17.04'!$AM$4:$AO$55,3,FALSE))</f>
        <v>50</v>
      </c>
      <c r="N16" s="4">
        <f>(VLOOKUP('17.04'!V16,'17.04'!$AM$4:$AO$55,3,FALSE))</f>
        <v>50</v>
      </c>
      <c r="O16" s="5">
        <f>(VLOOKUP('17.04'!W16,'17.04'!$AM$4:$AO$55,3,FALSE))</f>
        <v>0</v>
      </c>
      <c r="P16" s="5">
        <f>(VLOOKUP('17.04'!X16,'17.04'!$AM$4:$AO$55,3,FALSE))</f>
        <v>0</v>
      </c>
      <c r="Q16" s="4">
        <f>(VLOOKUP('17.04'!Y16,'17.04'!$AM$4:$AO$55,3,FALSE))</f>
        <v>45</v>
      </c>
      <c r="R16" s="4">
        <f>(VLOOKUP('17.04'!Z16,'17.04'!$AM$4:$AO$55,3,FALSE))</f>
        <v>45</v>
      </c>
      <c r="S16" s="4">
        <f>(VLOOKUP('17.04'!AA16,'17.04'!$AM$4:$AO$55,3,FALSE))</f>
        <v>0</v>
      </c>
      <c r="T16" s="4">
        <f>(VLOOKUP('17.04'!AB16,'17.04'!$AM$4:$AO$55,3,FALSE))</f>
        <v>45</v>
      </c>
      <c r="U16" s="4">
        <f>(VLOOKUP('17.04'!AC16,'17.04'!$AM$4:$AO$55,3,FALSE))</f>
        <v>45</v>
      </c>
      <c r="V16" s="4">
        <f>(VLOOKUP('17.04'!AD16,'17.04'!$AM$4:$AO$55,3,FALSE))</f>
        <v>45</v>
      </c>
      <c r="W16" s="5">
        <f>(VLOOKUP('17.04'!AE16,'17.04'!$AM$4:$AO$55,3,FALSE))</f>
        <v>45</v>
      </c>
      <c r="X16" s="5">
        <f>(VLOOKUP('17.04'!AF16,'17.04'!$AM$4:$AO$55,3,FALSE))</f>
        <v>40</v>
      </c>
    </row>
    <row r="17" spans="1:24">
      <c r="A17" s="4">
        <f>(VLOOKUP('17.04'!I17,'17.04'!$AM$4:$AO$55,3,FALSE))</f>
        <v>0</v>
      </c>
      <c r="B17" s="4">
        <f>(VLOOKUP('17.04'!J17,'17.04'!$AM$4:$AO$55,3,FALSE))</f>
        <v>0</v>
      </c>
      <c r="C17" s="4">
        <f>(VLOOKUP('17.04'!K17,'17.04'!$AM$4:$AO$55,3,FALSE))</f>
        <v>0</v>
      </c>
      <c r="D17" s="4">
        <f>(VLOOKUP('17.04'!L17,'17.04'!$AM$4:$AO$55,3,FALSE))</f>
        <v>0</v>
      </c>
      <c r="E17" s="4">
        <f>(VLOOKUP('17.04'!M17,'17.04'!$AM$4:$AO$55,3,FALSE))</f>
        <v>0</v>
      </c>
      <c r="F17" s="4">
        <f>(VLOOKUP('17.04'!N17,'17.04'!$AM$4:$AO$55,3,FALSE))</f>
        <v>0</v>
      </c>
      <c r="G17" s="5">
        <f>(VLOOKUP('17.04'!O17,'17.04'!$AM$4:$AO$55,3,FALSE))</f>
        <v>0</v>
      </c>
      <c r="H17" s="5">
        <f>(VLOOKUP('17.04'!P17,'17.04'!$AM$4:$AO$55,3,FALSE))</f>
        <v>0</v>
      </c>
      <c r="I17" s="4">
        <f>(VLOOKUP('17.04'!Q17,'17.04'!$AM$4:$AO$55,3,FALSE))</f>
        <v>50</v>
      </c>
      <c r="J17" s="4">
        <f>(VLOOKUP('17.04'!R17,'17.04'!$AM$4:$AO$55,3,FALSE))</f>
        <v>50</v>
      </c>
      <c r="K17" s="4">
        <f>(VLOOKUP('17.04'!S17,'17.04'!$AM$4:$AO$55,3,FALSE))</f>
        <v>0</v>
      </c>
      <c r="L17" s="4">
        <f>(VLOOKUP('17.04'!T17,'17.04'!$AM$4:$AO$55,3,FALSE))</f>
        <v>50</v>
      </c>
      <c r="M17" s="4">
        <f>(VLOOKUP('17.04'!U17,'17.04'!$AM$4:$AO$55,3,FALSE))</f>
        <v>50</v>
      </c>
      <c r="N17" s="4">
        <f>(VLOOKUP('17.04'!V17,'17.04'!$AM$4:$AO$55,3,FALSE))</f>
        <v>50</v>
      </c>
      <c r="O17" s="5">
        <f>(VLOOKUP('17.04'!W17,'17.04'!$AM$4:$AO$55,3,FALSE))</f>
        <v>50</v>
      </c>
      <c r="P17" s="5">
        <f>(VLOOKUP('17.04'!X17,'17.04'!$AM$4:$AO$55,3,FALSE))</f>
        <v>50</v>
      </c>
      <c r="Q17" s="4">
        <f>(VLOOKUP('17.04'!Y17,'17.04'!$AM$4:$AO$55,3,FALSE))</f>
        <v>40</v>
      </c>
      <c r="R17" s="4">
        <f>(VLOOKUP('17.04'!Z17,'17.04'!$AM$4:$AO$55,3,FALSE))</f>
        <v>40</v>
      </c>
      <c r="S17" s="4">
        <f>(VLOOKUP('17.04'!AA17,'17.04'!$AM$4:$AO$55,3,FALSE))</f>
        <v>40</v>
      </c>
      <c r="T17" s="4">
        <f>(VLOOKUP('17.04'!AB17,'17.04'!$AM$4:$AO$55,3,FALSE))</f>
        <v>30</v>
      </c>
      <c r="U17" s="4">
        <f>(VLOOKUP('17.04'!AC17,'17.04'!$AM$4:$AO$55,3,FALSE))</f>
        <v>40</v>
      </c>
      <c r="V17" s="4">
        <f>(VLOOKUP('17.04'!AD17,'17.04'!$AM$4:$AO$55,3,FALSE))</f>
        <v>40</v>
      </c>
      <c r="W17" s="5">
        <f>(VLOOKUP('17.04'!AE17,'17.04'!$AM$4:$AO$55,3,FALSE))</f>
        <v>40</v>
      </c>
      <c r="X17" s="5">
        <f>(VLOOKUP('17.04'!AF17,'17.04'!$AM$4:$AO$55,3,FALSE))</f>
        <v>0</v>
      </c>
    </row>
    <row r="18" spans="1:24">
      <c r="A18" s="4">
        <f>(VLOOKUP('17.04'!I18,'17.04'!$AM$4:$AO$55,3,FALSE))</f>
        <v>0</v>
      </c>
      <c r="B18" s="4">
        <f>(VLOOKUP('17.04'!J18,'17.04'!$AM$4:$AO$55,3,FALSE))</f>
        <v>0</v>
      </c>
      <c r="C18" s="4">
        <f>(VLOOKUP('17.04'!K18,'17.04'!$AM$4:$AO$55,3,FALSE))</f>
        <v>0</v>
      </c>
      <c r="D18" s="4">
        <f>(VLOOKUP('17.04'!L18,'17.04'!$AM$4:$AO$55,3,FALSE))</f>
        <v>0</v>
      </c>
      <c r="E18" s="4">
        <f>(VLOOKUP('17.04'!M18,'17.04'!$AM$4:$AO$55,3,FALSE))</f>
        <v>0</v>
      </c>
      <c r="F18" s="4">
        <f>(VLOOKUP('17.04'!N18,'17.04'!$AM$4:$AO$55,3,FALSE))</f>
        <v>0</v>
      </c>
      <c r="G18" s="5">
        <f>(VLOOKUP('17.04'!O18,'17.04'!$AM$4:$AO$55,3,FALSE))</f>
        <v>0</v>
      </c>
      <c r="H18" s="5">
        <f>(VLOOKUP('17.04'!P18,'17.04'!$AM$4:$AO$55,3,FALSE))</f>
        <v>0</v>
      </c>
      <c r="I18" s="4">
        <f>(VLOOKUP('17.04'!Q18,'17.04'!$AM$4:$AO$55,3,FALSE))</f>
        <v>50</v>
      </c>
      <c r="J18" s="4">
        <f>(VLOOKUP('17.04'!R18,'17.04'!$AM$4:$AO$55,3,FALSE))</f>
        <v>50</v>
      </c>
      <c r="K18" s="4">
        <f>(VLOOKUP('17.04'!S18,'17.04'!$AM$4:$AO$55,3,FALSE))</f>
        <v>50</v>
      </c>
      <c r="L18" s="4">
        <f>(VLOOKUP('17.04'!T18,'17.04'!$AM$4:$AO$55,3,FALSE))</f>
        <v>50</v>
      </c>
      <c r="M18" s="4">
        <f>(VLOOKUP('17.04'!U18,'17.04'!$AM$4:$AO$55,3,FALSE))</f>
        <v>50</v>
      </c>
      <c r="N18" s="4">
        <f>(VLOOKUP('17.04'!V18,'17.04'!$AM$4:$AO$55,3,FALSE))</f>
        <v>50</v>
      </c>
      <c r="O18" s="5">
        <f>(VLOOKUP('17.04'!W18,'17.04'!$AM$4:$AO$55,3,FALSE))</f>
        <v>0</v>
      </c>
      <c r="P18" s="5">
        <f>(VLOOKUP('17.04'!X18,'17.04'!$AM$4:$AO$55,3,FALSE))</f>
        <v>0</v>
      </c>
      <c r="Q18" s="4">
        <f>(VLOOKUP('17.04'!Y18,'17.04'!$AM$4:$AO$55,3,FALSE))</f>
        <v>40</v>
      </c>
      <c r="R18" s="4">
        <f>(VLOOKUP('17.04'!Z18,'17.04'!$AM$4:$AO$55,3,FALSE))</f>
        <v>40</v>
      </c>
      <c r="S18" s="4">
        <f>(VLOOKUP('17.04'!AA18,'17.04'!$AM$4:$AO$55,3,FALSE))</f>
        <v>40</v>
      </c>
      <c r="T18" s="4">
        <f>(VLOOKUP('17.04'!AB18,'17.04'!$AM$4:$AO$55,3,FALSE))</f>
        <v>40</v>
      </c>
      <c r="U18" s="4">
        <f>(VLOOKUP('17.04'!AC18,'17.04'!$AM$4:$AO$55,3,FALSE))</f>
        <v>40</v>
      </c>
      <c r="V18" s="4">
        <f>(VLOOKUP('17.04'!AD18,'17.04'!$AM$4:$AO$55,3,FALSE))</f>
        <v>40</v>
      </c>
      <c r="W18" s="5">
        <f>(VLOOKUP('17.04'!AE18,'17.04'!$AM$4:$AO$55,3,FALSE))</f>
        <v>0</v>
      </c>
      <c r="X18" s="5">
        <f>(VLOOKUP('17.04'!AF18,'17.04'!$AM$4:$AO$55,3,FALSE))</f>
        <v>30</v>
      </c>
    </row>
    <row r="19" spans="1:24">
      <c r="A19" s="4">
        <f>(VLOOKUP('17.04'!I19,'17.04'!$AM$4:$AO$55,3,FALSE))</f>
        <v>0</v>
      </c>
      <c r="B19" s="4">
        <f>(VLOOKUP('17.04'!J19,'17.04'!$AM$4:$AO$55,3,FALSE))</f>
        <v>0</v>
      </c>
      <c r="C19" s="4">
        <f>(VLOOKUP('17.04'!K19,'17.04'!$AM$4:$AO$55,3,FALSE))</f>
        <v>0</v>
      </c>
      <c r="D19" s="4">
        <f>(VLOOKUP('17.04'!L19,'17.04'!$AM$4:$AO$55,3,FALSE))</f>
        <v>0</v>
      </c>
      <c r="E19" s="4">
        <f>(VLOOKUP('17.04'!M19,'17.04'!$AM$4:$AO$55,3,FALSE))</f>
        <v>0</v>
      </c>
      <c r="F19" s="4">
        <f>(VLOOKUP('17.04'!N19,'17.04'!$AM$4:$AO$55,3,FALSE))</f>
        <v>0</v>
      </c>
      <c r="G19" s="5">
        <f>(VLOOKUP('17.04'!O19,'17.04'!$AM$4:$AO$55,3,FALSE))</f>
        <v>0</v>
      </c>
      <c r="H19" s="5">
        <f>(VLOOKUP('17.04'!P19,'17.04'!$AM$4:$AO$55,3,FALSE))</f>
        <v>0</v>
      </c>
      <c r="I19" s="4">
        <f>(VLOOKUP('17.04'!Q19,'17.04'!$AM$4:$AO$55,3,FALSE))</f>
        <v>50</v>
      </c>
      <c r="J19" s="4">
        <f>(VLOOKUP('17.04'!R19,'17.04'!$AM$4:$AO$55,3,FALSE))</f>
        <v>50</v>
      </c>
      <c r="K19" s="4">
        <f>(VLOOKUP('17.04'!S19,'17.04'!$AM$4:$AO$55,3,FALSE))</f>
        <v>50</v>
      </c>
      <c r="L19" s="4">
        <f>(VLOOKUP('17.04'!T19,'17.04'!$AM$4:$AO$55,3,FALSE))</f>
        <v>55</v>
      </c>
      <c r="M19" s="4">
        <f>(VLOOKUP('17.04'!U19,'17.04'!$AM$4:$AO$55,3,FALSE))</f>
        <v>55</v>
      </c>
      <c r="N19" s="4">
        <f>(VLOOKUP('17.04'!V19,'17.04'!$AM$4:$AO$55,3,FALSE))</f>
        <v>55</v>
      </c>
      <c r="O19" s="5">
        <f>(VLOOKUP('17.04'!W19,'17.04'!$AM$4:$AO$55,3,FALSE))</f>
        <v>0</v>
      </c>
      <c r="P19" s="5">
        <f>(VLOOKUP('17.04'!X19,'17.04'!$AM$4:$AO$55,3,FALSE))</f>
        <v>0</v>
      </c>
      <c r="Q19" s="4">
        <f>(VLOOKUP('17.04'!Y19,'17.04'!$AM$4:$AO$55,3,FALSE))</f>
        <v>40</v>
      </c>
      <c r="R19" s="4">
        <f>(VLOOKUP('17.04'!Z19,'17.04'!$AM$4:$AO$55,3,FALSE))</f>
        <v>40</v>
      </c>
      <c r="S19" s="4">
        <f>(VLOOKUP('17.04'!AA19,'17.04'!$AM$4:$AO$55,3,FALSE))</f>
        <v>40</v>
      </c>
      <c r="T19" s="4">
        <f>(VLOOKUP('17.04'!AB19,'17.04'!$AM$4:$AO$55,3,FALSE))</f>
        <v>40</v>
      </c>
      <c r="U19" s="4">
        <f>(VLOOKUP('17.04'!AC19,'17.04'!$AM$4:$AO$55,3,FALSE))</f>
        <v>40</v>
      </c>
      <c r="V19" s="4">
        <f>(VLOOKUP('17.04'!AD19,'17.04'!$AM$4:$AO$55,3,FALSE))</f>
        <v>30</v>
      </c>
      <c r="W19" s="5">
        <f>(VLOOKUP('17.04'!AE19,'17.04'!$AM$4:$AO$55,3,FALSE))</f>
        <v>0</v>
      </c>
      <c r="X19" s="5">
        <f>(VLOOKUP('17.04'!AF19,'17.04'!$AM$4:$AO$55,3,FALSE))</f>
        <v>0</v>
      </c>
    </row>
    <row r="20" spans="1:24">
      <c r="A20" s="4">
        <f>(VLOOKUP('17.04'!I20,'17.04'!$AM$4:$AO$55,3,FALSE))</f>
        <v>0</v>
      </c>
      <c r="B20" s="4">
        <f>(VLOOKUP('17.04'!J20,'17.04'!$AM$4:$AO$55,3,FALSE))</f>
        <v>0</v>
      </c>
      <c r="C20" s="4">
        <f>(VLOOKUP('17.04'!K20,'17.04'!$AM$4:$AO$55,3,FALSE))</f>
        <v>0</v>
      </c>
      <c r="D20" s="4">
        <f>(VLOOKUP('17.04'!L20,'17.04'!$AM$4:$AO$55,3,FALSE))</f>
        <v>0</v>
      </c>
      <c r="E20" s="4">
        <f>(VLOOKUP('17.04'!M20,'17.04'!$AM$4:$AO$55,3,FALSE))</f>
        <v>0</v>
      </c>
      <c r="F20" s="4">
        <f>(VLOOKUP('17.04'!N20,'17.04'!$AM$4:$AO$55,3,FALSE))</f>
        <v>0</v>
      </c>
      <c r="G20" s="5">
        <f>(VLOOKUP('17.04'!O20,'17.04'!$AM$4:$AO$55,3,FALSE))</f>
        <v>0</v>
      </c>
      <c r="H20" s="5">
        <f>(VLOOKUP('17.04'!P20,'17.04'!$AM$4:$AO$55,3,FALSE))</f>
        <v>0</v>
      </c>
      <c r="I20" s="4">
        <f>(VLOOKUP('17.04'!Q20,'17.04'!$AM$4:$AO$55,3,FALSE))</f>
        <v>55</v>
      </c>
      <c r="J20" s="4">
        <f>(VLOOKUP('17.04'!R20,'17.04'!$AM$4:$AO$55,3,FALSE))</f>
        <v>55</v>
      </c>
      <c r="K20" s="4">
        <f>(VLOOKUP('17.04'!S20,'17.04'!$AM$4:$AO$55,3,FALSE))</f>
        <v>0</v>
      </c>
      <c r="L20" s="4">
        <f>(VLOOKUP('17.04'!T20,'17.04'!$AM$4:$AO$55,3,FALSE))</f>
        <v>55</v>
      </c>
      <c r="M20" s="4">
        <f>(VLOOKUP('17.04'!U20,'17.04'!$AM$4:$AO$55,3,FALSE))</f>
        <v>55</v>
      </c>
      <c r="N20" s="4">
        <f>(VLOOKUP('17.04'!V20,'17.04'!$AM$4:$AO$55,3,FALSE))</f>
        <v>50</v>
      </c>
      <c r="O20" s="5">
        <f>(VLOOKUP('17.04'!W20,'17.04'!$AM$4:$AO$55,3,FALSE))</f>
        <v>40</v>
      </c>
      <c r="P20" s="5">
        <f>(VLOOKUP('17.04'!X20,'17.04'!$AM$4:$AO$55,3,FALSE))</f>
        <v>0</v>
      </c>
      <c r="Q20" s="4">
        <f>(VLOOKUP('17.04'!Y20,'17.04'!$AM$4:$AO$55,3,FALSE))</f>
        <v>40</v>
      </c>
      <c r="R20" s="4">
        <f>(VLOOKUP('17.04'!Z20,'17.04'!$AM$4:$AO$55,3,FALSE))</f>
        <v>40</v>
      </c>
      <c r="S20" s="4">
        <f>(VLOOKUP('17.04'!AA20,'17.04'!$AM$4:$AO$55,3,FALSE))</f>
        <v>40</v>
      </c>
      <c r="T20" s="4">
        <f>(VLOOKUP('17.04'!AB20,'17.04'!$AM$4:$AO$55,3,FALSE))</f>
        <v>35</v>
      </c>
      <c r="U20" s="4">
        <f>(VLOOKUP('17.04'!AC20,'17.04'!$AM$4:$AO$55,3,FALSE))</f>
        <v>40</v>
      </c>
      <c r="V20" s="4">
        <f>(VLOOKUP('17.04'!AD20,'17.04'!$AM$4:$AO$55,3,FALSE))</f>
        <v>40</v>
      </c>
      <c r="W20" s="5">
        <f>(VLOOKUP('17.04'!AE20,'17.04'!$AM$4:$AO$55,3,FALSE))</f>
        <v>0</v>
      </c>
      <c r="X20" s="5">
        <f>(VLOOKUP('17.04'!AF20,'17.04'!$AM$4:$AO$55,3,FALSE))</f>
        <v>0</v>
      </c>
    </row>
    <row r="21" spans="1:24">
      <c r="A21" s="4">
        <f>(VLOOKUP('17.04'!I21,'17.04'!$AM$4:$AO$55,3,FALSE))</f>
        <v>0</v>
      </c>
      <c r="B21" s="4">
        <f>(VLOOKUP('17.04'!J21,'17.04'!$AM$4:$AO$55,3,FALSE))</f>
        <v>0</v>
      </c>
      <c r="C21" s="4">
        <f>(VLOOKUP('17.04'!K21,'17.04'!$AM$4:$AO$55,3,FALSE))</f>
        <v>0</v>
      </c>
      <c r="D21" s="4">
        <f>(VLOOKUP('17.04'!L21,'17.04'!$AM$4:$AO$55,3,FALSE))</f>
        <v>0</v>
      </c>
      <c r="E21" s="4">
        <f>(VLOOKUP('17.04'!M21,'17.04'!$AM$4:$AO$55,3,FALSE))</f>
        <v>0</v>
      </c>
      <c r="F21" s="4">
        <f>(VLOOKUP('17.04'!N21,'17.04'!$AM$4:$AO$55,3,FALSE))</f>
        <v>0</v>
      </c>
      <c r="G21" s="5">
        <f>(VLOOKUP('17.04'!O21,'17.04'!$AM$4:$AO$55,3,FALSE))</f>
        <v>0</v>
      </c>
      <c r="H21" s="5">
        <f>(VLOOKUP('17.04'!P21,'17.04'!$AM$4:$AO$55,3,FALSE))</f>
        <v>0</v>
      </c>
      <c r="I21" s="4">
        <f>(VLOOKUP('17.04'!Q21,'17.04'!$AM$4:$AO$55,3,FALSE))</f>
        <v>55</v>
      </c>
      <c r="J21" s="4">
        <f>(VLOOKUP('17.04'!R21,'17.04'!$AM$4:$AO$55,3,FALSE))</f>
        <v>55</v>
      </c>
      <c r="K21" s="4">
        <f>(VLOOKUP('17.04'!S21,'17.04'!$AM$4:$AO$55,3,FALSE))</f>
        <v>50</v>
      </c>
      <c r="L21" s="4">
        <f>(VLOOKUP('17.04'!T21,'17.04'!$AM$4:$AO$55,3,FALSE))</f>
        <v>50</v>
      </c>
      <c r="M21" s="4">
        <f>(VLOOKUP('17.04'!U21,'17.04'!$AM$4:$AO$55,3,FALSE))</f>
        <v>50</v>
      </c>
      <c r="N21" s="4">
        <f>(VLOOKUP('17.04'!V21,'17.04'!$AM$4:$AO$55,3,FALSE))</f>
        <v>50</v>
      </c>
      <c r="O21" s="5">
        <f>(VLOOKUP('17.04'!W21,'17.04'!$AM$4:$AO$55,3,FALSE))</f>
        <v>0</v>
      </c>
      <c r="P21" s="5">
        <f>(VLOOKUP('17.04'!X21,'17.04'!$AM$4:$AO$55,3,FALSE))</f>
        <v>0</v>
      </c>
      <c r="Q21" s="4">
        <f>(VLOOKUP('17.04'!Y21,'17.04'!$AM$4:$AO$55,3,FALSE))</f>
        <v>40</v>
      </c>
      <c r="R21" s="4">
        <f>(VLOOKUP('17.04'!Z21,'17.04'!$AM$4:$AO$55,3,FALSE))</f>
        <v>30</v>
      </c>
      <c r="S21" s="4">
        <f>(VLOOKUP('17.04'!AA21,'17.04'!$AM$4:$AO$55,3,FALSE))</f>
        <v>40</v>
      </c>
      <c r="T21" s="4">
        <f>(VLOOKUP('17.04'!AB21,'17.04'!$AM$4:$AO$55,3,FALSE))</f>
        <v>40</v>
      </c>
      <c r="U21" s="4">
        <f>(VLOOKUP('17.04'!AC21,'17.04'!$AM$4:$AO$55,3,FALSE))</f>
        <v>40</v>
      </c>
      <c r="V21" s="4">
        <f>(VLOOKUP('17.04'!AD21,'17.04'!$AM$4:$AO$55,3,FALSE))</f>
        <v>30</v>
      </c>
      <c r="W21" s="5">
        <f>(VLOOKUP('17.04'!AE21,'17.04'!$AM$4:$AO$55,3,FALSE))</f>
        <v>0</v>
      </c>
      <c r="X21" s="5">
        <f>(VLOOKUP('17.04'!AF21,'17.04'!$AM$4:$AO$55,3,FALSE))</f>
        <v>0</v>
      </c>
    </row>
    <row r="22" spans="1:24">
      <c r="A22" s="4">
        <f>(VLOOKUP('17.04'!I22,'17.04'!$AM$4:$AO$55,3,FALSE))</f>
        <v>0</v>
      </c>
      <c r="B22" s="4">
        <f>(VLOOKUP('17.04'!J22,'17.04'!$AM$4:$AO$55,3,FALSE))</f>
        <v>0</v>
      </c>
      <c r="C22" s="4">
        <f>(VLOOKUP('17.04'!K22,'17.04'!$AM$4:$AO$55,3,FALSE))</f>
        <v>0</v>
      </c>
      <c r="D22" s="4">
        <f>(VLOOKUP('17.04'!L22,'17.04'!$AM$4:$AO$55,3,FALSE))</f>
        <v>0</v>
      </c>
      <c r="E22" s="4">
        <f>(VLOOKUP('17.04'!M22,'17.04'!$AM$4:$AO$55,3,FALSE))</f>
        <v>0</v>
      </c>
      <c r="F22" s="4">
        <f>(VLOOKUP('17.04'!N22,'17.04'!$AM$4:$AO$55,3,FALSE))</f>
        <v>0</v>
      </c>
      <c r="G22" s="5">
        <f>(VLOOKUP('17.04'!O22,'17.04'!$AM$4:$AO$55,3,FALSE))</f>
        <v>0</v>
      </c>
      <c r="H22" s="5">
        <f>(VLOOKUP('17.04'!P22,'17.04'!$AM$4:$AO$55,3,FALSE))</f>
        <v>0</v>
      </c>
      <c r="I22" s="4">
        <f>(VLOOKUP('17.04'!Q22,'17.04'!$AM$4:$AO$55,3,FALSE))</f>
        <v>50</v>
      </c>
      <c r="J22" s="4">
        <f>(VLOOKUP('17.04'!R22,'17.04'!$AM$4:$AO$55,3,FALSE))</f>
        <v>0</v>
      </c>
      <c r="K22" s="4">
        <f>(VLOOKUP('17.04'!S22,'17.04'!$AM$4:$AO$55,3,FALSE))</f>
        <v>50</v>
      </c>
      <c r="L22" s="4">
        <f>(VLOOKUP('17.04'!T22,'17.04'!$AM$4:$AO$55,3,FALSE))</f>
        <v>50</v>
      </c>
      <c r="M22" s="4">
        <f>(VLOOKUP('17.04'!U22,'17.04'!$AM$4:$AO$55,3,FALSE))</f>
        <v>50</v>
      </c>
      <c r="N22" s="4">
        <f>(VLOOKUP('17.04'!V22,'17.04'!$AM$4:$AO$55,3,FALSE))</f>
        <v>55</v>
      </c>
      <c r="O22" s="5">
        <f>(VLOOKUP('17.04'!W22,'17.04'!$AM$4:$AO$55,3,FALSE))</f>
        <v>50</v>
      </c>
      <c r="P22" s="5">
        <f>(VLOOKUP('17.04'!X22,'17.04'!$AM$4:$AO$55,3,FALSE))</f>
        <v>50</v>
      </c>
      <c r="Q22" s="4">
        <f>(VLOOKUP('17.04'!Y22,'17.04'!$AM$4:$AO$55,3,FALSE))</f>
        <v>40</v>
      </c>
      <c r="R22" s="4">
        <f>(VLOOKUP('17.04'!Z22,'17.04'!$AM$4:$AO$55,3,FALSE))</f>
        <v>0</v>
      </c>
      <c r="S22" s="4">
        <f>(VLOOKUP('17.04'!AA22,'17.04'!$AM$4:$AO$55,3,FALSE))</f>
        <v>40</v>
      </c>
      <c r="T22" s="4">
        <f>(VLOOKUP('17.04'!AB22,'17.04'!$AM$4:$AO$55,3,FALSE))</f>
        <v>40</v>
      </c>
      <c r="U22" s="4">
        <f>(VLOOKUP('17.04'!AC22,'17.04'!$AM$4:$AO$55,3,FALSE))</f>
        <v>55</v>
      </c>
      <c r="V22" s="4">
        <f>(VLOOKUP('17.04'!AD22,'17.04'!$AM$4:$AO$55,3,FALSE))</f>
        <v>60</v>
      </c>
      <c r="W22" s="5">
        <f>(VLOOKUP('17.04'!AE22,'17.04'!$AM$4:$AO$55,3,FALSE))</f>
        <v>0</v>
      </c>
      <c r="X22" s="5">
        <f>(VLOOKUP('17.04'!AF22,'17.04'!$AM$4:$AO$55,3,FALSE))</f>
        <v>0</v>
      </c>
    </row>
    <row r="23" spans="1:24">
      <c r="A23" s="4">
        <f>(VLOOKUP('17.04'!I23,'17.04'!$AM$4:$AO$55,3,FALSE))</f>
        <v>0</v>
      </c>
      <c r="B23" s="4">
        <f>(VLOOKUP('17.04'!J23,'17.04'!$AM$4:$AO$55,3,FALSE))</f>
        <v>0</v>
      </c>
      <c r="C23" s="4">
        <f>(VLOOKUP('17.04'!K23,'17.04'!$AM$4:$AO$55,3,FALSE))</f>
        <v>0</v>
      </c>
      <c r="D23" s="4">
        <f>(VLOOKUP('17.04'!L23,'17.04'!$AM$4:$AO$55,3,FALSE))</f>
        <v>0</v>
      </c>
      <c r="E23" s="4">
        <f>(VLOOKUP('17.04'!M23,'17.04'!$AM$4:$AO$55,3,FALSE))</f>
        <v>0</v>
      </c>
      <c r="F23" s="4">
        <f>(VLOOKUP('17.04'!N23,'17.04'!$AM$4:$AO$55,3,FALSE))</f>
        <v>0</v>
      </c>
      <c r="G23" s="5">
        <f>(VLOOKUP('17.04'!O23,'17.04'!$AM$4:$AO$55,3,FALSE))</f>
        <v>0</v>
      </c>
      <c r="H23" s="5">
        <f>(VLOOKUP('17.04'!P23,'17.04'!$AM$4:$AO$55,3,FALSE))</f>
        <v>0</v>
      </c>
      <c r="I23" s="4">
        <f>(VLOOKUP('17.04'!Q23,'17.04'!$AM$4:$AO$55,3,FALSE))</f>
        <v>50</v>
      </c>
      <c r="J23" s="4">
        <f>(VLOOKUP('17.04'!R23,'17.04'!$AM$4:$AO$55,3,FALSE))</f>
        <v>55</v>
      </c>
      <c r="K23" s="4">
        <f>(VLOOKUP('17.04'!S23,'17.04'!$AM$4:$AO$55,3,FALSE))</f>
        <v>55</v>
      </c>
      <c r="L23" s="4">
        <f>(VLOOKUP('17.04'!T23,'17.04'!$AM$4:$AO$55,3,FALSE))</f>
        <v>0</v>
      </c>
      <c r="M23" s="4">
        <f>(VLOOKUP('17.04'!U23,'17.04'!$AM$4:$AO$55,3,FALSE))</f>
        <v>55</v>
      </c>
      <c r="N23" s="4">
        <f>(VLOOKUP('17.04'!V23,'17.04'!$AM$4:$AO$55,3,FALSE))</f>
        <v>55</v>
      </c>
      <c r="O23" s="5">
        <f>(VLOOKUP('17.04'!W23,'17.04'!$AM$4:$AO$55,3,FALSE))</f>
        <v>55</v>
      </c>
      <c r="P23" s="5">
        <f>(VLOOKUP('17.04'!X23,'17.04'!$AM$4:$AO$55,3,FALSE))</f>
        <v>55</v>
      </c>
      <c r="Q23" s="4">
        <f>(VLOOKUP('17.04'!Y23,'17.04'!$AM$4:$AO$55,3,FALSE))</f>
        <v>60</v>
      </c>
      <c r="R23" s="4">
        <f>(VLOOKUP('17.04'!Z23,'17.04'!$AM$4:$AO$55,3,FALSE))</f>
        <v>60</v>
      </c>
      <c r="S23" s="4">
        <f>(VLOOKUP('17.04'!AA23,'17.04'!$AM$4:$AO$55,3,FALSE))</f>
        <v>60</v>
      </c>
      <c r="T23" s="4">
        <f>(VLOOKUP('17.04'!AB23,'17.04'!$AM$4:$AO$55,3,FALSE))</f>
        <v>60</v>
      </c>
      <c r="U23" s="4">
        <f>(VLOOKUP('17.04'!AC23,'17.04'!$AM$4:$AO$55,3,FALSE))</f>
        <v>60</v>
      </c>
      <c r="V23" s="4">
        <f>(VLOOKUP('17.04'!AD23,'17.04'!$AM$4:$AO$55,3,FALSE))</f>
        <v>60</v>
      </c>
      <c r="W23" s="5">
        <f>(VLOOKUP('17.04'!AE23,'17.04'!$AM$4:$AO$55,3,FALSE))</f>
        <v>0</v>
      </c>
      <c r="X23" s="5">
        <f>(VLOOKUP('17.04'!AF23,'17.04'!$AM$4:$AO$55,3,FALSE))</f>
        <v>0</v>
      </c>
    </row>
    <row r="24" spans="1:24">
      <c r="A24" s="4">
        <f>(VLOOKUP('17.04'!I24,'17.04'!$AM$4:$AO$55,3,FALSE))</f>
        <v>0</v>
      </c>
      <c r="B24" s="4">
        <f>(VLOOKUP('17.04'!J24,'17.04'!$AM$4:$AO$55,3,FALSE))</f>
        <v>0</v>
      </c>
      <c r="C24" s="4">
        <f>(VLOOKUP('17.04'!K24,'17.04'!$AM$4:$AO$55,3,FALSE))</f>
        <v>0</v>
      </c>
      <c r="D24" s="4">
        <f>(VLOOKUP('17.04'!L24,'17.04'!$AM$4:$AO$55,3,FALSE))</f>
        <v>0</v>
      </c>
      <c r="E24" s="4">
        <f>(VLOOKUP('17.04'!M24,'17.04'!$AM$4:$AO$55,3,FALSE))</f>
        <v>0</v>
      </c>
      <c r="F24" s="4">
        <f>(VLOOKUP('17.04'!N24,'17.04'!$AM$4:$AO$55,3,FALSE))</f>
        <v>0</v>
      </c>
      <c r="G24" s="5">
        <f>(VLOOKUP('17.04'!O24,'17.04'!$AM$4:$AO$55,3,FALSE))</f>
        <v>0</v>
      </c>
      <c r="H24" s="5">
        <f>(VLOOKUP('17.04'!P24,'17.04'!$AM$4:$AO$55,3,FALSE))</f>
        <v>0</v>
      </c>
      <c r="I24" s="4">
        <f>(VLOOKUP('17.04'!Q24,'17.04'!$AM$4:$AO$55,3,FALSE))</f>
        <v>60</v>
      </c>
      <c r="J24" s="4">
        <f>(VLOOKUP('17.04'!R24,'17.04'!$AM$4:$AO$55,3,FALSE))</f>
        <v>0</v>
      </c>
      <c r="K24" s="4">
        <f>(VLOOKUP('17.04'!S24,'17.04'!$AM$4:$AO$55,3,FALSE))</f>
        <v>60</v>
      </c>
      <c r="L24" s="4">
        <f>(VLOOKUP('17.04'!T24,'17.04'!$AM$4:$AO$55,3,FALSE))</f>
        <v>55</v>
      </c>
      <c r="M24" s="4">
        <f>(VLOOKUP('17.04'!U24,'17.04'!$AM$4:$AO$55,3,FALSE))</f>
        <v>55</v>
      </c>
      <c r="N24" s="4">
        <f>(VLOOKUP('17.04'!V24,'17.04'!$AM$4:$AO$55,3,FALSE))</f>
        <v>55</v>
      </c>
      <c r="O24" s="5">
        <f>(VLOOKUP('17.04'!W24,'17.04'!$AM$4:$AO$55,3,FALSE))</f>
        <v>55</v>
      </c>
      <c r="P24" s="5">
        <f>(VLOOKUP('17.04'!X24,'17.04'!$AM$4:$AO$55,3,FALSE))</f>
        <v>55</v>
      </c>
      <c r="Q24" s="4">
        <f>(VLOOKUP('17.04'!Y24,'17.04'!$AM$4:$AO$55,3,FALSE))</f>
        <v>60</v>
      </c>
      <c r="R24" s="4">
        <f>(VLOOKUP('17.04'!Z24,'17.04'!$AM$4:$AO$55,3,FALSE))</f>
        <v>60</v>
      </c>
      <c r="S24" s="4">
        <f>(VLOOKUP('17.04'!AA24,'17.04'!$AM$4:$AO$55,3,FALSE))</f>
        <v>0</v>
      </c>
      <c r="T24" s="4">
        <f>(VLOOKUP('17.04'!AB24,'17.04'!$AM$4:$AO$55,3,FALSE))</f>
        <v>60</v>
      </c>
      <c r="U24" s="4">
        <f>(VLOOKUP('17.04'!AC24,'17.04'!$AM$4:$AO$55,3,FALSE))</f>
        <v>60</v>
      </c>
      <c r="V24" s="4">
        <f>(VLOOKUP('17.04'!AD24,'17.04'!$AM$4:$AO$55,3,FALSE))</f>
        <v>60</v>
      </c>
      <c r="W24" s="5">
        <f>(VLOOKUP('17.04'!AE24,'17.04'!$AM$4:$AO$55,3,FALSE))</f>
        <v>60</v>
      </c>
      <c r="X24" s="5">
        <f>(VLOOKUP('17.04'!AF24,'17.04'!$AM$4:$AO$55,3,FALSE))</f>
        <v>0</v>
      </c>
    </row>
    <row r="25" spans="1:24">
      <c r="A25" s="4">
        <f>(VLOOKUP('17.04'!I25,'17.04'!$AM$4:$AO$55,3,FALSE))</f>
        <v>0</v>
      </c>
      <c r="B25" s="4">
        <f>(VLOOKUP('17.04'!J25,'17.04'!$AM$4:$AO$55,3,FALSE))</f>
        <v>0</v>
      </c>
      <c r="C25" s="4">
        <f>(VLOOKUP('17.04'!K25,'17.04'!$AM$4:$AO$55,3,FALSE))</f>
        <v>0</v>
      </c>
      <c r="D25" s="4">
        <f>(VLOOKUP('17.04'!L25,'17.04'!$AM$4:$AO$55,3,FALSE))</f>
        <v>0</v>
      </c>
      <c r="E25" s="4">
        <f>(VLOOKUP('17.04'!M25,'17.04'!$AM$4:$AO$55,3,FALSE))</f>
        <v>0</v>
      </c>
      <c r="F25" s="4">
        <f>(VLOOKUP('17.04'!N25,'17.04'!$AM$4:$AO$55,3,FALSE))</f>
        <v>0</v>
      </c>
      <c r="G25" s="5">
        <f>(VLOOKUP('17.04'!O25,'17.04'!$AM$4:$AO$55,3,FALSE))</f>
        <v>0</v>
      </c>
      <c r="H25" s="5">
        <f>(VLOOKUP('17.04'!P25,'17.04'!$AM$4:$AO$55,3,FALSE))</f>
        <v>0</v>
      </c>
      <c r="I25" s="4">
        <f>(VLOOKUP('17.04'!Q25,'17.04'!$AM$4:$AO$55,3,FALSE))</f>
        <v>55</v>
      </c>
      <c r="J25" s="4">
        <f>(VLOOKUP('17.04'!R25,'17.04'!$AM$4:$AO$55,3,FALSE))</f>
        <v>55</v>
      </c>
      <c r="K25" s="4">
        <f>(VLOOKUP('17.04'!S25,'17.04'!$AM$4:$AO$55,3,FALSE))</f>
        <v>50</v>
      </c>
      <c r="L25" s="4">
        <f>(VLOOKUP('17.04'!T25,'17.04'!$AM$4:$AO$55,3,FALSE))</f>
        <v>50</v>
      </c>
      <c r="M25" s="4">
        <f>(VLOOKUP('17.04'!U25,'17.04'!$AM$4:$AO$55,3,FALSE))</f>
        <v>55</v>
      </c>
      <c r="N25" s="4">
        <f>(VLOOKUP('17.04'!V25,'17.04'!$AM$4:$AO$55,3,FALSE))</f>
        <v>50</v>
      </c>
      <c r="O25" s="5">
        <f>(VLOOKUP('17.04'!W25,'17.04'!$AM$4:$AO$55,3,FALSE))</f>
        <v>0</v>
      </c>
      <c r="P25" s="5">
        <f>(VLOOKUP('17.04'!X25,'17.04'!$AM$4:$AO$55,3,FALSE))</f>
        <v>50</v>
      </c>
      <c r="Q25" s="4">
        <f>(VLOOKUP('17.04'!Y25,'17.04'!$AM$4:$AO$55,3,FALSE))</f>
        <v>60</v>
      </c>
      <c r="R25" s="4">
        <f>(VLOOKUP('17.04'!Z25,'17.04'!$AM$4:$AO$55,3,FALSE))</f>
        <v>60</v>
      </c>
      <c r="S25" s="4">
        <f>(VLOOKUP('17.04'!AA25,'17.04'!$AM$4:$AO$55,3,FALSE))</f>
        <v>60</v>
      </c>
      <c r="T25" s="4">
        <f>(VLOOKUP('17.04'!AB25,'17.04'!$AM$4:$AO$55,3,FALSE))</f>
        <v>60</v>
      </c>
      <c r="U25" s="4">
        <f>(VLOOKUP('17.04'!AC25,'17.04'!$AM$4:$AO$55,3,FALSE))</f>
        <v>60</v>
      </c>
      <c r="V25" s="4">
        <f>(VLOOKUP('17.04'!AD25,'17.04'!$AM$4:$AO$55,3,FALSE))</f>
        <v>60</v>
      </c>
      <c r="W25" s="5">
        <f>(VLOOKUP('17.04'!AE25,'17.04'!$AM$4:$AO$55,3,FALSE))</f>
        <v>0</v>
      </c>
      <c r="X25" s="5">
        <f>(VLOOKUP('17.04'!AF25,'17.04'!$AM$4:$AO$55,3,FALSE))</f>
        <v>0</v>
      </c>
    </row>
    <row r="26" spans="1:24">
      <c r="A26" s="4">
        <f>(VLOOKUP('17.04'!I26,'17.04'!$AM$4:$AO$55,3,FALSE))</f>
        <v>0</v>
      </c>
      <c r="B26" s="4">
        <f>(VLOOKUP('17.04'!J26,'17.04'!$AM$4:$AO$55,3,FALSE))</f>
        <v>0</v>
      </c>
      <c r="C26" s="4">
        <f>(VLOOKUP('17.04'!K26,'17.04'!$AM$4:$AO$55,3,FALSE))</f>
        <v>0</v>
      </c>
      <c r="D26" s="4">
        <f>(VLOOKUP('17.04'!L26,'17.04'!$AM$4:$AO$55,3,FALSE))</f>
        <v>0</v>
      </c>
      <c r="E26" s="4">
        <f>(VLOOKUP('17.04'!M26,'17.04'!$AM$4:$AO$55,3,FALSE))</f>
        <v>0</v>
      </c>
      <c r="F26" s="4">
        <f>(VLOOKUP('17.04'!N26,'17.04'!$AM$4:$AO$55,3,FALSE))</f>
        <v>0</v>
      </c>
      <c r="G26" s="5">
        <f>(VLOOKUP('17.04'!O26,'17.04'!$AM$4:$AO$55,3,FALSE))</f>
        <v>0</v>
      </c>
      <c r="H26" s="5">
        <f>(VLOOKUP('17.04'!P26,'17.04'!$AM$4:$AO$55,3,FALSE))</f>
        <v>0</v>
      </c>
      <c r="I26" s="4">
        <f>(VLOOKUP('17.04'!Q26,'17.04'!$AM$4:$AO$55,3,FALSE))</f>
        <v>55</v>
      </c>
      <c r="J26" s="4">
        <f>(VLOOKUP('17.04'!R26,'17.04'!$AM$4:$AO$55,3,FALSE))</f>
        <v>30</v>
      </c>
      <c r="K26" s="4">
        <f>(VLOOKUP('17.04'!S26,'17.04'!$AM$4:$AO$55,3,FALSE))</f>
        <v>50</v>
      </c>
      <c r="L26" s="4">
        <f>(VLOOKUP('17.04'!T26,'17.04'!$AM$4:$AO$55,3,FALSE))</f>
        <v>50</v>
      </c>
      <c r="M26" s="4">
        <f>(VLOOKUP('17.04'!U26,'17.04'!$AM$4:$AO$55,3,FALSE))</f>
        <v>55</v>
      </c>
      <c r="N26" s="4">
        <f>(VLOOKUP('17.04'!V26,'17.04'!$AM$4:$AO$55,3,FALSE))</f>
        <v>55</v>
      </c>
      <c r="O26" s="5">
        <f>(VLOOKUP('17.04'!W26,'17.04'!$AM$4:$AO$55,3,FALSE))</f>
        <v>0</v>
      </c>
      <c r="P26" s="5">
        <f>(VLOOKUP('17.04'!X26,'17.04'!$AM$4:$AO$55,3,FALSE))</f>
        <v>0</v>
      </c>
      <c r="Q26" s="4">
        <f>(VLOOKUP('17.04'!Y26,'17.04'!$AM$4:$AO$55,3,FALSE))</f>
        <v>60</v>
      </c>
      <c r="R26" s="4">
        <f>(VLOOKUP('17.04'!Z26,'17.04'!$AM$4:$AO$55,3,FALSE))</f>
        <v>30</v>
      </c>
      <c r="S26" s="4">
        <f>(VLOOKUP('17.04'!AA26,'17.04'!$AM$4:$AO$55,3,FALSE))</f>
        <v>60</v>
      </c>
      <c r="T26" s="4">
        <f>(VLOOKUP('17.04'!AB26,'17.04'!$AM$4:$AO$55,3,FALSE))</f>
        <v>60</v>
      </c>
      <c r="U26" s="4">
        <f>(VLOOKUP('17.04'!AC26,'17.04'!$AM$4:$AO$55,3,FALSE))</f>
        <v>60</v>
      </c>
      <c r="V26" s="4">
        <f>(VLOOKUP('17.04'!AD26,'17.04'!$AM$4:$AO$55,3,FALSE))</f>
        <v>60</v>
      </c>
      <c r="W26" s="5">
        <f>(VLOOKUP('17.04'!AE26,'17.04'!$AM$4:$AO$55,3,FALSE))</f>
        <v>0</v>
      </c>
      <c r="X26" s="5">
        <f>(VLOOKUP('17.04'!AF26,'17.04'!$AM$4:$AO$55,3,FALSE))</f>
        <v>0</v>
      </c>
    </row>
    <row r="27" spans="1:24">
      <c r="A27" s="4">
        <f>(VLOOKUP('17.04'!I27,'17.04'!$AM$4:$AO$55,3,FALSE))</f>
        <v>0</v>
      </c>
      <c r="B27" s="4">
        <f>(VLOOKUP('17.04'!J27,'17.04'!$AM$4:$AO$55,3,FALSE))</f>
        <v>0</v>
      </c>
      <c r="C27" s="4">
        <f>(VLOOKUP('17.04'!K27,'17.04'!$AM$4:$AO$55,3,FALSE))</f>
        <v>0</v>
      </c>
      <c r="D27" s="4">
        <f>(VLOOKUP('17.04'!L27,'17.04'!$AM$4:$AO$55,3,FALSE))</f>
        <v>0</v>
      </c>
      <c r="E27" s="4">
        <f>(VLOOKUP('17.04'!M27,'17.04'!$AM$4:$AO$55,3,FALSE))</f>
        <v>0</v>
      </c>
      <c r="F27" s="4">
        <f>(VLOOKUP('17.04'!N27,'17.04'!$AM$4:$AO$55,3,FALSE))</f>
        <v>0</v>
      </c>
      <c r="G27" s="5">
        <f>(VLOOKUP('17.04'!O27,'17.04'!$AM$4:$AO$55,3,FALSE))</f>
        <v>0</v>
      </c>
      <c r="H27" s="5">
        <f>(VLOOKUP('17.04'!P27,'17.04'!$AM$4:$AO$55,3,FALSE))</f>
        <v>0</v>
      </c>
      <c r="I27" s="4">
        <f>(VLOOKUP('17.04'!Q27,'17.04'!$AM$4:$AO$55,3,FALSE))</f>
        <v>55</v>
      </c>
      <c r="J27" s="4">
        <f>(VLOOKUP('17.04'!R27,'17.04'!$AM$4:$AO$55,3,FALSE))</f>
        <v>55</v>
      </c>
      <c r="K27" s="4">
        <f>(VLOOKUP('17.04'!S27,'17.04'!$AM$4:$AO$55,3,FALSE))</f>
        <v>55</v>
      </c>
      <c r="L27" s="4">
        <f>(VLOOKUP('17.04'!T27,'17.04'!$AM$4:$AO$55,3,FALSE))</f>
        <v>40</v>
      </c>
      <c r="M27" s="4">
        <f>(VLOOKUP('17.04'!U27,'17.04'!$AM$4:$AO$55,3,FALSE))</f>
        <v>40</v>
      </c>
      <c r="N27" s="4">
        <f>(VLOOKUP('17.04'!V27,'17.04'!$AM$4:$AO$55,3,FALSE))</f>
        <v>30</v>
      </c>
      <c r="O27" s="5">
        <f>(VLOOKUP('17.04'!W27,'17.04'!$AM$4:$AO$55,3,FALSE))</f>
        <v>0</v>
      </c>
      <c r="P27" s="5">
        <f>(VLOOKUP('17.04'!X27,'17.04'!$AM$4:$AO$55,3,FALSE))</f>
        <v>0</v>
      </c>
      <c r="Q27" s="4">
        <f>(VLOOKUP('17.04'!Y27,'17.04'!$AM$4:$AO$55,3,FALSE))</f>
        <v>60</v>
      </c>
      <c r="R27" s="4">
        <f>(VLOOKUP('17.04'!Z27,'17.04'!$AM$4:$AO$55,3,FALSE))</f>
        <v>60</v>
      </c>
      <c r="S27" s="4">
        <f>(VLOOKUP('17.04'!AA27,'17.04'!$AM$4:$AO$55,3,FALSE))</f>
        <v>60</v>
      </c>
      <c r="T27" s="4">
        <f>(VLOOKUP('17.04'!AB27,'17.04'!$AM$4:$AO$55,3,FALSE))</f>
        <v>60</v>
      </c>
      <c r="U27" s="4">
        <f>(VLOOKUP('17.04'!AC27,'17.04'!$AM$4:$AO$55,3,FALSE))</f>
        <v>60</v>
      </c>
      <c r="V27" s="4">
        <f>(VLOOKUP('17.04'!AD27,'17.04'!$AM$4:$AO$55,3,FALSE))</f>
        <v>60</v>
      </c>
      <c r="W27" s="5">
        <f>(VLOOKUP('17.04'!AE27,'17.04'!$AM$4:$AO$55,3,FALSE))</f>
        <v>0</v>
      </c>
      <c r="X27" s="5">
        <f>(VLOOKUP('17.04'!AF27,'17.04'!$AM$4:$AO$55,3,FALSE))</f>
        <v>0</v>
      </c>
    </row>
    <row r="28" spans="1:24">
      <c r="A28" s="4">
        <f>(VLOOKUP('17.04'!I28,'17.04'!$AM$4:$AO$55,3,FALSE))</f>
        <v>0</v>
      </c>
      <c r="B28" s="4">
        <f>(VLOOKUP('17.04'!J28,'17.04'!$AM$4:$AO$55,3,FALSE))</f>
        <v>0</v>
      </c>
      <c r="C28" s="4">
        <f>(VLOOKUP('17.04'!K28,'17.04'!$AM$4:$AO$55,3,FALSE))</f>
        <v>0</v>
      </c>
      <c r="D28" s="4">
        <f>(VLOOKUP('17.04'!L28,'17.04'!$AM$4:$AO$55,3,FALSE))</f>
        <v>0</v>
      </c>
      <c r="E28" s="4">
        <f>(VLOOKUP('17.04'!M28,'17.04'!$AM$4:$AO$55,3,FALSE))</f>
        <v>0</v>
      </c>
      <c r="F28" s="4">
        <f>(VLOOKUP('17.04'!N28,'17.04'!$AM$4:$AO$55,3,FALSE))</f>
        <v>0</v>
      </c>
      <c r="G28" s="5">
        <f>(VLOOKUP('17.04'!O28,'17.04'!$AM$4:$AO$55,3,FALSE))</f>
        <v>0</v>
      </c>
      <c r="H28" s="5">
        <f>(VLOOKUP('17.04'!P28,'17.04'!$AM$4:$AO$55,3,FALSE))</f>
        <v>0</v>
      </c>
      <c r="I28" s="4">
        <f>(VLOOKUP('17.04'!Q28,'17.04'!$AM$4:$AO$55,3,FALSE))</f>
        <v>40</v>
      </c>
      <c r="J28" s="4">
        <f>(VLOOKUP('17.04'!R28,'17.04'!$AM$4:$AO$55,3,FALSE))</f>
        <v>520</v>
      </c>
      <c r="K28" s="4">
        <f>(VLOOKUP('17.04'!S28,'17.04'!$AM$4:$AO$55,3,FALSE))</f>
        <v>60</v>
      </c>
      <c r="L28" s="4">
        <f>(VLOOKUP('17.04'!T28,'17.04'!$AM$4:$AO$55,3,FALSE))</f>
        <v>60</v>
      </c>
      <c r="M28" s="4">
        <f>(VLOOKUP('17.04'!U28,'17.04'!$AM$4:$AO$55,3,FALSE))</f>
        <v>60</v>
      </c>
      <c r="N28" s="4">
        <f>(VLOOKUP('17.04'!V28,'17.04'!$AM$4:$AO$55,3,FALSE))</f>
        <v>60</v>
      </c>
      <c r="O28" s="5">
        <f>(VLOOKUP('17.04'!W28,'17.04'!$AM$4:$AO$55,3,FALSE))</f>
        <v>60</v>
      </c>
      <c r="P28" s="5">
        <f>(VLOOKUP('17.04'!X28,'17.04'!$AM$4:$AO$55,3,FALSE))</f>
        <v>0</v>
      </c>
      <c r="Q28" s="4">
        <f>(VLOOKUP('17.04'!Y28,'17.04'!$AM$4:$AO$55,3,FALSE))</f>
        <v>60</v>
      </c>
      <c r="R28" s="4">
        <f>(VLOOKUP('17.04'!Z28,'17.04'!$AM$4:$AO$55,3,FALSE))</f>
        <v>60</v>
      </c>
      <c r="S28" s="4">
        <f>(VLOOKUP('17.04'!AA28,'17.04'!$AM$4:$AO$55,3,FALSE))</f>
        <v>60</v>
      </c>
      <c r="T28" s="4">
        <f>(VLOOKUP('17.04'!AB28,'17.04'!$AM$4:$AO$55,3,FALSE))</f>
        <v>60</v>
      </c>
      <c r="U28" s="4">
        <f>(VLOOKUP('17.04'!AC28,'17.04'!$AM$4:$AO$55,3,FALSE))</f>
        <v>60</v>
      </c>
      <c r="V28" s="4">
        <f>(VLOOKUP('17.04'!AD28,'17.04'!$AM$4:$AO$55,3,FALSE))</f>
        <v>60</v>
      </c>
      <c r="W28" s="5">
        <f>(VLOOKUP('17.04'!AE28,'17.04'!$AM$4:$AO$55,3,FALSE))</f>
        <v>0</v>
      </c>
      <c r="X28" s="5">
        <f>(VLOOKUP('17.04'!AF28,'17.04'!$AM$4:$AO$55,3,FALSE))</f>
        <v>0</v>
      </c>
    </row>
    <row r="29" spans="1:24">
      <c r="A29" s="4">
        <f>(VLOOKUP('17.04'!I29,'17.04'!$AM$4:$AO$55,3,FALSE))</f>
        <v>0</v>
      </c>
      <c r="B29" s="4">
        <f>(VLOOKUP('17.04'!J29,'17.04'!$AM$4:$AO$55,3,FALSE))</f>
        <v>0</v>
      </c>
      <c r="C29" s="4">
        <f>(VLOOKUP('17.04'!K29,'17.04'!$AM$4:$AO$55,3,FALSE))</f>
        <v>0</v>
      </c>
      <c r="D29" s="4">
        <f>(VLOOKUP('17.04'!L29,'17.04'!$AM$4:$AO$55,3,FALSE))</f>
        <v>0</v>
      </c>
      <c r="E29" s="4">
        <f>(VLOOKUP('17.04'!M29,'17.04'!$AM$4:$AO$55,3,FALSE))</f>
        <v>0</v>
      </c>
      <c r="F29" s="4">
        <f>(VLOOKUP('17.04'!N29,'17.04'!$AM$4:$AO$55,3,FALSE))</f>
        <v>0</v>
      </c>
      <c r="G29" s="5">
        <f>(VLOOKUP('17.04'!O29,'17.04'!$AM$4:$AO$55,3,FALSE))</f>
        <v>0</v>
      </c>
      <c r="H29" s="5">
        <f>(VLOOKUP('17.04'!P29,'17.04'!$AM$4:$AO$55,3,FALSE))</f>
        <v>0</v>
      </c>
      <c r="I29" s="4">
        <f>(VLOOKUP('17.04'!Q29,'17.04'!$AM$4:$AO$55,3,FALSE))</f>
        <v>60</v>
      </c>
      <c r="J29" s="4">
        <f>(VLOOKUP('17.04'!R29,'17.04'!$AM$4:$AO$55,3,FALSE))</f>
        <v>60</v>
      </c>
      <c r="K29" s="4">
        <f>(VLOOKUP('17.04'!S29,'17.04'!$AM$4:$AO$55,3,FALSE))</f>
        <v>60</v>
      </c>
      <c r="L29" s="4">
        <f>(VLOOKUP('17.04'!T29,'17.04'!$AM$4:$AO$55,3,FALSE))</f>
        <v>60</v>
      </c>
      <c r="M29" s="4">
        <f>(VLOOKUP('17.04'!U29,'17.04'!$AM$4:$AO$55,3,FALSE))</f>
        <v>30</v>
      </c>
      <c r="N29" s="4">
        <f>(VLOOKUP('17.04'!V29,'17.04'!$AM$4:$AO$55,3,FALSE))</f>
        <v>60</v>
      </c>
      <c r="O29" s="5">
        <f>(VLOOKUP('17.04'!W29,'17.04'!$AM$4:$AO$55,3,FALSE))</f>
        <v>0</v>
      </c>
      <c r="P29" s="5">
        <f>(VLOOKUP('17.04'!X29,'17.04'!$AM$4:$AO$55,3,FALSE))</f>
        <v>0</v>
      </c>
      <c r="Q29" s="4">
        <f>(VLOOKUP('17.04'!Y29,'17.04'!$AM$4:$AO$55,3,FALSE))</f>
        <v>60</v>
      </c>
      <c r="R29" s="4">
        <f>(VLOOKUP('17.04'!Z29,'17.04'!$AM$4:$AO$55,3,FALSE))</f>
        <v>60</v>
      </c>
      <c r="S29" s="4">
        <f>(VLOOKUP('17.04'!AA29,'17.04'!$AM$4:$AO$55,3,FALSE))</f>
        <v>60</v>
      </c>
      <c r="T29" s="4">
        <f>(VLOOKUP('17.04'!AB29,'17.04'!$AM$4:$AO$55,3,FALSE))</f>
        <v>60</v>
      </c>
      <c r="U29" s="4">
        <f>(VLOOKUP('17.04'!AC29,'17.04'!$AM$4:$AO$55,3,FALSE))</f>
        <v>60</v>
      </c>
      <c r="V29" s="4">
        <f>(VLOOKUP('17.04'!AD29,'17.04'!$AM$4:$AO$55,3,FALSE))</f>
        <v>60</v>
      </c>
      <c r="W29" s="5">
        <f>(VLOOKUP('17.04'!AE29,'17.04'!$AM$4:$AO$55,3,FALSE))</f>
        <v>0</v>
      </c>
      <c r="X29" s="5">
        <f>(VLOOKUP('17.04'!AF29,'17.04'!$AM$4:$AO$55,3,FALSE))</f>
        <v>0</v>
      </c>
    </row>
    <row r="30" spans="1:24">
      <c r="A30" s="4">
        <f>(VLOOKUP('17.04'!I30,'17.04'!$AM$4:$AO$55,3,FALSE))</f>
        <v>0</v>
      </c>
      <c r="B30" s="4">
        <f>(VLOOKUP('17.04'!J30,'17.04'!$AM$4:$AO$55,3,FALSE))</f>
        <v>0</v>
      </c>
      <c r="C30" s="4">
        <f>(VLOOKUP('17.04'!K30,'17.04'!$AM$4:$AO$55,3,FALSE))</f>
        <v>0</v>
      </c>
      <c r="D30" s="4">
        <f>(VLOOKUP('17.04'!L30,'17.04'!$AM$4:$AO$55,3,FALSE))</f>
        <v>0</v>
      </c>
      <c r="E30" s="4">
        <f>(VLOOKUP('17.04'!M30,'17.04'!$AM$4:$AO$55,3,FALSE))</f>
        <v>0</v>
      </c>
      <c r="F30" s="4">
        <f>(VLOOKUP('17.04'!N30,'17.04'!$AM$4:$AO$55,3,FALSE))</f>
        <v>0</v>
      </c>
      <c r="G30" s="5">
        <f>(VLOOKUP('17.04'!O30,'17.04'!$AM$4:$AO$55,3,FALSE))</f>
        <v>0</v>
      </c>
      <c r="H30" s="5">
        <f>(VLOOKUP('17.04'!P30,'17.04'!$AM$4:$AO$55,3,FALSE))</f>
        <v>0</v>
      </c>
      <c r="I30" s="4">
        <f>(VLOOKUP('17.04'!Q30,'17.04'!$AM$4:$AO$55,3,FALSE))</f>
        <v>60</v>
      </c>
      <c r="J30" s="4">
        <f>(VLOOKUP('17.04'!R30,'17.04'!$AM$4:$AO$55,3,FALSE))</f>
        <v>60</v>
      </c>
      <c r="K30" s="4">
        <f>(VLOOKUP('17.04'!S30,'17.04'!$AM$4:$AO$55,3,FALSE))</f>
        <v>60</v>
      </c>
      <c r="L30" s="4">
        <f>(VLOOKUP('17.04'!T30,'17.04'!$AM$4:$AO$55,3,FALSE))</f>
        <v>60</v>
      </c>
      <c r="M30" s="4">
        <f>(VLOOKUP('17.04'!U30,'17.04'!$AM$4:$AO$55,3,FALSE))</f>
        <v>60</v>
      </c>
      <c r="N30" s="4">
        <f>(VLOOKUP('17.04'!V30,'17.04'!$AM$4:$AO$55,3,FALSE))</f>
        <v>60</v>
      </c>
      <c r="O30" s="5">
        <f>(VLOOKUP('17.04'!W30,'17.04'!$AM$4:$AO$55,3,FALSE))</f>
        <v>0</v>
      </c>
      <c r="P30" s="5">
        <f>(VLOOKUP('17.04'!X30,'17.04'!$AM$4:$AO$55,3,FALSE))</f>
        <v>0</v>
      </c>
      <c r="Q30" s="4">
        <f>(VLOOKUP('17.04'!Y30,'17.04'!$AM$4:$AO$55,3,FALSE))</f>
        <v>60</v>
      </c>
      <c r="R30" s="4">
        <f>(VLOOKUP('17.04'!Z30,'17.04'!$AM$4:$AO$55,3,FALSE))</f>
        <v>50</v>
      </c>
      <c r="S30" s="4">
        <f>(VLOOKUP('17.04'!AA30,'17.04'!$AM$4:$AO$55,3,FALSE))</f>
        <v>50</v>
      </c>
      <c r="T30" s="4">
        <f>(VLOOKUP('17.04'!AB30,'17.04'!$AM$4:$AO$55,3,FALSE))</f>
        <v>50</v>
      </c>
      <c r="U30" s="4">
        <f>(VLOOKUP('17.04'!AC30,'17.04'!$AM$4:$AO$55,3,FALSE))</f>
        <v>50</v>
      </c>
      <c r="V30" s="4">
        <f>(VLOOKUP('17.04'!AD30,'17.04'!$AM$4:$AO$55,3,FALSE))</f>
        <v>50</v>
      </c>
      <c r="W30" s="5">
        <f>(VLOOKUP('17.04'!AE30,'17.04'!$AM$4:$AO$55,3,FALSE))</f>
        <v>0</v>
      </c>
      <c r="X30" s="5">
        <f>(VLOOKUP('17.04'!AF30,'17.04'!$AM$4:$AO$55,3,FALSE))</f>
        <v>0</v>
      </c>
    </row>
    <row r="31" spans="1:24">
      <c r="A31" s="4">
        <f>(VLOOKUP('17.04'!I31,'17.04'!$AM$4:$AO$55,3,FALSE))</f>
        <v>0</v>
      </c>
      <c r="B31" s="4">
        <f>(VLOOKUP('17.04'!J31,'17.04'!$AM$4:$AO$55,3,FALSE))</f>
        <v>0</v>
      </c>
      <c r="C31" s="4">
        <f>(VLOOKUP('17.04'!K31,'17.04'!$AM$4:$AO$55,3,FALSE))</f>
        <v>0</v>
      </c>
      <c r="D31" s="4">
        <f>(VLOOKUP('17.04'!L31,'17.04'!$AM$4:$AO$55,3,FALSE))</f>
        <v>0</v>
      </c>
      <c r="E31" s="4">
        <f>(VLOOKUP('17.04'!M31,'17.04'!$AM$4:$AO$55,3,FALSE))</f>
        <v>0</v>
      </c>
      <c r="F31" s="4">
        <f>(VLOOKUP('17.04'!N31,'17.04'!$AM$4:$AO$55,3,FALSE))</f>
        <v>0</v>
      </c>
      <c r="G31" s="5">
        <f>(VLOOKUP('17.04'!O31,'17.04'!$AM$4:$AO$55,3,FALSE))</f>
        <v>0</v>
      </c>
      <c r="H31" s="5">
        <f>(VLOOKUP('17.04'!P31,'17.04'!$AM$4:$AO$55,3,FALSE))</f>
        <v>0</v>
      </c>
      <c r="I31" s="4">
        <f>(VLOOKUP('17.04'!Q31,'17.04'!$AM$4:$AO$55,3,FALSE))</f>
        <v>60</v>
      </c>
      <c r="J31" s="4">
        <f>(VLOOKUP('17.04'!R31,'17.04'!$AM$4:$AO$55,3,FALSE))</f>
        <v>60</v>
      </c>
      <c r="K31" s="4">
        <f>(VLOOKUP('17.04'!S31,'17.04'!$AM$4:$AO$55,3,FALSE))</f>
        <v>60</v>
      </c>
      <c r="L31" s="4">
        <f>(VLOOKUP('17.04'!T31,'17.04'!$AM$4:$AO$55,3,FALSE))</f>
        <v>60</v>
      </c>
      <c r="M31" s="4">
        <f>(VLOOKUP('17.04'!U31,'17.04'!$AM$4:$AO$55,3,FALSE))</f>
        <v>60</v>
      </c>
      <c r="N31" s="4">
        <f>(VLOOKUP('17.04'!V31,'17.04'!$AM$4:$AO$55,3,FALSE))</f>
        <v>60</v>
      </c>
      <c r="O31" s="5">
        <f>(VLOOKUP('17.04'!W31,'17.04'!$AM$4:$AO$55,3,FALSE))</f>
        <v>0</v>
      </c>
      <c r="P31" s="5">
        <f>(VLOOKUP('17.04'!X31,'17.04'!$AM$4:$AO$55,3,FALSE))</f>
        <v>60</v>
      </c>
      <c r="Q31" s="4">
        <f>(VLOOKUP('17.04'!Y31,'17.04'!$AM$4:$AO$55,3,FALSE))</f>
        <v>30</v>
      </c>
      <c r="R31" s="4">
        <f>(VLOOKUP('17.04'!Z31,'17.04'!$AM$4:$AO$55,3,FALSE))</f>
        <v>50</v>
      </c>
      <c r="S31" s="4">
        <f>(VLOOKUP('17.04'!AA31,'17.04'!$AM$4:$AO$55,3,FALSE))</f>
        <v>0</v>
      </c>
      <c r="T31" s="4">
        <f>(VLOOKUP('17.04'!AB31,'17.04'!$AM$4:$AO$55,3,FALSE))</f>
        <v>50</v>
      </c>
      <c r="U31" s="4">
        <f>(VLOOKUP('17.04'!AC31,'17.04'!$AM$4:$AO$55,3,FALSE))</f>
        <v>50</v>
      </c>
      <c r="V31" s="4">
        <f>(VLOOKUP('17.04'!AD31,'17.04'!$AM$4:$AO$55,3,FALSE))</f>
        <v>50</v>
      </c>
      <c r="W31" s="5">
        <f>(VLOOKUP('17.04'!AE31,'17.04'!$AM$4:$AO$55,3,FALSE))</f>
        <v>50</v>
      </c>
      <c r="X31" s="5">
        <f>(VLOOKUP('17.04'!AF31,'17.04'!$AM$4:$AO$55,3,FALSE))</f>
        <v>50</v>
      </c>
    </row>
    <row r="32" spans="1:24">
      <c r="A32" s="4">
        <f>(VLOOKUP('17.04'!I32,'17.04'!$AM$4:$AO$55,3,FALSE))</f>
        <v>35</v>
      </c>
      <c r="B32" s="4">
        <f>(VLOOKUP('17.04'!J32,'17.04'!$AM$4:$AO$55,3,FALSE))</f>
        <v>35</v>
      </c>
      <c r="C32" s="4">
        <f>(VLOOKUP('17.04'!K32,'17.04'!$AM$4:$AO$55,3,FALSE))</f>
        <v>30</v>
      </c>
      <c r="D32" s="4">
        <f>(VLOOKUP('17.04'!L32,'17.04'!$AM$4:$AO$55,3,FALSE))</f>
        <v>35</v>
      </c>
      <c r="E32" s="4">
        <f>(VLOOKUP('17.04'!M32,'17.04'!$AM$4:$AO$55,3,FALSE))</f>
        <v>35</v>
      </c>
      <c r="F32" s="4">
        <f>(VLOOKUP('17.04'!N32,'17.04'!$AM$4:$AO$55,3,FALSE))</f>
        <v>35</v>
      </c>
      <c r="G32" s="5">
        <f>(VLOOKUP('17.04'!O32,'17.04'!$AM$4:$AO$55,3,FALSE))</f>
        <v>30</v>
      </c>
      <c r="H32" s="5">
        <f>(VLOOKUP('17.04'!P32,'17.04'!$AM$4:$AO$55,3,FALSE))</f>
        <v>0</v>
      </c>
      <c r="I32" s="4">
        <f>(VLOOKUP('17.04'!Q32,'17.04'!$AM$4:$AO$55,3,FALSE))</f>
        <v>60</v>
      </c>
      <c r="J32" s="4">
        <f>(VLOOKUP('17.04'!R32,'17.04'!$AM$4:$AO$55,3,FALSE))</f>
        <v>60</v>
      </c>
      <c r="K32" s="4">
        <f>(VLOOKUP('17.04'!S32,'17.04'!$AM$4:$AO$55,3,FALSE))</f>
        <v>60</v>
      </c>
      <c r="L32" s="4">
        <f>(VLOOKUP('17.04'!T32,'17.04'!$AM$4:$AO$55,3,FALSE))</f>
        <v>60</v>
      </c>
      <c r="M32" s="4">
        <f>(VLOOKUP('17.04'!U32,'17.04'!$AM$4:$AO$55,3,FALSE))</f>
        <v>1000</v>
      </c>
      <c r="N32" s="4">
        <f>(VLOOKUP('17.04'!V32,'17.04'!$AM$4:$AO$55,3,FALSE))</f>
        <v>60</v>
      </c>
      <c r="O32" s="5">
        <f>(VLOOKUP('17.04'!W32,'17.04'!$AM$4:$AO$55,3,FALSE))</f>
        <v>60</v>
      </c>
      <c r="P32" s="5">
        <f>(VLOOKUP('17.04'!X32,'17.04'!$AM$4:$AO$55,3,FALSE))</f>
        <v>0</v>
      </c>
      <c r="Q32" s="4">
        <f>(VLOOKUP('17.04'!Y32,'17.04'!$AM$4:$AO$55,3,FALSE))</f>
        <v>50</v>
      </c>
      <c r="R32" s="4">
        <f>(VLOOKUP('17.04'!Z32,'17.04'!$AM$4:$AO$55,3,FALSE))</f>
        <v>50</v>
      </c>
      <c r="S32" s="4">
        <f>(VLOOKUP('17.04'!AA32,'17.04'!$AM$4:$AO$55,3,FALSE))</f>
        <v>50</v>
      </c>
      <c r="T32" s="4">
        <f>(VLOOKUP('17.04'!AB32,'17.04'!$AM$4:$AO$55,3,FALSE))</f>
        <v>0</v>
      </c>
      <c r="U32" s="4">
        <f>(VLOOKUP('17.04'!AC32,'17.04'!$AM$4:$AO$55,3,FALSE))</f>
        <v>0</v>
      </c>
      <c r="V32" s="4">
        <f>(VLOOKUP('17.04'!AD32,'17.04'!$AM$4:$AO$55,3,FALSE))</f>
        <v>0</v>
      </c>
      <c r="W32" s="5">
        <f>(VLOOKUP('17.04'!AE32,'17.04'!$AM$4:$AO$55,3,FALSE))</f>
        <v>0</v>
      </c>
      <c r="X32" s="5">
        <f>(VLOOKUP('17.04'!AF32,'17.04'!$AM$4:$AO$55,3,FALSE))</f>
        <v>0</v>
      </c>
    </row>
    <row r="33" spans="1:24">
      <c r="A33" s="4">
        <f>(VLOOKUP('17.04'!I33,'17.04'!$AM$4:$AO$55,3,FALSE))</f>
        <v>40</v>
      </c>
      <c r="B33" s="4">
        <f>(VLOOKUP('17.04'!J33,'17.04'!$AM$4:$AO$55,3,FALSE))</f>
        <v>40</v>
      </c>
      <c r="C33" s="4">
        <f>(VLOOKUP('17.04'!K33,'17.04'!$AM$4:$AO$55,3,FALSE))</f>
        <v>40</v>
      </c>
      <c r="D33" s="4">
        <f>(VLOOKUP('17.04'!L33,'17.04'!$AM$4:$AO$55,3,FALSE))</f>
        <v>30</v>
      </c>
      <c r="E33" s="4">
        <f>(VLOOKUP('17.04'!M33,'17.04'!$AM$4:$AO$55,3,FALSE))</f>
        <v>40</v>
      </c>
      <c r="F33" s="4">
        <f>(VLOOKUP('17.04'!N33,'17.04'!$AM$4:$AO$55,3,FALSE))</f>
        <v>40</v>
      </c>
      <c r="G33" s="5">
        <f>(VLOOKUP('17.04'!O33,'17.04'!$AM$4:$AO$55,3,FALSE))</f>
        <v>0</v>
      </c>
      <c r="H33" s="5">
        <f>(VLOOKUP('17.04'!P33,'17.04'!$AM$4:$AO$55,3,FALSE))</f>
        <v>0</v>
      </c>
      <c r="I33" s="4">
        <f>(VLOOKUP('17.04'!Q33,'17.04'!$AM$4:$AO$55,3,FALSE))</f>
        <v>60</v>
      </c>
      <c r="J33" s="4">
        <f>(VLOOKUP('17.04'!R33,'17.04'!$AM$4:$AO$55,3,FALSE))</f>
        <v>60</v>
      </c>
      <c r="K33" s="4">
        <f>(VLOOKUP('17.04'!S33,'17.04'!$AM$4:$AO$55,3,FALSE))</f>
        <v>60</v>
      </c>
      <c r="L33" s="4">
        <f>(VLOOKUP('17.04'!T33,'17.04'!$AM$4:$AO$55,3,FALSE))</f>
        <v>60</v>
      </c>
      <c r="M33" s="4">
        <f>(VLOOKUP('17.04'!U33,'17.04'!$AM$4:$AO$55,3,FALSE))</f>
        <v>60</v>
      </c>
      <c r="N33" s="4">
        <f>(VLOOKUP('17.04'!V33,'17.04'!$AM$4:$AO$55,3,FALSE))</f>
        <v>60</v>
      </c>
      <c r="O33" s="5">
        <f>(VLOOKUP('17.04'!W33,'17.04'!$AM$4:$AO$55,3,FALSE))</f>
        <v>0</v>
      </c>
      <c r="P33" s="5">
        <f>(VLOOKUP('17.04'!X33,'17.04'!$AM$4:$AO$55,3,FALSE))</f>
        <v>45</v>
      </c>
      <c r="Q33" s="4">
        <f>(VLOOKUP('17.04'!Y33,'17.04'!$AM$4:$AO$55,3,FALSE))</f>
        <v>45</v>
      </c>
      <c r="R33" s="4">
        <f>(VLOOKUP('17.04'!Z33,'17.04'!$AM$4:$AO$55,3,FALSE))</f>
        <v>45</v>
      </c>
      <c r="S33" s="4">
        <f>(VLOOKUP('17.04'!AA33,'17.04'!$AM$4:$AO$55,3,FALSE))</f>
        <v>0</v>
      </c>
      <c r="T33" s="4">
        <f>(VLOOKUP('17.04'!AB33,'17.04'!$AM$4:$AO$55,3,FALSE))</f>
        <v>0</v>
      </c>
      <c r="U33" s="4">
        <f>(VLOOKUP('17.04'!AC33,'17.04'!$AM$4:$AO$55,3,FALSE))</f>
        <v>0</v>
      </c>
      <c r="V33" s="4">
        <f>(VLOOKUP('17.04'!AD33,'17.04'!$AM$4:$AO$55,3,FALSE))</f>
        <v>0</v>
      </c>
      <c r="W33" s="5">
        <f>(VLOOKUP('17.04'!AE33,'17.04'!$AM$4:$AO$55,3,FALSE))</f>
        <v>0</v>
      </c>
      <c r="X33" s="5">
        <f>(VLOOKUP('17.04'!AF33,'17.04'!$AM$4:$AO$55,3,FALSE))</f>
        <v>0</v>
      </c>
    </row>
    <row r="34" spans="1:24">
      <c r="A34" s="4">
        <f>(VLOOKUP('17.04'!I34,'17.04'!$AM$4:$AO$55,3,FALSE))</f>
        <v>0</v>
      </c>
      <c r="B34" s="4">
        <f>(VLOOKUP('17.04'!J34,'17.04'!$AM$4:$AO$55,3,FALSE))</f>
        <v>0</v>
      </c>
      <c r="C34" s="4">
        <f>(VLOOKUP('17.04'!K34,'17.04'!$AM$4:$AO$55,3,FALSE))</f>
        <v>0</v>
      </c>
      <c r="D34" s="4">
        <f>(VLOOKUP('17.04'!L34,'17.04'!$AM$4:$AO$55,3,FALSE))</f>
        <v>0</v>
      </c>
      <c r="E34" s="4">
        <f>(VLOOKUP('17.04'!M34,'17.04'!$AM$4:$AO$55,3,FALSE))</f>
        <v>0</v>
      </c>
      <c r="F34" s="4">
        <f>(VLOOKUP('17.04'!N34,'17.04'!$AM$4:$AO$55,3,FALSE))</f>
        <v>0</v>
      </c>
      <c r="G34" s="5">
        <f>(VLOOKUP('17.04'!O34,'17.04'!$AM$4:$AO$55,3,FALSE))</f>
        <v>0</v>
      </c>
      <c r="H34" s="5">
        <f>(VLOOKUP('17.04'!P34,'17.04'!$AM$4:$AO$55,3,FALSE))</f>
        <v>0</v>
      </c>
      <c r="I34" s="4">
        <f>(VLOOKUP('17.04'!Q34,'17.04'!$AM$4:$AO$55,3,FALSE))</f>
        <v>45</v>
      </c>
      <c r="J34" s="4">
        <f>(VLOOKUP('17.04'!R34,'17.04'!$AM$4:$AO$55,3,FALSE))</f>
        <v>30</v>
      </c>
      <c r="K34" s="4">
        <f>(VLOOKUP('17.04'!S34,'17.04'!$AM$4:$AO$55,3,FALSE))</f>
        <v>45</v>
      </c>
      <c r="L34" s="4">
        <f>(VLOOKUP('17.04'!T34,'17.04'!$AM$4:$AO$55,3,FALSE))</f>
        <v>45</v>
      </c>
      <c r="M34" s="4">
        <f>(VLOOKUP('17.04'!U34,'17.04'!$AM$4:$AO$55,3,FALSE))</f>
        <v>45</v>
      </c>
      <c r="N34" s="4">
        <f>(VLOOKUP('17.04'!V34,'17.04'!$AM$4:$AO$55,3,FALSE))</f>
        <v>45</v>
      </c>
      <c r="O34" s="5">
        <f>(VLOOKUP('17.04'!W34,'17.04'!$AM$4:$AO$55,3,FALSE))</f>
        <v>0</v>
      </c>
      <c r="P34" s="5">
        <f>(VLOOKUP('17.04'!X34,'17.04'!$AM$4:$AO$55,3,FALSE))</f>
        <v>0</v>
      </c>
      <c r="Q34" s="4">
        <f>(VLOOKUP('17.04'!Y34,'17.04'!$AM$4:$AO$55,3,FALSE))</f>
        <v>45</v>
      </c>
      <c r="R34" s="4">
        <f>(VLOOKUP('17.04'!Z34,'17.04'!$AM$4:$AO$55,3,FALSE))</f>
        <v>45</v>
      </c>
      <c r="S34" s="4">
        <f>(VLOOKUP('17.04'!AA34,'17.04'!$AM$4:$AO$55,3,FALSE))</f>
        <v>45</v>
      </c>
      <c r="T34" s="4">
        <f>(VLOOKUP('17.04'!AB34,'17.04'!$AM$4:$AO$55,3,FALSE))</f>
        <v>45</v>
      </c>
      <c r="U34" s="4">
        <f>(VLOOKUP('17.04'!AC34,'17.04'!$AM$4:$AO$55,3,FALSE))</f>
        <v>0</v>
      </c>
      <c r="V34" s="4">
        <f>(VLOOKUP('17.04'!AD34,'17.04'!$AM$4:$AO$55,3,FALSE))</f>
        <v>0</v>
      </c>
      <c r="W34" s="5">
        <f>(VLOOKUP('17.04'!AE34,'17.04'!$AM$4:$AO$55,3,FALSE))</f>
        <v>0</v>
      </c>
      <c r="X34" s="5">
        <f>(VLOOKUP('17.04'!AF34,'17.04'!$AM$4:$AO$55,3,FALSE))</f>
        <v>0</v>
      </c>
    </row>
    <row r="35" spans="1:24">
      <c r="A35" s="4">
        <f>(VLOOKUP('17.04'!I35,'17.04'!$AM$4:$AO$55,3,FALSE))</f>
        <v>0</v>
      </c>
      <c r="B35" s="4">
        <f>(VLOOKUP('17.04'!J35,'17.04'!$AM$4:$AO$55,3,FALSE))</f>
        <v>0</v>
      </c>
      <c r="C35" s="4">
        <f>(VLOOKUP('17.04'!K35,'17.04'!$AM$4:$AO$55,3,FALSE))</f>
        <v>0</v>
      </c>
      <c r="D35" s="4">
        <f>(VLOOKUP('17.04'!L35,'17.04'!$AM$4:$AO$55,3,FALSE))</f>
        <v>0</v>
      </c>
      <c r="E35" s="4">
        <f>(VLOOKUP('17.04'!M35,'17.04'!$AM$4:$AO$55,3,FALSE))</f>
        <v>0</v>
      </c>
      <c r="F35" s="4">
        <f>(VLOOKUP('17.04'!N35,'17.04'!$AM$4:$AO$55,3,FALSE))</f>
        <v>0</v>
      </c>
      <c r="G35" s="5">
        <f>(VLOOKUP('17.04'!O35,'17.04'!$AM$4:$AO$55,3,FALSE))</f>
        <v>0</v>
      </c>
      <c r="H35" s="5">
        <f>(VLOOKUP('17.04'!P35,'17.04'!$AM$4:$AO$55,3,FALSE))</f>
        <v>0</v>
      </c>
      <c r="I35" s="4">
        <f>(VLOOKUP('17.04'!Q35,'17.04'!$AM$4:$AO$55,3,FALSE))</f>
        <v>60</v>
      </c>
      <c r="J35" s="4">
        <f>(VLOOKUP('17.04'!R35,'17.04'!$AM$4:$AO$55,3,FALSE))</f>
        <v>60</v>
      </c>
      <c r="K35" s="4">
        <f>(VLOOKUP('17.04'!S35,'17.04'!$AM$4:$AO$55,3,FALSE))</f>
        <v>60</v>
      </c>
      <c r="L35" s="4">
        <f>(VLOOKUP('17.04'!T35,'17.04'!$AM$4:$AO$55,3,FALSE))</f>
        <v>60</v>
      </c>
      <c r="M35" s="4">
        <f>(VLOOKUP('17.04'!U35,'17.04'!$AM$4:$AO$55,3,FALSE))</f>
        <v>60</v>
      </c>
      <c r="N35" s="4">
        <f>(VLOOKUP('17.04'!V35,'17.04'!$AM$4:$AO$55,3,FALSE))</f>
        <v>60</v>
      </c>
      <c r="O35" s="5">
        <f>(VLOOKUP('17.04'!W35,'17.04'!$AM$4:$AO$55,3,FALSE))</f>
        <v>0</v>
      </c>
      <c r="P35" s="5">
        <f>(VLOOKUP('17.04'!X35,'17.04'!$AM$4:$AO$55,3,FALSE))</f>
        <v>0</v>
      </c>
      <c r="Q35" s="4">
        <f>(VLOOKUP('17.04'!Y35,'17.04'!$AM$4:$AO$55,3,FALSE))</f>
        <v>45</v>
      </c>
      <c r="R35" s="4">
        <f>(VLOOKUP('17.04'!Z35,'17.04'!$AM$4:$AO$55,3,FALSE))</f>
        <v>45</v>
      </c>
      <c r="S35" s="4">
        <f>(VLOOKUP('17.04'!AA35,'17.04'!$AM$4:$AO$55,3,FALSE))</f>
        <v>45</v>
      </c>
      <c r="T35" s="4">
        <f>(VLOOKUP('17.04'!AB35,'17.04'!$AM$4:$AO$55,3,FALSE))</f>
        <v>45</v>
      </c>
      <c r="U35" s="4">
        <f>(VLOOKUP('17.04'!AC35,'17.04'!$AM$4:$AO$55,3,FALSE))</f>
        <v>45</v>
      </c>
      <c r="V35" s="4">
        <f>(VLOOKUP('17.04'!AD35,'17.04'!$AM$4:$AO$55,3,FALSE))</f>
        <v>30</v>
      </c>
      <c r="W35" s="5">
        <f>(VLOOKUP('17.04'!AE35,'17.04'!$AM$4:$AO$55,3,FALSE))</f>
        <v>0</v>
      </c>
      <c r="X35" s="5">
        <f>(VLOOKUP('17.04'!AF35,'17.04'!$AM$4:$AO$55,3,FALSE))</f>
        <v>0</v>
      </c>
    </row>
    <row r="36" spans="1:24">
      <c r="A36" s="4">
        <f>(VLOOKUP('17.04'!I36,'17.04'!$AM$4:$AO$55,3,FALSE))</f>
        <v>0</v>
      </c>
      <c r="B36" s="4">
        <f>(VLOOKUP('17.04'!J36,'17.04'!$AM$4:$AO$55,3,FALSE))</f>
        <v>0</v>
      </c>
      <c r="C36" s="4">
        <f>(VLOOKUP('17.04'!K36,'17.04'!$AM$4:$AO$55,3,FALSE))</f>
        <v>0</v>
      </c>
      <c r="D36" s="4">
        <f>(VLOOKUP('17.04'!L36,'17.04'!$AM$4:$AO$55,3,FALSE))</f>
        <v>0</v>
      </c>
      <c r="E36" s="4">
        <f>(VLOOKUP('17.04'!M36,'17.04'!$AM$4:$AO$55,3,FALSE))</f>
        <v>0</v>
      </c>
      <c r="F36" s="4">
        <f>(VLOOKUP('17.04'!N36,'17.04'!$AM$4:$AO$55,3,FALSE))</f>
        <v>0</v>
      </c>
      <c r="G36" s="5">
        <f>(VLOOKUP('17.04'!O36,'17.04'!$AM$4:$AO$55,3,FALSE))</f>
        <v>0</v>
      </c>
      <c r="H36" s="5">
        <f>(VLOOKUP('17.04'!P36,'17.04'!$AM$4:$AO$55,3,FALSE))</f>
        <v>0</v>
      </c>
      <c r="I36" s="4">
        <f>(VLOOKUP('17.04'!Q36,'17.04'!$AM$4:$AO$55,3,FALSE))</f>
        <v>60</v>
      </c>
      <c r="J36" s="4">
        <f>(VLOOKUP('17.04'!R36,'17.04'!$AM$4:$AO$55,3,FALSE))</f>
        <v>60</v>
      </c>
      <c r="K36" s="4">
        <f>(VLOOKUP('17.04'!S36,'17.04'!$AM$4:$AO$55,3,FALSE))</f>
        <v>60</v>
      </c>
      <c r="L36" s="4">
        <f>(VLOOKUP('17.04'!T36,'17.04'!$AM$4:$AO$55,3,FALSE))</f>
        <v>60</v>
      </c>
      <c r="M36" s="4">
        <f>(VLOOKUP('17.04'!U36,'17.04'!$AM$4:$AO$55,3,FALSE))</f>
        <v>60</v>
      </c>
      <c r="N36" s="4">
        <f>(VLOOKUP('17.04'!V36,'17.04'!$AM$4:$AO$55,3,FALSE))</f>
        <v>60</v>
      </c>
      <c r="O36" s="5">
        <f>(VLOOKUP('17.04'!W36,'17.04'!$AM$4:$AO$55,3,FALSE))</f>
        <v>0</v>
      </c>
      <c r="P36" s="5">
        <f>(VLOOKUP('17.04'!X36,'17.04'!$AM$4:$AO$55,3,FALSE))</f>
        <v>0</v>
      </c>
      <c r="Q36" s="4">
        <f>(VLOOKUP('17.04'!Y36,'17.04'!$AM$4:$AO$55,3,FALSE))</f>
        <v>45</v>
      </c>
      <c r="R36" s="4">
        <f>(VLOOKUP('17.04'!Z36,'17.04'!$AM$4:$AO$55,3,FALSE))</f>
        <v>45</v>
      </c>
      <c r="S36" s="4">
        <f>(VLOOKUP('17.04'!AA36,'17.04'!$AM$4:$AO$55,3,FALSE))</f>
        <v>45</v>
      </c>
      <c r="T36" s="4">
        <f>(VLOOKUP('17.04'!AB36,'17.04'!$AM$4:$AO$55,3,FALSE))</f>
        <v>45</v>
      </c>
      <c r="U36" s="4">
        <f>(VLOOKUP('17.04'!AC36,'17.04'!$AM$4:$AO$55,3,FALSE))</f>
        <v>45</v>
      </c>
      <c r="V36" s="4">
        <f>(VLOOKUP('17.04'!AD36,'17.04'!$AM$4:$AO$55,3,FALSE))</f>
        <v>0</v>
      </c>
      <c r="W36" s="5">
        <f>(VLOOKUP('17.04'!AE36,'17.04'!$AM$4:$AO$55,3,FALSE))</f>
        <v>0</v>
      </c>
      <c r="X36" s="5">
        <f>(VLOOKUP('17.04'!AF36,'17.04'!$AM$4:$AO$55,3,FALSE))</f>
        <v>0</v>
      </c>
    </row>
    <row r="37" spans="1:24">
      <c r="A37" s="4">
        <f>(VLOOKUP('17.04'!I37,'17.04'!$AM$4:$AO$55,3,FALSE))</f>
        <v>0</v>
      </c>
      <c r="B37" s="4">
        <f>(VLOOKUP('17.04'!J37,'17.04'!$AM$4:$AO$55,3,FALSE))</f>
        <v>0</v>
      </c>
      <c r="C37" s="4">
        <f>(VLOOKUP('17.04'!K37,'17.04'!$AM$4:$AO$55,3,FALSE))</f>
        <v>0</v>
      </c>
      <c r="D37" s="4">
        <f>(VLOOKUP('17.04'!L37,'17.04'!$AM$4:$AO$55,3,FALSE))</f>
        <v>0</v>
      </c>
      <c r="E37" s="4">
        <f>(VLOOKUP('17.04'!M37,'17.04'!$AM$4:$AO$55,3,FALSE))</f>
        <v>0</v>
      </c>
      <c r="F37" s="4">
        <f>(VLOOKUP('17.04'!N37,'17.04'!$AM$4:$AO$55,3,FALSE))</f>
        <v>0</v>
      </c>
      <c r="G37" s="5">
        <f>(VLOOKUP('17.04'!O37,'17.04'!$AM$4:$AO$55,3,FALSE))</f>
        <v>0</v>
      </c>
      <c r="H37" s="5">
        <f>(VLOOKUP('17.04'!P37,'17.04'!$AM$4:$AO$55,3,FALSE))</f>
        <v>0</v>
      </c>
      <c r="I37" s="4">
        <f>(VLOOKUP('17.04'!Q37,'17.04'!$AM$4:$AO$55,3,FALSE))</f>
        <v>60</v>
      </c>
      <c r="J37" s="4">
        <f>(VLOOKUP('17.04'!R37,'17.04'!$AM$4:$AO$55,3,FALSE))</f>
        <v>60</v>
      </c>
      <c r="K37" s="4">
        <f>(VLOOKUP('17.04'!S37,'17.04'!$AM$4:$AO$55,3,FALSE))</f>
        <v>60</v>
      </c>
      <c r="L37" s="4">
        <f>(VLOOKUP('17.04'!T37,'17.04'!$AM$4:$AO$55,3,FALSE))</f>
        <v>60</v>
      </c>
      <c r="M37" s="4">
        <f>(VLOOKUP('17.04'!U37,'17.04'!$AM$4:$AO$55,3,FALSE))</f>
        <v>60</v>
      </c>
      <c r="N37" s="4">
        <f>(VLOOKUP('17.04'!V37,'17.04'!$AM$4:$AO$55,3,FALSE))</f>
        <v>60</v>
      </c>
      <c r="O37" s="5">
        <f>(VLOOKUP('17.04'!W37,'17.04'!$AM$4:$AO$55,3,FALSE))</f>
        <v>0</v>
      </c>
      <c r="P37" s="5">
        <f>(VLOOKUP('17.04'!X37,'17.04'!$AM$4:$AO$55,3,FALSE))</f>
        <v>0</v>
      </c>
      <c r="Q37" s="4">
        <f>(VLOOKUP('17.04'!Y37,'17.04'!$AM$4:$AO$55,3,FALSE))</f>
        <v>45</v>
      </c>
      <c r="R37" s="4">
        <f>(VLOOKUP('17.04'!Z37,'17.04'!$AM$4:$AO$55,3,FALSE))</f>
        <v>50</v>
      </c>
      <c r="S37" s="4">
        <f>(VLOOKUP('17.04'!AA37,'17.04'!$AM$4:$AO$55,3,FALSE))</f>
        <v>50</v>
      </c>
      <c r="T37" s="4">
        <f>(VLOOKUP('17.04'!AB37,'17.04'!$AM$4:$AO$55,3,FALSE))</f>
        <v>50</v>
      </c>
      <c r="U37" s="4">
        <f>(VLOOKUP('17.04'!AC37,'17.04'!$AM$4:$AO$55,3,FALSE))</f>
        <v>0</v>
      </c>
      <c r="V37" s="4">
        <f>(VLOOKUP('17.04'!AD37,'17.04'!$AM$4:$AO$55,3,FALSE))</f>
        <v>0</v>
      </c>
      <c r="W37" s="5">
        <f>(VLOOKUP('17.04'!AE37,'17.04'!$AM$4:$AO$55,3,FALSE))</f>
        <v>0</v>
      </c>
      <c r="X37" s="5">
        <f>(VLOOKUP('17.04'!AF37,'17.04'!$AM$4:$AO$55,3,FALSE))</f>
        <v>0</v>
      </c>
    </row>
    <row r="38" spans="1:24">
      <c r="A38" s="4">
        <f>(VLOOKUP('17.04'!I38,'17.04'!$AM$4:$AO$55,3,FALSE))</f>
        <v>0</v>
      </c>
      <c r="B38" s="4">
        <f>(VLOOKUP('17.04'!J38,'17.04'!$AM$4:$AO$55,3,FALSE))</f>
        <v>0</v>
      </c>
      <c r="C38" s="4">
        <f>(VLOOKUP('17.04'!K38,'17.04'!$AM$4:$AO$55,3,FALSE))</f>
        <v>0</v>
      </c>
      <c r="D38" s="4">
        <f>(VLOOKUP('17.04'!L38,'17.04'!$AM$4:$AO$55,3,FALSE))</f>
        <v>0</v>
      </c>
      <c r="E38" s="4">
        <f>(VLOOKUP('17.04'!M38,'17.04'!$AM$4:$AO$55,3,FALSE))</f>
        <v>0</v>
      </c>
      <c r="F38" s="4">
        <f>(VLOOKUP('17.04'!N38,'17.04'!$AM$4:$AO$55,3,FALSE))</f>
        <v>0</v>
      </c>
      <c r="G38" s="5">
        <f>(VLOOKUP('17.04'!O38,'17.04'!$AM$4:$AO$55,3,FALSE))</f>
        <v>0</v>
      </c>
      <c r="H38" s="5">
        <f>(VLOOKUP('17.04'!P38,'17.04'!$AM$4:$AO$55,3,FALSE))</f>
        <v>0</v>
      </c>
      <c r="I38" s="4">
        <f>(VLOOKUP('17.04'!Q38,'17.04'!$AM$4:$AO$55,3,FALSE))</f>
        <v>45</v>
      </c>
      <c r="J38" s="4">
        <f>(VLOOKUP('17.04'!R38,'17.04'!$AM$4:$AO$55,3,FALSE))</f>
        <v>45</v>
      </c>
      <c r="K38" s="4">
        <f>(VLOOKUP('17.04'!S38,'17.04'!$AM$4:$AO$55,3,FALSE))</f>
        <v>45</v>
      </c>
      <c r="L38" s="4">
        <f>(VLOOKUP('17.04'!T38,'17.04'!$AM$4:$AO$55,3,FALSE))</f>
        <v>45</v>
      </c>
      <c r="M38" s="4">
        <f>(VLOOKUP('17.04'!U38,'17.04'!$AM$4:$AO$55,3,FALSE))</f>
        <v>45</v>
      </c>
      <c r="N38" s="4">
        <f>(VLOOKUP('17.04'!V38,'17.04'!$AM$4:$AO$55,3,FALSE))</f>
        <v>45</v>
      </c>
      <c r="O38" s="5">
        <f>(VLOOKUP('17.04'!W38,'17.04'!$AM$4:$AO$55,3,FALSE))</f>
        <v>0</v>
      </c>
      <c r="P38" s="5">
        <f>(VLOOKUP('17.04'!X38,'17.04'!$AM$4:$AO$55,3,FALSE))</f>
        <v>0</v>
      </c>
      <c r="Q38" s="4">
        <f>(VLOOKUP('17.04'!Y38,'17.04'!$AM$4:$AO$55,3,FALSE))</f>
        <v>50</v>
      </c>
      <c r="R38" s="4">
        <f>(VLOOKUP('17.04'!Z38,'17.04'!$AM$4:$AO$55,3,FALSE))</f>
        <v>50</v>
      </c>
      <c r="S38" s="4">
        <f>(VLOOKUP('17.04'!AA38,'17.04'!$AM$4:$AO$55,3,FALSE))</f>
        <v>50</v>
      </c>
      <c r="T38" s="4">
        <f>(VLOOKUP('17.04'!AB38,'17.04'!$AM$4:$AO$55,3,FALSE))</f>
        <v>50</v>
      </c>
      <c r="U38" s="4">
        <f>(VLOOKUP('17.04'!AC38,'17.04'!$AM$4:$AO$55,3,FALSE))</f>
        <v>50</v>
      </c>
      <c r="V38" s="4">
        <f>(VLOOKUP('17.04'!AD38,'17.04'!$AM$4:$AO$55,3,FALSE))</f>
        <v>0</v>
      </c>
      <c r="W38" s="5">
        <f>(VLOOKUP('17.04'!AE38,'17.04'!$AM$4:$AO$55,3,FALSE))</f>
        <v>0</v>
      </c>
      <c r="X38" s="5">
        <f>(VLOOKUP('17.04'!AF38,'17.04'!$AM$4:$AO$55,3,FALSE))</f>
        <v>0</v>
      </c>
    </row>
    <row r="39" spans="1:24">
      <c r="A39" s="4">
        <f>(VLOOKUP('17.04'!I39,'17.04'!$AM$4:$AO$55,3,FALSE))</f>
        <v>0</v>
      </c>
      <c r="B39" s="4">
        <f>(VLOOKUP('17.04'!J39,'17.04'!$AM$4:$AO$55,3,FALSE))</f>
        <v>0</v>
      </c>
      <c r="C39" s="4">
        <f>(VLOOKUP('17.04'!K39,'17.04'!$AM$4:$AO$55,3,FALSE))</f>
        <v>0</v>
      </c>
      <c r="D39" s="4">
        <f>(VLOOKUP('17.04'!L39,'17.04'!$AM$4:$AO$55,3,FALSE))</f>
        <v>0</v>
      </c>
      <c r="E39" s="4">
        <f>(VLOOKUP('17.04'!M39,'17.04'!$AM$4:$AO$55,3,FALSE))</f>
        <v>0</v>
      </c>
      <c r="F39" s="4">
        <f>(VLOOKUP('17.04'!N39,'17.04'!$AM$4:$AO$55,3,FALSE))</f>
        <v>0</v>
      </c>
      <c r="G39" s="5">
        <f>(VLOOKUP('17.04'!O39,'17.04'!$AM$4:$AO$55,3,FALSE))</f>
        <v>0</v>
      </c>
      <c r="H39" s="5">
        <f>(VLOOKUP('17.04'!P39,'17.04'!$AM$4:$AO$55,3,FALSE))</f>
        <v>0</v>
      </c>
      <c r="I39" s="4">
        <f>(VLOOKUP('17.04'!Q39,'17.04'!$AM$4:$AO$55,3,FALSE))</f>
        <v>45</v>
      </c>
      <c r="J39" s="4">
        <f>(VLOOKUP('17.04'!R39,'17.04'!$AM$4:$AO$55,3,FALSE))</f>
        <v>45</v>
      </c>
      <c r="K39" s="4">
        <f>(VLOOKUP('17.04'!S39,'17.04'!$AM$4:$AO$55,3,FALSE))</f>
        <v>45</v>
      </c>
      <c r="L39" s="4">
        <f>(VLOOKUP('17.04'!T39,'17.04'!$AM$4:$AO$55,3,FALSE))</f>
        <v>45</v>
      </c>
      <c r="M39" s="4">
        <f>(VLOOKUP('17.04'!U39,'17.04'!$AM$4:$AO$55,3,FALSE))</f>
        <v>45</v>
      </c>
      <c r="N39" s="4">
        <f>(VLOOKUP('17.04'!V39,'17.04'!$AM$4:$AO$55,3,FALSE))</f>
        <v>45</v>
      </c>
      <c r="O39" s="5">
        <f>(VLOOKUP('17.04'!W39,'17.04'!$AM$4:$AO$55,3,FALSE))</f>
        <v>0</v>
      </c>
      <c r="P39" s="5">
        <f>(VLOOKUP('17.04'!X39,'17.04'!$AM$4:$AO$55,3,FALSE))</f>
        <v>0</v>
      </c>
      <c r="Q39" s="4">
        <f>(VLOOKUP('17.04'!Y39,'17.04'!$AM$4:$AO$55,3,FALSE))</f>
        <v>50</v>
      </c>
      <c r="R39" s="4">
        <f>(VLOOKUP('17.04'!Z39,'17.04'!$AM$4:$AO$55,3,FALSE))</f>
        <v>50</v>
      </c>
      <c r="S39" s="4">
        <f>(VLOOKUP('17.04'!AA39,'17.04'!$AM$4:$AO$55,3,FALSE))</f>
        <v>50</v>
      </c>
      <c r="T39" s="4">
        <f>(VLOOKUP('17.04'!AB39,'17.04'!$AM$4:$AO$55,3,FALSE))</f>
        <v>50</v>
      </c>
      <c r="U39" s="4">
        <f>(VLOOKUP('17.04'!AC39,'17.04'!$AM$4:$AO$55,3,FALSE))</f>
        <v>50</v>
      </c>
      <c r="V39" s="4">
        <f>(VLOOKUP('17.04'!AD39,'17.04'!$AM$4:$AO$55,3,FALSE))</f>
        <v>50</v>
      </c>
      <c r="W39" s="5">
        <f>(VLOOKUP('17.04'!AE39,'17.04'!$AM$4:$AO$55,3,FALSE))</f>
        <v>0</v>
      </c>
      <c r="X39" s="5">
        <f>(VLOOKUP('17.04'!AF39,'17.04'!$AM$4:$AO$55,3,FALSE))</f>
        <v>0</v>
      </c>
    </row>
    <row r="40" spans="1:24">
      <c r="A40" s="4">
        <f>(VLOOKUP('17.04'!I40,'17.04'!$AM$4:$AO$55,3,FALSE))</f>
        <v>0</v>
      </c>
      <c r="B40" s="4">
        <f>(VLOOKUP('17.04'!J40,'17.04'!$AM$4:$AO$55,3,FALSE))</f>
        <v>0</v>
      </c>
      <c r="C40" s="4">
        <f>(VLOOKUP('17.04'!K40,'17.04'!$AM$4:$AO$55,3,FALSE))</f>
        <v>0</v>
      </c>
      <c r="D40" s="4">
        <f>(VLOOKUP('17.04'!L40,'17.04'!$AM$4:$AO$55,3,FALSE))</f>
        <v>0</v>
      </c>
      <c r="E40" s="4">
        <f>(VLOOKUP('17.04'!M40,'17.04'!$AM$4:$AO$55,3,FALSE))</f>
        <v>0</v>
      </c>
      <c r="F40" s="4">
        <f>(VLOOKUP('17.04'!N40,'17.04'!$AM$4:$AO$55,3,FALSE))</f>
        <v>0</v>
      </c>
      <c r="G40" s="5">
        <f>(VLOOKUP('17.04'!O40,'17.04'!$AM$4:$AO$55,3,FALSE))</f>
        <v>0</v>
      </c>
      <c r="H40" s="5">
        <f>(VLOOKUP('17.04'!P40,'17.04'!$AM$4:$AO$55,3,FALSE))</f>
        <v>0</v>
      </c>
      <c r="I40" s="4">
        <f>(VLOOKUP('17.04'!Q40,'17.04'!$AM$4:$AO$55,3,FALSE))</f>
        <v>45</v>
      </c>
      <c r="J40" s="4">
        <f>(VLOOKUP('17.04'!R40,'17.04'!$AM$4:$AO$55,3,FALSE))</f>
        <v>45</v>
      </c>
      <c r="K40" s="4">
        <f>(VLOOKUP('17.04'!S40,'17.04'!$AM$4:$AO$55,3,FALSE))</f>
        <v>45</v>
      </c>
      <c r="L40" s="4">
        <f>(VLOOKUP('17.04'!T40,'17.04'!$AM$4:$AO$55,3,FALSE))</f>
        <v>45</v>
      </c>
      <c r="M40" s="4">
        <f>(VLOOKUP('17.04'!U40,'17.04'!$AM$4:$AO$55,3,FALSE))</f>
        <v>45</v>
      </c>
      <c r="N40" s="4">
        <f>(VLOOKUP('17.04'!V40,'17.04'!$AM$4:$AO$55,3,FALSE))</f>
        <v>45</v>
      </c>
      <c r="O40" s="5">
        <f>(VLOOKUP('17.04'!W40,'17.04'!$AM$4:$AO$55,3,FALSE))</f>
        <v>0</v>
      </c>
      <c r="P40" s="5">
        <f>(VLOOKUP('17.04'!X40,'17.04'!$AM$4:$AO$55,3,FALSE))</f>
        <v>0</v>
      </c>
      <c r="Q40" s="4">
        <f>(VLOOKUP('17.04'!Y40,'17.04'!$AM$4:$AO$55,3,FALSE))</f>
        <v>50</v>
      </c>
      <c r="R40" s="4">
        <f>(VLOOKUP('17.04'!Z40,'17.04'!$AM$4:$AO$55,3,FALSE))</f>
        <v>50</v>
      </c>
      <c r="S40" s="4">
        <f>(VLOOKUP('17.04'!AA40,'17.04'!$AM$4:$AO$55,3,FALSE))</f>
        <v>45</v>
      </c>
      <c r="T40" s="4">
        <f>(VLOOKUP('17.04'!AB40,'17.04'!$AM$4:$AO$55,3,FALSE))</f>
        <v>45</v>
      </c>
      <c r="U40" s="4">
        <f>(VLOOKUP('17.04'!AC40,'17.04'!$AM$4:$AO$55,3,FALSE))</f>
        <v>45</v>
      </c>
      <c r="V40" s="4">
        <f>(VLOOKUP('17.04'!AD40,'17.04'!$AM$4:$AO$55,3,FALSE))</f>
        <v>0</v>
      </c>
      <c r="W40" s="5">
        <f>(VLOOKUP('17.04'!AE40,'17.04'!$AM$4:$AO$55,3,FALSE))</f>
        <v>0</v>
      </c>
      <c r="X40" s="5">
        <f>(VLOOKUP('17.04'!AF40,'17.04'!$AM$4:$AO$55,3,FALSE))</f>
        <v>0</v>
      </c>
    </row>
    <row r="41" spans="1:24">
      <c r="A41" s="4">
        <f>(VLOOKUP('17.04'!I41,'17.04'!$AM$4:$AO$55,3,FALSE))</f>
        <v>0</v>
      </c>
      <c r="B41" s="4">
        <f>(VLOOKUP('17.04'!J41,'17.04'!$AM$4:$AO$55,3,FALSE))</f>
        <v>0</v>
      </c>
      <c r="C41" s="4">
        <f>(VLOOKUP('17.04'!K41,'17.04'!$AM$4:$AO$55,3,FALSE))</f>
        <v>0</v>
      </c>
      <c r="D41" s="4">
        <f>(VLOOKUP('17.04'!L41,'17.04'!$AM$4:$AO$55,3,FALSE))</f>
        <v>0</v>
      </c>
      <c r="E41" s="4">
        <f>(VLOOKUP('17.04'!M41,'17.04'!$AM$4:$AO$55,3,FALSE))</f>
        <v>0</v>
      </c>
      <c r="F41" s="4">
        <f>(VLOOKUP('17.04'!N41,'17.04'!$AM$4:$AO$55,3,FALSE))</f>
        <v>0</v>
      </c>
      <c r="G41" s="5">
        <f>(VLOOKUP('17.04'!O41,'17.04'!$AM$4:$AO$55,3,FALSE))</f>
        <v>0</v>
      </c>
      <c r="H41" s="5">
        <f>(VLOOKUP('17.04'!P41,'17.04'!$AM$4:$AO$55,3,FALSE))</f>
        <v>0</v>
      </c>
      <c r="I41" s="4">
        <f>(VLOOKUP('17.04'!Q41,'17.04'!$AM$4:$AO$55,3,FALSE))</f>
        <v>45</v>
      </c>
      <c r="J41" s="4">
        <f>(VLOOKUP('17.04'!R41,'17.04'!$AM$4:$AO$55,3,FALSE))</f>
        <v>45</v>
      </c>
      <c r="K41" s="4">
        <f>(VLOOKUP('17.04'!S41,'17.04'!$AM$4:$AO$55,3,FALSE))</f>
        <v>45</v>
      </c>
      <c r="L41" s="4">
        <f>(VLOOKUP('17.04'!T41,'17.04'!$AM$4:$AO$55,3,FALSE))</f>
        <v>45</v>
      </c>
      <c r="M41" s="4">
        <f>(VLOOKUP('17.04'!U41,'17.04'!$AM$4:$AO$55,3,FALSE))</f>
        <v>45</v>
      </c>
      <c r="N41" s="4">
        <f>(VLOOKUP('17.04'!V41,'17.04'!$AM$4:$AO$55,3,FALSE))</f>
        <v>30</v>
      </c>
      <c r="O41" s="5">
        <f>(VLOOKUP('17.04'!W41,'17.04'!$AM$4:$AO$55,3,FALSE))</f>
        <v>0</v>
      </c>
      <c r="P41" s="5">
        <f>(VLOOKUP('17.04'!X41,'17.04'!$AM$4:$AO$55,3,FALSE))</f>
        <v>0</v>
      </c>
      <c r="Q41" s="4">
        <f>(VLOOKUP('17.04'!Y41,'17.04'!$AM$4:$AO$55,3,FALSE))</f>
        <v>45</v>
      </c>
      <c r="R41" s="4">
        <f>(VLOOKUP('17.04'!Z41,'17.04'!$AM$4:$AO$55,3,FALSE))</f>
        <v>45</v>
      </c>
      <c r="S41" s="4">
        <f>(VLOOKUP('17.04'!AA41,'17.04'!$AM$4:$AO$55,3,FALSE))</f>
        <v>45</v>
      </c>
      <c r="T41" s="4">
        <f>(VLOOKUP('17.04'!AB41,'17.04'!$AM$4:$AO$55,3,FALSE))</f>
        <v>0</v>
      </c>
      <c r="U41" s="4">
        <f>(VLOOKUP('17.04'!AC41,'17.04'!$AM$4:$AO$55,3,FALSE))</f>
        <v>0</v>
      </c>
      <c r="V41" s="4">
        <f>(VLOOKUP('17.04'!AD41,'17.04'!$AM$4:$AO$55,3,FALSE))</f>
        <v>0</v>
      </c>
      <c r="W41" s="5">
        <f>(VLOOKUP('17.04'!AE41,'17.04'!$AM$4:$AO$55,3,FALSE))</f>
        <v>0</v>
      </c>
      <c r="X41" s="5">
        <f>(VLOOKUP('17.04'!AF41,'17.04'!$AM$4:$AO$55,3,FALSE))</f>
        <v>0</v>
      </c>
    </row>
    <row r="42" spans="1:24">
      <c r="A42" s="4">
        <f>(VLOOKUP('17.04'!I42,'17.04'!$AM$4:$AO$55,3,FALSE))</f>
        <v>0</v>
      </c>
      <c r="B42" s="4">
        <f>(VLOOKUP('17.04'!J42,'17.04'!$AM$4:$AO$55,3,FALSE))</f>
        <v>0</v>
      </c>
      <c r="C42" s="4">
        <f>(VLOOKUP('17.04'!K42,'17.04'!$AM$4:$AO$55,3,FALSE))</f>
        <v>0</v>
      </c>
      <c r="D42" s="4">
        <f>(VLOOKUP('17.04'!L42,'17.04'!$AM$4:$AO$55,3,FALSE))</f>
        <v>0</v>
      </c>
      <c r="E42" s="4">
        <f>(VLOOKUP('17.04'!M42,'17.04'!$AM$4:$AO$55,3,FALSE))</f>
        <v>0</v>
      </c>
      <c r="F42" s="4">
        <f>(VLOOKUP('17.04'!N42,'17.04'!$AM$4:$AO$55,3,FALSE))</f>
        <v>0</v>
      </c>
      <c r="G42" s="5">
        <f>(VLOOKUP('17.04'!O42,'17.04'!$AM$4:$AO$55,3,FALSE))</f>
        <v>0</v>
      </c>
      <c r="H42" s="5">
        <f>(VLOOKUP('17.04'!P42,'17.04'!$AM$4:$AO$55,3,FALSE))</f>
        <v>0</v>
      </c>
      <c r="I42" s="4">
        <f>(VLOOKUP('17.04'!Q42,'17.04'!$AM$4:$AO$55,3,FALSE))</f>
        <v>45</v>
      </c>
      <c r="J42" s="4">
        <f>(VLOOKUP('17.04'!R42,'17.04'!$AM$4:$AO$55,3,FALSE))</f>
        <v>45</v>
      </c>
      <c r="K42" s="4">
        <f>(VLOOKUP('17.04'!S42,'17.04'!$AM$4:$AO$55,3,FALSE))</f>
        <v>45</v>
      </c>
      <c r="L42" s="4">
        <f>(VLOOKUP('17.04'!T42,'17.04'!$AM$4:$AO$55,3,FALSE))</f>
        <v>45</v>
      </c>
      <c r="M42" s="4">
        <f>(VLOOKUP('17.04'!U42,'17.04'!$AM$4:$AO$55,3,FALSE))</f>
        <v>45</v>
      </c>
      <c r="N42" s="4">
        <f>(VLOOKUP('17.04'!V42,'17.04'!$AM$4:$AO$55,3,FALSE))</f>
        <v>45</v>
      </c>
      <c r="O42" s="5">
        <f>(VLOOKUP('17.04'!W42,'17.04'!$AM$4:$AO$55,3,FALSE))</f>
        <v>0</v>
      </c>
      <c r="P42" s="5">
        <f>(VLOOKUP('17.04'!X42,'17.04'!$AM$4:$AO$55,3,FALSE))</f>
        <v>0</v>
      </c>
      <c r="Q42" s="4">
        <f>(VLOOKUP('17.04'!Y42,'17.04'!$AM$4:$AO$55,3,FALSE))</f>
        <v>45</v>
      </c>
      <c r="R42" s="4">
        <f>(VLOOKUP('17.04'!Z42,'17.04'!$AM$4:$AO$55,3,FALSE))</f>
        <v>45</v>
      </c>
      <c r="S42" s="4">
        <f>(VLOOKUP('17.04'!AA42,'17.04'!$AM$4:$AO$55,3,FALSE))</f>
        <v>45</v>
      </c>
      <c r="T42" s="4">
        <f>(VLOOKUP('17.04'!AB42,'17.04'!$AM$4:$AO$55,3,FALSE))</f>
        <v>45</v>
      </c>
      <c r="U42" s="4">
        <f>(VLOOKUP('17.04'!AC42,'17.04'!$AM$4:$AO$55,3,FALSE))</f>
        <v>45</v>
      </c>
      <c r="V42" s="4">
        <f>(VLOOKUP('17.04'!AD42,'17.04'!$AM$4:$AO$55,3,FALSE))</f>
        <v>45</v>
      </c>
      <c r="W42" s="5">
        <f>(VLOOKUP('17.04'!AE42,'17.04'!$AM$4:$AO$55,3,FALSE))</f>
        <v>0</v>
      </c>
      <c r="X42" s="5">
        <f>(VLOOKUP('17.04'!AF42,'17.04'!$AM$4:$AO$55,3,FALSE))</f>
        <v>0</v>
      </c>
    </row>
    <row r="43" spans="1:24">
      <c r="A43" s="4">
        <f>(VLOOKUP('17.04'!I43,'17.04'!$AM$4:$AO$55,3,FALSE))</f>
        <v>0</v>
      </c>
      <c r="B43" s="4">
        <f>(VLOOKUP('17.04'!J43,'17.04'!$AM$4:$AO$55,3,FALSE))</f>
        <v>0</v>
      </c>
      <c r="C43" s="4">
        <f>(VLOOKUP('17.04'!K43,'17.04'!$AM$4:$AO$55,3,FALSE))</f>
        <v>0</v>
      </c>
      <c r="D43" s="4">
        <f>(VLOOKUP('17.04'!L43,'17.04'!$AM$4:$AO$55,3,FALSE))</f>
        <v>0</v>
      </c>
      <c r="E43" s="4">
        <f>(VLOOKUP('17.04'!M43,'17.04'!$AM$4:$AO$55,3,FALSE))</f>
        <v>0</v>
      </c>
      <c r="F43" s="4">
        <f>(VLOOKUP('17.04'!N43,'17.04'!$AM$4:$AO$55,3,FALSE))</f>
        <v>0</v>
      </c>
      <c r="G43" s="5">
        <f>(VLOOKUP('17.04'!O43,'17.04'!$AM$4:$AO$55,3,FALSE))</f>
        <v>0</v>
      </c>
      <c r="H43" s="5">
        <f>(VLOOKUP('17.04'!P43,'17.04'!$AM$4:$AO$55,3,FALSE))</f>
        <v>0</v>
      </c>
      <c r="I43" s="4">
        <f>(VLOOKUP('17.04'!Q43,'17.04'!$AM$4:$AO$55,3,FALSE))</f>
        <v>45</v>
      </c>
      <c r="J43" s="4">
        <f>(VLOOKUP('17.04'!R43,'17.04'!$AM$4:$AO$55,3,FALSE))</f>
        <v>45</v>
      </c>
      <c r="K43" s="4">
        <f>(VLOOKUP('17.04'!S43,'17.04'!$AM$4:$AO$55,3,FALSE))</f>
        <v>30</v>
      </c>
      <c r="L43" s="4">
        <f>(VLOOKUP('17.04'!T43,'17.04'!$AM$4:$AO$55,3,FALSE))</f>
        <v>45</v>
      </c>
      <c r="M43" s="4">
        <f>(VLOOKUP('17.04'!U43,'17.04'!$AM$4:$AO$55,3,FALSE))</f>
        <v>45</v>
      </c>
      <c r="N43" s="4">
        <f>(VLOOKUP('17.04'!V43,'17.04'!$AM$4:$AO$55,3,FALSE))</f>
        <v>45</v>
      </c>
      <c r="O43" s="5">
        <f>(VLOOKUP('17.04'!W43,'17.04'!$AM$4:$AO$55,3,FALSE))</f>
        <v>0</v>
      </c>
      <c r="P43" s="5">
        <f>(VLOOKUP('17.04'!X43,'17.04'!$AM$4:$AO$55,3,FALSE))</f>
        <v>0</v>
      </c>
      <c r="Q43" s="4">
        <f>(VLOOKUP('17.04'!Y43,'17.04'!$AM$4:$AO$55,3,FALSE))</f>
        <v>45</v>
      </c>
      <c r="R43" s="4">
        <f>(VLOOKUP('17.04'!Z43,'17.04'!$AM$4:$AO$55,3,FALSE))</f>
        <v>45</v>
      </c>
      <c r="S43" s="4">
        <f>(VLOOKUP('17.04'!AA43,'17.04'!$AM$4:$AO$55,3,FALSE))</f>
        <v>30</v>
      </c>
      <c r="T43" s="4">
        <f>(VLOOKUP('17.04'!AB43,'17.04'!$AM$4:$AO$55,3,FALSE))</f>
        <v>45</v>
      </c>
      <c r="U43" s="4">
        <f>(VLOOKUP('17.04'!AC43,'17.04'!$AM$4:$AO$55,3,FALSE))</f>
        <v>45</v>
      </c>
      <c r="V43" s="4">
        <f>(VLOOKUP('17.04'!AD43,'17.04'!$AM$4:$AO$55,3,FALSE))</f>
        <v>45</v>
      </c>
      <c r="W43" s="5">
        <f>(VLOOKUP('17.04'!AE43,'17.04'!$AM$4:$AO$55,3,FALSE))</f>
        <v>0</v>
      </c>
      <c r="X43" s="5">
        <f>(VLOOKUP('17.04'!AF43,'17.04'!$AM$4:$AO$55,3,FALSE))</f>
        <v>0</v>
      </c>
    </row>
    <row r="44" spans="1:24">
      <c r="A44" s="4">
        <f>(VLOOKUP('17.04'!I44,'17.04'!$AM$4:$AO$55,3,FALSE))</f>
        <v>0</v>
      </c>
      <c r="B44" s="4">
        <f>(VLOOKUP('17.04'!J44,'17.04'!$AM$4:$AO$55,3,FALSE))</f>
        <v>0</v>
      </c>
      <c r="C44" s="4">
        <f>(VLOOKUP('17.04'!K44,'17.04'!$AM$4:$AO$55,3,FALSE))</f>
        <v>0</v>
      </c>
      <c r="D44" s="4">
        <f>(VLOOKUP('17.04'!L44,'17.04'!$AM$4:$AO$55,3,FALSE))</f>
        <v>0</v>
      </c>
      <c r="E44" s="4">
        <f>(VLOOKUP('17.04'!M44,'17.04'!$AM$4:$AO$55,3,FALSE))</f>
        <v>0</v>
      </c>
      <c r="F44" s="4">
        <f>(VLOOKUP('17.04'!N44,'17.04'!$AM$4:$AO$55,3,FALSE))</f>
        <v>0</v>
      </c>
      <c r="G44" s="5">
        <f>(VLOOKUP('17.04'!O44,'17.04'!$AM$4:$AO$55,3,FALSE))</f>
        <v>0</v>
      </c>
      <c r="H44" s="5">
        <f>(VLOOKUP('17.04'!P44,'17.04'!$AM$4:$AO$55,3,FALSE))</f>
        <v>0</v>
      </c>
      <c r="I44" s="4">
        <f>(VLOOKUP('17.04'!Q44,'17.04'!$AM$4:$AO$55,3,FALSE))</f>
        <v>45</v>
      </c>
      <c r="J44" s="4">
        <f>(VLOOKUP('17.04'!R44,'17.04'!$AM$4:$AO$55,3,FALSE))</f>
        <v>45</v>
      </c>
      <c r="K44" s="4">
        <f>(VLOOKUP('17.04'!S44,'17.04'!$AM$4:$AO$55,3,FALSE))</f>
        <v>45</v>
      </c>
      <c r="L44" s="4">
        <f>(VLOOKUP('17.04'!T44,'17.04'!$AM$4:$AO$55,3,FALSE))</f>
        <v>45</v>
      </c>
      <c r="M44" s="4">
        <f>(VLOOKUP('17.04'!U44,'17.04'!$AM$4:$AO$55,3,FALSE))</f>
        <v>45</v>
      </c>
      <c r="N44" s="4">
        <f>(VLOOKUP('17.04'!V44,'17.04'!$AM$4:$AO$55,3,FALSE))</f>
        <v>45</v>
      </c>
      <c r="O44" s="5">
        <f>(VLOOKUP('17.04'!W44,'17.04'!$AM$4:$AO$55,3,FALSE))</f>
        <v>0</v>
      </c>
      <c r="P44" s="5">
        <f>(VLOOKUP('17.04'!X44,'17.04'!$AM$4:$AO$55,3,FALSE))</f>
        <v>0</v>
      </c>
      <c r="Q44" s="4">
        <f>(VLOOKUP('17.04'!Y44,'17.04'!$AM$4:$AO$55,3,FALSE))</f>
        <v>45</v>
      </c>
      <c r="R44" s="4">
        <f>(VLOOKUP('17.04'!Z44,'17.04'!$AM$4:$AO$55,3,FALSE))</f>
        <v>45</v>
      </c>
      <c r="S44" s="4">
        <f>(VLOOKUP('17.04'!AA44,'17.04'!$AM$4:$AO$55,3,FALSE))</f>
        <v>45</v>
      </c>
      <c r="T44" s="4">
        <f>(VLOOKUP('17.04'!AB44,'17.04'!$AM$4:$AO$55,3,FALSE))</f>
        <v>0</v>
      </c>
      <c r="U44" s="4">
        <f>(VLOOKUP('17.04'!AC44,'17.04'!$AM$4:$AO$55,3,FALSE))</f>
        <v>0</v>
      </c>
      <c r="V44" s="4">
        <f>(VLOOKUP('17.04'!AD44,'17.04'!$AM$4:$AO$55,3,FALSE))</f>
        <v>0</v>
      </c>
      <c r="W44" s="5">
        <f>(VLOOKUP('17.04'!AE44,'17.04'!$AM$4:$AO$55,3,FALSE))</f>
        <v>0</v>
      </c>
      <c r="X44" s="5">
        <f>(VLOOKUP('17.04'!AF44,'17.04'!$AM$4:$AO$55,3,FALSE))</f>
        <v>0</v>
      </c>
    </row>
    <row r="45" spans="1:24">
      <c r="A45" s="4">
        <f>(VLOOKUP('17.04'!I45,'17.04'!$AM$4:$AO$55,3,FALSE))</f>
        <v>0</v>
      </c>
      <c r="B45" s="4">
        <f>(VLOOKUP('17.04'!J45,'17.04'!$AM$4:$AO$55,3,FALSE))</f>
        <v>0</v>
      </c>
      <c r="C45" s="4">
        <f>(VLOOKUP('17.04'!K45,'17.04'!$AM$4:$AO$55,3,FALSE))</f>
        <v>0</v>
      </c>
      <c r="D45" s="4">
        <f>(VLOOKUP('17.04'!L45,'17.04'!$AM$4:$AO$55,3,FALSE))</f>
        <v>0</v>
      </c>
      <c r="E45" s="4">
        <f>(VLOOKUP('17.04'!M45,'17.04'!$AM$4:$AO$55,3,FALSE))</f>
        <v>0</v>
      </c>
      <c r="F45" s="4">
        <f>(VLOOKUP('17.04'!N45,'17.04'!$AM$4:$AO$55,3,FALSE))</f>
        <v>0</v>
      </c>
      <c r="G45" s="5">
        <f>(VLOOKUP('17.04'!O45,'17.04'!$AM$4:$AO$55,3,FALSE))</f>
        <v>0</v>
      </c>
      <c r="H45" s="5">
        <f>(VLOOKUP('17.04'!P45,'17.04'!$AM$4:$AO$55,3,FALSE))</f>
        <v>0</v>
      </c>
      <c r="I45" s="4">
        <f>(VLOOKUP('17.04'!Q45,'17.04'!$AM$4:$AO$55,3,FALSE))</f>
        <v>45</v>
      </c>
      <c r="J45" s="4">
        <f>(VLOOKUP('17.04'!R45,'17.04'!$AM$4:$AO$55,3,FALSE))</f>
        <v>45</v>
      </c>
      <c r="K45" s="4">
        <f>(VLOOKUP('17.04'!S45,'17.04'!$AM$4:$AO$55,3,FALSE))</f>
        <v>45</v>
      </c>
      <c r="L45" s="4">
        <f>(VLOOKUP('17.04'!T45,'17.04'!$AM$4:$AO$55,3,FALSE))</f>
        <v>45</v>
      </c>
      <c r="M45" s="4">
        <f>(VLOOKUP('17.04'!U45,'17.04'!$AM$4:$AO$55,3,FALSE))</f>
        <v>45</v>
      </c>
      <c r="N45" s="4">
        <f>(VLOOKUP('17.04'!V45,'17.04'!$AM$4:$AO$55,3,FALSE))</f>
        <v>45</v>
      </c>
      <c r="O45" s="5">
        <f>(VLOOKUP('17.04'!W45,'17.04'!$AM$4:$AO$55,3,FALSE))</f>
        <v>0</v>
      </c>
      <c r="P45" s="5">
        <f>(VLOOKUP('17.04'!X45,'17.04'!$AM$4:$AO$55,3,FALSE))</f>
        <v>0</v>
      </c>
      <c r="Q45" s="4">
        <f>(VLOOKUP('17.04'!Y45,'17.04'!$AM$4:$AO$55,3,FALSE))</f>
        <v>0</v>
      </c>
      <c r="R45" s="4">
        <f>(VLOOKUP('17.04'!Z45,'17.04'!$AM$4:$AO$55,3,FALSE))</f>
        <v>0</v>
      </c>
      <c r="S45" s="4">
        <f>(VLOOKUP('17.04'!AA45,'17.04'!$AM$4:$AO$55,3,FALSE))</f>
        <v>0</v>
      </c>
      <c r="T45" s="4">
        <f>(VLOOKUP('17.04'!AB45,'17.04'!$AM$4:$AO$55,3,FALSE))</f>
        <v>0</v>
      </c>
      <c r="U45" s="4">
        <f>(VLOOKUP('17.04'!AC45,'17.04'!$AM$4:$AO$55,3,FALSE))</f>
        <v>0</v>
      </c>
      <c r="V45" s="4">
        <f>(VLOOKUP('17.04'!AD45,'17.04'!$AM$4:$AO$55,3,FALSE))</f>
        <v>0</v>
      </c>
      <c r="W45" s="5">
        <f>(VLOOKUP('17.04'!AE45,'17.04'!$AM$4:$AO$55,3,FALSE))</f>
        <v>0</v>
      </c>
      <c r="X45" s="5">
        <f>(VLOOKUP('17.04'!AF45,'17.04'!$AM$4:$AO$55,3,FALSE))</f>
        <v>0</v>
      </c>
    </row>
    <row r="46" spans="1:24">
      <c r="A46" s="4">
        <f>(VLOOKUP('17.04'!I46,'17.04'!$AM$4:$AO$55,3,FALSE))</f>
        <v>0</v>
      </c>
      <c r="B46" s="4">
        <f>(VLOOKUP('17.04'!J46,'17.04'!$AM$4:$AO$55,3,FALSE))</f>
        <v>0</v>
      </c>
      <c r="C46" s="4">
        <f>(VLOOKUP('17.04'!K46,'17.04'!$AM$4:$AO$55,3,FALSE))</f>
        <v>0</v>
      </c>
      <c r="D46" s="4">
        <f>(VLOOKUP('17.04'!L46,'17.04'!$AM$4:$AO$55,3,FALSE))</f>
        <v>0</v>
      </c>
      <c r="E46" s="4">
        <f>(VLOOKUP('17.04'!M46,'17.04'!$AM$4:$AO$55,3,FALSE))</f>
        <v>0</v>
      </c>
      <c r="F46" s="4">
        <f>(VLOOKUP('17.04'!N46,'17.04'!$AM$4:$AO$55,3,FALSE))</f>
        <v>0</v>
      </c>
      <c r="G46" s="5">
        <f>(VLOOKUP('17.04'!O46,'17.04'!$AM$4:$AO$55,3,FALSE))</f>
        <v>0</v>
      </c>
      <c r="H46" s="5">
        <f>(VLOOKUP('17.04'!P46,'17.04'!$AM$4:$AO$55,3,FALSE))</f>
        <v>0</v>
      </c>
      <c r="I46" s="4">
        <f>(VLOOKUP('17.04'!Q46,'17.04'!$AM$4:$AO$55,3,FALSE))</f>
        <v>30</v>
      </c>
      <c r="J46" s="4">
        <f>(VLOOKUP('17.04'!R46,'17.04'!$AM$4:$AO$55,3,FALSE))</f>
        <v>45</v>
      </c>
      <c r="K46" s="4">
        <f>(VLOOKUP('17.04'!S46,'17.04'!$AM$4:$AO$55,3,FALSE))</f>
        <v>50</v>
      </c>
      <c r="L46" s="4">
        <f>(VLOOKUP('17.04'!T46,'17.04'!$AM$4:$AO$55,3,FALSE))</f>
        <v>50</v>
      </c>
      <c r="M46" s="4">
        <f>(VLOOKUP('17.04'!U46,'17.04'!$AM$4:$AO$55,3,FALSE))</f>
        <v>0</v>
      </c>
      <c r="N46" s="4">
        <f>(VLOOKUP('17.04'!V46,'17.04'!$AM$4:$AO$55,3,FALSE))</f>
        <v>0</v>
      </c>
      <c r="O46" s="5">
        <f>(VLOOKUP('17.04'!W46,'17.04'!$AM$4:$AO$55,3,FALSE))</f>
        <v>0</v>
      </c>
      <c r="P46" s="5">
        <f>(VLOOKUP('17.04'!X46,'17.04'!$AM$4:$AO$55,3,FALSE))</f>
        <v>0</v>
      </c>
      <c r="Q46" s="4">
        <f>(VLOOKUP('17.04'!Y46,'17.04'!$AM$4:$AO$55,3,FALSE))</f>
        <v>0</v>
      </c>
      <c r="R46" s="4">
        <f>(VLOOKUP('17.04'!Z46,'17.04'!$AM$4:$AO$55,3,FALSE))</f>
        <v>0</v>
      </c>
      <c r="S46" s="4">
        <f>(VLOOKUP('17.04'!AA46,'17.04'!$AM$4:$AO$55,3,FALSE))</f>
        <v>0</v>
      </c>
      <c r="T46" s="4">
        <f>(VLOOKUP('17.04'!AB46,'17.04'!$AM$4:$AO$55,3,FALSE))</f>
        <v>0</v>
      </c>
      <c r="U46" s="4">
        <f>(VLOOKUP('17.04'!AC46,'17.04'!$AM$4:$AO$55,3,FALSE))</f>
        <v>0</v>
      </c>
      <c r="V46" s="4">
        <f>(VLOOKUP('17.04'!AD46,'17.04'!$AM$4:$AO$55,3,FALSE))</f>
        <v>0</v>
      </c>
      <c r="W46" s="5">
        <f>(VLOOKUP('17.04'!AE46,'17.04'!$AM$4:$AO$55,3,FALSE))</f>
        <v>0</v>
      </c>
      <c r="X46" s="5">
        <f>(VLOOKUP('17.04'!AF46,'17.04'!$AM$4:$AO$55,3,FALSE))</f>
        <v>0</v>
      </c>
    </row>
    <row r="47" spans="1:24">
      <c r="A47" s="4">
        <f>(VLOOKUP('17.04'!I47,'17.04'!$AM$4:$AO$55,3,FALSE))</f>
        <v>0</v>
      </c>
      <c r="B47" s="4">
        <f>(VLOOKUP('17.04'!J47,'17.04'!$AM$4:$AO$55,3,FALSE))</f>
        <v>0</v>
      </c>
      <c r="C47" s="4">
        <f>(VLOOKUP('17.04'!K47,'17.04'!$AM$4:$AO$55,3,FALSE))</f>
        <v>0</v>
      </c>
      <c r="D47" s="4">
        <f>(VLOOKUP('17.04'!L47,'17.04'!$AM$4:$AO$55,3,FALSE))</f>
        <v>0</v>
      </c>
      <c r="E47" s="4">
        <f>(VLOOKUP('17.04'!M47,'17.04'!$AM$4:$AO$55,3,FALSE))</f>
        <v>0</v>
      </c>
      <c r="F47" s="4">
        <f>(VLOOKUP('17.04'!N47,'17.04'!$AM$4:$AO$55,3,FALSE))</f>
        <v>0</v>
      </c>
      <c r="G47" s="5">
        <f>(VLOOKUP('17.04'!O47,'17.04'!$AM$4:$AO$55,3,FALSE))</f>
        <v>0</v>
      </c>
      <c r="H47" s="5">
        <f>(VLOOKUP('17.04'!P47,'17.04'!$AM$4:$AO$55,3,FALSE))</f>
        <v>0</v>
      </c>
      <c r="I47" s="4">
        <f>(VLOOKUP('17.04'!Q47,'17.04'!$AM$4:$AO$55,3,FALSE))</f>
        <v>50</v>
      </c>
      <c r="J47" s="4">
        <f>(VLOOKUP('17.04'!R47,'17.04'!$AM$4:$AO$55,3,FALSE))</f>
        <v>50</v>
      </c>
      <c r="K47" s="4">
        <f>(VLOOKUP('17.04'!S47,'17.04'!$AM$4:$AO$55,3,FALSE))</f>
        <v>50</v>
      </c>
      <c r="L47" s="4">
        <f>(VLOOKUP('17.04'!T47,'17.04'!$AM$4:$AO$55,3,FALSE))</f>
        <v>50</v>
      </c>
      <c r="M47" s="4">
        <f>(VLOOKUP('17.04'!U47,'17.04'!$AM$4:$AO$55,3,FALSE))</f>
        <v>50</v>
      </c>
      <c r="N47" s="4">
        <f>(VLOOKUP('17.04'!V47,'17.04'!$AM$4:$AO$55,3,FALSE))</f>
        <v>50</v>
      </c>
      <c r="O47" s="5">
        <f>(VLOOKUP('17.04'!W47,'17.04'!$AM$4:$AO$55,3,FALSE))</f>
        <v>0</v>
      </c>
      <c r="P47" s="5">
        <f>(VLOOKUP('17.04'!X47,'17.04'!$AM$4:$AO$55,3,FALSE))</f>
        <v>0</v>
      </c>
      <c r="Q47" s="4">
        <f>(VLOOKUP('17.04'!Y47,'17.04'!$AM$4:$AO$55,3,FALSE))</f>
        <v>0</v>
      </c>
      <c r="R47" s="4">
        <f>(VLOOKUP('17.04'!Z47,'17.04'!$AM$4:$AO$55,3,FALSE))</f>
        <v>0</v>
      </c>
      <c r="S47" s="4">
        <f>(VLOOKUP('17.04'!AA47,'17.04'!$AM$4:$AO$55,3,FALSE))</f>
        <v>0</v>
      </c>
      <c r="T47" s="4">
        <f>(VLOOKUP('17.04'!AB47,'17.04'!$AM$4:$AO$55,3,FALSE))</f>
        <v>0</v>
      </c>
      <c r="U47" s="4">
        <f>(VLOOKUP('17.04'!AC47,'17.04'!$AM$4:$AO$55,3,FALSE))</f>
        <v>0</v>
      </c>
      <c r="V47" s="4">
        <f>(VLOOKUP('17.04'!AD47,'17.04'!$AM$4:$AO$55,3,FALSE))</f>
        <v>0</v>
      </c>
      <c r="W47" s="5">
        <f>(VLOOKUP('17.04'!AE47,'17.04'!$AM$4:$AO$55,3,FALSE))</f>
        <v>0</v>
      </c>
      <c r="X47" s="5">
        <f>(VLOOKUP('17.04'!AF47,'17.04'!$AM$4:$AO$55,3,FALSE))</f>
        <v>0</v>
      </c>
    </row>
    <row r="48" spans="1:24">
      <c r="A48" s="4">
        <f>(VLOOKUP('17.04'!I48,'17.04'!$AM$4:$AO$55,3,FALSE))</f>
        <v>0</v>
      </c>
      <c r="B48" s="4">
        <f>(VLOOKUP('17.04'!J48,'17.04'!$AM$4:$AO$55,3,FALSE))</f>
        <v>0</v>
      </c>
      <c r="C48" s="4">
        <f>(VLOOKUP('17.04'!K48,'17.04'!$AM$4:$AO$55,3,FALSE))</f>
        <v>0</v>
      </c>
      <c r="D48" s="4">
        <f>(VLOOKUP('17.04'!L48,'17.04'!$AM$4:$AO$55,3,FALSE))</f>
        <v>0</v>
      </c>
      <c r="E48" s="4">
        <f>(VLOOKUP('17.04'!M48,'17.04'!$AM$4:$AO$55,3,FALSE))</f>
        <v>0</v>
      </c>
      <c r="F48" s="4">
        <f>(VLOOKUP('17.04'!N48,'17.04'!$AM$4:$AO$55,3,FALSE))</f>
        <v>0</v>
      </c>
      <c r="G48" s="5">
        <f>(VLOOKUP('17.04'!O48,'17.04'!$AM$4:$AO$55,3,FALSE))</f>
        <v>0</v>
      </c>
      <c r="H48" s="5">
        <f>(VLOOKUP('17.04'!P48,'17.04'!$AM$4:$AO$55,3,FALSE))</f>
        <v>0</v>
      </c>
      <c r="I48" s="4">
        <f>(VLOOKUP('17.04'!Q48,'17.04'!$AM$4:$AO$55,3,FALSE))</f>
        <v>50</v>
      </c>
      <c r="J48" s="4">
        <f>(VLOOKUP('17.04'!R48,'17.04'!$AM$4:$AO$55,3,FALSE))</f>
        <v>50</v>
      </c>
      <c r="K48" s="4">
        <f>(VLOOKUP('17.04'!S48,'17.04'!$AM$4:$AO$55,3,FALSE))</f>
        <v>50</v>
      </c>
      <c r="L48" s="4">
        <f>(VLOOKUP('17.04'!T48,'17.04'!$AM$4:$AO$55,3,FALSE))</f>
        <v>50</v>
      </c>
      <c r="M48" s="4">
        <f>(VLOOKUP('17.04'!U48,'17.04'!$AM$4:$AO$55,3,FALSE))</f>
        <v>50</v>
      </c>
      <c r="N48" s="4">
        <f>(VLOOKUP('17.04'!V48,'17.04'!$AM$4:$AO$55,3,FALSE))</f>
        <v>50</v>
      </c>
      <c r="O48" s="5">
        <f>(VLOOKUP('17.04'!W48,'17.04'!$AM$4:$AO$55,3,FALSE))</f>
        <v>0</v>
      </c>
      <c r="P48" s="5">
        <f>(VLOOKUP('17.04'!X48,'17.04'!$AM$4:$AO$55,3,FALSE))</f>
        <v>0</v>
      </c>
      <c r="Q48" s="4">
        <f>(VLOOKUP('17.04'!Y48,'17.04'!$AM$4:$AO$55,3,FALSE))</f>
        <v>0</v>
      </c>
      <c r="R48" s="4">
        <f>(VLOOKUP('17.04'!Z48,'17.04'!$AM$4:$AO$55,3,FALSE))</f>
        <v>0</v>
      </c>
      <c r="S48" s="4">
        <f>(VLOOKUP('17.04'!AA48,'17.04'!$AM$4:$AO$55,3,FALSE))</f>
        <v>0</v>
      </c>
      <c r="T48" s="4">
        <f>(VLOOKUP('17.04'!AB48,'17.04'!$AM$4:$AO$55,3,FALSE))</f>
        <v>0</v>
      </c>
      <c r="U48" s="4">
        <f>(VLOOKUP('17.04'!AC48,'17.04'!$AM$4:$AO$55,3,FALSE))</f>
        <v>0</v>
      </c>
      <c r="V48" s="4">
        <f>(VLOOKUP('17.04'!AD48,'17.04'!$AM$4:$AO$55,3,FALSE))</f>
        <v>0</v>
      </c>
      <c r="W48" s="5">
        <f>(VLOOKUP('17.04'!AE48,'17.04'!$AM$4:$AO$55,3,FALSE))</f>
        <v>0</v>
      </c>
      <c r="X48" s="5">
        <f>(VLOOKUP('17.04'!AF48,'17.04'!$AM$4:$AO$55,3,FALSE))</f>
        <v>0</v>
      </c>
    </row>
    <row r="49" spans="1:24">
      <c r="A49" s="4">
        <f>(VLOOKUP('17.04'!I49,'17.04'!$AM$4:$AO$55,3,FALSE))</f>
        <v>0</v>
      </c>
      <c r="B49" s="4">
        <f>(VLOOKUP('17.04'!J49,'17.04'!$AM$4:$AO$55,3,FALSE))</f>
        <v>0</v>
      </c>
      <c r="C49" s="4">
        <f>(VLOOKUP('17.04'!K49,'17.04'!$AM$4:$AO$55,3,FALSE))</f>
        <v>0</v>
      </c>
      <c r="D49" s="4">
        <f>(VLOOKUP('17.04'!L49,'17.04'!$AM$4:$AO$55,3,FALSE))</f>
        <v>0</v>
      </c>
      <c r="E49" s="4">
        <f>(VLOOKUP('17.04'!M49,'17.04'!$AM$4:$AO$55,3,FALSE))</f>
        <v>0</v>
      </c>
      <c r="F49" s="4">
        <f>(VLOOKUP('17.04'!N49,'17.04'!$AM$4:$AO$55,3,FALSE))</f>
        <v>0</v>
      </c>
      <c r="G49" s="5">
        <f>(VLOOKUP('17.04'!O49,'17.04'!$AM$4:$AO$55,3,FALSE))</f>
        <v>0</v>
      </c>
      <c r="H49" s="5">
        <f>(VLOOKUP('17.04'!P49,'17.04'!$AM$4:$AO$55,3,FALSE))</f>
        <v>0</v>
      </c>
      <c r="I49" s="4">
        <f>(VLOOKUP('17.04'!Q49,'17.04'!$AM$4:$AO$55,3,FALSE))</f>
        <v>50</v>
      </c>
      <c r="J49" s="4">
        <f>(VLOOKUP('17.04'!R49,'17.04'!$AM$4:$AO$55,3,FALSE))</f>
        <v>50</v>
      </c>
      <c r="K49" s="4">
        <f>(VLOOKUP('17.04'!S49,'17.04'!$AM$4:$AO$55,3,FALSE))</f>
        <v>50</v>
      </c>
      <c r="L49" s="4">
        <f>(VLOOKUP('17.04'!T49,'17.04'!$AM$4:$AO$55,3,FALSE))</f>
        <v>50</v>
      </c>
      <c r="M49" s="4">
        <f>(VLOOKUP('17.04'!U49,'17.04'!$AM$4:$AO$55,3,FALSE))</f>
        <v>50</v>
      </c>
      <c r="N49" s="4">
        <f>(VLOOKUP('17.04'!V49,'17.04'!$AM$4:$AO$55,3,FALSE))</f>
        <v>0</v>
      </c>
      <c r="O49" s="5">
        <f>(VLOOKUP('17.04'!W49,'17.04'!$AM$4:$AO$55,3,FALSE))</f>
        <v>0</v>
      </c>
      <c r="P49" s="5">
        <f>(VLOOKUP('17.04'!X49,'17.04'!$AM$4:$AO$55,3,FALSE))</f>
        <v>0</v>
      </c>
      <c r="Q49" s="4">
        <f>(VLOOKUP('17.04'!Y49,'17.04'!$AM$4:$AO$55,3,FALSE))</f>
        <v>0</v>
      </c>
      <c r="R49" s="4">
        <f>(VLOOKUP('17.04'!Z49,'17.04'!$AM$4:$AO$55,3,FALSE))</f>
        <v>0</v>
      </c>
      <c r="S49" s="4">
        <f>(VLOOKUP('17.04'!AA49,'17.04'!$AM$4:$AO$55,3,FALSE))</f>
        <v>0</v>
      </c>
      <c r="T49" s="4">
        <f>(VLOOKUP('17.04'!AB49,'17.04'!$AM$4:$AO$55,3,FALSE))</f>
        <v>0</v>
      </c>
      <c r="U49" s="4">
        <f>(VLOOKUP('17.04'!AC49,'17.04'!$AM$4:$AO$55,3,FALSE))</f>
        <v>0</v>
      </c>
      <c r="V49" s="4">
        <f>(VLOOKUP('17.04'!AD49,'17.04'!$AM$4:$AO$55,3,FALSE))</f>
        <v>0</v>
      </c>
      <c r="W49" s="5">
        <f>(VLOOKUP('17.04'!AE49,'17.04'!$AM$4:$AO$55,3,FALSE))</f>
        <v>0</v>
      </c>
      <c r="X49" s="5">
        <f>(VLOOKUP('17.04'!AF49,'17.04'!$AM$4:$AO$55,3,FALSE))</f>
        <v>0</v>
      </c>
    </row>
    <row r="50" spans="1:24">
      <c r="A50" s="4">
        <f>(VLOOKUP('17.04'!I50,'17.04'!$AM$4:$AO$55,3,FALSE))</f>
        <v>0</v>
      </c>
      <c r="B50" s="4">
        <f>(VLOOKUP('17.04'!J50,'17.04'!$AM$4:$AO$55,3,FALSE))</f>
        <v>0</v>
      </c>
      <c r="C50" s="4">
        <f>(VLOOKUP('17.04'!K50,'17.04'!$AM$4:$AO$55,3,FALSE))</f>
        <v>0</v>
      </c>
      <c r="D50" s="4">
        <f>(VLOOKUP('17.04'!L50,'17.04'!$AM$4:$AO$55,3,FALSE))</f>
        <v>0</v>
      </c>
      <c r="E50" s="4">
        <f>(VLOOKUP('17.04'!M50,'17.04'!$AM$4:$AO$55,3,FALSE))</f>
        <v>0</v>
      </c>
      <c r="F50" s="4">
        <f>(VLOOKUP('17.04'!N50,'17.04'!$AM$4:$AO$55,3,FALSE))</f>
        <v>0</v>
      </c>
      <c r="G50" s="5">
        <f>(VLOOKUP('17.04'!O50,'17.04'!$AM$4:$AO$55,3,FALSE))</f>
        <v>0</v>
      </c>
      <c r="H50" s="5">
        <f>(VLOOKUP('17.04'!P50,'17.04'!$AM$4:$AO$55,3,FALSE))</f>
        <v>0</v>
      </c>
      <c r="I50" s="4">
        <f>(VLOOKUP('17.04'!Q50,'17.04'!$AM$4:$AO$55,3,FALSE))</f>
        <v>0</v>
      </c>
      <c r="J50" s="4">
        <f>(VLOOKUP('17.04'!R50,'17.04'!$AM$4:$AO$55,3,FALSE))</f>
        <v>0</v>
      </c>
      <c r="K50" s="4">
        <f>(VLOOKUP('17.04'!S50,'17.04'!$AM$4:$AO$55,3,FALSE))</f>
        <v>0</v>
      </c>
      <c r="L50" s="4">
        <f>(VLOOKUP('17.04'!T50,'17.04'!$AM$4:$AO$55,3,FALSE))</f>
        <v>0</v>
      </c>
      <c r="M50" s="4">
        <f>(VLOOKUP('17.04'!U50,'17.04'!$AM$4:$AO$55,3,FALSE))</f>
        <v>0</v>
      </c>
      <c r="N50" s="4">
        <f>(VLOOKUP('17.04'!V50,'17.04'!$AM$4:$AO$55,3,FALSE))</f>
        <v>0</v>
      </c>
      <c r="O50" s="5">
        <f>(VLOOKUP('17.04'!W50,'17.04'!$AM$4:$AO$55,3,FALSE))</f>
        <v>0</v>
      </c>
      <c r="P50" s="5">
        <f>(VLOOKUP('17.04'!X50,'17.04'!$AM$4:$AO$55,3,FALSE))</f>
        <v>0</v>
      </c>
      <c r="Q50" s="4">
        <f>(VLOOKUP('17.04'!Y50,'17.04'!$AM$4:$AO$55,3,FALSE))</f>
        <v>0</v>
      </c>
      <c r="R50" s="4">
        <f>(VLOOKUP('17.04'!Z50,'17.04'!$AM$4:$AO$55,3,FALSE))</f>
        <v>0</v>
      </c>
      <c r="S50" s="4">
        <f>(VLOOKUP('17.04'!AA50,'17.04'!$AM$4:$AO$55,3,FALSE))</f>
        <v>0</v>
      </c>
      <c r="T50" s="4">
        <f>(VLOOKUP('17.04'!AB50,'17.04'!$AM$4:$AO$55,3,FALSE))</f>
        <v>0</v>
      </c>
      <c r="U50" s="4">
        <f>(VLOOKUP('17.04'!AC50,'17.04'!$AM$4:$AO$55,3,FALSE))</f>
        <v>0</v>
      </c>
      <c r="V50" s="4">
        <f>(VLOOKUP('17.04'!AD50,'17.04'!$AM$4:$AO$55,3,FALSE))</f>
        <v>0</v>
      </c>
      <c r="W50" s="5">
        <f>(VLOOKUP('17.04'!AE50,'17.04'!$AM$4:$AO$55,3,FALSE))</f>
        <v>0</v>
      </c>
      <c r="X50" s="5">
        <f>(VLOOKUP('17.04'!AF50,'17.04'!$AM$4:$AO$55,3,FALSE))</f>
        <v>0</v>
      </c>
    </row>
    <row r="51" spans="1:24">
      <c r="A51" s="4">
        <f>(VLOOKUP('17.04'!I51,'17.04'!$AM$4:$AO$55,3,FALSE))</f>
        <v>0</v>
      </c>
      <c r="B51" s="4">
        <f>(VLOOKUP('17.04'!J51,'17.04'!$AM$4:$AO$55,3,FALSE))</f>
        <v>0</v>
      </c>
      <c r="C51" s="4">
        <f>(VLOOKUP('17.04'!K51,'17.04'!$AM$4:$AO$55,3,FALSE))</f>
        <v>0</v>
      </c>
      <c r="D51" s="4">
        <f>(VLOOKUP('17.04'!L51,'17.04'!$AM$4:$AO$55,3,FALSE))</f>
        <v>0</v>
      </c>
      <c r="E51" s="4">
        <f>(VLOOKUP('17.04'!M51,'17.04'!$AM$4:$AO$55,3,FALSE))</f>
        <v>0</v>
      </c>
      <c r="F51" s="4">
        <f>(VLOOKUP('17.04'!N51,'17.04'!$AM$4:$AO$55,3,FALSE))</f>
        <v>0</v>
      </c>
      <c r="G51" s="5">
        <f>(VLOOKUP('17.04'!O51,'17.04'!$AM$4:$AO$55,3,FALSE))</f>
        <v>0</v>
      </c>
      <c r="H51" s="5">
        <f>(VLOOKUP('17.04'!P51,'17.04'!$AM$4:$AO$55,3,FALSE))</f>
        <v>0</v>
      </c>
      <c r="I51" s="4">
        <f>(VLOOKUP('17.04'!Q51,'17.04'!$AM$4:$AO$55,3,FALSE))</f>
        <v>0</v>
      </c>
      <c r="J51" s="4">
        <f>(VLOOKUP('17.04'!R51,'17.04'!$AM$4:$AO$55,3,FALSE))</f>
        <v>0</v>
      </c>
      <c r="K51" s="4">
        <f>(VLOOKUP('17.04'!S51,'17.04'!$AM$4:$AO$55,3,FALSE))</f>
        <v>0</v>
      </c>
      <c r="L51" s="4">
        <f>(VLOOKUP('17.04'!T51,'17.04'!$AM$4:$AO$55,3,FALSE))</f>
        <v>0</v>
      </c>
      <c r="M51" s="4">
        <f>(VLOOKUP('17.04'!U51,'17.04'!$AM$4:$AO$55,3,FALSE))</f>
        <v>0</v>
      </c>
      <c r="N51" s="4">
        <f>(VLOOKUP('17.04'!V51,'17.04'!$AM$4:$AO$55,3,FALSE))</f>
        <v>0</v>
      </c>
      <c r="O51" s="5">
        <f>(VLOOKUP('17.04'!W51,'17.04'!$AM$4:$AO$55,3,FALSE))</f>
        <v>0</v>
      </c>
      <c r="P51" s="5">
        <f>(VLOOKUP('17.04'!X51,'17.04'!$AM$4:$AO$55,3,FALSE))</f>
        <v>0</v>
      </c>
      <c r="Q51" s="4">
        <f>(VLOOKUP('17.04'!Y51,'17.04'!$AM$4:$AO$55,3,FALSE))</f>
        <v>0</v>
      </c>
      <c r="R51" s="4">
        <f>(VLOOKUP('17.04'!Z51,'17.04'!$AM$4:$AO$55,3,FALSE))</f>
        <v>0</v>
      </c>
      <c r="S51" s="4">
        <f>(VLOOKUP('17.04'!AA51,'17.04'!$AM$4:$AO$55,3,FALSE))</f>
        <v>0</v>
      </c>
      <c r="T51" s="4">
        <f>(VLOOKUP('17.04'!AB51,'17.04'!$AM$4:$AO$55,3,FALSE))</f>
        <v>0</v>
      </c>
      <c r="U51" s="4">
        <f>(VLOOKUP('17.04'!AC51,'17.04'!$AM$4:$AO$55,3,FALSE))</f>
        <v>0</v>
      </c>
      <c r="V51" s="4">
        <f>(VLOOKUP('17.04'!AD51,'17.04'!$AM$4:$AO$55,3,FALSE))</f>
        <v>0</v>
      </c>
      <c r="W51" s="5">
        <f>(VLOOKUP('17.04'!AE51,'17.04'!$AM$4:$AO$55,3,FALSE))</f>
        <v>0</v>
      </c>
      <c r="X51" s="5">
        <f>(VLOOKUP('17.04'!AF51,'17.04'!$AM$4:$AO$55,3,FALSE))</f>
        <v>0</v>
      </c>
    </row>
    <row r="52" spans="1:24">
      <c r="A52" s="4">
        <f>(VLOOKUP('17.04'!I52,'17.04'!$AM$4:$AO$55,3,FALSE))</f>
        <v>0</v>
      </c>
      <c r="B52" s="4">
        <f>(VLOOKUP('17.04'!J52,'17.04'!$AM$4:$AO$55,3,FALSE))</f>
        <v>0</v>
      </c>
      <c r="C52" s="4">
        <f>(VLOOKUP('17.04'!K52,'17.04'!$AM$4:$AO$55,3,FALSE))</f>
        <v>0</v>
      </c>
      <c r="D52" s="4">
        <f>(VLOOKUP('17.04'!L52,'17.04'!$AM$4:$AO$55,3,FALSE))</f>
        <v>0</v>
      </c>
      <c r="E52" s="4">
        <f>(VLOOKUP('17.04'!M52,'17.04'!$AM$4:$AO$55,3,FALSE))</f>
        <v>0</v>
      </c>
      <c r="F52" s="4">
        <f>(VLOOKUP('17.04'!N52,'17.04'!$AM$4:$AO$55,3,FALSE))</f>
        <v>0</v>
      </c>
      <c r="G52" s="5">
        <f>(VLOOKUP('17.04'!O52,'17.04'!$AM$4:$AO$55,3,FALSE))</f>
        <v>0</v>
      </c>
      <c r="H52" s="5">
        <f>(VLOOKUP('17.04'!P52,'17.04'!$AM$4:$AO$55,3,FALSE))</f>
        <v>0</v>
      </c>
      <c r="I52" s="4">
        <f>(VLOOKUP('17.04'!Q52,'17.04'!$AM$4:$AO$55,3,FALSE))</f>
        <v>0</v>
      </c>
      <c r="J52" s="4">
        <f>(VLOOKUP('17.04'!R52,'17.04'!$AM$4:$AO$55,3,FALSE))</f>
        <v>0</v>
      </c>
      <c r="K52" s="4">
        <f>(VLOOKUP('17.04'!S52,'17.04'!$AM$4:$AO$55,3,FALSE))</f>
        <v>0</v>
      </c>
      <c r="L52" s="4">
        <f>(VLOOKUP('17.04'!T52,'17.04'!$AM$4:$AO$55,3,FALSE))</f>
        <v>0</v>
      </c>
      <c r="M52" s="4">
        <f>(VLOOKUP('17.04'!U52,'17.04'!$AM$4:$AO$55,3,FALSE))</f>
        <v>0</v>
      </c>
      <c r="N52" s="4">
        <f>(VLOOKUP('17.04'!V52,'17.04'!$AM$4:$AO$55,3,FALSE))</f>
        <v>0</v>
      </c>
      <c r="O52" s="5">
        <f>(VLOOKUP('17.04'!W52,'17.04'!$AM$4:$AO$55,3,FALSE))</f>
        <v>0</v>
      </c>
      <c r="P52" s="5">
        <f>(VLOOKUP('17.04'!X52,'17.04'!$AM$4:$AO$55,3,FALSE))</f>
        <v>0</v>
      </c>
      <c r="Q52" s="4">
        <f>(VLOOKUP('17.04'!Y52,'17.04'!$AM$4:$AO$55,3,FALSE))</f>
        <v>0</v>
      </c>
      <c r="R52" s="4">
        <f>(VLOOKUP('17.04'!Z52,'17.04'!$AM$4:$AO$55,3,FALSE))</f>
        <v>0</v>
      </c>
      <c r="S52" s="4">
        <f>(VLOOKUP('17.04'!AA52,'17.04'!$AM$4:$AO$55,3,FALSE))</f>
        <v>0</v>
      </c>
      <c r="T52" s="4">
        <f>(VLOOKUP('17.04'!AB52,'17.04'!$AM$4:$AO$55,3,FALSE))</f>
        <v>0</v>
      </c>
      <c r="U52" s="4">
        <f>(VLOOKUP('17.04'!AC52,'17.04'!$AM$4:$AO$55,3,FALSE))</f>
        <v>0</v>
      </c>
      <c r="V52" s="4">
        <f>(VLOOKUP('17.04'!AD52,'17.04'!$AM$4:$AO$55,3,FALSE))</f>
        <v>0</v>
      </c>
      <c r="W52" s="5">
        <f>(VLOOKUP('17.04'!AE52,'17.04'!$AM$4:$AO$55,3,FALSE))</f>
        <v>0</v>
      </c>
      <c r="X52" s="5">
        <f>(VLOOKUP('17.04'!AF52,'17.04'!$AM$4:$AO$55,3,FALSE))</f>
        <v>0</v>
      </c>
    </row>
    <row r="53" spans="1:24">
      <c r="A53" s="4">
        <f>(VLOOKUP('17.04'!I53,'17.04'!$AM$4:$AO$55,3,FALSE))</f>
        <v>0</v>
      </c>
      <c r="B53" s="4">
        <f>(VLOOKUP('17.04'!J53,'17.04'!$AM$4:$AO$55,3,FALSE))</f>
        <v>0</v>
      </c>
      <c r="C53" s="4">
        <f>(VLOOKUP('17.04'!K53,'17.04'!$AM$4:$AO$55,3,FALSE))</f>
        <v>0</v>
      </c>
      <c r="D53" s="4">
        <f>(VLOOKUP('17.04'!L53,'17.04'!$AM$4:$AO$55,3,FALSE))</f>
        <v>0</v>
      </c>
      <c r="E53" s="4">
        <f>(VLOOKUP('17.04'!M53,'17.04'!$AM$4:$AO$55,3,FALSE))</f>
        <v>0</v>
      </c>
      <c r="F53" s="4">
        <f>(VLOOKUP('17.04'!N53,'17.04'!$AM$4:$AO$55,3,FALSE))</f>
        <v>0</v>
      </c>
      <c r="G53" s="5">
        <f>(VLOOKUP('17.04'!O53,'17.04'!$AM$4:$AO$55,3,FALSE))</f>
        <v>0</v>
      </c>
      <c r="H53" s="5">
        <f>(VLOOKUP('17.04'!P53,'17.04'!$AM$4:$AO$55,3,FALSE))</f>
        <v>0</v>
      </c>
      <c r="I53" s="4">
        <f>(VLOOKUP('17.04'!Q53,'17.04'!$AM$4:$AO$55,3,FALSE))</f>
        <v>0</v>
      </c>
      <c r="J53" s="4">
        <f>(VLOOKUP('17.04'!R53,'17.04'!$AM$4:$AO$55,3,FALSE))</f>
        <v>0</v>
      </c>
      <c r="K53" s="4">
        <f>(VLOOKUP('17.04'!S53,'17.04'!$AM$4:$AO$55,3,FALSE))</f>
        <v>0</v>
      </c>
      <c r="L53" s="4">
        <f>(VLOOKUP('17.04'!T53,'17.04'!$AM$4:$AO$55,3,FALSE))</f>
        <v>0</v>
      </c>
      <c r="M53" s="4">
        <f>(VLOOKUP('17.04'!U53,'17.04'!$AM$4:$AO$55,3,FALSE))</f>
        <v>0</v>
      </c>
      <c r="N53" s="4">
        <f>(VLOOKUP('17.04'!V53,'17.04'!$AM$4:$AO$55,3,FALSE))</f>
        <v>0</v>
      </c>
      <c r="O53" s="5">
        <f>(VLOOKUP('17.04'!W53,'17.04'!$AM$4:$AO$55,3,FALSE))</f>
        <v>0</v>
      </c>
      <c r="P53" s="5">
        <f>(VLOOKUP('17.04'!X53,'17.04'!$AM$4:$AO$55,3,FALSE))</f>
        <v>0</v>
      </c>
      <c r="Q53" s="4">
        <f>(VLOOKUP('17.04'!Y53,'17.04'!$AM$4:$AO$55,3,FALSE))</f>
        <v>0</v>
      </c>
      <c r="R53" s="4">
        <f>(VLOOKUP('17.04'!Z53,'17.04'!$AM$4:$AO$55,3,FALSE))</f>
        <v>0</v>
      </c>
      <c r="S53" s="4">
        <f>(VLOOKUP('17.04'!AA53,'17.04'!$AM$4:$AO$55,3,FALSE))</f>
        <v>0</v>
      </c>
      <c r="T53" s="4">
        <f>(VLOOKUP('17.04'!AB53,'17.04'!$AM$4:$AO$55,3,FALSE))</f>
        <v>0</v>
      </c>
      <c r="U53" s="4">
        <f>(VLOOKUP('17.04'!AC53,'17.04'!$AM$4:$AO$55,3,FALSE))</f>
        <v>0</v>
      </c>
      <c r="V53" s="4">
        <f>(VLOOKUP('17.04'!AD53,'17.04'!$AM$4:$AO$55,3,FALSE))</f>
        <v>0</v>
      </c>
      <c r="W53" s="5">
        <f>(VLOOKUP('17.04'!AE53,'17.04'!$AM$4:$AO$55,3,FALSE))</f>
        <v>0</v>
      </c>
      <c r="X53" s="5">
        <f>(VLOOKUP('17.04'!AF53,'17.04'!$AM$4:$AO$55,3,FALSE))</f>
        <v>0</v>
      </c>
    </row>
    <row r="54" spans="1:24">
      <c r="A54" s="4">
        <f>(VLOOKUP('17.04'!I54,'17.04'!$AM$4:$AO$55,3,FALSE))</f>
        <v>0</v>
      </c>
      <c r="B54" s="4">
        <f>(VLOOKUP('17.04'!J54,'17.04'!$AM$4:$AO$55,3,FALSE))</f>
        <v>0</v>
      </c>
      <c r="C54" s="4">
        <f>(VLOOKUP('17.04'!K54,'17.04'!$AM$4:$AO$55,3,FALSE))</f>
        <v>0</v>
      </c>
      <c r="D54" s="4">
        <f>(VLOOKUP('17.04'!L54,'17.04'!$AM$4:$AO$55,3,FALSE))</f>
        <v>0</v>
      </c>
      <c r="E54" s="4">
        <f>(VLOOKUP('17.04'!M54,'17.04'!$AM$4:$AO$55,3,FALSE))</f>
        <v>0</v>
      </c>
      <c r="F54" s="4">
        <f>(VLOOKUP('17.04'!N54,'17.04'!$AM$4:$AO$55,3,FALSE))</f>
        <v>0</v>
      </c>
      <c r="G54" s="5">
        <f>(VLOOKUP('17.04'!O54,'17.04'!$AM$4:$AO$55,3,FALSE))</f>
        <v>0</v>
      </c>
      <c r="H54" s="5">
        <f>(VLOOKUP('17.04'!P54,'17.04'!$AM$4:$AO$55,3,FALSE))</f>
        <v>0</v>
      </c>
      <c r="I54" s="4">
        <f>(VLOOKUP('17.04'!Q54,'17.04'!$AM$4:$AO$55,3,FALSE))</f>
        <v>0</v>
      </c>
      <c r="J54" s="4">
        <f>(VLOOKUP('17.04'!R54,'17.04'!$AM$4:$AO$55,3,FALSE))</f>
        <v>0</v>
      </c>
      <c r="K54" s="4">
        <f>(VLOOKUP('17.04'!S54,'17.04'!$AM$4:$AO$55,3,FALSE))</f>
        <v>0</v>
      </c>
      <c r="L54" s="4">
        <f>(VLOOKUP('17.04'!T54,'17.04'!$AM$4:$AO$55,3,FALSE))</f>
        <v>0</v>
      </c>
      <c r="M54" s="4">
        <f>(VLOOKUP('17.04'!U54,'17.04'!$AM$4:$AO$55,3,FALSE))</f>
        <v>0</v>
      </c>
      <c r="N54" s="4">
        <f>(VLOOKUP('17.04'!V54,'17.04'!$AM$4:$AO$55,3,FALSE))</f>
        <v>0</v>
      </c>
      <c r="O54" s="5">
        <f>(VLOOKUP('17.04'!W54,'17.04'!$AM$4:$AO$55,3,FALSE))</f>
        <v>0</v>
      </c>
      <c r="P54" s="5">
        <f>(VLOOKUP('17.04'!X54,'17.04'!$AM$4:$AO$55,3,FALSE))</f>
        <v>0</v>
      </c>
      <c r="Q54" s="4">
        <f>(VLOOKUP('17.04'!Y54,'17.04'!$AM$4:$AO$55,3,FALSE))</f>
        <v>0</v>
      </c>
      <c r="R54" s="4">
        <f>(VLOOKUP('17.04'!Z54,'17.04'!$AM$4:$AO$55,3,FALSE))</f>
        <v>0</v>
      </c>
      <c r="S54" s="4">
        <f>(VLOOKUP('17.04'!AA54,'17.04'!$AM$4:$AO$55,3,FALSE))</f>
        <v>0</v>
      </c>
      <c r="T54" s="4">
        <f>(VLOOKUP('17.04'!AB54,'17.04'!$AM$4:$AO$55,3,FALSE))</f>
        <v>0</v>
      </c>
      <c r="U54" s="4">
        <f>(VLOOKUP('17.04'!AC54,'17.04'!$AM$4:$AO$55,3,FALSE))</f>
        <v>0</v>
      </c>
      <c r="V54" s="4">
        <f>(VLOOKUP('17.04'!AD54,'17.04'!$AM$4:$AO$55,3,FALSE))</f>
        <v>0</v>
      </c>
      <c r="W54" s="5">
        <f>(VLOOKUP('17.04'!AE54,'17.04'!$AM$4:$AO$55,3,FALSE))</f>
        <v>0</v>
      </c>
      <c r="X54" s="5">
        <f>(VLOOKUP('17.04'!AF54,'17.04'!$AM$4:$AO$55,3,FALSE))</f>
        <v>0</v>
      </c>
    </row>
    <row r="55" spans="1:24">
      <c r="A55" s="4">
        <f>(VLOOKUP('17.04'!I55,'17.04'!$AM$4:$AO$55,3,FALSE))</f>
        <v>0</v>
      </c>
      <c r="B55" s="4">
        <f>(VLOOKUP('17.04'!J55,'17.04'!$AM$4:$AO$55,3,FALSE))</f>
        <v>0</v>
      </c>
      <c r="C55" s="4">
        <f>(VLOOKUP('17.04'!K55,'17.04'!$AM$4:$AO$55,3,FALSE))</f>
        <v>0</v>
      </c>
      <c r="D55" s="4">
        <f>(VLOOKUP('17.04'!L55,'17.04'!$AM$4:$AO$55,3,FALSE))</f>
        <v>0</v>
      </c>
      <c r="E55" s="4">
        <f>(VLOOKUP('17.04'!M55,'17.04'!$AM$4:$AO$55,3,FALSE))</f>
        <v>0</v>
      </c>
      <c r="F55" s="4">
        <f>(VLOOKUP('17.04'!N55,'17.04'!$AM$4:$AO$55,3,FALSE))</f>
        <v>0</v>
      </c>
      <c r="G55" s="5">
        <f>(VLOOKUP('17.04'!O55,'17.04'!$AM$4:$AO$55,3,FALSE))</f>
        <v>0</v>
      </c>
      <c r="H55" s="5">
        <f>(VLOOKUP('17.04'!P55,'17.04'!$AM$4:$AO$55,3,FALSE))</f>
        <v>0</v>
      </c>
      <c r="I55" s="4">
        <f>(VLOOKUP('17.04'!Q55,'17.04'!$AM$4:$AO$55,3,FALSE))</f>
        <v>0</v>
      </c>
      <c r="J55" s="4">
        <f>(VLOOKUP('17.04'!R55,'17.04'!$AM$4:$AO$55,3,FALSE))</f>
        <v>0</v>
      </c>
      <c r="K55" s="4">
        <f>(VLOOKUP('17.04'!S55,'17.04'!$AM$4:$AO$55,3,FALSE))</f>
        <v>0</v>
      </c>
      <c r="L55" s="4">
        <f>(VLOOKUP('17.04'!T55,'17.04'!$AM$4:$AO$55,3,FALSE))</f>
        <v>0</v>
      </c>
      <c r="M55" s="4">
        <f>(VLOOKUP('17.04'!U55,'17.04'!$AM$4:$AO$55,3,FALSE))</f>
        <v>0</v>
      </c>
      <c r="N55" s="4">
        <f>(VLOOKUP('17.04'!V55,'17.04'!$AM$4:$AO$55,3,FALSE))</f>
        <v>0</v>
      </c>
      <c r="O55" s="5">
        <f>(VLOOKUP('17.04'!W55,'17.04'!$AM$4:$AO$55,3,FALSE))</f>
        <v>0</v>
      </c>
      <c r="P55" s="5">
        <f>(VLOOKUP('17.04'!X55,'17.04'!$AM$4:$AO$55,3,FALSE))</f>
        <v>0</v>
      </c>
      <c r="Q55" s="4">
        <f>(VLOOKUP('17.04'!Y55,'17.04'!$AM$4:$AO$55,3,FALSE))</f>
        <v>0</v>
      </c>
      <c r="R55" s="4">
        <f>(VLOOKUP('17.04'!Z55,'17.04'!$AM$4:$AO$55,3,FALSE))</f>
        <v>0</v>
      </c>
      <c r="S55" s="4">
        <f>(VLOOKUP('17.04'!AA55,'17.04'!$AM$4:$AO$55,3,FALSE))</f>
        <v>0</v>
      </c>
      <c r="T55" s="4">
        <f>(VLOOKUP('17.04'!AB55,'17.04'!$AM$4:$AO$55,3,FALSE))</f>
        <v>0</v>
      </c>
      <c r="U55" s="4">
        <f>(VLOOKUP('17.04'!AC55,'17.04'!$AM$4:$AO$55,3,FALSE))</f>
        <v>0</v>
      </c>
      <c r="V55" s="4">
        <f>(VLOOKUP('17.04'!AD55,'17.04'!$AM$4:$AO$55,3,FALSE))</f>
        <v>0</v>
      </c>
      <c r="W55" s="5">
        <f>(VLOOKUP('17.04'!AE55,'17.04'!$AM$4:$AO$55,3,FALSE))</f>
        <v>0</v>
      </c>
      <c r="X55" s="5">
        <f>(VLOOKUP('17.04'!AF55,'17.04'!$AM$4:$AO$55,3,FALSE))</f>
        <v>0</v>
      </c>
    </row>
    <row r="56" spans="1:24">
      <c r="A56" s="4">
        <f>(VLOOKUP('17.04'!I56,'17.04'!$AM$4:$AO$55,3,FALSE))</f>
        <v>0</v>
      </c>
      <c r="B56" s="4">
        <f>(VLOOKUP('17.04'!J56,'17.04'!$AM$4:$AO$55,3,FALSE))</f>
        <v>0</v>
      </c>
      <c r="C56" s="4">
        <f>(VLOOKUP('17.04'!K56,'17.04'!$AM$4:$AO$55,3,FALSE))</f>
        <v>0</v>
      </c>
      <c r="D56" s="4">
        <f>(VLOOKUP('17.04'!L56,'17.04'!$AM$4:$AO$55,3,FALSE))</f>
        <v>0</v>
      </c>
      <c r="E56" s="4">
        <f>(VLOOKUP('17.04'!M56,'17.04'!$AM$4:$AO$55,3,FALSE))</f>
        <v>0</v>
      </c>
      <c r="F56" s="4">
        <f>(VLOOKUP('17.04'!N56,'17.04'!$AM$4:$AO$55,3,FALSE))</f>
        <v>0</v>
      </c>
      <c r="G56" s="5">
        <f>(VLOOKUP('17.04'!O56,'17.04'!$AM$4:$AO$55,3,FALSE))</f>
        <v>0</v>
      </c>
      <c r="H56" s="5">
        <f>(VLOOKUP('17.04'!P56,'17.04'!$AM$4:$AO$55,3,FALSE))</f>
        <v>0</v>
      </c>
      <c r="I56" s="4">
        <f>(VLOOKUP('17.04'!Q56,'17.04'!$AM$4:$AO$55,3,FALSE))</f>
        <v>0</v>
      </c>
      <c r="J56" s="4">
        <f>(VLOOKUP('17.04'!R56,'17.04'!$AM$4:$AO$55,3,FALSE))</f>
        <v>0</v>
      </c>
      <c r="K56" s="4">
        <f>(VLOOKUP('17.04'!S56,'17.04'!$AM$4:$AO$55,3,FALSE))</f>
        <v>0</v>
      </c>
      <c r="L56" s="4">
        <f>(VLOOKUP('17.04'!T56,'17.04'!$AM$4:$AO$55,3,FALSE))</f>
        <v>0</v>
      </c>
      <c r="M56" s="4">
        <f>(VLOOKUP('17.04'!U56,'17.04'!$AM$4:$AO$55,3,FALSE))</f>
        <v>0</v>
      </c>
      <c r="N56" s="4">
        <f>(VLOOKUP('17.04'!V56,'17.04'!$AM$4:$AO$55,3,FALSE))</f>
        <v>0</v>
      </c>
      <c r="O56" s="5">
        <f>(VLOOKUP('17.04'!W56,'17.04'!$AM$4:$AO$55,3,FALSE))</f>
        <v>0</v>
      </c>
      <c r="P56" s="5">
        <f>(VLOOKUP('17.04'!X56,'17.04'!$AM$4:$AO$55,3,FALSE))</f>
        <v>0</v>
      </c>
      <c r="Q56" s="4">
        <f>(VLOOKUP('17.04'!Y56,'17.04'!$AM$4:$AO$55,3,FALSE))</f>
        <v>0</v>
      </c>
      <c r="R56" s="4">
        <f>(VLOOKUP('17.04'!Z56,'17.04'!$AM$4:$AO$55,3,FALSE))</f>
        <v>0</v>
      </c>
      <c r="S56" s="4">
        <f>(VLOOKUP('17.04'!AA56,'17.04'!$AM$4:$AO$55,3,FALSE))</f>
        <v>0</v>
      </c>
      <c r="T56" s="4">
        <f>(VLOOKUP('17.04'!AB56,'17.04'!$AM$4:$AO$55,3,FALSE))</f>
        <v>0</v>
      </c>
      <c r="U56" s="4">
        <f>(VLOOKUP('17.04'!AC56,'17.04'!$AM$4:$AO$55,3,FALSE))</f>
        <v>0</v>
      </c>
      <c r="V56" s="4">
        <f>(VLOOKUP('17.04'!AD56,'17.04'!$AM$4:$AO$55,3,FALSE))</f>
        <v>0</v>
      </c>
      <c r="W56" s="5">
        <f>(VLOOKUP('17.04'!AE56,'17.04'!$AM$4:$AO$55,3,FALSE))</f>
        <v>0</v>
      </c>
      <c r="X56" s="5">
        <f>(VLOOKUP('17.04'!AF56,'17.04'!$AM$4:$AO$55,3,FALSE))</f>
        <v>0</v>
      </c>
    </row>
    <row r="57" spans="1:24">
      <c r="A57" s="4">
        <f>(VLOOKUP('17.04'!I57,'17.04'!$AM$4:$AO$55,3,FALSE))</f>
        <v>0</v>
      </c>
      <c r="B57" s="4">
        <f>(VLOOKUP('17.04'!J57,'17.04'!$AM$4:$AO$55,3,FALSE))</f>
        <v>0</v>
      </c>
      <c r="C57" s="4">
        <f>(VLOOKUP('17.04'!K57,'17.04'!$AM$4:$AO$55,3,FALSE))</f>
        <v>0</v>
      </c>
      <c r="D57" s="4">
        <f>(VLOOKUP('17.04'!L57,'17.04'!$AM$4:$AO$55,3,FALSE))</f>
        <v>0</v>
      </c>
      <c r="E57" s="4">
        <f>(VLOOKUP('17.04'!M57,'17.04'!$AM$4:$AO$55,3,FALSE))</f>
        <v>0</v>
      </c>
      <c r="F57" s="4">
        <f>(VLOOKUP('17.04'!N57,'17.04'!$AM$4:$AO$55,3,FALSE))</f>
        <v>0</v>
      </c>
      <c r="G57" s="5">
        <f>(VLOOKUP('17.04'!O57,'17.04'!$AM$4:$AO$55,3,FALSE))</f>
        <v>0</v>
      </c>
      <c r="H57" s="5">
        <f>(VLOOKUP('17.04'!P57,'17.04'!$AM$4:$AO$55,3,FALSE))</f>
        <v>0</v>
      </c>
      <c r="I57" s="4">
        <f>(VLOOKUP('17.04'!Q57,'17.04'!$AM$4:$AO$55,3,FALSE))</f>
        <v>0</v>
      </c>
      <c r="J57" s="4">
        <f>(VLOOKUP('17.04'!R57,'17.04'!$AM$4:$AO$55,3,FALSE))</f>
        <v>0</v>
      </c>
      <c r="K57" s="4">
        <f>(VLOOKUP('17.04'!S57,'17.04'!$AM$4:$AO$55,3,FALSE))</f>
        <v>0</v>
      </c>
      <c r="L57" s="4">
        <f>(VLOOKUP('17.04'!T57,'17.04'!$AM$4:$AO$55,3,FALSE))</f>
        <v>0</v>
      </c>
      <c r="M57" s="4">
        <f>(VLOOKUP('17.04'!U57,'17.04'!$AM$4:$AO$55,3,FALSE))</f>
        <v>0</v>
      </c>
      <c r="N57" s="4">
        <f>(VLOOKUP('17.04'!V57,'17.04'!$AM$4:$AO$55,3,FALSE))</f>
        <v>0</v>
      </c>
      <c r="O57" s="5">
        <f>(VLOOKUP('17.04'!W57,'17.04'!$AM$4:$AO$55,3,FALSE))</f>
        <v>0</v>
      </c>
      <c r="P57" s="5">
        <f>(VLOOKUP('17.04'!X57,'17.04'!$AM$4:$AO$55,3,FALSE))</f>
        <v>0</v>
      </c>
      <c r="Q57" s="4">
        <f>(VLOOKUP('17.04'!Y57,'17.04'!$AM$4:$AO$55,3,FALSE))</f>
        <v>0</v>
      </c>
      <c r="R57" s="4">
        <f>(VLOOKUP('17.04'!Z57,'17.04'!$AM$4:$AO$55,3,FALSE))</f>
        <v>0</v>
      </c>
      <c r="S57" s="4">
        <f>(VLOOKUP('17.04'!AA57,'17.04'!$AM$4:$AO$55,3,FALSE))</f>
        <v>0</v>
      </c>
      <c r="T57" s="4">
        <f>(VLOOKUP('17.04'!AB57,'17.04'!$AM$4:$AO$55,3,FALSE))</f>
        <v>0</v>
      </c>
      <c r="U57" s="4">
        <f>(VLOOKUP('17.04'!AC57,'17.04'!$AM$4:$AO$55,3,FALSE))</f>
        <v>0</v>
      </c>
      <c r="V57" s="4">
        <f>(VLOOKUP('17.04'!AD57,'17.04'!$AM$4:$AO$55,3,FALSE))</f>
        <v>0</v>
      </c>
      <c r="W57" s="5">
        <f>(VLOOKUP('17.04'!AE57,'17.04'!$AM$4:$AO$55,3,FALSE))</f>
        <v>0</v>
      </c>
      <c r="X57" s="5">
        <f>(VLOOKUP('17.04'!AF57,'17.04'!$AM$4:$AO$55,3,FALSE))</f>
        <v>0</v>
      </c>
    </row>
    <row r="58" spans="1:24">
      <c r="A58" s="4">
        <f>(VLOOKUP('17.04'!I58,'17.04'!$AM$4:$AO$55,3,FALSE))</f>
        <v>0</v>
      </c>
      <c r="B58" s="4">
        <f>(VLOOKUP('17.04'!J58,'17.04'!$AM$4:$AO$55,3,FALSE))</f>
        <v>0</v>
      </c>
      <c r="C58" s="4">
        <f>(VLOOKUP('17.04'!K58,'17.04'!$AM$4:$AO$55,3,FALSE))</f>
        <v>0</v>
      </c>
      <c r="D58" s="4">
        <f>(VLOOKUP('17.04'!L58,'17.04'!$AM$4:$AO$55,3,FALSE))</f>
        <v>0</v>
      </c>
      <c r="E58" s="4">
        <f>(VLOOKUP('17.04'!M58,'17.04'!$AM$4:$AO$55,3,FALSE))</f>
        <v>0</v>
      </c>
      <c r="F58" s="4">
        <f>(VLOOKUP('17.04'!N58,'17.04'!$AM$4:$AO$55,3,FALSE))</f>
        <v>0</v>
      </c>
      <c r="G58" s="5">
        <f>(VLOOKUP('17.04'!O58,'17.04'!$AM$4:$AO$55,3,FALSE))</f>
        <v>0</v>
      </c>
      <c r="H58" s="5">
        <f>(VLOOKUP('17.04'!P58,'17.04'!$AM$4:$AO$55,3,FALSE))</f>
        <v>0</v>
      </c>
      <c r="I58" s="4">
        <f>(VLOOKUP('17.04'!Q58,'17.04'!$AM$4:$AO$55,3,FALSE))</f>
        <v>0</v>
      </c>
      <c r="J58" s="4">
        <f>(VLOOKUP('17.04'!R58,'17.04'!$AM$4:$AO$55,3,FALSE))</f>
        <v>0</v>
      </c>
      <c r="K58" s="4">
        <f>(VLOOKUP('17.04'!S58,'17.04'!$AM$4:$AO$55,3,FALSE))</f>
        <v>0</v>
      </c>
      <c r="L58" s="4">
        <f>(VLOOKUP('17.04'!T58,'17.04'!$AM$4:$AO$55,3,FALSE))</f>
        <v>0</v>
      </c>
      <c r="M58" s="4">
        <f>(VLOOKUP('17.04'!U58,'17.04'!$AM$4:$AO$55,3,FALSE))</f>
        <v>0</v>
      </c>
      <c r="N58" s="4">
        <f>(VLOOKUP('17.04'!V58,'17.04'!$AM$4:$AO$55,3,FALSE))</f>
        <v>0</v>
      </c>
      <c r="O58" s="5">
        <f>(VLOOKUP('17.04'!W58,'17.04'!$AM$4:$AO$55,3,FALSE))</f>
        <v>0</v>
      </c>
      <c r="P58" s="5">
        <f>(VLOOKUP('17.04'!X58,'17.04'!$AM$4:$AO$55,3,FALSE))</f>
        <v>0</v>
      </c>
      <c r="Q58" s="4">
        <f>(VLOOKUP('17.04'!Y58,'17.04'!$AM$4:$AO$55,3,FALSE))</f>
        <v>0</v>
      </c>
      <c r="R58" s="4">
        <f>(VLOOKUP('17.04'!Z58,'17.04'!$AM$4:$AO$55,3,FALSE))</f>
        <v>0</v>
      </c>
      <c r="S58" s="4">
        <f>(VLOOKUP('17.04'!AA58,'17.04'!$AM$4:$AO$55,3,FALSE))</f>
        <v>0</v>
      </c>
      <c r="T58" s="4">
        <f>(VLOOKUP('17.04'!AB58,'17.04'!$AM$4:$AO$55,3,FALSE))</f>
        <v>0</v>
      </c>
      <c r="U58" s="4">
        <f>(VLOOKUP('17.04'!AC58,'17.04'!$AM$4:$AO$55,3,FALSE))</f>
        <v>0</v>
      </c>
      <c r="V58" s="4">
        <f>(VLOOKUP('17.04'!AD58,'17.04'!$AM$4:$AO$55,3,FALSE))</f>
        <v>0</v>
      </c>
      <c r="W58" s="5">
        <f>(VLOOKUP('17.04'!AE58,'17.04'!$AM$4:$AO$55,3,FALSE))</f>
        <v>0</v>
      </c>
      <c r="X58" s="5">
        <f>(VLOOKUP('17.04'!AF58,'17.04'!$AM$4:$AO$55,3,FALSE))</f>
        <v>0</v>
      </c>
    </row>
    <row r="59" spans="1:24">
      <c r="A59" s="4">
        <f>(VLOOKUP('17.04'!I59,'17.04'!$AM$4:$AO$55,3,FALSE))</f>
        <v>0</v>
      </c>
      <c r="B59" s="4">
        <f>(VLOOKUP('17.04'!J59,'17.04'!$AM$4:$AO$55,3,FALSE))</f>
        <v>0</v>
      </c>
      <c r="C59" s="4">
        <f>(VLOOKUP('17.04'!K59,'17.04'!$AM$4:$AO$55,3,FALSE))</f>
        <v>0</v>
      </c>
      <c r="D59" s="4">
        <f>(VLOOKUP('17.04'!L59,'17.04'!$AM$4:$AO$55,3,FALSE))</f>
        <v>0</v>
      </c>
      <c r="E59" s="4">
        <f>(VLOOKUP('17.04'!M59,'17.04'!$AM$4:$AO$55,3,FALSE))</f>
        <v>0</v>
      </c>
      <c r="F59" s="4">
        <f>(VLOOKUP('17.04'!N59,'17.04'!$AM$4:$AO$55,3,FALSE))</f>
        <v>0</v>
      </c>
      <c r="G59" s="5">
        <f>(VLOOKUP('17.04'!O59,'17.04'!$AM$4:$AO$55,3,FALSE))</f>
        <v>0</v>
      </c>
      <c r="H59" s="5">
        <f>(VLOOKUP('17.04'!P59,'17.04'!$AM$4:$AO$55,3,FALSE))</f>
        <v>0</v>
      </c>
      <c r="I59" s="4">
        <f>(VLOOKUP('17.04'!Q59,'17.04'!$AM$4:$AO$55,3,FALSE))</f>
        <v>0</v>
      </c>
      <c r="J59" s="4">
        <f>(VLOOKUP('17.04'!R59,'17.04'!$AM$4:$AO$55,3,FALSE))</f>
        <v>0</v>
      </c>
      <c r="K59" s="4">
        <f>(VLOOKUP('17.04'!S59,'17.04'!$AM$4:$AO$55,3,FALSE))</f>
        <v>0</v>
      </c>
      <c r="L59" s="4">
        <f>(VLOOKUP('17.04'!T59,'17.04'!$AM$4:$AO$55,3,FALSE))</f>
        <v>0</v>
      </c>
      <c r="M59" s="4">
        <f>(VLOOKUP('17.04'!U59,'17.04'!$AM$4:$AO$55,3,FALSE))</f>
        <v>0</v>
      </c>
      <c r="N59" s="4">
        <f>(VLOOKUP('17.04'!V59,'17.04'!$AM$4:$AO$55,3,FALSE))</f>
        <v>0</v>
      </c>
      <c r="O59" s="5">
        <f>(VLOOKUP('17.04'!W59,'17.04'!$AM$4:$AO$55,3,FALSE))</f>
        <v>0</v>
      </c>
      <c r="P59" s="5">
        <f>(VLOOKUP('17.04'!X59,'17.04'!$AM$4:$AO$55,3,FALSE))</f>
        <v>0</v>
      </c>
      <c r="Q59" s="4">
        <f>(VLOOKUP('17.04'!Y59,'17.04'!$AM$4:$AO$55,3,FALSE))</f>
        <v>0</v>
      </c>
      <c r="R59" s="4">
        <f>(VLOOKUP('17.04'!Z59,'17.04'!$AM$4:$AO$55,3,FALSE))</f>
        <v>0</v>
      </c>
      <c r="S59" s="4">
        <f>(VLOOKUP('17.04'!AA59,'17.04'!$AM$4:$AO$55,3,FALSE))</f>
        <v>0</v>
      </c>
      <c r="T59" s="4">
        <f>(VLOOKUP('17.04'!AB59,'17.04'!$AM$4:$AO$55,3,FALSE))</f>
        <v>0</v>
      </c>
      <c r="U59" s="4">
        <f>(VLOOKUP('17.04'!AC59,'17.04'!$AM$4:$AO$55,3,FALSE))</f>
        <v>0</v>
      </c>
      <c r="V59" s="4">
        <f>(VLOOKUP('17.04'!AD59,'17.04'!$AM$4:$AO$55,3,FALSE))</f>
        <v>0</v>
      </c>
      <c r="W59" s="5">
        <f>(VLOOKUP('17.04'!AE59,'17.04'!$AM$4:$AO$55,3,FALSE))</f>
        <v>0</v>
      </c>
      <c r="X59" s="5">
        <f>(VLOOKUP('17.04'!AF59,'17.04'!$AM$4:$AO$55,3,FALSE))</f>
        <v>0</v>
      </c>
    </row>
    <row r="60" spans="1:24">
      <c r="A60" s="4">
        <f>(VLOOKUP('17.04'!I60,'17.04'!$AM$4:$AO$55,3,FALSE))</f>
        <v>0</v>
      </c>
      <c r="B60" s="4">
        <f>(VLOOKUP('17.04'!J60,'17.04'!$AM$4:$AO$55,3,FALSE))</f>
        <v>0</v>
      </c>
      <c r="C60" s="4">
        <f>(VLOOKUP('17.04'!K60,'17.04'!$AM$4:$AO$55,3,FALSE))</f>
        <v>0</v>
      </c>
      <c r="D60" s="4">
        <f>(VLOOKUP('17.04'!L60,'17.04'!$AM$4:$AO$55,3,FALSE))</f>
        <v>0</v>
      </c>
      <c r="E60" s="4">
        <f>(VLOOKUP('17.04'!M60,'17.04'!$AM$4:$AO$55,3,FALSE))</f>
        <v>0</v>
      </c>
      <c r="F60" s="4">
        <f>(VLOOKUP('17.04'!N60,'17.04'!$AM$4:$AO$55,3,FALSE))</f>
        <v>0</v>
      </c>
      <c r="G60" s="5">
        <f>(VLOOKUP('17.04'!O60,'17.04'!$AM$4:$AO$55,3,FALSE))</f>
        <v>0</v>
      </c>
      <c r="H60" s="5">
        <f>(VLOOKUP('17.04'!P60,'17.04'!$AM$4:$AO$55,3,FALSE))</f>
        <v>0</v>
      </c>
      <c r="I60" s="4">
        <f>(VLOOKUP('17.04'!Q60,'17.04'!$AM$4:$AO$55,3,FALSE))</f>
        <v>0</v>
      </c>
      <c r="J60" s="4">
        <f>(VLOOKUP('17.04'!R60,'17.04'!$AM$4:$AO$55,3,FALSE))</f>
        <v>0</v>
      </c>
      <c r="K60" s="4">
        <f>(VLOOKUP('17.04'!S60,'17.04'!$AM$4:$AO$55,3,FALSE))</f>
        <v>0</v>
      </c>
      <c r="L60" s="4">
        <f>(VLOOKUP('17.04'!T60,'17.04'!$AM$4:$AO$55,3,FALSE))</f>
        <v>0</v>
      </c>
      <c r="M60" s="4">
        <f>(VLOOKUP('17.04'!U60,'17.04'!$AM$4:$AO$55,3,FALSE))</f>
        <v>0</v>
      </c>
      <c r="N60" s="4">
        <f>(VLOOKUP('17.04'!V60,'17.04'!$AM$4:$AO$55,3,FALSE))</f>
        <v>0</v>
      </c>
      <c r="O60" s="5">
        <f>(VLOOKUP('17.04'!W60,'17.04'!$AM$4:$AO$55,3,FALSE))</f>
        <v>0</v>
      </c>
      <c r="P60" s="5">
        <f>(VLOOKUP('17.04'!X60,'17.04'!$AM$4:$AO$55,3,FALSE))</f>
        <v>0</v>
      </c>
      <c r="Q60" s="4">
        <f>(VLOOKUP('17.04'!Y60,'17.04'!$AM$4:$AO$55,3,FALSE))</f>
        <v>0</v>
      </c>
      <c r="R60" s="4">
        <f>(VLOOKUP('17.04'!Z60,'17.04'!$AM$4:$AO$55,3,FALSE))</f>
        <v>0</v>
      </c>
      <c r="S60" s="4">
        <f>(VLOOKUP('17.04'!AA60,'17.04'!$AM$4:$AO$55,3,FALSE))</f>
        <v>0</v>
      </c>
      <c r="T60" s="4">
        <f>(VLOOKUP('17.04'!AB60,'17.04'!$AM$4:$AO$55,3,FALSE))</f>
        <v>0</v>
      </c>
      <c r="U60" s="4">
        <f>(VLOOKUP('17.04'!AC60,'17.04'!$AM$4:$AO$55,3,FALSE))</f>
        <v>0</v>
      </c>
      <c r="V60" s="4">
        <f>(VLOOKUP('17.04'!AD60,'17.04'!$AM$4:$AO$55,3,FALSE))</f>
        <v>0</v>
      </c>
      <c r="W60" s="5">
        <f>(VLOOKUP('17.04'!AE60,'17.04'!$AM$4:$AO$55,3,FALSE))</f>
        <v>0</v>
      </c>
      <c r="X60" s="5">
        <f>(VLOOKUP('17.04'!AF60,'17.04'!$AM$4:$AO$55,3,FALSE))</f>
        <v>0</v>
      </c>
    </row>
    <row r="61" spans="1:24">
      <c r="A61" s="4">
        <f>(VLOOKUP('17.04'!I61,'17.04'!$AM$4:$AO$55,3,FALSE))</f>
        <v>0</v>
      </c>
      <c r="B61" s="4">
        <f>(VLOOKUP('17.04'!J61,'17.04'!$AM$4:$AO$55,3,FALSE))</f>
        <v>0</v>
      </c>
      <c r="C61" s="4">
        <f>(VLOOKUP('17.04'!K61,'17.04'!$AM$4:$AO$55,3,FALSE))</f>
        <v>0</v>
      </c>
      <c r="D61" s="4">
        <f>(VLOOKUP('17.04'!L61,'17.04'!$AM$4:$AO$55,3,FALSE))</f>
        <v>0</v>
      </c>
      <c r="E61" s="4">
        <f>(VLOOKUP('17.04'!M61,'17.04'!$AM$4:$AO$55,3,FALSE))</f>
        <v>0</v>
      </c>
      <c r="F61" s="4">
        <f>(VLOOKUP('17.04'!N61,'17.04'!$AM$4:$AO$55,3,FALSE))</f>
        <v>0</v>
      </c>
      <c r="G61" s="5">
        <f>(VLOOKUP('17.04'!O61,'17.04'!$AM$4:$AO$55,3,FALSE))</f>
        <v>0</v>
      </c>
      <c r="H61" s="5">
        <f>(VLOOKUP('17.04'!P61,'17.04'!$AM$4:$AO$55,3,FALSE))</f>
        <v>0</v>
      </c>
      <c r="I61" s="4">
        <f>(VLOOKUP('17.04'!Q61,'17.04'!$AM$4:$AO$55,3,FALSE))</f>
        <v>0</v>
      </c>
      <c r="J61" s="4">
        <f>(VLOOKUP('17.04'!R61,'17.04'!$AM$4:$AO$55,3,FALSE))</f>
        <v>0</v>
      </c>
      <c r="K61" s="4">
        <f>(VLOOKUP('17.04'!S61,'17.04'!$AM$4:$AO$55,3,FALSE))</f>
        <v>0</v>
      </c>
      <c r="L61" s="4">
        <f>(VLOOKUP('17.04'!T61,'17.04'!$AM$4:$AO$55,3,FALSE))</f>
        <v>0</v>
      </c>
      <c r="M61" s="4">
        <f>(VLOOKUP('17.04'!U61,'17.04'!$AM$4:$AO$55,3,FALSE))</f>
        <v>0</v>
      </c>
      <c r="N61" s="4">
        <f>(VLOOKUP('17.04'!V61,'17.04'!$AM$4:$AO$55,3,FALSE))</f>
        <v>0</v>
      </c>
      <c r="O61" s="5">
        <f>(VLOOKUP('17.04'!W61,'17.04'!$AM$4:$AO$55,3,FALSE))</f>
        <v>0</v>
      </c>
      <c r="P61" s="5">
        <f>(VLOOKUP('17.04'!X61,'17.04'!$AM$4:$AO$55,3,FALSE))</f>
        <v>0</v>
      </c>
      <c r="Q61" s="4">
        <f>(VLOOKUP('17.04'!Y61,'17.04'!$AM$4:$AO$55,3,FALSE))</f>
        <v>0</v>
      </c>
      <c r="R61" s="4">
        <f>(VLOOKUP('17.04'!Z61,'17.04'!$AM$4:$AO$55,3,FALSE))</f>
        <v>0</v>
      </c>
      <c r="S61" s="4">
        <f>(VLOOKUP('17.04'!AA61,'17.04'!$AM$4:$AO$55,3,FALSE))</f>
        <v>0</v>
      </c>
      <c r="T61" s="4">
        <f>(VLOOKUP('17.04'!AB61,'17.04'!$AM$4:$AO$55,3,FALSE))</f>
        <v>0</v>
      </c>
      <c r="U61" s="4">
        <f>(VLOOKUP('17.04'!AC61,'17.04'!$AM$4:$AO$55,3,FALSE))</f>
        <v>0</v>
      </c>
      <c r="V61" s="4">
        <f>(VLOOKUP('17.04'!AD61,'17.04'!$AM$4:$AO$55,3,FALSE))</f>
        <v>0</v>
      </c>
      <c r="W61" s="5">
        <f>(VLOOKUP('17.04'!AE61,'17.04'!$AM$4:$AO$55,3,FALSE))</f>
        <v>0</v>
      </c>
      <c r="X61" s="5">
        <f>(VLOOKUP('17.04'!AF61,'17.04'!$AM$4:$AO$55,3,FALSE))</f>
        <v>0</v>
      </c>
    </row>
    <row r="62" spans="1:24">
      <c r="A62" s="4">
        <f>(VLOOKUP('17.04'!I62,'17.04'!$AM$4:$AO$55,3,FALSE))</f>
        <v>0</v>
      </c>
      <c r="B62" s="4">
        <f>(VLOOKUP('17.04'!J62,'17.04'!$AM$4:$AO$55,3,FALSE))</f>
        <v>0</v>
      </c>
      <c r="C62" s="4">
        <f>(VLOOKUP('17.04'!K62,'17.04'!$AM$4:$AO$55,3,FALSE))</f>
        <v>0</v>
      </c>
      <c r="D62" s="4">
        <f>(VLOOKUP('17.04'!L62,'17.04'!$AM$4:$AO$55,3,FALSE))</f>
        <v>0</v>
      </c>
      <c r="E62" s="4">
        <f>(VLOOKUP('17.04'!M62,'17.04'!$AM$4:$AO$55,3,FALSE))</f>
        <v>0</v>
      </c>
      <c r="F62" s="4">
        <f>(VLOOKUP('17.04'!N62,'17.04'!$AM$4:$AO$55,3,FALSE))</f>
        <v>0</v>
      </c>
      <c r="G62" s="5">
        <f>(VLOOKUP('17.04'!O62,'17.04'!$AM$4:$AO$55,3,FALSE))</f>
        <v>0</v>
      </c>
      <c r="H62" s="5">
        <f>(VLOOKUP('17.04'!P62,'17.04'!$AM$4:$AO$55,3,FALSE))</f>
        <v>0</v>
      </c>
      <c r="I62" s="4">
        <f>(VLOOKUP('17.04'!Q62,'17.04'!$AM$4:$AO$55,3,FALSE))</f>
        <v>0</v>
      </c>
      <c r="J62" s="4">
        <f>(VLOOKUP('17.04'!R62,'17.04'!$AM$4:$AO$55,3,FALSE))</f>
        <v>0</v>
      </c>
      <c r="K62" s="4">
        <f>(VLOOKUP('17.04'!S62,'17.04'!$AM$4:$AO$55,3,FALSE))</f>
        <v>0</v>
      </c>
      <c r="L62" s="4">
        <f>(VLOOKUP('17.04'!T62,'17.04'!$AM$4:$AO$55,3,FALSE))</f>
        <v>0</v>
      </c>
      <c r="M62" s="4">
        <f>(VLOOKUP('17.04'!U62,'17.04'!$AM$4:$AO$55,3,FALSE))</f>
        <v>0</v>
      </c>
      <c r="N62" s="4">
        <f>(VLOOKUP('17.04'!V62,'17.04'!$AM$4:$AO$55,3,FALSE))</f>
        <v>0</v>
      </c>
      <c r="O62" s="5">
        <f>(VLOOKUP('17.04'!W62,'17.04'!$AM$4:$AO$55,3,FALSE))</f>
        <v>0</v>
      </c>
      <c r="P62" s="5">
        <f>(VLOOKUP('17.04'!X62,'17.04'!$AM$4:$AO$55,3,FALSE))</f>
        <v>0</v>
      </c>
      <c r="Q62" s="4">
        <f>(VLOOKUP('17.04'!Y62,'17.04'!$AM$4:$AO$55,3,FALSE))</f>
        <v>0</v>
      </c>
      <c r="R62" s="4">
        <f>(VLOOKUP('17.04'!Z62,'17.04'!$AM$4:$AO$55,3,FALSE))</f>
        <v>0</v>
      </c>
      <c r="S62" s="4">
        <f>(VLOOKUP('17.04'!AA62,'17.04'!$AM$4:$AO$55,3,FALSE))</f>
        <v>0</v>
      </c>
      <c r="T62" s="4">
        <f>(VLOOKUP('17.04'!AB62,'17.04'!$AM$4:$AO$55,3,FALSE))</f>
        <v>0</v>
      </c>
      <c r="U62" s="4">
        <f>(VLOOKUP('17.04'!AC62,'17.04'!$AM$4:$AO$55,3,FALSE))</f>
        <v>0</v>
      </c>
      <c r="V62" s="4">
        <f>(VLOOKUP('17.04'!AD62,'17.04'!$AM$4:$AO$55,3,FALSE))</f>
        <v>0</v>
      </c>
      <c r="W62" s="5">
        <f>(VLOOKUP('17.04'!AE62,'17.04'!$AM$4:$AO$55,3,FALSE))</f>
        <v>0</v>
      </c>
      <c r="X62" s="5">
        <f>(VLOOKUP('17.04'!AF62,'17.04'!$AM$4:$AO$55,3,FALSE))</f>
        <v>0</v>
      </c>
    </row>
    <row r="63" spans="1:24">
      <c r="A63" s="4">
        <f>(VLOOKUP('17.04'!I63,'17.04'!$AM$4:$AO$55,3,FALSE))</f>
        <v>0</v>
      </c>
      <c r="B63" s="4">
        <f>(VLOOKUP('17.04'!J63,'17.04'!$AM$4:$AO$55,3,FALSE))</f>
        <v>0</v>
      </c>
      <c r="C63" s="4">
        <f>(VLOOKUP('17.04'!K63,'17.04'!$AM$4:$AO$55,3,FALSE))</f>
        <v>0</v>
      </c>
      <c r="D63" s="4">
        <f>(VLOOKUP('17.04'!L63,'17.04'!$AM$4:$AO$55,3,FALSE))</f>
        <v>0</v>
      </c>
      <c r="E63" s="4">
        <f>(VLOOKUP('17.04'!M63,'17.04'!$AM$4:$AO$55,3,FALSE))</f>
        <v>0</v>
      </c>
      <c r="F63" s="4">
        <f>(VLOOKUP('17.04'!N63,'17.04'!$AM$4:$AO$55,3,FALSE))</f>
        <v>0</v>
      </c>
      <c r="G63" s="5">
        <f>(VLOOKUP('17.04'!O63,'17.04'!$AM$4:$AO$55,3,FALSE))</f>
        <v>0</v>
      </c>
      <c r="H63" s="5">
        <f>(VLOOKUP('17.04'!P63,'17.04'!$AM$4:$AO$55,3,FALSE))</f>
        <v>0</v>
      </c>
      <c r="I63" s="4">
        <f>(VLOOKUP('17.04'!Q63,'17.04'!$AM$4:$AO$55,3,FALSE))</f>
        <v>0</v>
      </c>
      <c r="J63" s="4">
        <f>(VLOOKUP('17.04'!R63,'17.04'!$AM$4:$AO$55,3,FALSE))</f>
        <v>0</v>
      </c>
      <c r="K63" s="4">
        <f>(VLOOKUP('17.04'!S63,'17.04'!$AM$4:$AO$55,3,FALSE))</f>
        <v>0</v>
      </c>
      <c r="L63" s="4">
        <f>(VLOOKUP('17.04'!T63,'17.04'!$AM$4:$AO$55,3,FALSE))</f>
        <v>0</v>
      </c>
      <c r="M63" s="4">
        <f>(VLOOKUP('17.04'!U63,'17.04'!$AM$4:$AO$55,3,FALSE))</f>
        <v>0</v>
      </c>
      <c r="N63" s="4">
        <f>(VLOOKUP('17.04'!V63,'17.04'!$AM$4:$AO$55,3,FALSE))</f>
        <v>0</v>
      </c>
      <c r="O63" s="5">
        <f>(VLOOKUP('17.04'!W63,'17.04'!$AM$4:$AO$55,3,FALSE))</f>
        <v>0</v>
      </c>
      <c r="P63" s="5">
        <f>(VLOOKUP('17.04'!X63,'17.04'!$AM$4:$AO$55,3,FALSE))</f>
        <v>0</v>
      </c>
      <c r="Q63" s="4">
        <f>(VLOOKUP('17.04'!Y63,'17.04'!$AM$4:$AO$55,3,FALSE))</f>
        <v>0</v>
      </c>
      <c r="R63" s="4">
        <f>(VLOOKUP('17.04'!Z63,'17.04'!$AM$4:$AO$55,3,FALSE))</f>
        <v>0</v>
      </c>
      <c r="S63" s="4">
        <f>(VLOOKUP('17.04'!AA63,'17.04'!$AM$4:$AO$55,3,FALSE))</f>
        <v>0</v>
      </c>
      <c r="T63" s="4">
        <f>(VLOOKUP('17.04'!AB63,'17.04'!$AM$4:$AO$55,3,FALSE))</f>
        <v>0</v>
      </c>
      <c r="U63" s="4">
        <f>(VLOOKUP('17.04'!AC63,'17.04'!$AM$4:$AO$55,3,FALSE))</f>
        <v>0</v>
      </c>
      <c r="V63" s="4">
        <f>(VLOOKUP('17.04'!AD63,'17.04'!$AM$4:$AO$55,3,FALSE))</f>
        <v>0</v>
      </c>
      <c r="W63" s="5">
        <f>(VLOOKUP('17.04'!AE63,'17.04'!$AM$4:$AO$55,3,FALSE))</f>
        <v>0</v>
      </c>
      <c r="X63" s="5">
        <f>(VLOOKUP('17.04'!AF63,'17.04'!$AM$4:$AO$55,3,FALSE))</f>
        <v>0</v>
      </c>
    </row>
    <row r="64" spans="1:24">
      <c r="A64" s="4">
        <f>(VLOOKUP('17.04'!I64,'17.04'!$AM$4:$AO$55,3,FALSE))</f>
        <v>0</v>
      </c>
      <c r="B64" s="4">
        <f>(VLOOKUP('17.04'!J64,'17.04'!$AM$4:$AO$55,3,FALSE))</f>
        <v>0</v>
      </c>
      <c r="C64" s="4">
        <f>(VLOOKUP('17.04'!K64,'17.04'!$AM$4:$AO$55,3,FALSE))</f>
        <v>0</v>
      </c>
      <c r="D64" s="4">
        <f>(VLOOKUP('17.04'!L64,'17.04'!$AM$4:$AO$55,3,FALSE))</f>
        <v>0</v>
      </c>
      <c r="E64" s="4">
        <f>(VLOOKUP('17.04'!M64,'17.04'!$AM$4:$AO$55,3,FALSE))</f>
        <v>0</v>
      </c>
      <c r="F64" s="4">
        <f>(VLOOKUP('17.04'!N64,'17.04'!$AM$4:$AO$55,3,FALSE))</f>
        <v>0</v>
      </c>
      <c r="G64" s="5">
        <f>(VLOOKUP('17.04'!O64,'17.04'!$AM$4:$AO$55,3,FALSE))</f>
        <v>0</v>
      </c>
      <c r="H64" s="5">
        <f>(VLOOKUP('17.04'!P64,'17.04'!$AM$4:$AO$55,3,FALSE))</f>
        <v>0</v>
      </c>
      <c r="I64" s="4">
        <f>(VLOOKUP('17.04'!Q64,'17.04'!$AM$4:$AO$55,3,FALSE))</f>
        <v>0</v>
      </c>
      <c r="J64" s="4">
        <f>(VLOOKUP('17.04'!R64,'17.04'!$AM$4:$AO$55,3,FALSE))</f>
        <v>0</v>
      </c>
      <c r="K64" s="4">
        <f>(VLOOKUP('17.04'!S64,'17.04'!$AM$4:$AO$55,3,FALSE))</f>
        <v>0</v>
      </c>
      <c r="L64" s="4">
        <f>(VLOOKUP('17.04'!T64,'17.04'!$AM$4:$AO$55,3,FALSE))</f>
        <v>0</v>
      </c>
      <c r="M64" s="4">
        <f>(VLOOKUP('17.04'!U64,'17.04'!$AM$4:$AO$55,3,FALSE))</f>
        <v>0</v>
      </c>
      <c r="N64" s="4">
        <f>(VLOOKUP('17.04'!V64,'17.04'!$AM$4:$AO$55,3,FALSE))</f>
        <v>0</v>
      </c>
      <c r="O64" s="5">
        <f>(VLOOKUP('17.04'!W64,'17.04'!$AM$4:$AO$55,3,FALSE))</f>
        <v>0</v>
      </c>
      <c r="P64" s="5">
        <f>(VLOOKUP('17.04'!X64,'17.04'!$AM$4:$AO$55,3,FALSE))</f>
        <v>0</v>
      </c>
      <c r="Q64" s="4">
        <f>(VLOOKUP('17.04'!Y64,'17.04'!$AM$4:$AO$55,3,FALSE))</f>
        <v>0</v>
      </c>
      <c r="R64" s="4">
        <f>(VLOOKUP('17.04'!Z64,'17.04'!$AM$4:$AO$55,3,FALSE))</f>
        <v>0</v>
      </c>
      <c r="S64" s="4">
        <f>(VLOOKUP('17.04'!AA64,'17.04'!$AM$4:$AO$55,3,FALSE))</f>
        <v>0</v>
      </c>
      <c r="T64" s="4">
        <f>(VLOOKUP('17.04'!AB64,'17.04'!$AM$4:$AO$55,3,FALSE))</f>
        <v>0</v>
      </c>
      <c r="U64" s="4">
        <f>(VLOOKUP('17.04'!AC64,'17.04'!$AM$4:$AO$55,3,FALSE))</f>
        <v>0</v>
      </c>
      <c r="V64" s="4">
        <f>(VLOOKUP('17.04'!AD64,'17.04'!$AM$4:$AO$55,3,FALSE))</f>
        <v>0</v>
      </c>
      <c r="W64" s="5">
        <f>(VLOOKUP('17.04'!AE64,'17.04'!$AM$4:$AO$55,3,FALSE))</f>
        <v>0</v>
      </c>
      <c r="X64" s="5">
        <f>(VLOOKUP('17.04'!AF64,'17.04'!$AM$4:$AO$55,3,FALSE))</f>
        <v>0</v>
      </c>
    </row>
    <row r="65" spans="1:24">
      <c r="A65" s="4">
        <f>(VLOOKUP('17.04'!I65,'17.04'!$AM$4:$AO$55,3,FALSE))</f>
        <v>0</v>
      </c>
      <c r="B65" s="4">
        <f>(VLOOKUP('17.04'!J65,'17.04'!$AM$4:$AO$55,3,FALSE))</f>
        <v>0</v>
      </c>
      <c r="C65" s="4">
        <f>(VLOOKUP('17.04'!K65,'17.04'!$AM$4:$AO$55,3,FALSE))</f>
        <v>0</v>
      </c>
      <c r="D65" s="4">
        <f>(VLOOKUP('17.04'!L65,'17.04'!$AM$4:$AO$55,3,FALSE))</f>
        <v>0</v>
      </c>
      <c r="E65" s="4">
        <f>(VLOOKUP('17.04'!M65,'17.04'!$AM$4:$AO$55,3,FALSE))</f>
        <v>0</v>
      </c>
      <c r="F65" s="4">
        <f>(VLOOKUP('17.04'!N65,'17.04'!$AM$4:$AO$55,3,FALSE))</f>
        <v>0</v>
      </c>
      <c r="G65" s="5">
        <f>(VLOOKUP('17.04'!O65,'17.04'!$AM$4:$AO$55,3,FALSE))</f>
        <v>0</v>
      </c>
      <c r="H65" s="5">
        <f>(VLOOKUP('17.04'!P65,'17.04'!$AM$4:$AO$55,3,FALSE))</f>
        <v>0</v>
      </c>
      <c r="I65" s="4">
        <f>(VLOOKUP('17.04'!Q65,'17.04'!$AM$4:$AO$55,3,FALSE))</f>
        <v>0</v>
      </c>
      <c r="J65" s="4">
        <f>(VLOOKUP('17.04'!R65,'17.04'!$AM$4:$AO$55,3,FALSE))</f>
        <v>0</v>
      </c>
      <c r="K65" s="4">
        <f>(VLOOKUP('17.04'!S65,'17.04'!$AM$4:$AO$55,3,FALSE))</f>
        <v>0</v>
      </c>
      <c r="L65" s="4">
        <f>(VLOOKUP('17.04'!T65,'17.04'!$AM$4:$AO$55,3,FALSE))</f>
        <v>0</v>
      </c>
      <c r="M65" s="4">
        <f>(VLOOKUP('17.04'!U65,'17.04'!$AM$4:$AO$55,3,FALSE))</f>
        <v>0</v>
      </c>
      <c r="N65" s="4">
        <f>(VLOOKUP('17.04'!V65,'17.04'!$AM$4:$AO$55,3,FALSE))</f>
        <v>0</v>
      </c>
      <c r="O65" s="5">
        <f>(VLOOKUP('17.04'!W65,'17.04'!$AM$4:$AO$55,3,FALSE))</f>
        <v>0</v>
      </c>
      <c r="P65" s="5">
        <f>(VLOOKUP('17.04'!X65,'17.04'!$AM$4:$AO$55,3,FALSE))</f>
        <v>0</v>
      </c>
      <c r="Q65" s="4">
        <f>(VLOOKUP('17.04'!Y65,'17.04'!$AM$4:$AO$55,3,FALSE))</f>
        <v>0</v>
      </c>
      <c r="R65" s="4">
        <f>(VLOOKUP('17.04'!Z65,'17.04'!$AM$4:$AO$55,3,FALSE))</f>
        <v>0</v>
      </c>
      <c r="S65" s="4">
        <f>(VLOOKUP('17.04'!AA65,'17.04'!$AM$4:$AO$55,3,FALSE))</f>
        <v>0</v>
      </c>
      <c r="T65" s="4">
        <f>(VLOOKUP('17.04'!AB65,'17.04'!$AM$4:$AO$55,3,FALSE))</f>
        <v>0</v>
      </c>
      <c r="U65" s="4">
        <f>(VLOOKUP('17.04'!AC65,'17.04'!$AM$4:$AO$55,3,FALSE))</f>
        <v>0</v>
      </c>
      <c r="V65" s="4">
        <f>(VLOOKUP('17.04'!AD65,'17.04'!$AM$4:$AO$55,3,FALSE))</f>
        <v>0</v>
      </c>
      <c r="W65" s="5">
        <f>(VLOOKUP('17.04'!AE65,'17.04'!$AM$4:$AO$55,3,FALSE))</f>
        <v>0</v>
      </c>
      <c r="X65" s="5">
        <f>(VLOOKUP('17.04'!AF65,'17.04'!$AM$4:$AO$55,3,FALSE))</f>
        <v>0</v>
      </c>
    </row>
    <row r="66" spans="1:24">
      <c r="A66" s="4">
        <f>(VLOOKUP('17.04'!I66,'17.04'!$AM$4:$AO$55,3,FALSE))</f>
        <v>0</v>
      </c>
      <c r="B66" s="4">
        <f>(VLOOKUP('17.04'!J66,'17.04'!$AM$4:$AO$55,3,FALSE))</f>
        <v>0</v>
      </c>
      <c r="C66" s="4">
        <f>(VLOOKUP('17.04'!K66,'17.04'!$AM$4:$AO$55,3,FALSE))</f>
        <v>0</v>
      </c>
      <c r="D66" s="4">
        <f>(VLOOKUP('17.04'!L66,'17.04'!$AM$4:$AO$55,3,FALSE))</f>
        <v>0</v>
      </c>
      <c r="E66" s="4">
        <f>(VLOOKUP('17.04'!M66,'17.04'!$AM$4:$AO$55,3,FALSE))</f>
        <v>0</v>
      </c>
      <c r="F66" s="4">
        <f>(VLOOKUP('17.04'!N66,'17.04'!$AM$4:$AO$55,3,FALSE))</f>
        <v>0</v>
      </c>
      <c r="G66" s="5">
        <f>(VLOOKUP('17.04'!O66,'17.04'!$AM$4:$AO$55,3,FALSE))</f>
        <v>0</v>
      </c>
      <c r="H66" s="5">
        <f>(VLOOKUP('17.04'!P66,'17.04'!$AM$4:$AO$55,3,FALSE))</f>
        <v>0</v>
      </c>
      <c r="I66" s="4">
        <f>(VLOOKUP('17.04'!Q66,'17.04'!$AM$4:$AO$55,3,FALSE))</f>
        <v>0</v>
      </c>
      <c r="J66" s="4">
        <f>(VLOOKUP('17.04'!R66,'17.04'!$AM$4:$AO$55,3,FALSE))</f>
        <v>0</v>
      </c>
      <c r="K66" s="4">
        <f>(VLOOKUP('17.04'!S66,'17.04'!$AM$4:$AO$55,3,FALSE))</f>
        <v>0</v>
      </c>
      <c r="L66" s="4">
        <f>(VLOOKUP('17.04'!T66,'17.04'!$AM$4:$AO$55,3,FALSE))</f>
        <v>0</v>
      </c>
      <c r="M66" s="4">
        <f>(VLOOKUP('17.04'!U66,'17.04'!$AM$4:$AO$55,3,FALSE))</f>
        <v>0</v>
      </c>
      <c r="N66" s="4">
        <f>(VLOOKUP('17.04'!V66,'17.04'!$AM$4:$AO$55,3,FALSE))</f>
        <v>0</v>
      </c>
      <c r="O66" s="5">
        <f>(VLOOKUP('17.04'!W66,'17.04'!$AM$4:$AO$55,3,FALSE))</f>
        <v>0</v>
      </c>
      <c r="P66" s="5">
        <f>(VLOOKUP('17.04'!X66,'17.04'!$AM$4:$AO$55,3,FALSE))</f>
        <v>0</v>
      </c>
      <c r="Q66" s="4">
        <f>(VLOOKUP('17.04'!Y66,'17.04'!$AM$4:$AO$55,3,FALSE))</f>
        <v>0</v>
      </c>
      <c r="R66" s="4">
        <f>(VLOOKUP('17.04'!Z66,'17.04'!$AM$4:$AO$55,3,FALSE))</f>
        <v>0</v>
      </c>
      <c r="S66" s="4">
        <f>(VLOOKUP('17.04'!AA66,'17.04'!$AM$4:$AO$55,3,FALSE))</f>
        <v>0</v>
      </c>
      <c r="T66" s="4">
        <f>(VLOOKUP('17.04'!AB66,'17.04'!$AM$4:$AO$55,3,FALSE))</f>
        <v>0</v>
      </c>
      <c r="U66" s="4">
        <f>(VLOOKUP('17.04'!AC66,'17.04'!$AM$4:$AO$55,3,FALSE))</f>
        <v>0</v>
      </c>
      <c r="V66" s="4">
        <f>(VLOOKUP('17.04'!AD66,'17.04'!$AM$4:$AO$55,3,FALSE))</f>
        <v>0</v>
      </c>
      <c r="W66" s="5">
        <f>(VLOOKUP('17.04'!AE66,'17.04'!$AM$4:$AO$55,3,FALSE))</f>
        <v>0</v>
      </c>
      <c r="X66" s="5">
        <f>(VLOOKUP('17.04'!AF66,'17.04'!$AM$4:$AO$55,3,FALSE))</f>
        <v>0</v>
      </c>
    </row>
    <row r="67" spans="1:24">
      <c r="A67" s="4">
        <f>(VLOOKUP('17.04'!I67,'17.04'!$AM$4:$AO$55,3,FALSE))</f>
        <v>0</v>
      </c>
      <c r="B67" s="4">
        <f>(VLOOKUP('17.04'!J67,'17.04'!$AM$4:$AO$55,3,FALSE))</f>
        <v>0</v>
      </c>
      <c r="C67" s="4">
        <f>(VLOOKUP('17.04'!K67,'17.04'!$AM$4:$AO$55,3,FALSE))</f>
        <v>0</v>
      </c>
      <c r="D67" s="4">
        <f>(VLOOKUP('17.04'!L67,'17.04'!$AM$4:$AO$55,3,FALSE))</f>
        <v>0</v>
      </c>
      <c r="E67" s="4">
        <f>(VLOOKUP('17.04'!M67,'17.04'!$AM$4:$AO$55,3,FALSE))</f>
        <v>0</v>
      </c>
      <c r="F67" s="4">
        <f>(VLOOKUP('17.04'!N67,'17.04'!$AM$4:$AO$55,3,FALSE))</f>
        <v>0</v>
      </c>
      <c r="G67" s="5">
        <f>(VLOOKUP('17.04'!O67,'17.04'!$AM$4:$AO$55,3,FALSE))</f>
        <v>0</v>
      </c>
      <c r="H67" s="5">
        <f>(VLOOKUP('17.04'!P67,'17.04'!$AM$4:$AO$55,3,FALSE))</f>
        <v>0</v>
      </c>
      <c r="I67" s="4">
        <f>(VLOOKUP('17.04'!Q67,'17.04'!$AM$4:$AO$55,3,FALSE))</f>
        <v>0</v>
      </c>
      <c r="J67" s="4">
        <f>(VLOOKUP('17.04'!R67,'17.04'!$AM$4:$AO$55,3,FALSE))</f>
        <v>0</v>
      </c>
      <c r="K67" s="4">
        <f>(VLOOKUP('17.04'!S67,'17.04'!$AM$4:$AO$55,3,FALSE))</f>
        <v>0</v>
      </c>
      <c r="L67" s="4">
        <f>(VLOOKUP('17.04'!T67,'17.04'!$AM$4:$AO$55,3,FALSE))</f>
        <v>0</v>
      </c>
      <c r="M67" s="4">
        <f>(VLOOKUP('17.04'!U67,'17.04'!$AM$4:$AO$55,3,FALSE))</f>
        <v>0</v>
      </c>
      <c r="N67" s="4">
        <f>(VLOOKUP('17.04'!V67,'17.04'!$AM$4:$AO$55,3,FALSE))</f>
        <v>0</v>
      </c>
      <c r="O67" s="5">
        <f>(VLOOKUP('17.04'!W67,'17.04'!$AM$4:$AO$55,3,FALSE))</f>
        <v>0</v>
      </c>
      <c r="P67" s="5">
        <f>(VLOOKUP('17.04'!X67,'17.04'!$AM$4:$AO$55,3,FALSE))</f>
        <v>0</v>
      </c>
      <c r="Q67" s="4">
        <f>(VLOOKUP('17.04'!Y67,'17.04'!$AM$4:$AO$55,3,FALSE))</f>
        <v>0</v>
      </c>
      <c r="R67" s="4">
        <f>(VLOOKUP('17.04'!Z67,'17.04'!$AM$4:$AO$55,3,FALSE))</f>
        <v>0</v>
      </c>
      <c r="S67" s="4">
        <f>(VLOOKUP('17.04'!AA67,'17.04'!$AM$4:$AO$55,3,FALSE))</f>
        <v>0</v>
      </c>
      <c r="T67" s="4">
        <f>(VLOOKUP('17.04'!AB67,'17.04'!$AM$4:$AO$55,3,FALSE))</f>
        <v>0</v>
      </c>
      <c r="U67" s="4">
        <f>(VLOOKUP('17.04'!AC67,'17.04'!$AM$4:$AO$55,3,FALSE))</f>
        <v>0</v>
      </c>
      <c r="V67" s="4">
        <f>(VLOOKUP('17.04'!AD67,'17.04'!$AM$4:$AO$55,3,FALSE))</f>
        <v>0</v>
      </c>
      <c r="W67" s="5">
        <f>(VLOOKUP('17.04'!AE67,'17.04'!$AM$4:$AO$55,3,FALSE))</f>
        <v>0</v>
      </c>
      <c r="X67" s="5">
        <f>(VLOOKUP('17.04'!AF67,'17.04'!$AM$4:$AO$55,3,FALSE))</f>
        <v>0</v>
      </c>
    </row>
    <row r="68" spans="1:24">
      <c r="A68" s="4">
        <f>(VLOOKUP('17.04'!I68,'17.04'!$AM$4:$AO$55,3,FALSE))</f>
        <v>0</v>
      </c>
      <c r="B68" s="4">
        <f>(VLOOKUP('17.04'!J68,'17.04'!$AM$4:$AO$55,3,FALSE))</f>
        <v>0</v>
      </c>
      <c r="C68" s="4">
        <f>(VLOOKUP('17.04'!K68,'17.04'!$AM$4:$AO$55,3,FALSE))</f>
        <v>0</v>
      </c>
      <c r="D68" s="4">
        <f>(VLOOKUP('17.04'!L68,'17.04'!$AM$4:$AO$55,3,FALSE))</f>
        <v>0</v>
      </c>
      <c r="E68" s="4">
        <f>(VLOOKUP('17.04'!M68,'17.04'!$AM$4:$AO$55,3,FALSE))</f>
        <v>0</v>
      </c>
      <c r="F68" s="4">
        <f>(VLOOKUP('17.04'!N68,'17.04'!$AM$4:$AO$55,3,FALSE))</f>
        <v>0</v>
      </c>
      <c r="G68" s="5">
        <f>(VLOOKUP('17.04'!O68,'17.04'!$AM$4:$AO$55,3,FALSE))</f>
        <v>0</v>
      </c>
      <c r="H68" s="5">
        <f>(VLOOKUP('17.04'!P68,'17.04'!$AM$4:$AO$55,3,FALSE))</f>
        <v>0</v>
      </c>
      <c r="I68" s="4">
        <f>(VLOOKUP('17.04'!Q68,'17.04'!$AM$4:$AO$55,3,FALSE))</f>
        <v>0</v>
      </c>
      <c r="J68" s="4">
        <f>(VLOOKUP('17.04'!R68,'17.04'!$AM$4:$AO$55,3,FALSE))</f>
        <v>0</v>
      </c>
      <c r="K68" s="4">
        <f>(VLOOKUP('17.04'!S68,'17.04'!$AM$4:$AO$55,3,FALSE))</f>
        <v>0</v>
      </c>
      <c r="L68" s="4">
        <f>(VLOOKUP('17.04'!T68,'17.04'!$AM$4:$AO$55,3,FALSE))</f>
        <v>0</v>
      </c>
      <c r="M68" s="4">
        <f>(VLOOKUP('17.04'!U68,'17.04'!$AM$4:$AO$55,3,FALSE))</f>
        <v>0</v>
      </c>
      <c r="N68" s="4">
        <f>(VLOOKUP('17.04'!V68,'17.04'!$AM$4:$AO$55,3,FALSE))</f>
        <v>0</v>
      </c>
      <c r="O68" s="5">
        <f>(VLOOKUP('17.04'!W68,'17.04'!$AM$4:$AO$55,3,FALSE))</f>
        <v>0</v>
      </c>
      <c r="P68" s="5">
        <f>(VLOOKUP('17.04'!X68,'17.04'!$AM$4:$AO$55,3,FALSE))</f>
        <v>0</v>
      </c>
      <c r="Q68" s="4">
        <f>(VLOOKUP('17.04'!Y68,'17.04'!$AM$4:$AO$55,3,FALSE))</f>
        <v>0</v>
      </c>
      <c r="R68" s="4">
        <f>(VLOOKUP('17.04'!Z68,'17.04'!$AM$4:$AO$55,3,FALSE))</f>
        <v>0</v>
      </c>
      <c r="S68" s="4">
        <f>(VLOOKUP('17.04'!AA68,'17.04'!$AM$4:$AO$55,3,FALSE))</f>
        <v>0</v>
      </c>
      <c r="T68" s="4">
        <f>(VLOOKUP('17.04'!AB68,'17.04'!$AM$4:$AO$55,3,FALSE))</f>
        <v>0</v>
      </c>
      <c r="U68" s="4">
        <f>(VLOOKUP('17.04'!AC68,'17.04'!$AM$4:$AO$55,3,FALSE))</f>
        <v>0</v>
      </c>
      <c r="V68" s="4">
        <f>(VLOOKUP('17.04'!AD68,'17.04'!$AM$4:$AO$55,3,FALSE))</f>
        <v>0</v>
      </c>
      <c r="W68" s="5">
        <f>(VLOOKUP('17.04'!AE68,'17.04'!$AM$4:$AO$55,3,FALSE))</f>
        <v>0</v>
      </c>
      <c r="X68" s="5">
        <f>(VLOOKUP('17.04'!AF68,'17.04'!$AM$4:$AO$55,3,FALSE))</f>
        <v>0</v>
      </c>
    </row>
    <row r="69" spans="1:24">
      <c r="A69" s="4">
        <f>(VLOOKUP('17.04'!I69,'17.04'!$AM$4:$AO$55,3,FALSE))</f>
        <v>0</v>
      </c>
      <c r="B69" s="4">
        <f>(VLOOKUP('17.04'!J69,'17.04'!$AM$4:$AO$55,3,FALSE))</f>
        <v>0</v>
      </c>
      <c r="C69" s="4">
        <f>(VLOOKUP('17.04'!K69,'17.04'!$AM$4:$AO$55,3,FALSE))</f>
        <v>0</v>
      </c>
      <c r="D69" s="4">
        <f>(VLOOKUP('17.04'!L69,'17.04'!$AM$4:$AO$55,3,FALSE))</f>
        <v>0</v>
      </c>
      <c r="E69" s="4">
        <f>(VLOOKUP('17.04'!M69,'17.04'!$AM$4:$AO$55,3,FALSE))</f>
        <v>0</v>
      </c>
      <c r="F69" s="4">
        <f>(VLOOKUP('17.04'!N69,'17.04'!$AM$4:$AO$55,3,FALSE))</f>
        <v>0</v>
      </c>
      <c r="G69" s="5">
        <f>(VLOOKUP('17.04'!O69,'17.04'!$AM$4:$AO$55,3,FALSE))</f>
        <v>0</v>
      </c>
      <c r="H69" s="5">
        <f>(VLOOKUP('17.04'!P69,'17.04'!$AM$4:$AO$55,3,FALSE))</f>
        <v>0</v>
      </c>
      <c r="I69" s="4">
        <f>(VLOOKUP('17.04'!Q69,'17.04'!$AM$4:$AO$55,3,FALSE))</f>
        <v>0</v>
      </c>
      <c r="J69" s="4">
        <f>(VLOOKUP('17.04'!R69,'17.04'!$AM$4:$AO$55,3,FALSE))</f>
        <v>0</v>
      </c>
      <c r="K69" s="4">
        <f>(VLOOKUP('17.04'!S69,'17.04'!$AM$4:$AO$55,3,FALSE))</f>
        <v>0</v>
      </c>
      <c r="L69" s="4">
        <f>(VLOOKUP('17.04'!T69,'17.04'!$AM$4:$AO$55,3,FALSE))</f>
        <v>0</v>
      </c>
      <c r="M69" s="4">
        <f>(VLOOKUP('17.04'!U69,'17.04'!$AM$4:$AO$55,3,FALSE))</f>
        <v>0</v>
      </c>
      <c r="N69" s="4">
        <f>(VLOOKUP('17.04'!V69,'17.04'!$AM$4:$AO$55,3,FALSE))</f>
        <v>0</v>
      </c>
      <c r="O69" s="5">
        <f>(VLOOKUP('17.04'!W69,'17.04'!$AM$4:$AO$55,3,FALSE))</f>
        <v>0</v>
      </c>
      <c r="P69" s="5">
        <f>(VLOOKUP('17.04'!X69,'17.04'!$AM$4:$AO$55,3,FALSE))</f>
        <v>0</v>
      </c>
      <c r="Q69" s="4">
        <f>(VLOOKUP('17.04'!Y69,'17.04'!$AM$4:$AO$55,3,FALSE))</f>
        <v>0</v>
      </c>
      <c r="R69" s="4">
        <f>(VLOOKUP('17.04'!Z69,'17.04'!$AM$4:$AO$55,3,FALSE))</f>
        <v>0</v>
      </c>
      <c r="S69" s="4">
        <f>(VLOOKUP('17.04'!AA69,'17.04'!$AM$4:$AO$55,3,FALSE))</f>
        <v>0</v>
      </c>
      <c r="T69" s="4">
        <f>(VLOOKUP('17.04'!AB69,'17.04'!$AM$4:$AO$55,3,FALSE))</f>
        <v>0</v>
      </c>
      <c r="U69" s="4">
        <f>(VLOOKUP('17.04'!AC69,'17.04'!$AM$4:$AO$55,3,FALSE))</f>
        <v>0</v>
      </c>
      <c r="V69" s="4">
        <f>(VLOOKUP('17.04'!AD69,'17.04'!$AM$4:$AO$55,3,FALSE))</f>
        <v>0</v>
      </c>
      <c r="W69" s="5">
        <f>(VLOOKUP('17.04'!AE69,'17.04'!$AM$4:$AO$55,3,FALSE))</f>
        <v>0</v>
      </c>
      <c r="X69" s="5">
        <f>(VLOOKUP('17.04'!AF69,'17.04'!$AM$4:$AO$55,3,FALSE))</f>
        <v>0</v>
      </c>
    </row>
    <row r="70" spans="1:24">
      <c r="A70" s="4">
        <f>(VLOOKUP('17.04'!I70,'17.04'!$AM$4:$AO$55,3,FALSE))</f>
        <v>0</v>
      </c>
      <c r="B70" s="4">
        <f>(VLOOKUP('17.04'!J70,'17.04'!$AM$4:$AO$55,3,FALSE))</f>
        <v>0</v>
      </c>
      <c r="C70" s="4">
        <f>(VLOOKUP('17.04'!K70,'17.04'!$AM$4:$AO$55,3,FALSE))</f>
        <v>0</v>
      </c>
      <c r="D70" s="4">
        <f>(VLOOKUP('17.04'!L70,'17.04'!$AM$4:$AO$55,3,FALSE))</f>
        <v>0</v>
      </c>
      <c r="E70" s="4">
        <f>(VLOOKUP('17.04'!M70,'17.04'!$AM$4:$AO$55,3,FALSE))</f>
        <v>0</v>
      </c>
      <c r="F70" s="4">
        <f>(VLOOKUP('17.04'!N70,'17.04'!$AM$4:$AO$55,3,FALSE))</f>
        <v>0</v>
      </c>
      <c r="G70" s="5">
        <f>(VLOOKUP('17.04'!O70,'17.04'!$AM$4:$AO$55,3,FALSE))</f>
        <v>0</v>
      </c>
      <c r="H70" s="5">
        <f>(VLOOKUP('17.04'!P70,'17.04'!$AM$4:$AO$55,3,FALSE))</f>
        <v>0</v>
      </c>
      <c r="I70" s="4">
        <f>(VLOOKUP('17.04'!Q70,'17.04'!$AM$4:$AO$55,3,FALSE))</f>
        <v>0</v>
      </c>
      <c r="J70" s="4">
        <f>(VLOOKUP('17.04'!R70,'17.04'!$AM$4:$AO$55,3,FALSE))</f>
        <v>0</v>
      </c>
      <c r="K70" s="4">
        <f>(VLOOKUP('17.04'!S70,'17.04'!$AM$4:$AO$55,3,FALSE))</f>
        <v>0</v>
      </c>
      <c r="L70" s="4">
        <f>(VLOOKUP('17.04'!T70,'17.04'!$AM$4:$AO$55,3,FALSE))</f>
        <v>0</v>
      </c>
      <c r="M70" s="4">
        <f>(VLOOKUP('17.04'!U70,'17.04'!$AM$4:$AO$55,3,FALSE))</f>
        <v>0</v>
      </c>
      <c r="N70" s="4">
        <f>(VLOOKUP('17.04'!V70,'17.04'!$AM$4:$AO$55,3,FALSE))</f>
        <v>0</v>
      </c>
      <c r="O70" s="5">
        <f>(VLOOKUP('17.04'!W70,'17.04'!$AM$4:$AO$55,3,FALSE))</f>
        <v>0</v>
      </c>
      <c r="P70" s="5">
        <f>(VLOOKUP('17.04'!X70,'17.04'!$AM$4:$AO$55,3,FALSE))</f>
        <v>0</v>
      </c>
      <c r="Q70" s="4">
        <f>(VLOOKUP('17.04'!Y70,'17.04'!$AM$4:$AO$55,3,FALSE))</f>
        <v>0</v>
      </c>
      <c r="R70" s="4">
        <f>(VLOOKUP('17.04'!Z70,'17.04'!$AM$4:$AO$55,3,FALSE))</f>
        <v>0</v>
      </c>
      <c r="S70" s="4">
        <f>(VLOOKUP('17.04'!AA70,'17.04'!$AM$4:$AO$55,3,FALSE))</f>
        <v>0</v>
      </c>
      <c r="T70" s="4">
        <f>(VLOOKUP('17.04'!AB70,'17.04'!$AM$4:$AO$55,3,FALSE))</f>
        <v>0</v>
      </c>
      <c r="U70" s="4">
        <f>(VLOOKUP('17.04'!AC70,'17.04'!$AM$4:$AO$55,3,FALSE))</f>
        <v>0</v>
      </c>
      <c r="V70" s="4">
        <f>(VLOOKUP('17.04'!AD70,'17.04'!$AM$4:$AO$55,3,FALSE))</f>
        <v>0</v>
      </c>
      <c r="W70" s="5">
        <f>(VLOOKUP('17.04'!AE70,'17.04'!$AM$4:$AO$55,3,FALSE))</f>
        <v>0</v>
      </c>
      <c r="X70" s="5">
        <f>(VLOOKUP('17.04'!AF70,'17.04'!$AM$4:$AO$55,3,FALSE))</f>
        <v>0</v>
      </c>
    </row>
    <row r="71" spans="1:24">
      <c r="A71" s="4">
        <f>(VLOOKUP('17.04'!I71,'17.04'!$AM$4:$AO$55,3,FALSE))</f>
        <v>0</v>
      </c>
      <c r="B71" s="4">
        <f>(VLOOKUP('17.04'!J71,'17.04'!$AM$4:$AO$55,3,FALSE))</f>
        <v>0</v>
      </c>
      <c r="C71" s="4">
        <f>(VLOOKUP('17.04'!K71,'17.04'!$AM$4:$AO$55,3,FALSE))</f>
        <v>0</v>
      </c>
      <c r="D71" s="4">
        <f>(VLOOKUP('17.04'!L71,'17.04'!$AM$4:$AO$55,3,FALSE))</f>
        <v>0</v>
      </c>
      <c r="E71" s="4">
        <f>(VLOOKUP('17.04'!M71,'17.04'!$AM$4:$AO$55,3,FALSE))</f>
        <v>0</v>
      </c>
      <c r="F71" s="4">
        <f>(VLOOKUP('17.04'!N71,'17.04'!$AM$4:$AO$55,3,FALSE))</f>
        <v>0</v>
      </c>
      <c r="G71" s="5">
        <f>(VLOOKUP('17.04'!O71,'17.04'!$AM$4:$AO$55,3,FALSE))</f>
        <v>0</v>
      </c>
      <c r="H71" s="5">
        <f>(VLOOKUP('17.04'!P71,'17.04'!$AM$4:$AO$55,3,FALSE))</f>
        <v>0</v>
      </c>
      <c r="I71" s="4">
        <f>(VLOOKUP('17.04'!Q71,'17.04'!$AM$4:$AO$55,3,FALSE))</f>
        <v>0</v>
      </c>
      <c r="J71" s="4">
        <f>(VLOOKUP('17.04'!R71,'17.04'!$AM$4:$AO$55,3,FALSE))</f>
        <v>0</v>
      </c>
      <c r="K71" s="4">
        <f>(VLOOKUP('17.04'!S71,'17.04'!$AM$4:$AO$55,3,FALSE))</f>
        <v>0</v>
      </c>
      <c r="L71" s="4">
        <f>(VLOOKUP('17.04'!T71,'17.04'!$AM$4:$AO$55,3,FALSE))</f>
        <v>0</v>
      </c>
      <c r="M71" s="4">
        <f>(VLOOKUP('17.04'!U71,'17.04'!$AM$4:$AO$55,3,FALSE))</f>
        <v>0</v>
      </c>
      <c r="N71" s="4">
        <f>(VLOOKUP('17.04'!V71,'17.04'!$AM$4:$AO$55,3,FALSE))</f>
        <v>0</v>
      </c>
      <c r="O71" s="5">
        <f>(VLOOKUP('17.04'!W71,'17.04'!$AM$4:$AO$55,3,FALSE))</f>
        <v>0</v>
      </c>
      <c r="P71" s="5">
        <f>(VLOOKUP('17.04'!X71,'17.04'!$AM$4:$AO$55,3,FALSE))</f>
        <v>0</v>
      </c>
      <c r="Q71" s="4">
        <f>(VLOOKUP('17.04'!Y71,'17.04'!$AM$4:$AO$55,3,FALSE))</f>
        <v>0</v>
      </c>
      <c r="R71" s="4">
        <f>(VLOOKUP('17.04'!Z71,'17.04'!$AM$4:$AO$55,3,FALSE))</f>
        <v>0</v>
      </c>
      <c r="S71" s="4">
        <f>(VLOOKUP('17.04'!AA71,'17.04'!$AM$4:$AO$55,3,FALSE))</f>
        <v>0</v>
      </c>
      <c r="T71" s="4">
        <f>(VLOOKUP('17.04'!AB71,'17.04'!$AM$4:$AO$55,3,FALSE))</f>
        <v>0</v>
      </c>
      <c r="U71" s="4">
        <f>(VLOOKUP('17.04'!AC71,'17.04'!$AM$4:$AO$55,3,FALSE))</f>
        <v>0</v>
      </c>
      <c r="V71" s="4">
        <f>(VLOOKUP('17.04'!AD71,'17.04'!$AM$4:$AO$55,3,FALSE))</f>
        <v>0</v>
      </c>
      <c r="W71" s="5">
        <f>(VLOOKUP('17.04'!AE71,'17.04'!$AM$4:$AO$55,3,FALSE))</f>
        <v>0</v>
      </c>
      <c r="X71" s="5">
        <f>(VLOOKUP('17.04'!AF71,'17.04'!$AM$4:$AO$55,3,FALSE))</f>
        <v>0</v>
      </c>
    </row>
    <row r="72" spans="1:24">
      <c r="A72" s="4">
        <f>(VLOOKUP('17.04'!I72,'17.04'!$AM$4:$AO$55,3,FALSE))</f>
        <v>0</v>
      </c>
      <c r="B72" s="4">
        <f>(VLOOKUP('17.04'!J72,'17.04'!$AM$4:$AO$55,3,FALSE))</f>
        <v>0</v>
      </c>
      <c r="C72" s="4">
        <f>(VLOOKUP('17.04'!K72,'17.04'!$AM$4:$AO$55,3,FALSE))</f>
        <v>0</v>
      </c>
      <c r="D72" s="4">
        <f>(VLOOKUP('17.04'!L72,'17.04'!$AM$4:$AO$55,3,FALSE))</f>
        <v>0</v>
      </c>
      <c r="E72" s="4">
        <f>(VLOOKUP('17.04'!M72,'17.04'!$AM$4:$AO$55,3,FALSE))</f>
        <v>0</v>
      </c>
      <c r="F72" s="4">
        <f>(VLOOKUP('17.04'!N72,'17.04'!$AM$4:$AO$55,3,FALSE))</f>
        <v>0</v>
      </c>
      <c r="G72" s="5">
        <f>(VLOOKUP('17.04'!O72,'17.04'!$AM$4:$AO$55,3,FALSE))</f>
        <v>0</v>
      </c>
      <c r="H72" s="5">
        <f>(VLOOKUP('17.04'!P72,'17.04'!$AM$4:$AO$55,3,FALSE))</f>
        <v>0</v>
      </c>
      <c r="I72" s="4">
        <f>(VLOOKUP('17.04'!Q72,'17.04'!$AM$4:$AO$55,3,FALSE))</f>
        <v>0</v>
      </c>
      <c r="J72" s="4">
        <f>(VLOOKUP('17.04'!R72,'17.04'!$AM$4:$AO$55,3,FALSE))</f>
        <v>0</v>
      </c>
      <c r="K72" s="4">
        <f>(VLOOKUP('17.04'!S72,'17.04'!$AM$4:$AO$55,3,FALSE))</f>
        <v>0</v>
      </c>
      <c r="L72" s="4">
        <f>(VLOOKUP('17.04'!T72,'17.04'!$AM$4:$AO$55,3,FALSE))</f>
        <v>0</v>
      </c>
      <c r="M72" s="4">
        <f>(VLOOKUP('17.04'!U72,'17.04'!$AM$4:$AO$55,3,FALSE))</f>
        <v>0</v>
      </c>
      <c r="N72" s="4">
        <f>(VLOOKUP('17.04'!V72,'17.04'!$AM$4:$AO$55,3,FALSE))</f>
        <v>0</v>
      </c>
      <c r="O72" s="5">
        <f>(VLOOKUP('17.04'!W72,'17.04'!$AM$4:$AO$55,3,FALSE))</f>
        <v>0</v>
      </c>
      <c r="P72" s="5">
        <f>(VLOOKUP('17.04'!X72,'17.04'!$AM$4:$AO$55,3,FALSE))</f>
        <v>0</v>
      </c>
      <c r="Q72" s="4">
        <f>(VLOOKUP('17.04'!Y72,'17.04'!$AM$4:$AO$55,3,FALSE))</f>
        <v>0</v>
      </c>
      <c r="R72" s="4">
        <f>(VLOOKUP('17.04'!Z72,'17.04'!$AM$4:$AO$55,3,FALSE))</f>
        <v>0</v>
      </c>
      <c r="S72" s="4">
        <f>(VLOOKUP('17.04'!AA72,'17.04'!$AM$4:$AO$55,3,FALSE))</f>
        <v>0</v>
      </c>
      <c r="T72" s="4">
        <f>(VLOOKUP('17.04'!AB72,'17.04'!$AM$4:$AO$55,3,FALSE))</f>
        <v>0</v>
      </c>
      <c r="U72" s="4">
        <f>(VLOOKUP('17.04'!AC72,'17.04'!$AM$4:$AO$55,3,FALSE))</f>
        <v>0</v>
      </c>
      <c r="V72" s="4">
        <f>(VLOOKUP('17.04'!AD72,'17.04'!$AM$4:$AO$55,3,FALSE))</f>
        <v>0</v>
      </c>
      <c r="W72" s="5">
        <f>(VLOOKUP('17.04'!AE72,'17.04'!$AM$4:$AO$55,3,FALSE))</f>
        <v>0</v>
      </c>
      <c r="X72" s="5">
        <f>(VLOOKUP('17.04'!AF72,'17.04'!$AM$4:$AO$55,3,FALSE))</f>
        <v>0</v>
      </c>
    </row>
    <row r="73" spans="1:24">
      <c r="A73" s="4">
        <f>(VLOOKUP('17.04'!I73,'17.04'!$AM$4:$AO$55,3,FALSE))</f>
        <v>0</v>
      </c>
      <c r="B73" s="4">
        <f>(VLOOKUP('17.04'!J73,'17.04'!$AM$4:$AO$55,3,FALSE))</f>
        <v>0</v>
      </c>
      <c r="C73" s="4">
        <f>(VLOOKUP('17.04'!K73,'17.04'!$AM$4:$AO$55,3,FALSE))</f>
        <v>0</v>
      </c>
      <c r="D73" s="4">
        <f>(VLOOKUP('17.04'!L73,'17.04'!$AM$4:$AO$55,3,FALSE))</f>
        <v>0</v>
      </c>
      <c r="E73" s="4">
        <f>(VLOOKUP('17.04'!M73,'17.04'!$AM$4:$AO$55,3,FALSE))</f>
        <v>0</v>
      </c>
      <c r="F73" s="4">
        <f>(VLOOKUP('17.04'!N73,'17.04'!$AM$4:$AO$55,3,FALSE))</f>
        <v>0</v>
      </c>
      <c r="G73" s="5">
        <f>(VLOOKUP('17.04'!O73,'17.04'!$AM$4:$AO$55,3,FALSE))</f>
        <v>0</v>
      </c>
      <c r="H73" s="5">
        <f>(VLOOKUP('17.04'!P73,'17.04'!$AM$4:$AO$55,3,FALSE))</f>
        <v>0</v>
      </c>
      <c r="I73" s="4">
        <f>(VLOOKUP('17.04'!Q73,'17.04'!$AM$4:$AO$55,3,FALSE))</f>
        <v>0</v>
      </c>
      <c r="J73" s="4">
        <f>(VLOOKUP('17.04'!R73,'17.04'!$AM$4:$AO$55,3,FALSE))</f>
        <v>0</v>
      </c>
      <c r="K73" s="4">
        <f>(VLOOKUP('17.04'!S73,'17.04'!$AM$4:$AO$55,3,FALSE))</f>
        <v>0</v>
      </c>
      <c r="L73" s="4">
        <f>(VLOOKUP('17.04'!T73,'17.04'!$AM$4:$AO$55,3,FALSE))</f>
        <v>0</v>
      </c>
      <c r="M73" s="4">
        <f>(VLOOKUP('17.04'!U73,'17.04'!$AM$4:$AO$55,3,FALSE))</f>
        <v>0</v>
      </c>
      <c r="N73" s="4">
        <f>(VLOOKUP('17.04'!V73,'17.04'!$AM$4:$AO$55,3,FALSE))</f>
        <v>0</v>
      </c>
      <c r="O73" s="5">
        <f>(VLOOKUP('17.04'!W73,'17.04'!$AM$4:$AO$55,3,FALSE))</f>
        <v>0</v>
      </c>
      <c r="P73" s="5">
        <f>(VLOOKUP('17.04'!X73,'17.04'!$AM$4:$AO$55,3,FALSE))</f>
        <v>0</v>
      </c>
      <c r="Q73" s="4">
        <f>(VLOOKUP('17.04'!Y73,'17.04'!$AM$4:$AO$55,3,FALSE))</f>
        <v>0</v>
      </c>
      <c r="R73" s="4">
        <f>(VLOOKUP('17.04'!Z73,'17.04'!$AM$4:$AO$55,3,FALSE))</f>
        <v>0</v>
      </c>
      <c r="S73" s="4">
        <f>(VLOOKUP('17.04'!AA73,'17.04'!$AM$4:$AO$55,3,FALSE))</f>
        <v>0</v>
      </c>
      <c r="T73" s="4">
        <f>(VLOOKUP('17.04'!AB73,'17.04'!$AM$4:$AO$55,3,FALSE))</f>
        <v>0</v>
      </c>
      <c r="U73" s="4">
        <f>(VLOOKUP('17.04'!AC73,'17.04'!$AM$4:$AO$55,3,FALSE))</f>
        <v>0</v>
      </c>
      <c r="V73" s="4">
        <f>(VLOOKUP('17.04'!AD73,'17.04'!$AM$4:$AO$55,3,FALSE))</f>
        <v>0</v>
      </c>
      <c r="W73" s="5">
        <f>(VLOOKUP('17.04'!AE73,'17.04'!$AM$4:$AO$55,3,FALSE))</f>
        <v>0</v>
      </c>
      <c r="X73" s="5">
        <f>(VLOOKUP('17.04'!AF73,'17.04'!$AM$4:$AO$55,3,FALSE))</f>
        <v>0</v>
      </c>
    </row>
    <row r="74" spans="1:24">
      <c r="A74" s="4">
        <f>(VLOOKUP('17.04'!I74,'17.04'!$AM$4:$AO$55,3,FALSE))</f>
        <v>0</v>
      </c>
      <c r="B74" s="4">
        <f>(VLOOKUP('17.04'!J74,'17.04'!$AM$4:$AO$55,3,FALSE))</f>
        <v>0</v>
      </c>
      <c r="C74" s="4">
        <f>(VLOOKUP('17.04'!K74,'17.04'!$AM$4:$AO$55,3,FALSE))</f>
        <v>0</v>
      </c>
      <c r="D74" s="4">
        <f>(VLOOKUP('17.04'!L74,'17.04'!$AM$4:$AO$55,3,FALSE))</f>
        <v>0</v>
      </c>
      <c r="E74" s="4">
        <f>(VLOOKUP('17.04'!M74,'17.04'!$AM$4:$AO$55,3,FALSE))</f>
        <v>0</v>
      </c>
      <c r="F74" s="4">
        <f>(VLOOKUP('17.04'!N74,'17.04'!$AM$4:$AO$55,3,FALSE))</f>
        <v>0</v>
      </c>
      <c r="G74" s="5">
        <f>(VLOOKUP('17.04'!O74,'17.04'!$AM$4:$AO$55,3,FALSE))</f>
        <v>0</v>
      </c>
      <c r="H74" s="5">
        <f>(VLOOKUP('17.04'!P74,'17.04'!$AM$4:$AO$55,3,FALSE))</f>
        <v>0</v>
      </c>
      <c r="I74" s="4">
        <f>(VLOOKUP('17.04'!Q74,'17.04'!$AM$4:$AO$55,3,FALSE))</f>
        <v>0</v>
      </c>
      <c r="J74" s="4">
        <f>(VLOOKUP('17.04'!R74,'17.04'!$AM$4:$AO$55,3,FALSE))</f>
        <v>0</v>
      </c>
      <c r="K74" s="4">
        <f>(VLOOKUP('17.04'!S74,'17.04'!$AM$4:$AO$55,3,FALSE))</f>
        <v>0</v>
      </c>
      <c r="L74" s="4">
        <f>(VLOOKUP('17.04'!T74,'17.04'!$AM$4:$AO$55,3,FALSE))</f>
        <v>0</v>
      </c>
      <c r="M74" s="4">
        <f>(VLOOKUP('17.04'!U74,'17.04'!$AM$4:$AO$55,3,FALSE))</f>
        <v>0</v>
      </c>
      <c r="N74" s="4">
        <f>(VLOOKUP('17.04'!V74,'17.04'!$AM$4:$AO$55,3,FALSE))</f>
        <v>0</v>
      </c>
      <c r="O74" s="5">
        <f>(VLOOKUP('17.04'!W74,'17.04'!$AM$4:$AO$55,3,FALSE))</f>
        <v>0</v>
      </c>
      <c r="P74" s="5">
        <f>(VLOOKUP('17.04'!X74,'17.04'!$AM$4:$AO$55,3,FALSE))</f>
        <v>0</v>
      </c>
      <c r="Q74" s="4">
        <f>(VLOOKUP('17.04'!Y74,'17.04'!$AM$4:$AO$55,3,FALSE))</f>
        <v>0</v>
      </c>
      <c r="R74" s="4">
        <f>(VLOOKUP('17.04'!Z74,'17.04'!$AM$4:$AO$55,3,FALSE))</f>
        <v>0</v>
      </c>
      <c r="S74" s="4">
        <f>(VLOOKUP('17.04'!AA74,'17.04'!$AM$4:$AO$55,3,FALSE))</f>
        <v>0</v>
      </c>
      <c r="T74" s="4">
        <f>(VLOOKUP('17.04'!AB74,'17.04'!$AM$4:$AO$55,3,FALSE))</f>
        <v>0</v>
      </c>
      <c r="U74" s="4">
        <f>(VLOOKUP('17.04'!AC74,'17.04'!$AM$4:$AO$55,3,FALSE))</f>
        <v>0</v>
      </c>
      <c r="V74" s="4">
        <f>(VLOOKUP('17.04'!AD74,'17.04'!$AM$4:$AO$55,3,FALSE))</f>
        <v>0</v>
      </c>
      <c r="W74" s="5">
        <f>(VLOOKUP('17.04'!AE74,'17.04'!$AM$4:$AO$55,3,FALSE))</f>
        <v>0</v>
      </c>
      <c r="X74" s="5">
        <f>(VLOOKUP('17.04'!AF74,'17.04'!$AM$4:$AO$55,3,FALSE))</f>
        <v>0</v>
      </c>
    </row>
    <row r="75" spans="1:24">
      <c r="A75" s="4">
        <f>(VLOOKUP('17.04'!I75,'17.04'!$AM$4:$AO$55,3,FALSE))</f>
        <v>0</v>
      </c>
      <c r="B75" s="4">
        <f>(VLOOKUP('17.04'!J75,'17.04'!$AM$4:$AO$55,3,FALSE))</f>
        <v>0</v>
      </c>
      <c r="C75" s="4">
        <f>(VLOOKUP('17.04'!K75,'17.04'!$AM$4:$AO$55,3,FALSE))</f>
        <v>0</v>
      </c>
      <c r="D75" s="4">
        <f>(VLOOKUP('17.04'!L75,'17.04'!$AM$4:$AO$55,3,FALSE))</f>
        <v>0</v>
      </c>
      <c r="E75" s="4">
        <f>(VLOOKUP('17.04'!M75,'17.04'!$AM$4:$AO$55,3,FALSE))</f>
        <v>0</v>
      </c>
      <c r="F75" s="4">
        <f>(VLOOKUP('17.04'!N75,'17.04'!$AM$4:$AO$55,3,FALSE))</f>
        <v>0</v>
      </c>
      <c r="G75" s="5">
        <f>(VLOOKUP('17.04'!O75,'17.04'!$AM$4:$AO$55,3,FALSE))</f>
        <v>0</v>
      </c>
      <c r="H75" s="5">
        <f>(VLOOKUP('17.04'!P75,'17.04'!$AM$4:$AO$55,3,FALSE))</f>
        <v>0</v>
      </c>
      <c r="I75" s="4">
        <f>(VLOOKUP('17.04'!Q75,'17.04'!$AM$4:$AO$55,3,FALSE))</f>
        <v>0</v>
      </c>
      <c r="J75" s="4">
        <f>(VLOOKUP('17.04'!R75,'17.04'!$AM$4:$AO$55,3,FALSE))</f>
        <v>0</v>
      </c>
      <c r="K75" s="4">
        <f>(VLOOKUP('17.04'!S75,'17.04'!$AM$4:$AO$55,3,FALSE))</f>
        <v>0</v>
      </c>
      <c r="L75" s="4">
        <f>(VLOOKUP('17.04'!T75,'17.04'!$AM$4:$AO$55,3,FALSE))</f>
        <v>0</v>
      </c>
      <c r="M75" s="4">
        <f>(VLOOKUP('17.04'!U75,'17.04'!$AM$4:$AO$55,3,FALSE))</f>
        <v>0</v>
      </c>
      <c r="N75" s="4">
        <f>(VLOOKUP('17.04'!V75,'17.04'!$AM$4:$AO$55,3,FALSE))</f>
        <v>0</v>
      </c>
      <c r="O75" s="5">
        <f>(VLOOKUP('17.04'!W75,'17.04'!$AM$4:$AO$55,3,FALSE))</f>
        <v>0</v>
      </c>
      <c r="P75" s="5">
        <f>(VLOOKUP('17.04'!X75,'17.04'!$AM$4:$AO$55,3,FALSE))</f>
        <v>0</v>
      </c>
      <c r="Q75" s="4">
        <f>(VLOOKUP('17.04'!Y75,'17.04'!$AM$4:$AO$55,3,FALSE))</f>
        <v>0</v>
      </c>
      <c r="R75" s="4">
        <f>(VLOOKUP('17.04'!Z75,'17.04'!$AM$4:$AO$55,3,FALSE))</f>
        <v>0</v>
      </c>
      <c r="S75" s="4">
        <f>(VLOOKUP('17.04'!AA75,'17.04'!$AM$4:$AO$55,3,FALSE))</f>
        <v>0</v>
      </c>
      <c r="T75" s="4">
        <f>(VLOOKUP('17.04'!AB75,'17.04'!$AM$4:$AO$55,3,FALSE))</f>
        <v>0</v>
      </c>
      <c r="U75" s="4">
        <f>(VLOOKUP('17.04'!AC75,'17.04'!$AM$4:$AO$55,3,FALSE))</f>
        <v>0</v>
      </c>
      <c r="V75" s="4">
        <f>(VLOOKUP('17.04'!AD75,'17.04'!$AM$4:$AO$55,3,FALSE))</f>
        <v>0</v>
      </c>
      <c r="W75" s="5">
        <f>(VLOOKUP('17.04'!AE75,'17.04'!$AM$4:$AO$55,3,FALSE))</f>
        <v>0</v>
      </c>
      <c r="X75" s="5">
        <f>(VLOOKUP('17.04'!AF75,'17.04'!$AM$4:$AO$55,3,FALSE))</f>
        <v>0</v>
      </c>
    </row>
    <row r="76" spans="1:24">
      <c r="A76" s="4">
        <f>(VLOOKUP('17.04'!I76,'17.04'!$AM$4:$AO$55,3,FALSE))</f>
        <v>0</v>
      </c>
      <c r="B76" s="4">
        <f>(VLOOKUP('17.04'!J76,'17.04'!$AM$4:$AO$55,3,FALSE))</f>
        <v>0</v>
      </c>
      <c r="C76" s="4">
        <f>(VLOOKUP('17.04'!K76,'17.04'!$AM$4:$AO$55,3,FALSE))</f>
        <v>0</v>
      </c>
      <c r="D76" s="4">
        <f>(VLOOKUP('17.04'!L76,'17.04'!$AM$4:$AO$55,3,FALSE))</f>
        <v>0</v>
      </c>
      <c r="E76" s="4">
        <f>(VLOOKUP('17.04'!M76,'17.04'!$AM$4:$AO$55,3,FALSE))</f>
        <v>0</v>
      </c>
      <c r="F76" s="4">
        <f>(VLOOKUP('17.04'!N76,'17.04'!$AM$4:$AO$55,3,FALSE))</f>
        <v>0</v>
      </c>
      <c r="G76" s="5">
        <f>(VLOOKUP('17.04'!O76,'17.04'!$AM$4:$AO$55,3,FALSE))</f>
        <v>0</v>
      </c>
      <c r="H76" s="5">
        <f>(VLOOKUP('17.04'!P76,'17.04'!$AM$4:$AO$55,3,FALSE))</f>
        <v>0</v>
      </c>
      <c r="I76" s="4">
        <f>(VLOOKUP('17.04'!Q76,'17.04'!$AM$4:$AO$55,3,FALSE))</f>
        <v>0</v>
      </c>
      <c r="J76" s="4">
        <f>(VLOOKUP('17.04'!R76,'17.04'!$AM$4:$AO$55,3,FALSE))</f>
        <v>0</v>
      </c>
      <c r="K76" s="4">
        <f>(VLOOKUP('17.04'!S76,'17.04'!$AM$4:$AO$55,3,FALSE))</f>
        <v>0</v>
      </c>
      <c r="L76" s="4">
        <f>(VLOOKUP('17.04'!T76,'17.04'!$AM$4:$AO$55,3,FALSE))</f>
        <v>0</v>
      </c>
      <c r="M76" s="4">
        <f>(VLOOKUP('17.04'!U76,'17.04'!$AM$4:$AO$55,3,FALSE))</f>
        <v>0</v>
      </c>
      <c r="N76" s="4">
        <f>(VLOOKUP('17.04'!V76,'17.04'!$AM$4:$AO$55,3,FALSE))</f>
        <v>0</v>
      </c>
      <c r="O76" s="5">
        <f>(VLOOKUP('17.04'!W76,'17.04'!$AM$4:$AO$55,3,FALSE))</f>
        <v>0</v>
      </c>
      <c r="P76" s="5">
        <f>(VLOOKUP('17.04'!X76,'17.04'!$AM$4:$AO$55,3,FALSE))</f>
        <v>0</v>
      </c>
      <c r="Q76" s="4">
        <f>(VLOOKUP('17.04'!Y76,'17.04'!$AM$4:$AO$55,3,FALSE))</f>
        <v>0</v>
      </c>
      <c r="R76" s="4">
        <f>(VLOOKUP('17.04'!Z76,'17.04'!$AM$4:$AO$55,3,FALSE))</f>
        <v>0</v>
      </c>
      <c r="S76" s="4">
        <f>(VLOOKUP('17.04'!AA76,'17.04'!$AM$4:$AO$55,3,FALSE))</f>
        <v>0</v>
      </c>
      <c r="T76" s="4">
        <f>(VLOOKUP('17.04'!AB76,'17.04'!$AM$4:$AO$55,3,FALSE))</f>
        <v>0</v>
      </c>
      <c r="U76" s="4">
        <f>(VLOOKUP('17.04'!AC76,'17.04'!$AM$4:$AO$55,3,FALSE))</f>
        <v>0</v>
      </c>
      <c r="V76" s="4">
        <f>(VLOOKUP('17.04'!AD76,'17.04'!$AM$4:$AO$55,3,FALSE))</f>
        <v>0</v>
      </c>
      <c r="W76" s="5">
        <f>(VLOOKUP('17.04'!AE76,'17.04'!$AM$4:$AO$55,3,FALSE))</f>
        <v>0</v>
      </c>
      <c r="X76" s="5">
        <f>(VLOOKUP('17.04'!AF76,'17.04'!$AM$4:$AO$55,3,FALSE))</f>
        <v>0</v>
      </c>
    </row>
    <row r="77" spans="1:24">
      <c r="A77" s="4">
        <f>(VLOOKUP('17.04'!I77,'17.04'!$AM$4:$AO$55,3,FALSE))</f>
        <v>0</v>
      </c>
      <c r="B77" s="4">
        <f>(VLOOKUP('17.04'!J77,'17.04'!$AM$4:$AO$55,3,FALSE))</f>
        <v>0</v>
      </c>
      <c r="C77" s="4">
        <f>(VLOOKUP('17.04'!K77,'17.04'!$AM$4:$AO$55,3,FALSE))</f>
        <v>0</v>
      </c>
      <c r="D77" s="4">
        <f>(VLOOKUP('17.04'!L77,'17.04'!$AM$4:$AO$55,3,FALSE))</f>
        <v>0</v>
      </c>
      <c r="E77" s="4">
        <f>(VLOOKUP('17.04'!M77,'17.04'!$AM$4:$AO$55,3,FALSE))</f>
        <v>0</v>
      </c>
      <c r="F77" s="4">
        <f>(VLOOKUP('17.04'!N77,'17.04'!$AM$4:$AO$55,3,FALSE))</f>
        <v>0</v>
      </c>
      <c r="G77" s="5">
        <f>(VLOOKUP('17.04'!O77,'17.04'!$AM$4:$AO$55,3,FALSE))</f>
        <v>0</v>
      </c>
      <c r="H77" s="5">
        <f>(VLOOKUP('17.04'!P77,'17.04'!$AM$4:$AO$55,3,FALSE))</f>
        <v>0</v>
      </c>
      <c r="I77" s="4">
        <f>(VLOOKUP('17.04'!Q77,'17.04'!$AM$4:$AO$55,3,FALSE))</f>
        <v>0</v>
      </c>
      <c r="J77" s="4">
        <f>(VLOOKUP('17.04'!R77,'17.04'!$AM$4:$AO$55,3,FALSE))</f>
        <v>0</v>
      </c>
      <c r="K77" s="4">
        <f>(VLOOKUP('17.04'!S77,'17.04'!$AM$4:$AO$55,3,FALSE))</f>
        <v>0</v>
      </c>
      <c r="L77" s="4">
        <f>(VLOOKUP('17.04'!T77,'17.04'!$AM$4:$AO$55,3,FALSE))</f>
        <v>0</v>
      </c>
      <c r="M77" s="4">
        <f>(VLOOKUP('17.04'!U77,'17.04'!$AM$4:$AO$55,3,FALSE))</f>
        <v>0</v>
      </c>
      <c r="N77" s="4">
        <f>(VLOOKUP('17.04'!V77,'17.04'!$AM$4:$AO$55,3,FALSE))</f>
        <v>0</v>
      </c>
      <c r="O77" s="5">
        <f>(VLOOKUP('17.04'!W77,'17.04'!$AM$4:$AO$55,3,FALSE))</f>
        <v>0</v>
      </c>
      <c r="P77" s="5">
        <f>(VLOOKUP('17.04'!X77,'17.04'!$AM$4:$AO$55,3,FALSE))</f>
        <v>0</v>
      </c>
      <c r="Q77" s="4">
        <f>(VLOOKUP('17.04'!Y77,'17.04'!$AM$4:$AO$55,3,FALSE))</f>
        <v>0</v>
      </c>
      <c r="R77" s="4">
        <f>(VLOOKUP('17.04'!Z77,'17.04'!$AM$4:$AO$55,3,FALSE))</f>
        <v>0</v>
      </c>
      <c r="S77" s="4">
        <f>(VLOOKUP('17.04'!AA77,'17.04'!$AM$4:$AO$55,3,FALSE))</f>
        <v>0</v>
      </c>
      <c r="T77" s="4">
        <f>(VLOOKUP('17.04'!AB77,'17.04'!$AM$4:$AO$55,3,FALSE))</f>
        <v>0</v>
      </c>
      <c r="U77" s="4">
        <f>(VLOOKUP('17.04'!AC77,'17.04'!$AM$4:$AO$55,3,FALSE))</f>
        <v>0</v>
      </c>
      <c r="V77" s="4">
        <f>(VLOOKUP('17.04'!AD77,'17.04'!$AM$4:$AO$55,3,FALSE))</f>
        <v>0</v>
      </c>
      <c r="W77" s="5">
        <f>(VLOOKUP('17.04'!AE77,'17.04'!$AM$4:$AO$55,3,FALSE))</f>
        <v>0</v>
      </c>
      <c r="X77" s="5">
        <f>(VLOOKUP('17.04'!AF77,'17.04'!$AM$4:$AO$55,3,FALSE))</f>
        <v>0</v>
      </c>
    </row>
    <row r="78" spans="1:24">
      <c r="A78" s="4">
        <f>(VLOOKUP('17.04'!I78,'17.04'!$AM$4:$AO$55,3,FALSE))</f>
        <v>0</v>
      </c>
      <c r="B78" s="4">
        <f>(VLOOKUP('17.04'!J78,'17.04'!$AM$4:$AO$55,3,FALSE))</f>
        <v>0</v>
      </c>
      <c r="C78" s="4">
        <f>(VLOOKUP('17.04'!K78,'17.04'!$AM$4:$AO$55,3,FALSE))</f>
        <v>0</v>
      </c>
      <c r="D78" s="4">
        <f>(VLOOKUP('17.04'!L78,'17.04'!$AM$4:$AO$55,3,FALSE))</f>
        <v>0</v>
      </c>
      <c r="E78" s="4">
        <f>(VLOOKUP('17.04'!M78,'17.04'!$AM$4:$AO$55,3,FALSE))</f>
        <v>0</v>
      </c>
      <c r="F78" s="4">
        <f>(VLOOKUP('17.04'!N78,'17.04'!$AM$4:$AO$55,3,FALSE))</f>
        <v>0</v>
      </c>
      <c r="G78" s="5">
        <f>(VLOOKUP('17.04'!O78,'17.04'!$AM$4:$AO$55,3,FALSE))</f>
        <v>0</v>
      </c>
      <c r="H78" s="5">
        <f>(VLOOKUP('17.04'!P78,'17.04'!$AM$4:$AO$55,3,FALSE))</f>
        <v>0</v>
      </c>
      <c r="I78" s="4">
        <f>(VLOOKUP('17.04'!Q78,'17.04'!$AM$4:$AO$55,3,FALSE))</f>
        <v>0</v>
      </c>
      <c r="J78" s="4">
        <f>(VLOOKUP('17.04'!R78,'17.04'!$AM$4:$AO$55,3,FALSE))</f>
        <v>0</v>
      </c>
      <c r="K78" s="4">
        <f>(VLOOKUP('17.04'!S78,'17.04'!$AM$4:$AO$55,3,FALSE))</f>
        <v>0</v>
      </c>
      <c r="L78" s="4">
        <f>(VLOOKUP('17.04'!T78,'17.04'!$AM$4:$AO$55,3,FALSE))</f>
        <v>0</v>
      </c>
      <c r="M78" s="4">
        <f>(VLOOKUP('17.04'!U78,'17.04'!$AM$4:$AO$55,3,FALSE))</f>
        <v>0</v>
      </c>
      <c r="N78" s="4">
        <f>(VLOOKUP('17.04'!V78,'17.04'!$AM$4:$AO$55,3,FALSE))</f>
        <v>0</v>
      </c>
      <c r="O78" s="5">
        <f>(VLOOKUP('17.04'!W78,'17.04'!$AM$4:$AO$55,3,FALSE))</f>
        <v>0</v>
      </c>
      <c r="P78" s="5">
        <f>(VLOOKUP('17.04'!X78,'17.04'!$AM$4:$AO$55,3,FALSE))</f>
        <v>0</v>
      </c>
      <c r="Q78" s="4">
        <f>(VLOOKUP('17.04'!Y78,'17.04'!$AM$4:$AO$55,3,FALSE))</f>
        <v>0</v>
      </c>
      <c r="R78" s="4">
        <f>(VLOOKUP('17.04'!Z78,'17.04'!$AM$4:$AO$55,3,FALSE))</f>
        <v>0</v>
      </c>
      <c r="S78" s="4">
        <f>(VLOOKUP('17.04'!AA78,'17.04'!$AM$4:$AO$55,3,FALSE))</f>
        <v>0</v>
      </c>
      <c r="T78" s="4">
        <f>(VLOOKUP('17.04'!AB78,'17.04'!$AM$4:$AO$55,3,FALSE))</f>
        <v>0</v>
      </c>
      <c r="U78" s="4">
        <f>(VLOOKUP('17.04'!AC78,'17.04'!$AM$4:$AO$55,3,FALSE))</f>
        <v>0</v>
      </c>
      <c r="V78" s="4">
        <f>(VLOOKUP('17.04'!AD78,'17.04'!$AM$4:$AO$55,3,FALSE))</f>
        <v>0</v>
      </c>
      <c r="W78" s="5">
        <f>(VLOOKUP('17.04'!AE78,'17.04'!$AM$4:$AO$55,3,FALSE))</f>
        <v>0</v>
      </c>
      <c r="X78" s="5">
        <f>(VLOOKUP('17.04'!AF78,'17.04'!$AM$4:$AO$55,3,FALSE))</f>
        <v>0</v>
      </c>
    </row>
    <row r="79" spans="1:24">
      <c r="A79" s="4">
        <f>(VLOOKUP('17.04'!I79,'17.04'!$AM$4:$AO$55,3,FALSE))</f>
        <v>0</v>
      </c>
      <c r="B79" s="4">
        <f>(VLOOKUP('17.04'!J79,'17.04'!$AM$4:$AO$55,3,FALSE))</f>
        <v>0</v>
      </c>
      <c r="C79" s="4">
        <f>(VLOOKUP('17.04'!K79,'17.04'!$AM$4:$AO$55,3,FALSE))</f>
        <v>0</v>
      </c>
      <c r="D79" s="4">
        <f>(VLOOKUP('17.04'!L79,'17.04'!$AM$4:$AO$55,3,FALSE))</f>
        <v>0</v>
      </c>
      <c r="E79" s="4">
        <f>(VLOOKUP('17.04'!M79,'17.04'!$AM$4:$AO$55,3,FALSE))</f>
        <v>0</v>
      </c>
      <c r="F79" s="4">
        <f>(VLOOKUP('17.04'!N79,'17.04'!$AM$4:$AO$55,3,FALSE))</f>
        <v>0</v>
      </c>
      <c r="G79" s="5">
        <f>(VLOOKUP('17.04'!O79,'17.04'!$AM$4:$AO$55,3,FALSE))</f>
        <v>0</v>
      </c>
      <c r="H79" s="5">
        <f>(VLOOKUP('17.04'!P79,'17.04'!$AM$4:$AO$55,3,FALSE))</f>
        <v>0</v>
      </c>
      <c r="I79" s="4">
        <f>(VLOOKUP('17.04'!Q79,'17.04'!$AM$4:$AO$55,3,FALSE))</f>
        <v>0</v>
      </c>
      <c r="J79" s="4">
        <f>(VLOOKUP('17.04'!R79,'17.04'!$AM$4:$AO$55,3,FALSE))</f>
        <v>0</v>
      </c>
      <c r="K79" s="4">
        <f>(VLOOKUP('17.04'!S79,'17.04'!$AM$4:$AO$55,3,FALSE))</f>
        <v>0</v>
      </c>
      <c r="L79" s="4">
        <f>(VLOOKUP('17.04'!T79,'17.04'!$AM$4:$AO$55,3,FALSE))</f>
        <v>0</v>
      </c>
      <c r="M79" s="4">
        <f>(VLOOKUP('17.04'!U79,'17.04'!$AM$4:$AO$55,3,FALSE))</f>
        <v>0</v>
      </c>
      <c r="N79" s="4">
        <f>(VLOOKUP('17.04'!V79,'17.04'!$AM$4:$AO$55,3,FALSE))</f>
        <v>0</v>
      </c>
      <c r="O79" s="5">
        <f>(VLOOKUP('17.04'!W79,'17.04'!$AM$4:$AO$55,3,FALSE))</f>
        <v>0</v>
      </c>
      <c r="P79" s="5">
        <f>(VLOOKUP('17.04'!X79,'17.04'!$AM$4:$AO$55,3,FALSE))</f>
        <v>0</v>
      </c>
      <c r="Q79" s="4">
        <f>(VLOOKUP('17.04'!Y79,'17.04'!$AM$4:$AO$55,3,FALSE))</f>
        <v>0</v>
      </c>
      <c r="R79" s="4">
        <f>(VLOOKUP('17.04'!Z79,'17.04'!$AM$4:$AO$55,3,FALSE))</f>
        <v>0</v>
      </c>
      <c r="S79" s="4">
        <f>(VLOOKUP('17.04'!AA79,'17.04'!$AM$4:$AO$55,3,FALSE))</f>
        <v>0</v>
      </c>
      <c r="T79" s="4">
        <f>(VLOOKUP('17.04'!AB79,'17.04'!$AM$4:$AO$55,3,FALSE))</f>
        <v>0</v>
      </c>
      <c r="U79" s="4">
        <f>(VLOOKUP('17.04'!AC79,'17.04'!$AM$4:$AO$55,3,FALSE))</f>
        <v>0</v>
      </c>
      <c r="V79" s="4">
        <f>(VLOOKUP('17.04'!AD79,'17.04'!$AM$4:$AO$55,3,FALSE))</f>
        <v>0</v>
      </c>
      <c r="W79" s="5">
        <f>(VLOOKUP('17.04'!AE79,'17.04'!$AM$4:$AO$55,3,FALSE))</f>
        <v>0</v>
      </c>
      <c r="X79" s="5">
        <f>(VLOOKUP('17.04'!AF79,'17.04'!$AM$4:$AO$55,3,FALSE))</f>
        <v>0</v>
      </c>
    </row>
    <row r="80" spans="1:24">
      <c r="A80" s="4">
        <f>(VLOOKUP('17.04'!I80,'17.04'!$AM$4:$AO$55,3,FALSE))</f>
        <v>0</v>
      </c>
      <c r="B80" s="4">
        <f>(VLOOKUP('17.04'!J80,'17.04'!$AM$4:$AO$55,3,FALSE))</f>
        <v>0</v>
      </c>
      <c r="C80" s="4">
        <f>(VLOOKUP('17.04'!K80,'17.04'!$AM$4:$AO$55,3,FALSE))</f>
        <v>0</v>
      </c>
      <c r="D80" s="4">
        <f>(VLOOKUP('17.04'!L80,'17.04'!$AM$4:$AO$55,3,FALSE))</f>
        <v>0</v>
      </c>
      <c r="E80" s="4">
        <f>(VLOOKUP('17.04'!M80,'17.04'!$AM$4:$AO$55,3,FALSE))</f>
        <v>0</v>
      </c>
      <c r="F80" s="4">
        <f>(VLOOKUP('17.04'!N80,'17.04'!$AM$4:$AO$55,3,FALSE))</f>
        <v>0</v>
      </c>
      <c r="G80" s="5">
        <f>(VLOOKUP('17.04'!O80,'17.04'!$AM$4:$AO$55,3,FALSE))</f>
        <v>0</v>
      </c>
      <c r="H80" s="5">
        <f>(VLOOKUP('17.04'!P80,'17.04'!$AM$4:$AO$55,3,FALSE))</f>
        <v>0</v>
      </c>
      <c r="I80" s="4">
        <f>(VLOOKUP('17.04'!Q80,'17.04'!$AM$4:$AO$55,3,FALSE))</f>
        <v>0</v>
      </c>
      <c r="J80" s="4">
        <f>(VLOOKUP('17.04'!R80,'17.04'!$AM$4:$AO$55,3,FALSE))</f>
        <v>0</v>
      </c>
      <c r="K80" s="4">
        <f>(VLOOKUP('17.04'!S80,'17.04'!$AM$4:$AO$55,3,FALSE))</f>
        <v>0</v>
      </c>
      <c r="L80" s="4">
        <f>(VLOOKUP('17.04'!T80,'17.04'!$AM$4:$AO$55,3,FALSE))</f>
        <v>0</v>
      </c>
      <c r="M80" s="4">
        <f>(VLOOKUP('17.04'!U80,'17.04'!$AM$4:$AO$55,3,FALSE))</f>
        <v>0</v>
      </c>
      <c r="N80" s="4">
        <f>(VLOOKUP('17.04'!V80,'17.04'!$AM$4:$AO$55,3,FALSE))</f>
        <v>0</v>
      </c>
      <c r="O80" s="5">
        <f>(VLOOKUP('17.04'!W80,'17.04'!$AM$4:$AO$55,3,FALSE))</f>
        <v>0</v>
      </c>
      <c r="P80" s="5">
        <f>(VLOOKUP('17.04'!X80,'17.04'!$AM$4:$AO$55,3,FALSE))</f>
        <v>0</v>
      </c>
      <c r="Q80" s="4">
        <f>(VLOOKUP('17.04'!Y80,'17.04'!$AM$4:$AO$55,3,FALSE))</f>
        <v>0</v>
      </c>
      <c r="R80" s="4">
        <f>(VLOOKUP('17.04'!Z80,'17.04'!$AM$4:$AO$55,3,FALSE))</f>
        <v>0</v>
      </c>
      <c r="S80" s="4">
        <f>(VLOOKUP('17.04'!AA80,'17.04'!$AM$4:$AO$55,3,FALSE))</f>
        <v>0</v>
      </c>
      <c r="T80" s="4">
        <f>(VLOOKUP('17.04'!AB80,'17.04'!$AM$4:$AO$55,3,FALSE))</f>
        <v>0</v>
      </c>
      <c r="U80" s="4">
        <f>(VLOOKUP('17.04'!AC80,'17.04'!$AM$4:$AO$55,3,FALSE))</f>
        <v>0</v>
      </c>
      <c r="V80" s="4">
        <f>(VLOOKUP('17.04'!AD80,'17.04'!$AM$4:$AO$55,3,FALSE))</f>
        <v>0</v>
      </c>
      <c r="W80" s="5">
        <f>(VLOOKUP('17.04'!AE80,'17.04'!$AM$4:$AO$55,3,FALSE))</f>
        <v>0</v>
      </c>
      <c r="X80" s="5">
        <f>(VLOOKUP('17.04'!AF80,'17.04'!$AM$4:$AO$55,3,FALSE))</f>
        <v>0</v>
      </c>
    </row>
    <row r="81" spans="1:24">
      <c r="A81" s="4">
        <f>(VLOOKUP('17.04'!I81,'17.04'!$AM$4:$AO$55,3,FALSE))</f>
        <v>0</v>
      </c>
      <c r="B81" s="4">
        <f>(VLOOKUP('17.04'!J81,'17.04'!$AM$4:$AO$55,3,FALSE))</f>
        <v>0</v>
      </c>
      <c r="C81" s="4">
        <f>(VLOOKUP('17.04'!K81,'17.04'!$AM$4:$AO$55,3,FALSE))</f>
        <v>0</v>
      </c>
      <c r="D81" s="4">
        <f>(VLOOKUP('17.04'!L81,'17.04'!$AM$4:$AO$55,3,FALSE))</f>
        <v>0</v>
      </c>
      <c r="E81" s="4">
        <f>(VLOOKUP('17.04'!M81,'17.04'!$AM$4:$AO$55,3,FALSE))</f>
        <v>0</v>
      </c>
      <c r="F81" s="4">
        <f>(VLOOKUP('17.04'!N81,'17.04'!$AM$4:$AO$55,3,FALSE))</f>
        <v>0</v>
      </c>
      <c r="G81" s="5">
        <f>(VLOOKUP('17.04'!O81,'17.04'!$AM$4:$AO$55,3,FALSE))</f>
        <v>0</v>
      </c>
      <c r="H81" s="5">
        <f>(VLOOKUP('17.04'!P81,'17.04'!$AM$4:$AO$55,3,FALSE))</f>
        <v>0</v>
      </c>
      <c r="I81" s="4">
        <f>(VLOOKUP('17.04'!Q81,'17.04'!$AM$4:$AO$55,3,FALSE))</f>
        <v>0</v>
      </c>
      <c r="J81" s="4">
        <f>(VLOOKUP('17.04'!R81,'17.04'!$AM$4:$AO$55,3,FALSE))</f>
        <v>0</v>
      </c>
      <c r="K81" s="4">
        <f>(VLOOKUP('17.04'!S81,'17.04'!$AM$4:$AO$55,3,FALSE))</f>
        <v>0</v>
      </c>
      <c r="L81" s="4">
        <f>(VLOOKUP('17.04'!T81,'17.04'!$AM$4:$AO$55,3,FALSE))</f>
        <v>0</v>
      </c>
      <c r="M81" s="4">
        <f>(VLOOKUP('17.04'!U81,'17.04'!$AM$4:$AO$55,3,FALSE))</f>
        <v>0</v>
      </c>
      <c r="N81" s="4">
        <f>(VLOOKUP('17.04'!V81,'17.04'!$AM$4:$AO$55,3,FALSE))</f>
        <v>0</v>
      </c>
      <c r="O81" s="5">
        <f>(VLOOKUP('17.04'!W81,'17.04'!$AM$4:$AO$55,3,FALSE))</f>
        <v>0</v>
      </c>
      <c r="P81" s="5">
        <f>(VLOOKUP('17.04'!X81,'17.04'!$AM$4:$AO$55,3,FALSE))</f>
        <v>0</v>
      </c>
      <c r="Q81" s="4">
        <f>(VLOOKUP('17.04'!Y81,'17.04'!$AM$4:$AO$55,3,FALSE))</f>
        <v>0</v>
      </c>
      <c r="R81" s="4">
        <f>(VLOOKUP('17.04'!Z81,'17.04'!$AM$4:$AO$55,3,FALSE))</f>
        <v>0</v>
      </c>
      <c r="S81" s="4">
        <f>(VLOOKUP('17.04'!AA81,'17.04'!$AM$4:$AO$55,3,FALSE))</f>
        <v>0</v>
      </c>
      <c r="T81" s="4">
        <f>(VLOOKUP('17.04'!AB81,'17.04'!$AM$4:$AO$55,3,FALSE))</f>
        <v>0</v>
      </c>
      <c r="U81" s="4">
        <f>(VLOOKUP('17.04'!AC81,'17.04'!$AM$4:$AO$55,3,FALSE))</f>
        <v>0</v>
      </c>
      <c r="V81" s="4">
        <f>(VLOOKUP('17.04'!AD81,'17.04'!$AM$4:$AO$55,3,FALSE))</f>
        <v>0</v>
      </c>
      <c r="W81" s="5">
        <f>(VLOOKUP('17.04'!AE81,'17.04'!$AM$4:$AO$55,3,FALSE))</f>
        <v>0</v>
      </c>
      <c r="X81" s="5">
        <f>(VLOOKUP('17.04'!AF81,'17.04'!$AM$4:$AO$55,3,FALSE))</f>
        <v>0</v>
      </c>
    </row>
    <row r="82" spans="1:24">
      <c r="A82" s="4">
        <f>(VLOOKUP('17.04'!I82,'17.04'!$AM$4:$AO$55,3,FALSE))</f>
        <v>0</v>
      </c>
      <c r="B82" s="4">
        <f>(VLOOKUP('17.04'!J82,'17.04'!$AM$4:$AO$55,3,FALSE))</f>
        <v>0</v>
      </c>
      <c r="C82" s="4">
        <f>(VLOOKUP('17.04'!K82,'17.04'!$AM$4:$AO$55,3,FALSE))</f>
        <v>0</v>
      </c>
      <c r="D82" s="4">
        <f>(VLOOKUP('17.04'!L82,'17.04'!$AM$4:$AO$55,3,FALSE))</f>
        <v>0</v>
      </c>
      <c r="E82" s="4">
        <f>(VLOOKUP('17.04'!M82,'17.04'!$AM$4:$AO$55,3,FALSE))</f>
        <v>0</v>
      </c>
      <c r="F82" s="4">
        <f>(VLOOKUP('17.04'!N82,'17.04'!$AM$4:$AO$55,3,FALSE))</f>
        <v>0</v>
      </c>
      <c r="G82" s="5">
        <f>(VLOOKUP('17.04'!O82,'17.04'!$AM$4:$AO$55,3,FALSE))</f>
        <v>0</v>
      </c>
      <c r="H82" s="5">
        <f>(VLOOKUP('17.04'!P82,'17.04'!$AM$4:$AO$55,3,FALSE))</f>
        <v>0</v>
      </c>
      <c r="I82" s="4">
        <f>(VLOOKUP('17.04'!Q82,'17.04'!$AM$4:$AO$55,3,FALSE))</f>
        <v>0</v>
      </c>
      <c r="J82" s="4">
        <f>(VLOOKUP('17.04'!R82,'17.04'!$AM$4:$AO$55,3,FALSE))</f>
        <v>0</v>
      </c>
      <c r="K82" s="4">
        <f>(VLOOKUP('17.04'!S82,'17.04'!$AM$4:$AO$55,3,FALSE))</f>
        <v>0</v>
      </c>
      <c r="L82" s="4">
        <f>(VLOOKUP('17.04'!T82,'17.04'!$AM$4:$AO$55,3,FALSE))</f>
        <v>0</v>
      </c>
      <c r="M82" s="4">
        <f>(VLOOKUP('17.04'!U82,'17.04'!$AM$4:$AO$55,3,FALSE))</f>
        <v>0</v>
      </c>
      <c r="N82" s="4">
        <f>(VLOOKUP('17.04'!V82,'17.04'!$AM$4:$AO$55,3,FALSE))</f>
        <v>0</v>
      </c>
      <c r="O82" s="5">
        <f>(VLOOKUP('17.04'!W82,'17.04'!$AM$4:$AO$55,3,FALSE))</f>
        <v>0</v>
      </c>
      <c r="P82" s="5">
        <f>(VLOOKUP('17.04'!X82,'17.04'!$AM$4:$AO$55,3,FALSE))</f>
        <v>0</v>
      </c>
      <c r="Q82" s="4">
        <f>(VLOOKUP('17.04'!Y82,'17.04'!$AM$4:$AO$55,3,FALSE))</f>
        <v>0</v>
      </c>
      <c r="R82" s="4">
        <f>(VLOOKUP('17.04'!Z82,'17.04'!$AM$4:$AO$55,3,FALSE))</f>
        <v>0</v>
      </c>
      <c r="S82" s="4">
        <f>(VLOOKUP('17.04'!AA82,'17.04'!$AM$4:$AO$55,3,FALSE))</f>
        <v>0</v>
      </c>
      <c r="T82" s="4">
        <f>(VLOOKUP('17.04'!AB82,'17.04'!$AM$4:$AO$55,3,FALSE))</f>
        <v>0</v>
      </c>
      <c r="U82" s="4">
        <f>(VLOOKUP('17.04'!AC82,'17.04'!$AM$4:$AO$55,3,FALSE))</f>
        <v>0</v>
      </c>
      <c r="V82" s="4">
        <f>(VLOOKUP('17.04'!AD82,'17.04'!$AM$4:$AO$55,3,FALSE))</f>
        <v>0</v>
      </c>
      <c r="W82" s="5">
        <f>(VLOOKUP('17.04'!AE82,'17.04'!$AM$4:$AO$55,3,FALSE))</f>
        <v>0</v>
      </c>
      <c r="X82" s="5">
        <f>(VLOOKUP('17.04'!AF82,'17.04'!$AM$4:$AO$55,3,FALSE))</f>
        <v>0</v>
      </c>
    </row>
    <row r="83" spans="1:24">
      <c r="A83" s="4">
        <f>(VLOOKUP('17.04'!I83,'17.04'!$AM$4:$AO$55,3,FALSE))</f>
        <v>0</v>
      </c>
      <c r="B83" s="4">
        <f>(VLOOKUP('17.04'!J83,'17.04'!$AM$4:$AO$55,3,FALSE))</f>
        <v>0</v>
      </c>
      <c r="C83" s="4">
        <f>(VLOOKUP('17.04'!K83,'17.04'!$AM$4:$AO$55,3,FALSE))</f>
        <v>0</v>
      </c>
      <c r="D83" s="4">
        <f>(VLOOKUP('17.04'!L83,'17.04'!$AM$4:$AO$55,3,FALSE))</f>
        <v>0</v>
      </c>
      <c r="E83" s="4">
        <f>(VLOOKUP('17.04'!M83,'17.04'!$AM$4:$AO$55,3,FALSE))</f>
        <v>0</v>
      </c>
      <c r="F83" s="4">
        <f>(VLOOKUP('17.04'!N83,'17.04'!$AM$4:$AO$55,3,FALSE))</f>
        <v>0</v>
      </c>
      <c r="G83" s="5">
        <f>(VLOOKUP('17.04'!O83,'17.04'!$AM$4:$AO$55,3,FALSE))</f>
        <v>0</v>
      </c>
      <c r="H83" s="5">
        <f>(VLOOKUP('17.04'!P83,'17.04'!$AM$4:$AO$55,3,FALSE))</f>
        <v>0</v>
      </c>
      <c r="I83" s="4">
        <f>(VLOOKUP('17.04'!Q83,'17.04'!$AM$4:$AO$55,3,FALSE))</f>
        <v>0</v>
      </c>
      <c r="J83" s="4">
        <f>(VLOOKUP('17.04'!R83,'17.04'!$AM$4:$AO$55,3,FALSE))</f>
        <v>0</v>
      </c>
      <c r="K83" s="4">
        <f>(VLOOKUP('17.04'!S83,'17.04'!$AM$4:$AO$55,3,FALSE))</f>
        <v>0</v>
      </c>
      <c r="L83" s="4">
        <f>(VLOOKUP('17.04'!T83,'17.04'!$AM$4:$AO$55,3,FALSE))</f>
        <v>0</v>
      </c>
      <c r="M83" s="4">
        <f>(VLOOKUP('17.04'!U83,'17.04'!$AM$4:$AO$55,3,FALSE))</f>
        <v>0</v>
      </c>
      <c r="N83" s="4">
        <f>(VLOOKUP('17.04'!V83,'17.04'!$AM$4:$AO$55,3,FALSE))</f>
        <v>0</v>
      </c>
      <c r="O83" s="5">
        <f>(VLOOKUP('17.04'!W83,'17.04'!$AM$4:$AO$55,3,FALSE))</f>
        <v>0</v>
      </c>
      <c r="P83" s="5">
        <f>(VLOOKUP('17.04'!X83,'17.04'!$AM$4:$AO$55,3,FALSE))</f>
        <v>0</v>
      </c>
      <c r="Q83" s="4">
        <f>(VLOOKUP('17.04'!Y83,'17.04'!$AM$4:$AO$55,3,FALSE))</f>
        <v>0</v>
      </c>
      <c r="R83" s="4">
        <f>(VLOOKUP('17.04'!Z83,'17.04'!$AM$4:$AO$55,3,FALSE))</f>
        <v>0</v>
      </c>
      <c r="S83" s="4">
        <f>(VLOOKUP('17.04'!AA83,'17.04'!$AM$4:$AO$55,3,FALSE))</f>
        <v>0</v>
      </c>
      <c r="T83" s="4">
        <f>(VLOOKUP('17.04'!AB83,'17.04'!$AM$4:$AO$55,3,FALSE))</f>
        <v>0</v>
      </c>
      <c r="U83" s="4">
        <f>(VLOOKUP('17.04'!AC83,'17.04'!$AM$4:$AO$55,3,FALSE))</f>
        <v>0</v>
      </c>
      <c r="V83" s="4">
        <f>(VLOOKUP('17.04'!AD83,'17.04'!$AM$4:$AO$55,3,FALSE))</f>
        <v>0</v>
      </c>
      <c r="W83" s="5">
        <f>(VLOOKUP('17.04'!AE83,'17.04'!$AM$4:$AO$55,3,FALSE))</f>
        <v>0</v>
      </c>
      <c r="X83" s="5">
        <f>(VLOOKUP('17.04'!AF83,'17.04'!$AM$4:$AO$55,3,FALSE))</f>
        <v>0</v>
      </c>
    </row>
    <row r="84" spans="1:24">
      <c r="A84" s="4">
        <f>(VLOOKUP('17.04'!I84,'17.04'!$AM$4:$AO$55,3,FALSE))</f>
        <v>0</v>
      </c>
      <c r="B84" s="4">
        <f>(VLOOKUP('17.04'!J84,'17.04'!$AM$4:$AO$55,3,FALSE))</f>
        <v>0</v>
      </c>
      <c r="C84" s="4">
        <f>(VLOOKUP('17.04'!K84,'17.04'!$AM$4:$AO$55,3,FALSE))</f>
        <v>0</v>
      </c>
      <c r="D84" s="4">
        <f>(VLOOKUP('17.04'!L84,'17.04'!$AM$4:$AO$55,3,FALSE))</f>
        <v>0</v>
      </c>
      <c r="E84" s="4">
        <f>(VLOOKUP('17.04'!M84,'17.04'!$AM$4:$AO$55,3,FALSE))</f>
        <v>0</v>
      </c>
      <c r="F84" s="4">
        <f>(VLOOKUP('17.04'!N84,'17.04'!$AM$4:$AO$55,3,FALSE))</f>
        <v>0</v>
      </c>
      <c r="G84" s="5">
        <f>(VLOOKUP('17.04'!O84,'17.04'!$AM$4:$AO$55,3,FALSE))</f>
        <v>0</v>
      </c>
      <c r="H84" s="5">
        <f>(VLOOKUP('17.04'!P84,'17.04'!$AM$4:$AO$55,3,FALSE))</f>
        <v>0</v>
      </c>
      <c r="I84" s="4">
        <f>(VLOOKUP('17.04'!Q84,'17.04'!$AM$4:$AO$55,3,FALSE))</f>
        <v>0</v>
      </c>
      <c r="J84" s="4">
        <f>(VLOOKUP('17.04'!R84,'17.04'!$AM$4:$AO$55,3,FALSE))</f>
        <v>0</v>
      </c>
      <c r="K84" s="4">
        <f>(VLOOKUP('17.04'!S84,'17.04'!$AM$4:$AO$55,3,FALSE))</f>
        <v>0</v>
      </c>
      <c r="L84" s="4">
        <f>(VLOOKUP('17.04'!T84,'17.04'!$AM$4:$AO$55,3,FALSE))</f>
        <v>0</v>
      </c>
      <c r="M84" s="4">
        <f>(VLOOKUP('17.04'!U84,'17.04'!$AM$4:$AO$55,3,FALSE))</f>
        <v>0</v>
      </c>
      <c r="N84" s="4">
        <f>(VLOOKUP('17.04'!V84,'17.04'!$AM$4:$AO$55,3,FALSE))</f>
        <v>0</v>
      </c>
      <c r="O84" s="5">
        <f>(VLOOKUP('17.04'!W84,'17.04'!$AM$4:$AO$55,3,FALSE))</f>
        <v>0</v>
      </c>
      <c r="P84" s="5">
        <f>(VLOOKUP('17.04'!X84,'17.04'!$AM$4:$AO$55,3,FALSE))</f>
        <v>0</v>
      </c>
      <c r="Q84" s="4">
        <f>(VLOOKUP('17.04'!Y84,'17.04'!$AM$4:$AO$55,3,FALSE))</f>
        <v>0</v>
      </c>
      <c r="R84" s="4">
        <f>(VLOOKUP('17.04'!Z84,'17.04'!$AM$4:$AO$55,3,FALSE))</f>
        <v>0</v>
      </c>
      <c r="S84" s="4">
        <f>(VLOOKUP('17.04'!AA84,'17.04'!$AM$4:$AO$55,3,FALSE))</f>
        <v>0</v>
      </c>
      <c r="T84" s="4">
        <f>(VLOOKUP('17.04'!AB84,'17.04'!$AM$4:$AO$55,3,FALSE))</f>
        <v>0</v>
      </c>
      <c r="U84" s="4">
        <f>(VLOOKUP('17.04'!AC84,'17.04'!$AM$4:$AO$55,3,FALSE))</f>
        <v>0</v>
      </c>
      <c r="V84" s="4">
        <f>(VLOOKUP('17.04'!AD84,'17.04'!$AM$4:$AO$55,3,FALSE))</f>
        <v>0</v>
      </c>
      <c r="W84" s="5">
        <f>(VLOOKUP('17.04'!AE84,'17.04'!$AM$4:$AO$55,3,FALSE))</f>
        <v>0</v>
      </c>
      <c r="X84" s="5">
        <f>(VLOOKUP('17.04'!AF84,'17.04'!$AM$4:$AO$55,3,FALSE))</f>
        <v>0</v>
      </c>
    </row>
    <row r="85" spans="1:24">
      <c r="A85" s="4">
        <f>(VLOOKUP('17.04'!I85,'17.04'!$AM$4:$AO$55,3,FALSE))</f>
        <v>0</v>
      </c>
      <c r="B85" s="4">
        <f>(VLOOKUP('17.04'!J85,'17.04'!$AM$4:$AO$55,3,FALSE))</f>
        <v>0</v>
      </c>
      <c r="C85" s="4">
        <f>(VLOOKUP('17.04'!K85,'17.04'!$AM$4:$AO$55,3,FALSE))</f>
        <v>0</v>
      </c>
      <c r="D85" s="4">
        <f>(VLOOKUP('17.04'!L85,'17.04'!$AM$4:$AO$55,3,FALSE))</f>
        <v>0</v>
      </c>
      <c r="E85" s="4">
        <f>(VLOOKUP('17.04'!M85,'17.04'!$AM$4:$AO$55,3,FALSE))</f>
        <v>0</v>
      </c>
      <c r="F85" s="4">
        <f>(VLOOKUP('17.04'!N85,'17.04'!$AM$4:$AO$55,3,FALSE))</f>
        <v>0</v>
      </c>
      <c r="G85" s="5">
        <f>(VLOOKUP('17.04'!O85,'17.04'!$AM$4:$AO$55,3,FALSE))</f>
        <v>0</v>
      </c>
      <c r="H85" s="5">
        <f>(VLOOKUP('17.04'!P85,'17.04'!$AM$4:$AO$55,3,FALSE))</f>
        <v>0</v>
      </c>
      <c r="I85" s="4">
        <f>(VLOOKUP('17.04'!Q85,'17.04'!$AM$4:$AO$55,3,FALSE))</f>
        <v>0</v>
      </c>
      <c r="J85" s="4">
        <f>(VLOOKUP('17.04'!R85,'17.04'!$AM$4:$AO$55,3,FALSE))</f>
        <v>0</v>
      </c>
      <c r="K85" s="4">
        <f>(VLOOKUP('17.04'!S85,'17.04'!$AM$4:$AO$55,3,FALSE))</f>
        <v>0</v>
      </c>
      <c r="L85" s="4">
        <f>(VLOOKUP('17.04'!T85,'17.04'!$AM$4:$AO$55,3,FALSE))</f>
        <v>0</v>
      </c>
      <c r="M85" s="4">
        <f>(VLOOKUP('17.04'!U85,'17.04'!$AM$4:$AO$55,3,FALSE))</f>
        <v>0</v>
      </c>
      <c r="N85" s="4">
        <f>(VLOOKUP('17.04'!V85,'17.04'!$AM$4:$AO$55,3,FALSE))</f>
        <v>0</v>
      </c>
      <c r="O85" s="5">
        <f>(VLOOKUP('17.04'!W85,'17.04'!$AM$4:$AO$55,3,FALSE))</f>
        <v>0</v>
      </c>
      <c r="P85" s="5">
        <f>(VLOOKUP('17.04'!X85,'17.04'!$AM$4:$AO$55,3,FALSE))</f>
        <v>0</v>
      </c>
      <c r="Q85" s="4">
        <f>(VLOOKUP('17.04'!Y85,'17.04'!$AM$4:$AO$55,3,FALSE))</f>
        <v>0</v>
      </c>
      <c r="R85" s="4">
        <f>(VLOOKUP('17.04'!Z85,'17.04'!$AM$4:$AO$55,3,FALSE))</f>
        <v>0</v>
      </c>
      <c r="S85" s="4">
        <f>(VLOOKUP('17.04'!AA85,'17.04'!$AM$4:$AO$55,3,FALSE))</f>
        <v>0</v>
      </c>
      <c r="T85" s="4">
        <f>(VLOOKUP('17.04'!AB85,'17.04'!$AM$4:$AO$55,3,FALSE))</f>
        <v>0</v>
      </c>
      <c r="U85" s="4">
        <f>(VLOOKUP('17.04'!AC85,'17.04'!$AM$4:$AO$55,3,FALSE))</f>
        <v>0</v>
      </c>
      <c r="V85" s="4">
        <f>(VLOOKUP('17.04'!AD85,'17.04'!$AM$4:$AO$55,3,FALSE))</f>
        <v>0</v>
      </c>
      <c r="W85" s="5">
        <f>(VLOOKUP('17.04'!AE85,'17.04'!$AM$4:$AO$55,3,FALSE))</f>
        <v>0</v>
      </c>
      <c r="X85" s="5">
        <f>(VLOOKUP('17.04'!AF85,'17.04'!$AM$4:$AO$55,3,FALSE))</f>
        <v>0</v>
      </c>
    </row>
    <row r="86" spans="1:24">
      <c r="A86" s="4">
        <f>(VLOOKUP('17.04'!I86,'17.04'!$AM$4:$AO$55,3,FALSE))</f>
        <v>0</v>
      </c>
      <c r="B86" s="4">
        <f>(VLOOKUP('17.04'!J86,'17.04'!$AM$4:$AO$55,3,FALSE))</f>
        <v>0</v>
      </c>
      <c r="C86" s="4">
        <f>(VLOOKUP('17.04'!K86,'17.04'!$AM$4:$AO$55,3,FALSE))</f>
        <v>0</v>
      </c>
      <c r="D86" s="4">
        <f>(VLOOKUP('17.04'!L86,'17.04'!$AM$4:$AO$55,3,FALSE))</f>
        <v>0</v>
      </c>
      <c r="E86" s="4">
        <f>(VLOOKUP('17.04'!M86,'17.04'!$AM$4:$AO$55,3,FALSE))</f>
        <v>0</v>
      </c>
      <c r="F86" s="4">
        <f>(VLOOKUP('17.04'!N86,'17.04'!$AM$4:$AO$55,3,FALSE))</f>
        <v>0</v>
      </c>
      <c r="G86" s="5">
        <f>(VLOOKUP('17.04'!O86,'17.04'!$AM$4:$AO$55,3,FALSE))</f>
        <v>0</v>
      </c>
      <c r="H86" s="5">
        <f>(VLOOKUP('17.04'!P86,'17.04'!$AM$4:$AO$55,3,FALSE))</f>
        <v>0</v>
      </c>
      <c r="I86" s="4">
        <f>(VLOOKUP('17.04'!Q86,'17.04'!$AM$4:$AO$55,3,FALSE))</f>
        <v>0</v>
      </c>
      <c r="J86" s="4">
        <f>(VLOOKUP('17.04'!R86,'17.04'!$AM$4:$AO$55,3,FALSE))</f>
        <v>0</v>
      </c>
      <c r="K86" s="4">
        <f>(VLOOKUP('17.04'!S86,'17.04'!$AM$4:$AO$55,3,FALSE))</f>
        <v>0</v>
      </c>
      <c r="L86" s="4">
        <f>(VLOOKUP('17.04'!T86,'17.04'!$AM$4:$AO$55,3,FALSE))</f>
        <v>0</v>
      </c>
      <c r="M86" s="4">
        <f>(VLOOKUP('17.04'!U86,'17.04'!$AM$4:$AO$55,3,FALSE))</f>
        <v>0</v>
      </c>
      <c r="N86" s="4">
        <f>(VLOOKUP('17.04'!V86,'17.04'!$AM$4:$AO$55,3,FALSE))</f>
        <v>0</v>
      </c>
      <c r="O86" s="5">
        <f>(VLOOKUP('17.04'!W86,'17.04'!$AM$4:$AO$55,3,FALSE))</f>
        <v>0</v>
      </c>
      <c r="P86" s="5">
        <f>(VLOOKUP('17.04'!X86,'17.04'!$AM$4:$AO$55,3,FALSE))</f>
        <v>0</v>
      </c>
      <c r="Q86" s="4">
        <f>(VLOOKUP('17.04'!Y86,'17.04'!$AM$4:$AO$55,3,FALSE))</f>
        <v>0</v>
      </c>
      <c r="R86" s="4">
        <f>(VLOOKUP('17.04'!Z86,'17.04'!$AM$4:$AO$55,3,FALSE))</f>
        <v>0</v>
      </c>
      <c r="S86" s="4">
        <f>(VLOOKUP('17.04'!AA86,'17.04'!$AM$4:$AO$55,3,FALSE))</f>
        <v>0</v>
      </c>
      <c r="T86" s="4">
        <f>(VLOOKUP('17.04'!AB86,'17.04'!$AM$4:$AO$55,3,FALSE))</f>
        <v>0</v>
      </c>
      <c r="U86" s="4">
        <f>(VLOOKUP('17.04'!AC86,'17.04'!$AM$4:$AO$55,3,FALSE))</f>
        <v>0</v>
      </c>
      <c r="V86" s="4">
        <f>(VLOOKUP('17.04'!AD86,'17.04'!$AM$4:$AO$55,3,FALSE))</f>
        <v>0</v>
      </c>
      <c r="W86" s="5">
        <f>(VLOOKUP('17.04'!AE86,'17.04'!$AM$4:$AO$55,3,FALSE))</f>
        <v>0</v>
      </c>
      <c r="X86" s="5">
        <f>(VLOOKUP('17.04'!AF86,'17.04'!$AM$4:$AO$55,3,FALSE))</f>
        <v>0</v>
      </c>
    </row>
    <row r="87" spans="1:24">
      <c r="A87" s="4">
        <f>(VLOOKUP('17.04'!I87,'17.04'!$AM$4:$AO$55,3,FALSE))</f>
        <v>0</v>
      </c>
      <c r="B87" s="4">
        <f>(VLOOKUP('17.04'!J87,'17.04'!$AM$4:$AO$55,3,FALSE))</f>
        <v>0</v>
      </c>
      <c r="C87" s="4">
        <f>(VLOOKUP('17.04'!K87,'17.04'!$AM$4:$AO$55,3,FALSE))</f>
        <v>0</v>
      </c>
      <c r="D87" s="4">
        <f>(VLOOKUP('17.04'!L87,'17.04'!$AM$4:$AO$55,3,FALSE))</f>
        <v>0</v>
      </c>
      <c r="E87" s="4">
        <f>(VLOOKUP('17.04'!M87,'17.04'!$AM$4:$AO$55,3,FALSE))</f>
        <v>0</v>
      </c>
      <c r="F87" s="4">
        <f>(VLOOKUP('17.04'!N87,'17.04'!$AM$4:$AO$55,3,FALSE))</f>
        <v>0</v>
      </c>
      <c r="G87" s="5">
        <f>(VLOOKUP('17.04'!O87,'17.04'!$AM$4:$AO$55,3,FALSE))</f>
        <v>0</v>
      </c>
      <c r="H87" s="5">
        <f>(VLOOKUP('17.04'!P87,'17.04'!$AM$4:$AO$55,3,FALSE))</f>
        <v>0</v>
      </c>
      <c r="I87" s="4">
        <f>(VLOOKUP('17.04'!Q87,'17.04'!$AM$4:$AO$55,3,FALSE))</f>
        <v>0</v>
      </c>
      <c r="J87" s="4">
        <f>(VLOOKUP('17.04'!R87,'17.04'!$AM$4:$AO$55,3,FALSE))</f>
        <v>0</v>
      </c>
      <c r="K87" s="4">
        <f>(VLOOKUP('17.04'!S87,'17.04'!$AM$4:$AO$55,3,FALSE))</f>
        <v>0</v>
      </c>
      <c r="L87" s="4">
        <f>(VLOOKUP('17.04'!T87,'17.04'!$AM$4:$AO$55,3,FALSE))</f>
        <v>0</v>
      </c>
      <c r="M87" s="4">
        <f>(VLOOKUP('17.04'!U87,'17.04'!$AM$4:$AO$55,3,FALSE))</f>
        <v>0</v>
      </c>
      <c r="N87" s="4">
        <f>(VLOOKUP('17.04'!V87,'17.04'!$AM$4:$AO$55,3,FALSE))</f>
        <v>0</v>
      </c>
      <c r="O87" s="5">
        <f>(VLOOKUP('17.04'!W87,'17.04'!$AM$4:$AO$55,3,FALSE))</f>
        <v>0</v>
      </c>
      <c r="P87" s="5">
        <f>(VLOOKUP('17.04'!X87,'17.04'!$AM$4:$AO$55,3,FALSE))</f>
        <v>0</v>
      </c>
      <c r="Q87" s="4">
        <f>(VLOOKUP('17.04'!Y87,'17.04'!$AM$4:$AO$55,3,FALSE))</f>
        <v>0</v>
      </c>
      <c r="R87" s="4">
        <f>(VLOOKUP('17.04'!Z87,'17.04'!$AM$4:$AO$55,3,FALSE))</f>
        <v>0</v>
      </c>
      <c r="S87" s="4">
        <f>(VLOOKUP('17.04'!AA87,'17.04'!$AM$4:$AO$55,3,FALSE))</f>
        <v>0</v>
      </c>
      <c r="T87" s="4">
        <f>(VLOOKUP('17.04'!AB87,'17.04'!$AM$4:$AO$55,3,FALSE))</f>
        <v>0</v>
      </c>
      <c r="U87" s="4">
        <f>(VLOOKUP('17.04'!AC87,'17.04'!$AM$4:$AO$55,3,FALSE))</f>
        <v>0</v>
      </c>
      <c r="V87" s="4">
        <f>(VLOOKUP('17.04'!AD87,'17.04'!$AM$4:$AO$55,3,FALSE))</f>
        <v>0</v>
      </c>
      <c r="W87" s="5">
        <f>(VLOOKUP('17.04'!AE87,'17.04'!$AM$4:$AO$55,3,FALSE))</f>
        <v>0</v>
      </c>
      <c r="X87" s="5">
        <f>(VLOOKUP('17.04'!AF87,'17.04'!$AM$4:$AO$55,3,FALSE))</f>
        <v>0</v>
      </c>
    </row>
    <row r="88" spans="1:24">
      <c r="A88" s="4">
        <f>(VLOOKUP('17.04'!I88,'17.04'!$AM$4:$AO$55,3,FALSE))</f>
        <v>0</v>
      </c>
      <c r="B88" s="4">
        <f>(VLOOKUP('17.04'!J88,'17.04'!$AM$4:$AO$55,3,FALSE))</f>
        <v>0</v>
      </c>
      <c r="C88" s="4">
        <f>(VLOOKUP('17.04'!K88,'17.04'!$AM$4:$AO$55,3,FALSE))</f>
        <v>0</v>
      </c>
      <c r="D88" s="4">
        <f>(VLOOKUP('17.04'!L88,'17.04'!$AM$4:$AO$55,3,FALSE))</f>
        <v>0</v>
      </c>
      <c r="E88" s="4">
        <f>(VLOOKUP('17.04'!M88,'17.04'!$AM$4:$AO$55,3,FALSE))</f>
        <v>0</v>
      </c>
      <c r="F88" s="4">
        <f>(VLOOKUP('17.04'!N88,'17.04'!$AM$4:$AO$55,3,FALSE))</f>
        <v>0</v>
      </c>
      <c r="G88" s="5">
        <f>(VLOOKUP('17.04'!O88,'17.04'!$AM$4:$AO$55,3,FALSE))</f>
        <v>0</v>
      </c>
      <c r="H88" s="5">
        <f>(VLOOKUP('17.04'!P88,'17.04'!$AM$4:$AO$55,3,FALSE))</f>
        <v>0</v>
      </c>
      <c r="I88" s="4">
        <f>(VLOOKUP('17.04'!Q88,'17.04'!$AM$4:$AO$55,3,FALSE))</f>
        <v>0</v>
      </c>
      <c r="J88" s="4">
        <f>(VLOOKUP('17.04'!R88,'17.04'!$AM$4:$AO$55,3,FALSE))</f>
        <v>0</v>
      </c>
      <c r="K88" s="4">
        <f>(VLOOKUP('17.04'!S88,'17.04'!$AM$4:$AO$55,3,FALSE))</f>
        <v>0</v>
      </c>
      <c r="L88" s="4">
        <f>(VLOOKUP('17.04'!T88,'17.04'!$AM$4:$AO$55,3,FALSE))</f>
        <v>0</v>
      </c>
      <c r="M88" s="4">
        <f>(VLOOKUP('17.04'!U88,'17.04'!$AM$4:$AO$55,3,FALSE))</f>
        <v>0</v>
      </c>
      <c r="N88" s="4">
        <f>(VLOOKUP('17.04'!V88,'17.04'!$AM$4:$AO$55,3,FALSE))</f>
        <v>0</v>
      </c>
      <c r="O88" s="5">
        <f>(VLOOKUP('17.04'!W88,'17.04'!$AM$4:$AO$55,3,FALSE))</f>
        <v>0</v>
      </c>
      <c r="P88" s="5">
        <f>(VLOOKUP('17.04'!X88,'17.04'!$AM$4:$AO$55,3,FALSE))</f>
        <v>0</v>
      </c>
      <c r="Q88" s="4">
        <f>(VLOOKUP('17.04'!Y88,'17.04'!$AM$4:$AO$55,3,FALSE))</f>
        <v>0</v>
      </c>
      <c r="R88" s="4">
        <f>(VLOOKUP('17.04'!Z88,'17.04'!$AM$4:$AO$55,3,FALSE))</f>
        <v>0</v>
      </c>
      <c r="S88" s="4">
        <f>(VLOOKUP('17.04'!AA88,'17.04'!$AM$4:$AO$55,3,FALSE))</f>
        <v>0</v>
      </c>
      <c r="T88" s="4">
        <f>(VLOOKUP('17.04'!AB88,'17.04'!$AM$4:$AO$55,3,FALSE))</f>
        <v>0</v>
      </c>
      <c r="U88" s="4">
        <f>(VLOOKUP('17.04'!AC88,'17.04'!$AM$4:$AO$55,3,FALSE))</f>
        <v>0</v>
      </c>
      <c r="V88" s="4">
        <f>(VLOOKUP('17.04'!AD88,'17.04'!$AM$4:$AO$55,3,FALSE))</f>
        <v>0</v>
      </c>
      <c r="W88" s="5">
        <f>(VLOOKUP('17.04'!AE88,'17.04'!$AM$4:$AO$55,3,FALSE))</f>
        <v>0</v>
      </c>
      <c r="X88" s="5">
        <f>(VLOOKUP('17.04'!AF88,'17.04'!$AM$4:$AO$55,3,FALSE))</f>
        <v>0</v>
      </c>
    </row>
    <row r="89" spans="1:24">
      <c r="A89" s="4">
        <f>(VLOOKUP('17.04'!I89,'17.04'!$AM$4:$AO$55,3,FALSE))</f>
        <v>0</v>
      </c>
      <c r="B89" s="4">
        <f>(VLOOKUP('17.04'!J89,'17.04'!$AM$4:$AO$55,3,FALSE))</f>
        <v>0</v>
      </c>
      <c r="C89" s="4">
        <f>(VLOOKUP('17.04'!K89,'17.04'!$AM$4:$AO$55,3,FALSE))</f>
        <v>0</v>
      </c>
      <c r="D89" s="4">
        <f>(VLOOKUP('17.04'!L89,'17.04'!$AM$4:$AO$55,3,FALSE))</f>
        <v>0</v>
      </c>
      <c r="E89" s="4">
        <f>(VLOOKUP('17.04'!M89,'17.04'!$AM$4:$AO$55,3,FALSE))</f>
        <v>0</v>
      </c>
      <c r="F89" s="4">
        <f>(VLOOKUP('17.04'!N89,'17.04'!$AM$4:$AO$55,3,FALSE))</f>
        <v>0</v>
      </c>
      <c r="G89" s="5">
        <f>(VLOOKUP('17.04'!O89,'17.04'!$AM$4:$AO$55,3,FALSE))</f>
        <v>0</v>
      </c>
      <c r="H89" s="5">
        <f>(VLOOKUP('17.04'!P89,'17.04'!$AM$4:$AO$55,3,FALSE))</f>
        <v>0</v>
      </c>
      <c r="I89" s="4">
        <f>(VLOOKUP('17.04'!Q89,'17.04'!$AM$4:$AO$55,3,FALSE))</f>
        <v>0</v>
      </c>
      <c r="J89" s="4">
        <f>(VLOOKUP('17.04'!R89,'17.04'!$AM$4:$AO$55,3,FALSE))</f>
        <v>0</v>
      </c>
      <c r="K89" s="4">
        <f>(VLOOKUP('17.04'!S89,'17.04'!$AM$4:$AO$55,3,FALSE))</f>
        <v>0</v>
      </c>
      <c r="L89" s="4">
        <f>(VLOOKUP('17.04'!T89,'17.04'!$AM$4:$AO$55,3,FALSE))</f>
        <v>0</v>
      </c>
      <c r="M89" s="4">
        <f>(VLOOKUP('17.04'!U89,'17.04'!$AM$4:$AO$55,3,FALSE))</f>
        <v>0</v>
      </c>
      <c r="N89" s="4">
        <f>(VLOOKUP('17.04'!V89,'17.04'!$AM$4:$AO$55,3,FALSE))</f>
        <v>0</v>
      </c>
      <c r="O89" s="5">
        <f>(VLOOKUP('17.04'!W89,'17.04'!$AM$4:$AO$55,3,FALSE))</f>
        <v>0</v>
      </c>
      <c r="P89" s="5">
        <f>(VLOOKUP('17.04'!X89,'17.04'!$AM$4:$AO$55,3,FALSE))</f>
        <v>0</v>
      </c>
      <c r="Q89" s="4">
        <f>(VLOOKUP('17.04'!Y89,'17.04'!$AM$4:$AO$55,3,FALSE))</f>
        <v>0</v>
      </c>
      <c r="R89" s="4">
        <f>(VLOOKUP('17.04'!Z89,'17.04'!$AM$4:$AO$55,3,FALSE))</f>
        <v>0</v>
      </c>
      <c r="S89" s="4">
        <f>(VLOOKUP('17.04'!AA89,'17.04'!$AM$4:$AO$55,3,FALSE))</f>
        <v>0</v>
      </c>
      <c r="T89" s="4">
        <f>(VLOOKUP('17.04'!AB89,'17.04'!$AM$4:$AO$55,3,FALSE))</f>
        <v>0</v>
      </c>
      <c r="U89" s="4">
        <f>(VLOOKUP('17.04'!AC89,'17.04'!$AM$4:$AO$55,3,FALSE))</f>
        <v>0</v>
      </c>
      <c r="V89" s="4">
        <f>(VLOOKUP('17.04'!AD89,'17.04'!$AM$4:$AO$55,3,FALSE))</f>
        <v>0</v>
      </c>
      <c r="W89" s="5">
        <f>(VLOOKUP('17.04'!AE89,'17.04'!$AM$4:$AO$55,3,FALSE))</f>
        <v>0</v>
      </c>
      <c r="X89" s="5">
        <f>(VLOOKUP('17.04'!AF89,'17.04'!$AM$4:$AO$55,3,FALSE))</f>
        <v>0</v>
      </c>
    </row>
    <row r="90" spans="1:24">
      <c r="A90" s="4">
        <f>(VLOOKUP('17.04'!I90,'17.04'!$AM$4:$AO$55,3,FALSE))</f>
        <v>0</v>
      </c>
      <c r="B90" s="4">
        <f>(VLOOKUP('17.04'!J90,'17.04'!$AM$4:$AO$55,3,FALSE))</f>
        <v>0</v>
      </c>
      <c r="C90" s="4">
        <f>(VLOOKUP('17.04'!K90,'17.04'!$AM$4:$AO$55,3,FALSE))</f>
        <v>0</v>
      </c>
      <c r="D90" s="4">
        <f>(VLOOKUP('17.04'!L90,'17.04'!$AM$4:$AO$55,3,FALSE))</f>
        <v>0</v>
      </c>
      <c r="E90" s="4">
        <f>(VLOOKUP('17.04'!M90,'17.04'!$AM$4:$AO$55,3,FALSE))</f>
        <v>0</v>
      </c>
      <c r="F90" s="4">
        <f>(VLOOKUP('17.04'!N90,'17.04'!$AM$4:$AO$55,3,FALSE))</f>
        <v>0</v>
      </c>
      <c r="G90" s="5">
        <f>(VLOOKUP('17.04'!O90,'17.04'!$AM$4:$AO$55,3,FALSE))</f>
        <v>0</v>
      </c>
      <c r="H90" s="5">
        <f>(VLOOKUP('17.04'!P90,'17.04'!$AM$4:$AO$55,3,FALSE))</f>
        <v>0</v>
      </c>
      <c r="I90" s="4">
        <f>(VLOOKUP('17.04'!Q90,'17.04'!$AM$4:$AO$55,3,FALSE))</f>
        <v>40</v>
      </c>
      <c r="J90" s="4">
        <f>(VLOOKUP('17.04'!R90,'17.04'!$AM$4:$AO$55,3,FALSE))</f>
        <v>40</v>
      </c>
      <c r="K90" s="4">
        <f>(VLOOKUP('17.04'!S90,'17.04'!$AM$4:$AO$55,3,FALSE))</f>
        <v>0</v>
      </c>
      <c r="L90" s="4">
        <f>(VLOOKUP('17.04'!T90,'17.04'!$AM$4:$AO$55,3,FALSE))</f>
        <v>40</v>
      </c>
      <c r="M90" s="4">
        <f>(VLOOKUP('17.04'!U90,'17.04'!$AM$4:$AO$55,3,FALSE))</f>
        <v>30</v>
      </c>
      <c r="N90" s="4">
        <f>(VLOOKUP('17.04'!V90,'17.04'!$AM$4:$AO$55,3,FALSE))</f>
        <v>40</v>
      </c>
      <c r="O90" s="5">
        <f>(VLOOKUP('17.04'!W90,'17.04'!$AM$4:$AO$55,3,FALSE))</f>
        <v>0</v>
      </c>
      <c r="P90" s="5">
        <f>(VLOOKUP('17.04'!X90,'17.04'!$AM$4:$AO$55,3,FALSE))</f>
        <v>0</v>
      </c>
      <c r="Q90" s="4">
        <f>(VLOOKUP('17.04'!Y90,'17.04'!$AM$4:$AO$55,3,FALSE))</f>
        <v>0</v>
      </c>
      <c r="R90" s="4">
        <f>(VLOOKUP('17.04'!Z90,'17.04'!$AM$4:$AO$55,3,FALSE))</f>
        <v>0</v>
      </c>
      <c r="S90" s="4">
        <f>(VLOOKUP('17.04'!AA90,'17.04'!$AM$4:$AO$55,3,FALSE))</f>
        <v>0</v>
      </c>
      <c r="T90" s="4">
        <f>(VLOOKUP('17.04'!AB90,'17.04'!$AM$4:$AO$55,3,FALSE))</f>
        <v>0</v>
      </c>
      <c r="U90" s="4">
        <f>(VLOOKUP('17.04'!AC90,'17.04'!$AM$4:$AO$55,3,FALSE))</f>
        <v>0</v>
      </c>
      <c r="V90" s="4">
        <f>(VLOOKUP('17.04'!AD90,'17.04'!$AM$4:$AO$55,3,FALSE))</f>
        <v>0</v>
      </c>
      <c r="W90" s="5">
        <f>(VLOOKUP('17.04'!AE90,'17.04'!$AM$4:$AO$55,3,FALSE))</f>
        <v>0</v>
      </c>
      <c r="X90" s="5">
        <f>(VLOOKUP('17.04'!AF90,'17.04'!$AM$4:$AO$55,3,FALSE))</f>
        <v>0</v>
      </c>
    </row>
    <row r="91" spans="1:24">
      <c r="A91" s="4">
        <f>(VLOOKUP('17.04'!I91,'17.04'!$AM$4:$AO$55,3,FALSE))</f>
        <v>40</v>
      </c>
      <c r="B91" s="4">
        <f>(VLOOKUP('17.04'!J91,'17.04'!$AM$4:$AO$55,3,FALSE))</f>
        <v>40</v>
      </c>
      <c r="C91" s="4">
        <f>(VLOOKUP('17.04'!K91,'17.04'!$AM$4:$AO$55,3,FALSE))</f>
        <v>40</v>
      </c>
      <c r="D91" s="4">
        <f>(VLOOKUP('17.04'!L91,'17.04'!$AM$4:$AO$55,3,FALSE))</f>
        <v>40</v>
      </c>
      <c r="E91" s="4">
        <f>(VLOOKUP('17.04'!M91,'17.04'!$AM$4:$AO$55,3,FALSE))</f>
        <v>40</v>
      </c>
      <c r="F91" s="4">
        <f>(VLOOKUP('17.04'!N91,'17.04'!$AM$4:$AO$55,3,FALSE))</f>
        <v>30</v>
      </c>
      <c r="G91" s="5">
        <f>(VLOOKUP('17.04'!O91,'17.04'!$AM$4:$AO$55,3,FALSE))</f>
        <v>0</v>
      </c>
      <c r="H91" s="5">
        <f>(VLOOKUP('17.04'!P91,'17.04'!$AM$4:$AO$55,3,FALSE))</f>
        <v>0</v>
      </c>
      <c r="I91" s="4">
        <f>(VLOOKUP('17.04'!Q91,'17.04'!$AM$4:$AO$55,3,FALSE))</f>
        <v>0</v>
      </c>
      <c r="J91" s="4">
        <f>(VLOOKUP('17.04'!R91,'17.04'!$AM$4:$AO$55,3,FALSE))</f>
        <v>0</v>
      </c>
      <c r="K91" s="4">
        <f>(VLOOKUP('17.04'!S91,'17.04'!$AM$4:$AO$55,3,FALSE))</f>
        <v>0</v>
      </c>
      <c r="L91" s="4">
        <f>(VLOOKUP('17.04'!T91,'17.04'!$AM$4:$AO$55,3,FALSE))</f>
        <v>0</v>
      </c>
      <c r="M91" s="4">
        <f>(VLOOKUP('17.04'!U91,'17.04'!$AM$4:$AO$55,3,FALSE))</f>
        <v>0</v>
      </c>
      <c r="N91" s="4">
        <f>(VLOOKUP('17.04'!V91,'17.04'!$AM$4:$AO$55,3,FALSE))</f>
        <v>0</v>
      </c>
      <c r="O91" s="5">
        <f>(VLOOKUP('17.04'!W91,'17.04'!$AM$4:$AO$55,3,FALSE))</f>
        <v>0</v>
      </c>
      <c r="P91" s="5">
        <f>(VLOOKUP('17.04'!X91,'17.04'!$AM$4:$AO$55,3,FALSE))</f>
        <v>0</v>
      </c>
      <c r="Q91" s="4">
        <f>(VLOOKUP('17.04'!Y91,'17.04'!$AM$4:$AO$55,3,FALSE))</f>
        <v>0</v>
      </c>
      <c r="R91" s="4">
        <f>(VLOOKUP('17.04'!Z91,'17.04'!$AM$4:$AO$55,3,FALSE))</f>
        <v>0</v>
      </c>
      <c r="S91" s="4">
        <f>(VLOOKUP('17.04'!AA91,'17.04'!$AM$4:$AO$55,3,FALSE))</f>
        <v>0</v>
      </c>
      <c r="T91" s="4">
        <f>(VLOOKUP('17.04'!AB91,'17.04'!$AM$4:$AO$55,3,FALSE))</f>
        <v>0</v>
      </c>
      <c r="U91" s="4">
        <f>(VLOOKUP('17.04'!AC91,'17.04'!$AM$4:$AO$55,3,FALSE))</f>
        <v>0</v>
      </c>
      <c r="V91" s="4">
        <f>(VLOOKUP('17.04'!AD91,'17.04'!$AM$4:$AO$55,3,FALSE))</f>
        <v>0</v>
      </c>
      <c r="W91" s="5">
        <f>(VLOOKUP('17.04'!AE91,'17.04'!$AM$4:$AO$55,3,FALSE))</f>
        <v>0</v>
      </c>
      <c r="X91" s="5">
        <f>(VLOOKUP('17.04'!AF91,'17.04'!$AM$4:$AO$55,3,FALSE))</f>
        <v>0</v>
      </c>
    </row>
    <row r="92" spans="1:24">
      <c r="A92" s="4">
        <f>(VLOOKUP('17.04'!I92,'17.04'!$AM$4:$AO$55,3,FALSE))</f>
        <v>40</v>
      </c>
      <c r="B92" s="4">
        <f>(VLOOKUP('17.04'!J92,'17.04'!$AM$4:$AO$55,3,FALSE))</f>
        <v>40</v>
      </c>
      <c r="C92" s="4">
        <f>(VLOOKUP('17.04'!K92,'17.04'!$AM$4:$AO$55,3,FALSE))</f>
        <v>35</v>
      </c>
      <c r="D92" s="4">
        <f>(VLOOKUP('17.04'!L92,'17.04'!$AM$4:$AO$55,3,FALSE))</f>
        <v>40</v>
      </c>
      <c r="E92" s="4">
        <f>(VLOOKUP('17.04'!M92,'17.04'!$AM$4:$AO$55,3,FALSE))</f>
        <v>40</v>
      </c>
      <c r="F92" s="4">
        <f>(VLOOKUP('17.04'!N92,'17.04'!$AM$4:$AO$55,3,FALSE))</f>
        <v>30</v>
      </c>
      <c r="G92" s="5">
        <f>(VLOOKUP('17.04'!O92,'17.04'!$AM$4:$AO$55,3,FALSE))</f>
        <v>0</v>
      </c>
      <c r="H92" s="5">
        <f>(VLOOKUP('17.04'!P92,'17.04'!$AM$4:$AO$55,3,FALSE))</f>
        <v>0</v>
      </c>
      <c r="I92" s="4">
        <f>(VLOOKUP('17.04'!Q92,'17.04'!$AM$4:$AO$55,3,FALSE))</f>
        <v>0</v>
      </c>
      <c r="J92" s="4">
        <f>(VLOOKUP('17.04'!R92,'17.04'!$AM$4:$AO$55,3,FALSE))</f>
        <v>0</v>
      </c>
      <c r="K92" s="4">
        <f>(VLOOKUP('17.04'!S92,'17.04'!$AM$4:$AO$55,3,FALSE))</f>
        <v>0</v>
      </c>
      <c r="L92" s="4">
        <f>(VLOOKUP('17.04'!T92,'17.04'!$AM$4:$AO$55,3,FALSE))</f>
        <v>0</v>
      </c>
      <c r="M92" s="4">
        <f>(VLOOKUP('17.04'!U92,'17.04'!$AM$4:$AO$55,3,FALSE))</f>
        <v>0</v>
      </c>
      <c r="N92" s="4">
        <f>(VLOOKUP('17.04'!V92,'17.04'!$AM$4:$AO$55,3,FALSE))</f>
        <v>0</v>
      </c>
      <c r="O92" s="5">
        <f>(VLOOKUP('17.04'!W92,'17.04'!$AM$4:$AO$55,3,FALSE))</f>
        <v>0</v>
      </c>
      <c r="P92" s="5">
        <f>(VLOOKUP('17.04'!X92,'17.04'!$AM$4:$AO$55,3,FALSE))</f>
        <v>0</v>
      </c>
      <c r="Q92" s="4">
        <f>(VLOOKUP('17.04'!Y92,'17.04'!$AM$4:$AO$55,3,FALSE))</f>
        <v>40</v>
      </c>
      <c r="R92" s="4">
        <f>(VLOOKUP('17.04'!Z92,'17.04'!$AM$4:$AO$55,3,FALSE))</f>
        <v>40</v>
      </c>
      <c r="S92" s="4">
        <f>(VLOOKUP('17.04'!AA92,'17.04'!$AM$4:$AO$55,3,FALSE))</f>
        <v>40</v>
      </c>
      <c r="T92" s="4">
        <f>(VLOOKUP('17.04'!AB92,'17.04'!$AM$4:$AO$55,3,FALSE))</f>
        <v>40</v>
      </c>
      <c r="U92" s="4">
        <f>(VLOOKUP('17.04'!AC92,'17.04'!$AM$4:$AO$55,3,FALSE))</f>
        <v>30</v>
      </c>
      <c r="V92" s="4">
        <f>(VLOOKUP('17.04'!AD92,'17.04'!$AM$4:$AO$55,3,FALSE))</f>
        <v>0</v>
      </c>
      <c r="W92" s="5">
        <f>(VLOOKUP('17.04'!AE92,'17.04'!$AM$4:$AO$55,3,FALSE))</f>
        <v>0</v>
      </c>
      <c r="X92" s="5">
        <f>(VLOOKUP('17.04'!AF92,'17.04'!$AM$4:$AO$55,3,FALSE))</f>
        <v>0</v>
      </c>
    </row>
    <row r="93" spans="1:24">
      <c r="A93" s="4">
        <f>(VLOOKUP('17.04'!I93,'17.04'!$AM$4:$AO$55,3,FALSE))</f>
        <v>0</v>
      </c>
      <c r="B93" s="4">
        <f>(VLOOKUP('17.04'!J93,'17.04'!$AM$4:$AO$55,3,FALSE))</f>
        <v>0</v>
      </c>
      <c r="C93" s="4">
        <f>(VLOOKUP('17.04'!K93,'17.04'!$AM$4:$AO$55,3,FALSE))</f>
        <v>0</v>
      </c>
      <c r="D93" s="4">
        <f>(VLOOKUP('17.04'!L93,'17.04'!$AM$4:$AO$55,3,FALSE))</f>
        <v>0</v>
      </c>
      <c r="E93" s="4">
        <f>(VLOOKUP('17.04'!M93,'17.04'!$AM$4:$AO$55,3,FALSE))</f>
        <v>0</v>
      </c>
      <c r="F93" s="4">
        <f>(VLOOKUP('17.04'!N93,'17.04'!$AM$4:$AO$55,3,FALSE))</f>
        <v>0</v>
      </c>
      <c r="G93" s="5">
        <f>(VLOOKUP('17.04'!O93,'17.04'!$AM$4:$AO$55,3,FALSE))</f>
        <v>0</v>
      </c>
      <c r="H93" s="5">
        <f>(VLOOKUP('17.04'!P93,'17.04'!$AM$4:$AO$55,3,FALSE))</f>
        <v>0</v>
      </c>
      <c r="I93" s="4">
        <f>(VLOOKUP('17.04'!Q93,'17.04'!$AM$4:$AO$55,3,FALSE))</f>
        <v>0</v>
      </c>
      <c r="J93" s="4">
        <f>(VLOOKUP('17.04'!R93,'17.04'!$AM$4:$AO$55,3,FALSE))</f>
        <v>0</v>
      </c>
      <c r="K93" s="4">
        <f>(VLOOKUP('17.04'!S93,'17.04'!$AM$4:$AO$55,3,FALSE))</f>
        <v>0</v>
      </c>
      <c r="L93" s="4">
        <f>(VLOOKUP('17.04'!T93,'17.04'!$AM$4:$AO$55,3,FALSE))</f>
        <v>0</v>
      </c>
      <c r="M93" s="4">
        <f>(VLOOKUP('17.04'!U93,'17.04'!$AM$4:$AO$55,3,FALSE))</f>
        <v>0</v>
      </c>
      <c r="N93" s="4">
        <f>(VLOOKUP('17.04'!V93,'17.04'!$AM$4:$AO$55,3,FALSE))</f>
        <v>0</v>
      </c>
      <c r="O93" s="5">
        <f>(VLOOKUP('17.04'!W93,'17.04'!$AM$4:$AO$55,3,FALSE))</f>
        <v>0</v>
      </c>
      <c r="P93" s="5">
        <f>(VLOOKUP('17.04'!X93,'17.04'!$AM$4:$AO$55,3,FALSE))</f>
        <v>0</v>
      </c>
      <c r="Q93" s="4">
        <f>(VLOOKUP('17.04'!Y93,'17.04'!$AM$4:$AO$55,3,FALSE))</f>
        <v>0</v>
      </c>
      <c r="R93" s="4">
        <f>(VLOOKUP('17.04'!Z93,'17.04'!$AM$4:$AO$55,3,FALSE))</f>
        <v>0</v>
      </c>
      <c r="S93" s="4">
        <f>(VLOOKUP('17.04'!AA93,'17.04'!$AM$4:$AO$55,3,FALSE))</f>
        <v>0</v>
      </c>
      <c r="T93" s="4">
        <f>(VLOOKUP('17.04'!AB93,'17.04'!$AM$4:$AO$55,3,FALSE))</f>
        <v>0</v>
      </c>
      <c r="U93" s="4">
        <f>(VLOOKUP('17.04'!AC93,'17.04'!$AM$4:$AO$55,3,FALSE))</f>
        <v>0</v>
      </c>
      <c r="V93" s="4">
        <f>(VLOOKUP('17.04'!AD93,'17.04'!$AM$4:$AO$55,3,FALSE))</f>
        <v>0</v>
      </c>
      <c r="W93" s="5">
        <f>(VLOOKUP('17.04'!AE93,'17.04'!$AM$4:$AO$55,3,FALSE))</f>
        <v>0</v>
      </c>
      <c r="X93" s="5">
        <f>(VLOOKUP('17.04'!AF93,'17.04'!$AM$4:$AO$55,3,FALSE))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(VLOOKUP('17.04'!I4,'17.04'!$AM$4:$AP$55,4,FALSE))</f>
        <v>44.222109392472248</v>
      </c>
      <c r="B4" s="4">
        <f>(VLOOKUP('17.04'!J4,'17.04'!$AM$4:$AP$55,4,FALSE))</f>
        <v>44.222109392472248</v>
      </c>
      <c r="C4" s="4">
        <f>(VLOOKUP('17.04'!K4,'17.04'!$AM$4:$AP$55,4,FALSE))</f>
        <v>44.222109392472248</v>
      </c>
      <c r="D4" s="4">
        <f>(VLOOKUP('17.04'!L4,'17.04'!$AM$4:$AP$55,4,FALSE))</f>
        <v>0</v>
      </c>
      <c r="E4" s="4">
        <f>(VLOOKUP('17.04'!M4,'17.04'!$AM$4:$AP$55,4,FALSE))</f>
        <v>0</v>
      </c>
      <c r="F4" s="4">
        <f>(VLOOKUP('17.04'!N4,'17.04'!$AM$4:$AP$55,4,FALSE))</f>
        <v>0</v>
      </c>
      <c r="G4" s="4">
        <f>(VLOOKUP('17.04'!O4,'17.04'!$AM$4:$AP$55,4,FALSE))</f>
        <v>0</v>
      </c>
      <c r="H4" s="4">
        <f>(VLOOKUP('17.04'!P4,'17.04'!$AM$4:$AP$55,4,FALSE))</f>
        <v>0</v>
      </c>
      <c r="I4" s="4">
        <f>(VLOOKUP('17.04'!Q4,'17.04'!$AM$4:$AP$55,4,FALSE))</f>
        <v>44.222109392472248</v>
      </c>
      <c r="J4" s="4">
        <f>(VLOOKUP('17.04'!R4,'17.04'!$AM$4:$AP$55,4,FALSE))</f>
        <v>44.222109392472248</v>
      </c>
      <c r="K4" s="4">
        <f>(VLOOKUP('17.04'!S4,'17.04'!$AM$4:$AP$55,4,FALSE))</f>
        <v>10</v>
      </c>
      <c r="L4" s="4">
        <f>(VLOOKUP('17.04'!T4,'17.04'!$AM$4:$AP$55,4,FALSE))</f>
        <v>44.222109392472248</v>
      </c>
      <c r="M4" s="4">
        <f>(VLOOKUP('17.04'!U4,'17.04'!$AM$4:$AP$55,4,FALSE))</f>
        <v>44.222109392472248</v>
      </c>
      <c r="N4" s="4">
        <f>(VLOOKUP('17.04'!V4,'17.04'!$AM$4:$AP$55,4,FALSE))</f>
        <v>44.222109392472248</v>
      </c>
      <c r="O4" s="4">
        <f>(VLOOKUP('17.04'!W4,'17.04'!$AM$4:$AP$55,4,FALSE))</f>
        <v>0</v>
      </c>
      <c r="P4" s="4">
        <f>(VLOOKUP('17.04'!X4,'17.04'!$AM$4:$AP$55,4,FALSE))</f>
        <v>0</v>
      </c>
      <c r="Q4" s="4">
        <f>(VLOOKUP('17.04'!Y4,'17.04'!$AM$4:$AP$55,4,FALSE))</f>
        <v>44.222109392472248</v>
      </c>
      <c r="R4" s="4">
        <f>(VLOOKUP('17.04'!Z4,'17.04'!$AM$4:$AP$55,4,FALSE))</f>
        <v>44.222109392472248</v>
      </c>
      <c r="S4" s="4">
        <f>(VLOOKUP('17.04'!AA4,'17.04'!$AM$4:$AP$55,4,FALSE))</f>
        <v>44.222109392472248</v>
      </c>
      <c r="T4" s="4">
        <f>(VLOOKUP('17.04'!AB4,'17.04'!$AM$4:$AP$55,4,FALSE))</f>
        <v>44.222109392472248</v>
      </c>
      <c r="U4" s="4">
        <f>(VLOOKUP('17.04'!AC4,'17.04'!$AM$4:$AP$55,4,FALSE))</f>
        <v>44.222109392472248</v>
      </c>
      <c r="V4" s="4">
        <f>(VLOOKUP('17.04'!AD4,'17.04'!$AM$4:$AP$55,4,FALSE))</f>
        <v>10</v>
      </c>
      <c r="W4" s="4">
        <f>(VLOOKUP('17.04'!AE4,'17.04'!$AM$4:$AP$55,4,FALSE))</f>
        <v>0</v>
      </c>
      <c r="X4" s="4">
        <f>(VLOOKUP('17.04'!AF4,'17.04'!$AM$4:$AP$55,4,FALSE))</f>
        <v>0</v>
      </c>
    </row>
    <row r="5" spans="1:24">
      <c r="A5" s="4">
        <f>(VLOOKUP('17.04'!I5,'17.04'!$AM$4:$AP$55,4,FALSE))</f>
        <v>0</v>
      </c>
      <c r="B5" s="4">
        <f>(VLOOKUP('17.04'!J5,'17.04'!$AM$4:$AP$55,4,FALSE))</f>
        <v>0</v>
      </c>
      <c r="C5" s="4">
        <f>(VLOOKUP('17.04'!K5,'17.04'!$AM$4:$AP$55,4,FALSE))</f>
        <v>0</v>
      </c>
      <c r="D5" s="4">
        <f>(VLOOKUP('17.04'!L5,'17.04'!$AM$4:$AP$55,4,FALSE))</f>
        <v>0</v>
      </c>
      <c r="E5" s="4">
        <f>(VLOOKUP('17.04'!M5,'17.04'!$AM$4:$AP$55,4,FALSE))</f>
        <v>0</v>
      </c>
      <c r="F5" s="4">
        <f>(VLOOKUP('17.04'!N5,'17.04'!$AM$4:$AP$55,4,FALSE))</f>
        <v>0</v>
      </c>
      <c r="G5" s="4">
        <f>(VLOOKUP('17.04'!O5,'17.04'!$AM$4:$AP$55,4,FALSE))</f>
        <v>0</v>
      </c>
      <c r="H5" s="4">
        <f>(VLOOKUP('17.04'!P5,'17.04'!$AM$4:$AP$55,4,FALSE))</f>
        <v>0</v>
      </c>
      <c r="I5" s="4">
        <f>(VLOOKUP('17.04'!Q5,'17.04'!$AM$4:$AP$55,4,FALSE))</f>
        <v>44.222109392472248</v>
      </c>
      <c r="J5" s="4">
        <f>(VLOOKUP('17.04'!R5,'17.04'!$AM$4:$AP$55,4,FALSE))</f>
        <v>10</v>
      </c>
      <c r="K5" s="4">
        <f>(VLOOKUP('17.04'!S5,'17.04'!$AM$4:$AP$55,4,FALSE))</f>
        <v>0</v>
      </c>
      <c r="L5" s="4">
        <f>(VLOOKUP('17.04'!T5,'17.04'!$AM$4:$AP$55,4,FALSE))</f>
        <v>0</v>
      </c>
      <c r="M5" s="4">
        <f>(VLOOKUP('17.04'!U5,'17.04'!$AM$4:$AP$55,4,FALSE))</f>
        <v>0</v>
      </c>
      <c r="N5" s="4">
        <f>(VLOOKUP('17.04'!V5,'17.04'!$AM$4:$AP$55,4,FALSE))</f>
        <v>0</v>
      </c>
      <c r="O5" s="4">
        <f>(VLOOKUP('17.04'!W5,'17.04'!$AM$4:$AP$55,4,FALSE))</f>
        <v>0</v>
      </c>
      <c r="P5" s="4">
        <f>(VLOOKUP('17.04'!X5,'17.04'!$AM$4:$AP$55,4,FALSE))</f>
        <v>0</v>
      </c>
      <c r="Q5" s="4">
        <f>(VLOOKUP('17.04'!Y5,'17.04'!$AM$4:$AP$55,4,FALSE))</f>
        <v>44.222109392472248</v>
      </c>
      <c r="R5" s="4">
        <f>(VLOOKUP('17.04'!Z5,'17.04'!$AM$4:$AP$55,4,FALSE))</f>
        <v>44.222109392472248</v>
      </c>
      <c r="S5" s="4">
        <f>(VLOOKUP('17.04'!AA5,'17.04'!$AM$4:$AP$55,4,FALSE))</f>
        <v>44.222109392472248</v>
      </c>
      <c r="T5" s="4">
        <f>(VLOOKUP('17.04'!AB5,'17.04'!$AM$4:$AP$55,4,FALSE))</f>
        <v>44.222109392472248</v>
      </c>
      <c r="U5" s="4">
        <f>(VLOOKUP('17.04'!AC5,'17.04'!$AM$4:$AP$55,4,FALSE))</f>
        <v>44.222109392472248</v>
      </c>
      <c r="V5" s="4">
        <f>(VLOOKUP('17.04'!AD5,'17.04'!$AM$4:$AP$55,4,FALSE))</f>
        <v>44.222109392472248</v>
      </c>
      <c r="W5" s="4">
        <f>(VLOOKUP('17.04'!AE5,'17.04'!$AM$4:$AP$55,4,FALSE))</f>
        <v>0</v>
      </c>
      <c r="X5" s="4">
        <f>(VLOOKUP('17.04'!AF5,'17.04'!$AM$4:$AP$55,4,FALSE))</f>
        <v>0</v>
      </c>
    </row>
    <row r="6" spans="1:24">
      <c r="A6" s="4">
        <f>(VLOOKUP('17.04'!I6,'17.04'!$AM$4:$AP$55,4,FALSE))</f>
        <v>0</v>
      </c>
      <c r="B6" s="4">
        <f>(VLOOKUP('17.04'!J6,'17.04'!$AM$4:$AP$55,4,FALSE))</f>
        <v>0</v>
      </c>
      <c r="C6" s="4">
        <f>(VLOOKUP('17.04'!K6,'17.04'!$AM$4:$AP$55,4,FALSE))</f>
        <v>0</v>
      </c>
      <c r="D6" s="4">
        <f>(VLOOKUP('17.04'!L6,'17.04'!$AM$4:$AP$55,4,FALSE))</f>
        <v>0</v>
      </c>
      <c r="E6" s="4">
        <f>(VLOOKUP('17.04'!M6,'17.04'!$AM$4:$AP$55,4,FALSE))</f>
        <v>0</v>
      </c>
      <c r="F6" s="4">
        <f>(VLOOKUP('17.04'!N6,'17.04'!$AM$4:$AP$55,4,FALSE))</f>
        <v>0</v>
      </c>
      <c r="G6" s="4">
        <f>(VLOOKUP('17.04'!O6,'17.04'!$AM$4:$AP$55,4,FALSE))</f>
        <v>0</v>
      </c>
      <c r="H6" s="4">
        <f>(VLOOKUP('17.04'!P6,'17.04'!$AM$4:$AP$55,4,FALSE))</f>
        <v>0</v>
      </c>
      <c r="I6" s="4">
        <f>(VLOOKUP('17.04'!Q6,'17.04'!$AM$4:$AP$55,4,FALSE))</f>
        <v>34</v>
      </c>
      <c r="J6" s="4">
        <f>(VLOOKUP('17.04'!R6,'17.04'!$AM$4:$AP$55,4,FALSE))</f>
        <v>34</v>
      </c>
      <c r="K6" s="4">
        <f>(VLOOKUP('17.04'!S6,'17.04'!$AM$4:$AP$55,4,FALSE))</f>
        <v>34</v>
      </c>
      <c r="L6" s="4">
        <f>(VLOOKUP('17.04'!T6,'17.04'!$AM$4:$AP$55,4,FALSE))</f>
        <v>34</v>
      </c>
      <c r="M6" s="4">
        <f>(VLOOKUP('17.04'!U6,'17.04'!$AM$4:$AP$55,4,FALSE))</f>
        <v>34</v>
      </c>
      <c r="N6" s="4">
        <f>(VLOOKUP('17.04'!V6,'17.04'!$AM$4:$AP$55,4,FALSE))</f>
        <v>34</v>
      </c>
      <c r="O6" s="4">
        <f>(VLOOKUP('17.04'!W6,'17.04'!$AM$4:$AP$55,4,FALSE))</f>
        <v>34</v>
      </c>
      <c r="P6" s="4">
        <f>(VLOOKUP('17.04'!X6,'17.04'!$AM$4:$AP$55,4,FALSE))</f>
        <v>0</v>
      </c>
      <c r="Q6" s="4">
        <f>(VLOOKUP('17.04'!Y6,'17.04'!$AM$4:$AP$55,4,FALSE))</f>
        <v>10</v>
      </c>
      <c r="R6" s="4">
        <f>(VLOOKUP('17.04'!Z6,'17.04'!$AM$4:$AP$55,4,FALSE))</f>
        <v>44.222109392472248</v>
      </c>
      <c r="S6" s="4">
        <f>(VLOOKUP('17.04'!AA6,'17.04'!$AM$4:$AP$55,4,FALSE))</f>
        <v>44.222109392472248</v>
      </c>
      <c r="T6" s="4">
        <f>(VLOOKUP('17.04'!AB6,'17.04'!$AM$4:$AP$55,4,FALSE))</f>
        <v>34</v>
      </c>
      <c r="U6" s="4">
        <f>(VLOOKUP('17.04'!AC6,'17.04'!$AM$4:$AP$55,4,FALSE))</f>
        <v>0</v>
      </c>
      <c r="V6" s="4">
        <f>(VLOOKUP('17.04'!AD6,'17.04'!$AM$4:$AP$55,4,FALSE))</f>
        <v>34</v>
      </c>
      <c r="W6" s="4">
        <f>(VLOOKUP('17.04'!AE6,'17.04'!$AM$4:$AP$55,4,FALSE))</f>
        <v>0</v>
      </c>
      <c r="X6" s="4">
        <f>(VLOOKUP('17.04'!AF6,'17.04'!$AM$4:$AP$55,4,FALSE))</f>
        <v>0</v>
      </c>
    </row>
    <row r="7" spans="1:24">
      <c r="A7" s="4">
        <f>(VLOOKUP('17.04'!I7,'17.04'!$AM$4:$AP$55,4,FALSE))</f>
        <v>0</v>
      </c>
      <c r="B7" s="4">
        <f>(VLOOKUP('17.04'!J7,'17.04'!$AM$4:$AP$55,4,FALSE))</f>
        <v>0</v>
      </c>
      <c r="C7" s="4">
        <f>(VLOOKUP('17.04'!K7,'17.04'!$AM$4:$AP$55,4,FALSE))</f>
        <v>0</v>
      </c>
      <c r="D7" s="4">
        <f>(VLOOKUP('17.04'!L7,'17.04'!$AM$4:$AP$55,4,FALSE))</f>
        <v>0</v>
      </c>
      <c r="E7" s="4">
        <f>(VLOOKUP('17.04'!M7,'17.04'!$AM$4:$AP$55,4,FALSE))</f>
        <v>0</v>
      </c>
      <c r="F7" s="4">
        <f>(VLOOKUP('17.04'!N7,'17.04'!$AM$4:$AP$55,4,FALSE))</f>
        <v>0</v>
      </c>
      <c r="G7" s="4">
        <f>(VLOOKUP('17.04'!O7,'17.04'!$AM$4:$AP$55,4,FALSE))</f>
        <v>0</v>
      </c>
      <c r="H7" s="4">
        <f>(VLOOKUP('17.04'!P7,'17.04'!$AM$4:$AP$55,4,FALSE))</f>
        <v>0</v>
      </c>
      <c r="I7" s="4">
        <f>(VLOOKUP('17.04'!Q7,'17.04'!$AM$4:$AP$55,4,FALSE))</f>
        <v>13.999854933178597</v>
      </c>
      <c r="J7" s="4">
        <f>(VLOOKUP('17.04'!R7,'17.04'!$AM$4:$AP$55,4,FALSE))</f>
        <v>34</v>
      </c>
      <c r="K7" s="4">
        <f>(VLOOKUP('17.04'!S7,'17.04'!$AM$4:$AP$55,4,FALSE))</f>
        <v>34</v>
      </c>
      <c r="L7" s="4">
        <f>(VLOOKUP('17.04'!T7,'17.04'!$AM$4:$AP$55,4,FALSE))</f>
        <v>34</v>
      </c>
      <c r="M7" s="4">
        <f>(VLOOKUP('17.04'!U7,'17.04'!$AM$4:$AP$55,4,FALSE))</f>
        <v>0</v>
      </c>
      <c r="N7" s="4">
        <f>(VLOOKUP('17.04'!V7,'17.04'!$AM$4:$AP$55,4,FALSE))</f>
        <v>34</v>
      </c>
      <c r="O7" s="4">
        <f>(VLOOKUP('17.04'!W7,'17.04'!$AM$4:$AP$55,4,FALSE))</f>
        <v>34</v>
      </c>
      <c r="P7" s="4">
        <f>(VLOOKUP('17.04'!X7,'17.04'!$AM$4:$AP$55,4,FALSE))</f>
        <v>34</v>
      </c>
      <c r="Q7" s="4">
        <f>(VLOOKUP('17.04'!Y7,'17.04'!$AM$4:$AP$55,4,FALSE))</f>
        <v>34</v>
      </c>
      <c r="R7" s="4">
        <f>(VLOOKUP('17.04'!Z7,'17.04'!$AM$4:$AP$55,4,FALSE))</f>
        <v>34</v>
      </c>
      <c r="S7" s="4">
        <f>(VLOOKUP('17.04'!AA7,'17.04'!$AM$4:$AP$55,4,FALSE))</f>
        <v>10</v>
      </c>
      <c r="T7" s="4">
        <f>(VLOOKUP('17.04'!AB7,'17.04'!$AM$4:$AP$55,4,FALSE))</f>
        <v>34</v>
      </c>
      <c r="U7" s="4">
        <f>(VLOOKUP('17.04'!AC7,'17.04'!$AM$4:$AP$55,4,FALSE))</f>
        <v>34</v>
      </c>
      <c r="V7" s="4">
        <f>(VLOOKUP('17.04'!AD7,'17.04'!$AM$4:$AP$55,4,FALSE))</f>
        <v>34</v>
      </c>
      <c r="W7" s="4">
        <f>(VLOOKUP('17.04'!AE7,'17.04'!$AM$4:$AP$55,4,FALSE))</f>
        <v>0</v>
      </c>
      <c r="X7" s="4">
        <f>(VLOOKUP('17.04'!AF7,'17.04'!$AM$4:$AP$55,4,FALSE))</f>
        <v>0</v>
      </c>
    </row>
    <row r="8" spans="1:24">
      <c r="A8" s="4">
        <f>(VLOOKUP('17.04'!I8,'17.04'!$AM$4:$AP$55,4,FALSE))</f>
        <v>0</v>
      </c>
      <c r="B8" s="4">
        <f>(VLOOKUP('17.04'!J8,'17.04'!$AM$4:$AP$55,4,FALSE))</f>
        <v>0</v>
      </c>
      <c r="C8" s="4">
        <f>(VLOOKUP('17.04'!K8,'17.04'!$AM$4:$AP$55,4,FALSE))</f>
        <v>0</v>
      </c>
      <c r="D8" s="4">
        <f>(VLOOKUP('17.04'!L8,'17.04'!$AM$4:$AP$55,4,FALSE))</f>
        <v>0</v>
      </c>
      <c r="E8" s="4">
        <f>(VLOOKUP('17.04'!M8,'17.04'!$AM$4:$AP$55,4,FALSE))</f>
        <v>0</v>
      </c>
      <c r="F8" s="4">
        <f>(VLOOKUP('17.04'!N8,'17.04'!$AM$4:$AP$55,4,FALSE))</f>
        <v>0</v>
      </c>
      <c r="G8" s="4">
        <f>(VLOOKUP('17.04'!O8,'17.04'!$AM$4:$AP$55,4,FALSE))</f>
        <v>0</v>
      </c>
      <c r="H8" s="4">
        <f>(VLOOKUP('17.04'!P8,'17.04'!$AM$4:$AP$55,4,FALSE))</f>
        <v>0</v>
      </c>
      <c r="I8" s="4">
        <f>(VLOOKUP('17.04'!Q8,'17.04'!$AM$4:$AP$55,4,FALSE))</f>
        <v>34</v>
      </c>
      <c r="J8" s="4">
        <f>(VLOOKUP('17.04'!R8,'17.04'!$AM$4:$AP$55,4,FALSE))</f>
        <v>34</v>
      </c>
      <c r="K8" s="4">
        <f>(VLOOKUP('17.04'!S8,'17.04'!$AM$4:$AP$55,4,FALSE))</f>
        <v>34</v>
      </c>
      <c r="L8" s="4">
        <f>(VLOOKUP('17.04'!T8,'17.04'!$AM$4:$AP$55,4,FALSE))</f>
        <v>10</v>
      </c>
      <c r="M8" s="4">
        <f>(VLOOKUP('17.04'!U8,'17.04'!$AM$4:$AP$55,4,FALSE))</f>
        <v>34</v>
      </c>
      <c r="N8" s="4">
        <f>(VLOOKUP('17.04'!V8,'17.04'!$AM$4:$AP$55,4,FALSE))</f>
        <v>34</v>
      </c>
      <c r="O8" s="4">
        <f>(VLOOKUP('17.04'!W8,'17.04'!$AM$4:$AP$55,4,FALSE))</f>
        <v>0</v>
      </c>
      <c r="P8" s="4">
        <f>(VLOOKUP('17.04'!X8,'17.04'!$AM$4:$AP$55,4,FALSE))</f>
        <v>0</v>
      </c>
      <c r="Q8" s="4">
        <f>(VLOOKUP('17.04'!Y8,'17.04'!$AM$4:$AP$55,4,FALSE))</f>
        <v>34</v>
      </c>
      <c r="R8" s="4">
        <f>(VLOOKUP('17.04'!Z8,'17.04'!$AM$4:$AP$55,4,FALSE))</f>
        <v>34</v>
      </c>
      <c r="S8" s="4">
        <f>(VLOOKUP('17.04'!AA8,'17.04'!$AM$4:$AP$55,4,FALSE))</f>
        <v>34</v>
      </c>
      <c r="T8" s="4">
        <f>(VLOOKUP('17.04'!AB8,'17.04'!$AM$4:$AP$55,4,FALSE))</f>
        <v>34</v>
      </c>
      <c r="U8" s="4">
        <f>(VLOOKUP('17.04'!AC8,'17.04'!$AM$4:$AP$55,4,FALSE))</f>
        <v>0</v>
      </c>
      <c r="V8" s="4">
        <f>(VLOOKUP('17.04'!AD8,'17.04'!$AM$4:$AP$55,4,FALSE))</f>
        <v>34</v>
      </c>
      <c r="W8" s="4">
        <f>(VLOOKUP('17.04'!AE8,'17.04'!$AM$4:$AP$55,4,FALSE))</f>
        <v>0</v>
      </c>
      <c r="X8" s="4">
        <f>(VLOOKUP('17.04'!AF8,'17.04'!$AM$4:$AP$55,4,FALSE))</f>
        <v>0</v>
      </c>
    </row>
    <row r="9" spans="1:24">
      <c r="A9" s="4">
        <f>(VLOOKUP('17.04'!I9,'17.04'!$AM$4:$AP$55,4,FALSE))</f>
        <v>0</v>
      </c>
      <c r="B9" s="4">
        <f>(VLOOKUP('17.04'!J9,'17.04'!$AM$4:$AP$55,4,FALSE))</f>
        <v>0</v>
      </c>
      <c r="C9" s="4">
        <f>(VLOOKUP('17.04'!K9,'17.04'!$AM$4:$AP$55,4,FALSE))</f>
        <v>0</v>
      </c>
      <c r="D9" s="4">
        <f>(VLOOKUP('17.04'!L9,'17.04'!$AM$4:$AP$55,4,FALSE))</f>
        <v>0</v>
      </c>
      <c r="E9" s="4">
        <f>(VLOOKUP('17.04'!M9,'17.04'!$AM$4:$AP$55,4,FALSE))</f>
        <v>0</v>
      </c>
      <c r="F9" s="4">
        <f>(VLOOKUP('17.04'!N9,'17.04'!$AM$4:$AP$55,4,FALSE))</f>
        <v>0</v>
      </c>
      <c r="G9" s="4">
        <f>(VLOOKUP('17.04'!O9,'17.04'!$AM$4:$AP$55,4,FALSE))</f>
        <v>0</v>
      </c>
      <c r="H9" s="4">
        <f>(VLOOKUP('17.04'!P9,'17.04'!$AM$4:$AP$55,4,FALSE))</f>
        <v>0</v>
      </c>
      <c r="I9" s="4">
        <f>(VLOOKUP('17.04'!Q9,'17.04'!$AM$4:$AP$55,4,FALSE))</f>
        <v>0</v>
      </c>
      <c r="J9" s="4">
        <f>(VLOOKUP('17.04'!R9,'17.04'!$AM$4:$AP$55,4,FALSE))</f>
        <v>36</v>
      </c>
      <c r="K9" s="4">
        <f>(VLOOKUP('17.04'!S9,'17.04'!$AM$4:$AP$55,4,FALSE))</f>
        <v>36</v>
      </c>
      <c r="L9" s="4">
        <f>(VLOOKUP('17.04'!T9,'17.04'!$AM$4:$AP$55,4,FALSE))</f>
        <v>36</v>
      </c>
      <c r="M9" s="4">
        <f>(VLOOKUP('17.04'!U9,'17.04'!$AM$4:$AP$55,4,FALSE))</f>
        <v>36</v>
      </c>
      <c r="N9" s="4">
        <f>(VLOOKUP('17.04'!V9,'17.04'!$AM$4:$AP$55,4,FALSE))</f>
        <v>36</v>
      </c>
      <c r="O9" s="4">
        <f>(VLOOKUP('17.04'!W9,'17.04'!$AM$4:$AP$55,4,FALSE))</f>
        <v>0</v>
      </c>
      <c r="P9" s="4">
        <f>(VLOOKUP('17.04'!X9,'17.04'!$AM$4:$AP$55,4,FALSE))</f>
        <v>0</v>
      </c>
      <c r="Q9" s="4">
        <f>(VLOOKUP('17.04'!Y9,'17.04'!$AM$4:$AP$55,4,FALSE))</f>
        <v>34</v>
      </c>
      <c r="R9" s="4">
        <f>(VLOOKUP('17.04'!Z9,'17.04'!$AM$4:$AP$55,4,FALSE))</f>
        <v>34</v>
      </c>
      <c r="S9" s="4">
        <f>(VLOOKUP('17.04'!AA9,'17.04'!$AM$4:$AP$55,4,FALSE))</f>
        <v>34</v>
      </c>
      <c r="T9" s="4">
        <f>(VLOOKUP('17.04'!AB9,'17.04'!$AM$4:$AP$55,4,FALSE))</f>
        <v>34</v>
      </c>
      <c r="U9" s="4">
        <f>(VLOOKUP('17.04'!AC9,'17.04'!$AM$4:$AP$55,4,FALSE))</f>
        <v>10</v>
      </c>
      <c r="V9" s="4">
        <f>(VLOOKUP('17.04'!AD9,'17.04'!$AM$4:$AP$55,4,FALSE))</f>
        <v>34</v>
      </c>
      <c r="W9" s="4">
        <f>(VLOOKUP('17.04'!AE9,'17.04'!$AM$4:$AP$55,4,FALSE))</f>
        <v>0</v>
      </c>
      <c r="X9" s="4">
        <f>(VLOOKUP('17.04'!AF9,'17.04'!$AM$4:$AP$55,4,FALSE))</f>
        <v>0</v>
      </c>
    </row>
    <row r="10" spans="1:24">
      <c r="A10" s="4">
        <f>(VLOOKUP('17.04'!I10,'17.04'!$AM$4:$AP$55,4,FALSE))</f>
        <v>0</v>
      </c>
      <c r="B10" s="4">
        <f>(VLOOKUP('17.04'!J10,'17.04'!$AM$4:$AP$55,4,FALSE))</f>
        <v>0</v>
      </c>
      <c r="C10" s="4">
        <f>(VLOOKUP('17.04'!K10,'17.04'!$AM$4:$AP$55,4,FALSE))</f>
        <v>0</v>
      </c>
      <c r="D10" s="4">
        <f>(VLOOKUP('17.04'!L10,'17.04'!$AM$4:$AP$55,4,FALSE))</f>
        <v>0</v>
      </c>
      <c r="E10" s="4">
        <f>(VLOOKUP('17.04'!M10,'17.04'!$AM$4:$AP$55,4,FALSE))</f>
        <v>0</v>
      </c>
      <c r="F10" s="4">
        <f>(VLOOKUP('17.04'!N10,'17.04'!$AM$4:$AP$55,4,FALSE))</f>
        <v>0</v>
      </c>
      <c r="G10" s="4">
        <f>(VLOOKUP('17.04'!O10,'17.04'!$AM$4:$AP$55,4,FALSE))</f>
        <v>0</v>
      </c>
      <c r="H10" s="4">
        <f>(VLOOKUP('17.04'!P10,'17.04'!$AM$4:$AP$55,4,FALSE))</f>
        <v>0</v>
      </c>
      <c r="I10" s="4">
        <f>(VLOOKUP('17.04'!Q10,'17.04'!$AM$4:$AP$55,4,FALSE))</f>
        <v>0</v>
      </c>
      <c r="J10" s="4">
        <f>(VLOOKUP('17.04'!R10,'17.04'!$AM$4:$AP$55,4,FALSE))</f>
        <v>36</v>
      </c>
      <c r="K10" s="4">
        <f>(VLOOKUP('17.04'!S10,'17.04'!$AM$4:$AP$55,4,FALSE))</f>
        <v>36</v>
      </c>
      <c r="L10" s="4">
        <f>(VLOOKUP('17.04'!T10,'17.04'!$AM$4:$AP$55,4,FALSE))</f>
        <v>34</v>
      </c>
      <c r="M10" s="4">
        <f>(VLOOKUP('17.04'!U10,'17.04'!$AM$4:$AP$55,4,FALSE))</f>
        <v>34</v>
      </c>
      <c r="N10" s="4">
        <f>(VLOOKUP('17.04'!V10,'17.04'!$AM$4:$AP$55,4,FALSE))</f>
        <v>34</v>
      </c>
      <c r="O10" s="4">
        <f>(VLOOKUP('17.04'!W10,'17.04'!$AM$4:$AP$55,4,FALSE))</f>
        <v>0</v>
      </c>
      <c r="P10" s="4">
        <f>(VLOOKUP('17.04'!X10,'17.04'!$AM$4:$AP$55,4,FALSE))</f>
        <v>0</v>
      </c>
      <c r="Q10" s="4">
        <f>(VLOOKUP('17.04'!Y10,'17.04'!$AM$4:$AP$55,4,FALSE))</f>
        <v>34</v>
      </c>
      <c r="R10" s="4">
        <f>(VLOOKUP('17.04'!Z10,'17.04'!$AM$4:$AP$55,4,FALSE))</f>
        <v>34</v>
      </c>
      <c r="S10" s="4">
        <f>(VLOOKUP('17.04'!AA10,'17.04'!$AM$4:$AP$55,4,FALSE))</f>
        <v>34</v>
      </c>
      <c r="T10" s="4">
        <f>(VLOOKUP('17.04'!AB10,'17.04'!$AM$4:$AP$55,4,FALSE))</f>
        <v>34</v>
      </c>
      <c r="U10" s="4">
        <f>(VLOOKUP('17.04'!AC10,'17.04'!$AM$4:$AP$55,4,FALSE))</f>
        <v>34</v>
      </c>
      <c r="V10" s="4">
        <f>(VLOOKUP('17.04'!AD10,'17.04'!$AM$4:$AP$55,4,FALSE))</f>
        <v>34</v>
      </c>
      <c r="W10" s="4">
        <f>(VLOOKUP('17.04'!AE10,'17.04'!$AM$4:$AP$55,4,FALSE))</f>
        <v>0</v>
      </c>
      <c r="X10" s="4">
        <f>(VLOOKUP('17.04'!AF10,'17.04'!$AM$4:$AP$55,4,FALSE))</f>
        <v>0</v>
      </c>
    </row>
    <row r="11" spans="1:24">
      <c r="A11" s="4">
        <f>(VLOOKUP('17.04'!I11,'17.04'!$AM$4:$AP$55,4,FALSE))</f>
        <v>0</v>
      </c>
      <c r="B11" s="4">
        <f>(VLOOKUP('17.04'!J11,'17.04'!$AM$4:$AP$55,4,FALSE))</f>
        <v>0</v>
      </c>
      <c r="C11" s="4">
        <f>(VLOOKUP('17.04'!K11,'17.04'!$AM$4:$AP$55,4,FALSE))</f>
        <v>0</v>
      </c>
      <c r="D11" s="4">
        <f>(VLOOKUP('17.04'!L11,'17.04'!$AM$4:$AP$55,4,FALSE))</f>
        <v>0</v>
      </c>
      <c r="E11" s="4">
        <f>(VLOOKUP('17.04'!M11,'17.04'!$AM$4:$AP$55,4,FALSE))</f>
        <v>0</v>
      </c>
      <c r="F11" s="4">
        <f>(VLOOKUP('17.04'!N11,'17.04'!$AM$4:$AP$55,4,FALSE))</f>
        <v>0</v>
      </c>
      <c r="G11" s="4">
        <f>(VLOOKUP('17.04'!O11,'17.04'!$AM$4:$AP$55,4,FALSE))</f>
        <v>0</v>
      </c>
      <c r="H11" s="4">
        <f>(VLOOKUP('17.04'!P11,'17.04'!$AM$4:$AP$55,4,FALSE))</f>
        <v>0</v>
      </c>
      <c r="I11" s="4">
        <f>(VLOOKUP('17.04'!Q11,'17.04'!$AM$4:$AP$55,4,FALSE))</f>
        <v>0</v>
      </c>
      <c r="J11" s="4">
        <f>(VLOOKUP('17.04'!R11,'17.04'!$AM$4:$AP$55,4,FALSE))</f>
        <v>34</v>
      </c>
      <c r="K11" s="4">
        <f>(VLOOKUP('17.04'!S11,'17.04'!$AM$4:$AP$55,4,FALSE))</f>
        <v>44.222109392472248</v>
      </c>
      <c r="L11" s="4">
        <f>(VLOOKUP('17.04'!T11,'17.04'!$AM$4:$AP$55,4,FALSE))</f>
        <v>34</v>
      </c>
      <c r="M11" s="4">
        <f>(VLOOKUP('17.04'!U11,'17.04'!$AM$4:$AP$55,4,FALSE))</f>
        <v>10</v>
      </c>
      <c r="N11" s="4">
        <f>(VLOOKUP('17.04'!V11,'17.04'!$AM$4:$AP$55,4,FALSE))</f>
        <v>34</v>
      </c>
      <c r="O11" s="4">
        <f>(VLOOKUP('17.04'!W11,'17.04'!$AM$4:$AP$55,4,FALSE))</f>
        <v>34</v>
      </c>
      <c r="P11" s="4">
        <f>(VLOOKUP('17.04'!X11,'17.04'!$AM$4:$AP$55,4,FALSE))</f>
        <v>34</v>
      </c>
      <c r="Q11" s="4">
        <f>(VLOOKUP('17.04'!Y11,'17.04'!$AM$4:$AP$55,4,FALSE))</f>
        <v>34</v>
      </c>
      <c r="R11" s="4">
        <f>(VLOOKUP('17.04'!Z11,'17.04'!$AM$4:$AP$55,4,FALSE))</f>
        <v>34</v>
      </c>
      <c r="S11" s="4">
        <f>(VLOOKUP('17.04'!AA11,'17.04'!$AM$4:$AP$55,4,FALSE))</f>
        <v>34</v>
      </c>
      <c r="T11" s="4">
        <f>(VLOOKUP('17.04'!AB11,'17.04'!$AM$4:$AP$55,4,FALSE))</f>
        <v>34</v>
      </c>
      <c r="U11" s="4">
        <f>(VLOOKUP('17.04'!AC11,'17.04'!$AM$4:$AP$55,4,FALSE))</f>
        <v>34</v>
      </c>
      <c r="V11" s="4">
        <f>(VLOOKUP('17.04'!AD11,'17.04'!$AM$4:$AP$55,4,FALSE))</f>
        <v>34</v>
      </c>
      <c r="W11" s="4">
        <f>(VLOOKUP('17.04'!AE11,'17.04'!$AM$4:$AP$55,4,FALSE))</f>
        <v>0</v>
      </c>
      <c r="X11" s="4">
        <f>(VLOOKUP('17.04'!AF11,'17.04'!$AM$4:$AP$55,4,FALSE))</f>
        <v>0</v>
      </c>
    </row>
    <row r="12" spans="1:24">
      <c r="A12" s="4">
        <f>(VLOOKUP('17.04'!I12,'17.04'!$AM$4:$AP$55,4,FALSE))</f>
        <v>0</v>
      </c>
      <c r="B12" s="4">
        <f>(VLOOKUP('17.04'!J12,'17.04'!$AM$4:$AP$55,4,FALSE))</f>
        <v>0</v>
      </c>
      <c r="C12" s="4">
        <f>(VLOOKUP('17.04'!K12,'17.04'!$AM$4:$AP$55,4,FALSE))</f>
        <v>0</v>
      </c>
      <c r="D12" s="4">
        <f>(VLOOKUP('17.04'!L12,'17.04'!$AM$4:$AP$55,4,FALSE))</f>
        <v>0</v>
      </c>
      <c r="E12" s="4">
        <f>(VLOOKUP('17.04'!M12,'17.04'!$AM$4:$AP$55,4,FALSE))</f>
        <v>0</v>
      </c>
      <c r="F12" s="4">
        <f>(VLOOKUP('17.04'!N12,'17.04'!$AM$4:$AP$55,4,FALSE))</f>
        <v>0</v>
      </c>
      <c r="G12" s="4">
        <f>(VLOOKUP('17.04'!O12,'17.04'!$AM$4:$AP$55,4,FALSE))</f>
        <v>0</v>
      </c>
      <c r="H12" s="4">
        <f>(VLOOKUP('17.04'!P12,'17.04'!$AM$4:$AP$55,4,FALSE))</f>
        <v>0</v>
      </c>
      <c r="I12" s="4">
        <f>(VLOOKUP('17.04'!Q12,'17.04'!$AM$4:$AP$55,4,FALSE))</f>
        <v>34</v>
      </c>
      <c r="J12" s="4">
        <f>(VLOOKUP('17.04'!R12,'17.04'!$AM$4:$AP$55,4,FALSE))</f>
        <v>34</v>
      </c>
      <c r="K12" s="4">
        <f>(VLOOKUP('17.04'!S12,'17.04'!$AM$4:$AP$55,4,FALSE))</f>
        <v>13.999854933178597</v>
      </c>
      <c r="L12" s="4">
        <f>(VLOOKUP('17.04'!T12,'17.04'!$AM$4:$AP$55,4,FALSE))</f>
        <v>34</v>
      </c>
      <c r="M12" s="4">
        <f>(VLOOKUP('17.04'!U12,'17.04'!$AM$4:$AP$55,4,FALSE))</f>
        <v>34</v>
      </c>
      <c r="N12" s="4">
        <f>(VLOOKUP('17.04'!V12,'17.04'!$AM$4:$AP$55,4,FALSE))</f>
        <v>0</v>
      </c>
      <c r="O12" s="4">
        <f>(VLOOKUP('17.04'!W12,'17.04'!$AM$4:$AP$55,4,FALSE))</f>
        <v>0</v>
      </c>
      <c r="P12" s="4">
        <f>(VLOOKUP('17.04'!X12,'17.04'!$AM$4:$AP$55,4,FALSE))</f>
        <v>0</v>
      </c>
      <c r="Q12" s="4">
        <f>(VLOOKUP('17.04'!Y12,'17.04'!$AM$4:$AP$55,4,FALSE))</f>
        <v>34</v>
      </c>
      <c r="R12" s="4">
        <f>(VLOOKUP('17.04'!Z12,'17.04'!$AM$4:$AP$55,4,FALSE))</f>
        <v>10</v>
      </c>
      <c r="S12" s="4">
        <f>(VLOOKUP('17.04'!AA12,'17.04'!$AM$4:$AP$55,4,FALSE))</f>
        <v>34</v>
      </c>
      <c r="T12" s="4">
        <f>(VLOOKUP('17.04'!AB12,'17.04'!$AM$4:$AP$55,4,FALSE))</f>
        <v>34</v>
      </c>
      <c r="U12" s="4">
        <f>(VLOOKUP('17.04'!AC12,'17.04'!$AM$4:$AP$55,4,FALSE))</f>
        <v>34</v>
      </c>
      <c r="V12" s="4">
        <f>(VLOOKUP('17.04'!AD12,'17.04'!$AM$4:$AP$55,4,FALSE))</f>
        <v>34</v>
      </c>
      <c r="W12" s="4">
        <f>(VLOOKUP('17.04'!AE12,'17.04'!$AM$4:$AP$55,4,FALSE))</f>
        <v>0</v>
      </c>
      <c r="X12" s="4">
        <f>(VLOOKUP('17.04'!AF12,'17.04'!$AM$4:$AP$55,4,FALSE))</f>
        <v>0</v>
      </c>
    </row>
    <row r="13" spans="1:24">
      <c r="A13" s="4">
        <f>(VLOOKUP('17.04'!I13,'17.04'!$AM$4:$AP$55,4,FALSE))</f>
        <v>0</v>
      </c>
      <c r="B13" s="4">
        <f>(VLOOKUP('17.04'!J13,'17.04'!$AM$4:$AP$55,4,FALSE))</f>
        <v>0</v>
      </c>
      <c r="C13" s="4">
        <f>(VLOOKUP('17.04'!K13,'17.04'!$AM$4:$AP$55,4,FALSE))</f>
        <v>0</v>
      </c>
      <c r="D13" s="4">
        <f>(VLOOKUP('17.04'!L13,'17.04'!$AM$4:$AP$55,4,FALSE))</f>
        <v>0</v>
      </c>
      <c r="E13" s="4">
        <f>(VLOOKUP('17.04'!M13,'17.04'!$AM$4:$AP$55,4,FALSE))</f>
        <v>0</v>
      </c>
      <c r="F13" s="4">
        <f>(VLOOKUP('17.04'!N13,'17.04'!$AM$4:$AP$55,4,FALSE))</f>
        <v>0</v>
      </c>
      <c r="G13" s="4">
        <f>(VLOOKUP('17.04'!O13,'17.04'!$AM$4:$AP$55,4,FALSE))</f>
        <v>0</v>
      </c>
      <c r="H13" s="4">
        <f>(VLOOKUP('17.04'!P13,'17.04'!$AM$4:$AP$55,4,FALSE))</f>
        <v>0</v>
      </c>
      <c r="I13" s="4">
        <f>(VLOOKUP('17.04'!Q13,'17.04'!$AM$4:$AP$55,4,FALSE))</f>
        <v>36</v>
      </c>
      <c r="J13" s="4">
        <f>(VLOOKUP('17.04'!R13,'17.04'!$AM$4:$AP$55,4,FALSE))</f>
        <v>10</v>
      </c>
      <c r="K13" s="4">
        <f>(VLOOKUP('17.04'!S13,'17.04'!$AM$4:$AP$55,4,FALSE))</f>
        <v>36</v>
      </c>
      <c r="L13" s="4">
        <f>(VLOOKUP('17.04'!T13,'17.04'!$AM$4:$AP$55,4,FALSE))</f>
        <v>36</v>
      </c>
      <c r="M13" s="4">
        <f>(VLOOKUP('17.04'!U13,'17.04'!$AM$4:$AP$55,4,FALSE))</f>
        <v>36</v>
      </c>
      <c r="N13" s="4">
        <f>(VLOOKUP('17.04'!V13,'17.04'!$AM$4:$AP$55,4,FALSE))</f>
        <v>36</v>
      </c>
      <c r="O13" s="4">
        <f>(VLOOKUP('17.04'!W13,'17.04'!$AM$4:$AP$55,4,FALSE))</f>
        <v>0</v>
      </c>
      <c r="P13" s="4">
        <f>(VLOOKUP('17.04'!X13,'17.04'!$AM$4:$AP$55,4,FALSE))</f>
        <v>0</v>
      </c>
      <c r="Q13" s="4">
        <f>(VLOOKUP('17.04'!Y13,'17.04'!$AM$4:$AP$55,4,FALSE))</f>
        <v>0</v>
      </c>
      <c r="R13" s="4">
        <f>(VLOOKUP('17.04'!Z13,'17.04'!$AM$4:$AP$55,4,FALSE))</f>
        <v>0</v>
      </c>
      <c r="S13" s="4">
        <f>(VLOOKUP('17.04'!AA13,'17.04'!$AM$4:$AP$55,4,FALSE))</f>
        <v>0</v>
      </c>
      <c r="T13" s="4">
        <f>(VLOOKUP('17.04'!AB13,'17.04'!$AM$4:$AP$55,4,FALSE))</f>
        <v>0</v>
      </c>
      <c r="U13" s="4">
        <f>(VLOOKUP('17.04'!AC13,'17.04'!$AM$4:$AP$55,4,FALSE))</f>
        <v>0</v>
      </c>
      <c r="V13" s="4">
        <f>(VLOOKUP('17.04'!AD13,'17.04'!$AM$4:$AP$55,4,FALSE))</f>
        <v>0</v>
      </c>
      <c r="W13" s="4">
        <f>(VLOOKUP('17.04'!AE13,'17.04'!$AM$4:$AP$55,4,FALSE))</f>
        <v>0</v>
      </c>
      <c r="X13" s="4">
        <f>(VLOOKUP('17.04'!AF13,'17.04'!$AM$4:$AP$55,4,FALSE))</f>
        <v>0</v>
      </c>
    </row>
    <row r="14" spans="1:24">
      <c r="A14" s="4">
        <f>(VLOOKUP('17.04'!I14,'17.04'!$AM$4:$AP$55,4,FALSE))</f>
        <v>0</v>
      </c>
      <c r="B14" s="4">
        <f>(VLOOKUP('17.04'!J14,'17.04'!$AM$4:$AP$55,4,FALSE))</f>
        <v>0</v>
      </c>
      <c r="C14" s="4">
        <f>(VLOOKUP('17.04'!K14,'17.04'!$AM$4:$AP$55,4,FALSE))</f>
        <v>0</v>
      </c>
      <c r="D14" s="4">
        <f>(VLOOKUP('17.04'!L14,'17.04'!$AM$4:$AP$55,4,FALSE))</f>
        <v>0</v>
      </c>
      <c r="E14" s="4">
        <f>(VLOOKUP('17.04'!M14,'17.04'!$AM$4:$AP$55,4,FALSE))</f>
        <v>0</v>
      </c>
      <c r="F14" s="4">
        <f>(VLOOKUP('17.04'!N14,'17.04'!$AM$4:$AP$55,4,FALSE))</f>
        <v>0</v>
      </c>
      <c r="G14" s="4">
        <f>(VLOOKUP('17.04'!O14,'17.04'!$AM$4:$AP$55,4,FALSE))</f>
        <v>0</v>
      </c>
      <c r="H14" s="4">
        <f>(VLOOKUP('17.04'!P14,'17.04'!$AM$4:$AP$55,4,FALSE))</f>
        <v>0</v>
      </c>
      <c r="I14" s="4">
        <f>(VLOOKUP('17.04'!Q14,'17.04'!$AM$4:$AP$55,4,FALSE))</f>
        <v>36</v>
      </c>
      <c r="J14" s="4">
        <f>(VLOOKUP('17.04'!R14,'17.04'!$AM$4:$AP$55,4,FALSE))</f>
        <v>36</v>
      </c>
      <c r="K14" s="4">
        <f>(VLOOKUP('17.04'!S14,'17.04'!$AM$4:$AP$55,4,FALSE))</f>
        <v>36</v>
      </c>
      <c r="L14" s="4">
        <f>(VLOOKUP('17.04'!T14,'17.04'!$AM$4:$AP$55,4,FALSE))</f>
        <v>36</v>
      </c>
      <c r="M14" s="4">
        <f>(VLOOKUP('17.04'!U14,'17.04'!$AM$4:$AP$55,4,FALSE))</f>
        <v>36</v>
      </c>
      <c r="N14" s="4">
        <f>(VLOOKUP('17.04'!V14,'17.04'!$AM$4:$AP$55,4,FALSE))</f>
        <v>10</v>
      </c>
      <c r="O14" s="4">
        <f>(VLOOKUP('17.04'!W14,'17.04'!$AM$4:$AP$55,4,FALSE))</f>
        <v>0</v>
      </c>
      <c r="P14" s="4">
        <f>(VLOOKUP('17.04'!X14,'17.04'!$AM$4:$AP$55,4,FALSE))</f>
        <v>0</v>
      </c>
      <c r="Q14" s="4">
        <f>(VLOOKUP('17.04'!Y14,'17.04'!$AM$4:$AP$55,4,FALSE))</f>
        <v>34</v>
      </c>
      <c r="R14" s="4">
        <f>(VLOOKUP('17.04'!Z14,'17.04'!$AM$4:$AP$55,4,FALSE))</f>
        <v>34</v>
      </c>
      <c r="S14" s="4">
        <f>(VLOOKUP('17.04'!AA14,'17.04'!$AM$4:$AP$55,4,FALSE))</f>
        <v>34</v>
      </c>
      <c r="T14" s="4">
        <f>(VLOOKUP('17.04'!AB14,'17.04'!$AM$4:$AP$55,4,FALSE))</f>
        <v>34</v>
      </c>
      <c r="U14" s="4">
        <f>(VLOOKUP('17.04'!AC14,'17.04'!$AM$4:$AP$55,4,FALSE))</f>
        <v>34</v>
      </c>
      <c r="V14" s="4">
        <f>(VLOOKUP('17.04'!AD14,'17.04'!$AM$4:$AP$55,4,FALSE))</f>
        <v>34</v>
      </c>
      <c r="W14" s="4">
        <f>(VLOOKUP('17.04'!AE14,'17.04'!$AM$4:$AP$55,4,FALSE))</f>
        <v>34</v>
      </c>
      <c r="X14" s="4">
        <f>(VLOOKUP('17.04'!AF14,'17.04'!$AM$4:$AP$55,4,FALSE))</f>
        <v>34</v>
      </c>
    </row>
    <row r="15" spans="1:24">
      <c r="A15" s="4">
        <f>(VLOOKUP('17.04'!I15,'17.04'!$AM$4:$AP$55,4,FALSE))</f>
        <v>0</v>
      </c>
      <c r="B15" s="4">
        <f>(VLOOKUP('17.04'!J15,'17.04'!$AM$4:$AP$55,4,FALSE))</f>
        <v>0</v>
      </c>
      <c r="C15" s="4">
        <f>(VLOOKUP('17.04'!K15,'17.04'!$AM$4:$AP$55,4,FALSE))</f>
        <v>0</v>
      </c>
      <c r="D15" s="4">
        <f>(VLOOKUP('17.04'!L15,'17.04'!$AM$4:$AP$55,4,FALSE))</f>
        <v>0</v>
      </c>
      <c r="E15" s="4">
        <f>(VLOOKUP('17.04'!M15,'17.04'!$AM$4:$AP$55,4,FALSE))</f>
        <v>0</v>
      </c>
      <c r="F15" s="4">
        <f>(VLOOKUP('17.04'!N15,'17.04'!$AM$4:$AP$55,4,FALSE))</f>
        <v>0</v>
      </c>
      <c r="G15" s="4">
        <f>(VLOOKUP('17.04'!O15,'17.04'!$AM$4:$AP$55,4,FALSE))</f>
        <v>0</v>
      </c>
      <c r="H15" s="4">
        <f>(VLOOKUP('17.04'!P15,'17.04'!$AM$4:$AP$55,4,FALSE))</f>
        <v>0</v>
      </c>
      <c r="I15" s="4">
        <f>(VLOOKUP('17.04'!Q15,'17.04'!$AM$4:$AP$55,4,FALSE))</f>
        <v>36</v>
      </c>
      <c r="J15" s="4">
        <f>(VLOOKUP('17.04'!R15,'17.04'!$AM$4:$AP$55,4,FALSE))</f>
        <v>34</v>
      </c>
      <c r="K15" s="4">
        <f>(VLOOKUP('17.04'!S15,'17.04'!$AM$4:$AP$55,4,FALSE))</f>
        <v>34</v>
      </c>
      <c r="L15" s="4">
        <f>(VLOOKUP('17.04'!T15,'17.04'!$AM$4:$AP$55,4,FALSE))</f>
        <v>34</v>
      </c>
      <c r="M15" s="4">
        <f>(VLOOKUP('17.04'!U15,'17.04'!$AM$4:$AP$55,4,FALSE))</f>
        <v>34</v>
      </c>
      <c r="N15" s="4">
        <f>(VLOOKUP('17.04'!V15,'17.04'!$AM$4:$AP$55,4,FALSE))</f>
        <v>34</v>
      </c>
      <c r="O15" s="4">
        <f>(VLOOKUP('17.04'!W15,'17.04'!$AM$4:$AP$55,4,FALSE))</f>
        <v>0</v>
      </c>
      <c r="P15" s="4">
        <f>(VLOOKUP('17.04'!X15,'17.04'!$AM$4:$AP$55,4,FALSE))</f>
        <v>0</v>
      </c>
      <c r="Q15" s="4">
        <f>(VLOOKUP('17.04'!Y15,'17.04'!$AM$4:$AP$55,4,FALSE))</f>
        <v>34</v>
      </c>
      <c r="R15" s="4">
        <f>(VLOOKUP('17.04'!Z15,'17.04'!$AM$4:$AP$55,4,FALSE))</f>
        <v>34</v>
      </c>
      <c r="S15" s="4">
        <f>(VLOOKUP('17.04'!AA15,'17.04'!$AM$4:$AP$55,4,FALSE))</f>
        <v>10</v>
      </c>
      <c r="T15" s="4">
        <f>(VLOOKUP('17.04'!AB15,'17.04'!$AM$4:$AP$55,4,FALSE))</f>
        <v>34</v>
      </c>
      <c r="U15" s="4">
        <f>(VLOOKUP('17.04'!AC15,'17.04'!$AM$4:$AP$55,4,FALSE))</f>
        <v>34</v>
      </c>
      <c r="V15" s="4">
        <f>(VLOOKUP('17.04'!AD15,'17.04'!$AM$4:$AP$55,4,FALSE))</f>
        <v>34</v>
      </c>
      <c r="W15" s="4">
        <f>(VLOOKUP('17.04'!AE15,'17.04'!$AM$4:$AP$55,4,FALSE))</f>
        <v>34</v>
      </c>
      <c r="X15" s="4">
        <f>(VLOOKUP('17.04'!AF15,'17.04'!$AM$4:$AP$55,4,FALSE))</f>
        <v>34</v>
      </c>
    </row>
    <row r="16" spans="1:24">
      <c r="A16" s="4">
        <f>(VLOOKUP('17.04'!I16,'17.04'!$AM$4:$AP$55,4,FALSE))</f>
        <v>0</v>
      </c>
      <c r="B16" s="4">
        <f>(VLOOKUP('17.04'!J16,'17.04'!$AM$4:$AP$55,4,FALSE))</f>
        <v>0</v>
      </c>
      <c r="C16" s="4">
        <f>(VLOOKUP('17.04'!K16,'17.04'!$AM$4:$AP$55,4,FALSE))</f>
        <v>0</v>
      </c>
      <c r="D16" s="4">
        <f>(VLOOKUP('17.04'!L16,'17.04'!$AM$4:$AP$55,4,FALSE))</f>
        <v>0</v>
      </c>
      <c r="E16" s="4">
        <f>(VLOOKUP('17.04'!M16,'17.04'!$AM$4:$AP$55,4,FALSE))</f>
        <v>0</v>
      </c>
      <c r="F16" s="4">
        <f>(VLOOKUP('17.04'!N16,'17.04'!$AM$4:$AP$55,4,FALSE))</f>
        <v>0</v>
      </c>
      <c r="G16" s="4">
        <f>(VLOOKUP('17.04'!O16,'17.04'!$AM$4:$AP$55,4,FALSE))</f>
        <v>0</v>
      </c>
      <c r="H16" s="4">
        <f>(VLOOKUP('17.04'!P16,'17.04'!$AM$4:$AP$55,4,FALSE))</f>
        <v>0</v>
      </c>
      <c r="I16" s="4">
        <f>(VLOOKUP('17.04'!Q16,'17.04'!$AM$4:$AP$55,4,FALSE))</f>
        <v>34</v>
      </c>
      <c r="J16" s="4">
        <f>(VLOOKUP('17.04'!R16,'17.04'!$AM$4:$AP$55,4,FALSE))</f>
        <v>34</v>
      </c>
      <c r="K16" s="4">
        <f>(VLOOKUP('17.04'!S16,'17.04'!$AM$4:$AP$55,4,FALSE))</f>
        <v>34</v>
      </c>
      <c r="L16" s="4">
        <f>(VLOOKUP('17.04'!T16,'17.04'!$AM$4:$AP$55,4,FALSE))</f>
        <v>36</v>
      </c>
      <c r="M16" s="4">
        <f>(VLOOKUP('17.04'!U16,'17.04'!$AM$4:$AP$55,4,FALSE))</f>
        <v>36</v>
      </c>
      <c r="N16" s="4">
        <f>(VLOOKUP('17.04'!V16,'17.04'!$AM$4:$AP$55,4,FALSE))</f>
        <v>36</v>
      </c>
      <c r="O16" s="4">
        <f>(VLOOKUP('17.04'!W16,'17.04'!$AM$4:$AP$55,4,FALSE))</f>
        <v>0</v>
      </c>
      <c r="P16" s="4">
        <f>(VLOOKUP('17.04'!X16,'17.04'!$AM$4:$AP$55,4,FALSE))</f>
        <v>0</v>
      </c>
      <c r="Q16" s="4">
        <f>(VLOOKUP('17.04'!Y16,'17.04'!$AM$4:$AP$55,4,FALSE))</f>
        <v>34</v>
      </c>
      <c r="R16" s="4">
        <f>(VLOOKUP('17.04'!Z16,'17.04'!$AM$4:$AP$55,4,FALSE))</f>
        <v>34</v>
      </c>
      <c r="S16" s="4">
        <f>(VLOOKUP('17.04'!AA16,'17.04'!$AM$4:$AP$55,4,FALSE))</f>
        <v>10</v>
      </c>
      <c r="T16" s="4">
        <f>(VLOOKUP('17.04'!AB16,'17.04'!$AM$4:$AP$55,4,FALSE))</f>
        <v>34</v>
      </c>
      <c r="U16" s="4">
        <f>(VLOOKUP('17.04'!AC16,'17.04'!$AM$4:$AP$55,4,FALSE))</f>
        <v>34</v>
      </c>
      <c r="V16" s="4">
        <f>(VLOOKUP('17.04'!AD16,'17.04'!$AM$4:$AP$55,4,FALSE))</f>
        <v>34</v>
      </c>
      <c r="W16" s="4">
        <f>(VLOOKUP('17.04'!AE16,'17.04'!$AM$4:$AP$55,4,FALSE))</f>
        <v>34</v>
      </c>
      <c r="X16" s="4">
        <f>(VLOOKUP('17.04'!AF16,'17.04'!$AM$4:$AP$55,4,FALSE))</f>
        <v>39.110982162825422</v>
      </c>
    </row>
    <row r="17" spans="1:24">
      <c r="A17" s="4">
        <f>(VLOOKUP('17.04'!I17,'17.04'!$AM$4:$AP$55,4,FALSE))</f>
        <v>0</v>
      </c>
      <c r="B17" s="4">
        <f>(VLOOKUP('17.04'!J17,'17.04'!$AM$4:$AP$55,4,FALSE))</f>
        <v>0</v>
      </c>
      <c r="C17" s="4">
        <f>(VLOOKUP('17.04'!K17,'17.04'!$AM$4:$AP$55,4,FALSE))</f>
        <v>0</v>
      </c>
      <c r="D17" s="4">
        <f>(VLOOKUP('17.04'!L17,'17.04'!$AM$4:$AP$55,4,FALSE))</f>
        <v>0</v>
      </c>
      <c r="E17" s="4">
        <f>(VLOOKUP('17.04'!M17,'17.04'!$AM$4:$AP$55,4,FALSE))</f>
        <v>0</v>
      </c>
      <c r="F17" s="4">
        <f>(VLOOKUP('17.04'!N17,'17.04'!$AM$4:$AP$55,4,FALSE))</f>
        <v>0</v>
      </c>
      <c r="G17" s="4">
        <f>(VLOOKUP('17.04'!O17,'17.04'!$AM$4:$AP$55,4,FALSE))</f>
        <v>0</v>
      </c>
      <c r="H17" s="4">
        <f>(VLOOKUP('17.04'!P17,'17.04'!$AM$4:$AP$55,4,FALSE))</f>
        <v>0</v>
      </c>
      <c r="I17" s="4">
        <f>(VLOOKUP('17.04'!Q17,'17.04'!$AM$4:$AP$55,4,FALSE))</f>
        <v>36</v>
      </c>
      <c r="J17" s="4">
        <f>(VLOOKUP('17.04'!R17,'17.04'!$AM$4:$AP$55,4,FALSE))</f>
        <v>36</v>
      </c>
      <c r="K17" s="4">
        <f>(VLOOKUP('17.04'!S17,'17.04'!$AM$4:$AP$55,4,FALSE))</f>
        <v>10</v>
      </c>
      <c r="L17" s="4">
        <f>(VLOOKUP('17.04'!T17,'17.04'!$AM$4:$AP$55,4,FALSE))</f>
        <v>36</v>
      </c>
      <c r="M17" s="4">
        <f>(VLOOKUP('17.04'!U17,'17.04'!$AM$4:$AP$55,4,FALSE))</f>
        <v>36</v>
      </c>
      <c r="N17" s="4">
        <f>(VLOOKUP('17.04'!V17,'17.04'!$AM$4:$AP$55,4,FALSE))</f>
        <v>36</v>
      </c>
      <c r="O17" s="4">
        <f>(VLOOKUP('17.04'!W17,'17.04'!$AM$4:$AP$55,4,FALSE))</f>
        <v>36</v>
      </c>
      <c r="P17" s="4">
        <f>(VLOOKUP('17.04'!X17,'17.04'!$AM$4:$AP$55,4,FALSE))</f>
        <v>36</v>
      </c>
      <c r="Q17" s="4">
        <f>(VLOOKUP('17.04'!Y17,'17.04'!$AM$4:$AP$55,4,FALSE))</f>
        <v>39.110982162825422</v>
      </c>
      <c r="R17" s="4">
        <f>(VLOOKUP('17.04'!Z17,'17.04'!$AM$4:$AP$55,4,FALSE))</f>
        <v>39.110982162825422</v>
      </c>
      <c r="S17" s="4">
        <f>(VLOOKUP('17.04'!AA17,'17.04'!$AM$4:$AP$55,4,FALSE))</f>
        <v>39.110982162825422</v>
      </c>
      <c r="T17" s="4">
        <f>(VLOOKUP('17.04'!AB17,'17.04'!$AM$4:$AP$55,4,FALSE))</f>
        <v>10</v>
      </c>
      <c r="U17" s="4">
        <f>(VLOOKUP('17.04'!AC17,'17.04'!$AM$4:$AP$55,4,FALSE))</f>
        <v>39.110982162825422</v>
      </c>
      <c r="V17" s="4">
        <f>(VLOOKUP('17.04'!AD17,'17.04'!$AM$4:$AP$55,4,FALSE))</f>
        <v>39.110982162825422</v>
      </c>
      <c r="W17" s="4">
        <f>(VLOOKUP('17.04'!AE17,'17.04'!$AM$4:$AP$55,4,FALSE))</f>
        <v>39.110982162825422</v>
      </c>
      <c r="X17" s="4">
        <f>(VLOOKUP('17.04'!AF17,'17.04'!$AM$4:$AP$55,4,FALSE))</f>
        <v>0</v>
      </c>
    </row>
    <row r="18" spans="1:24">
      <c r="A18" s="4">
        <f>(VLOOKUP('17.04'!I18,'17.04'!$AM$4:$AP$55,4,FALSE))</f>
        <v>0</v>
      </c>
      <c r="B18" s="4">
        <f>(VLOOKUP('17.04'!J18,'17.04'!$AM$4:$AP$55,4,FALSE))</f>
        <v>0</v>
      </c>
      <c r="C18" s="4">
        <f>(VLOOKUP('17.04'!K18,'17.04'!$AM$4:$AP$55,4,FALSE))</f>
        <v>0</v>
      </c>
      <c r="D18" s="4">
        <f>(VLOOKUP('17.04'!L18,'17.04'!$AM$4:$AP$55,4,FALSE))</f>
        <v>0</v>
      </c>
      <c r="E18" s="4">
        <f>(VLOOKUP('17.04'!M18,'17.04'!$AM$4:$AP$55,4,FALSE))</f>
        <v>0</v>
      </c>
      <c r="F18" s="4">
        <f>(VLOOKUP('17.04'!N18,'17.04'!$AM$4:$AP$55,4,FALSE))</f>
        <v>0</v>
      </c>
      <c r="G18" s="4">
        <f>(VLOOKUP('17.04'!O18,'17.04'!$AM$4:$AP$55,4,FALSE))</f>
        <v>0</v>
      </c>
      <c r="H18" s="4">
        <f>(VLOOKUP('17.04'!P18,'17.04'!$AM$4:$AP$55,4,FALSE))</f>
        <v>0</v>
      </c>
      <c r="I18" s="4">
        <f>(VLOOKUP('17.04'!Q18,'17.04'!$AM$4:$AP$55,4,FALSE))</f>
        <v>36</v>
      </c>
      <c r="J18" s="4">
        <f>(VLOOKUP('17.04'!R18,'17.04'!$AM$4:$AP$55,4,FALSE))</f>
        <v>36</v>
      </c>
      <c r="K18" s="4">
        <f>(VLOOKUP('17.04'!S18,'17.04'!$AM$4:$AP$55,4,FALSE))</f>
        <v>36</v>
      </c>
      <c r="L18" s="4">
        <f>(VLOOKUP('17.04'!T18,'17.04'!$AM$4:$AP$55,4,FALSE))</f>
        <v>36</v>
      </c>
      <c r="M18" s="4">
        <f>(VLOOKUP('17.04'!U18,'17.04'!$AM$4:$AP$55,4,FALSE))</f>
        <v>36</v>
      </c>
      <c r="N18" s="4">
        <f>(VLOOKUP('17.04'!V18,'17.04'!$AM$4:$AP$55,4,FALSE))</f>
        <v>36</v>
      </c>
      <c r="O18" s="4">
        <f>(VLOOKUP('17.04'!W18,'17.04'!$AM$4:$AP$55,4,FALSE))</f>
        <v>0</v>
      </c>
      <c r="P18" s="4">
        <f>(VLOOKUP('17.04'!X18,'17.04'!$AM$4:$AP$55,4,FALSE))</f>
        <v>0</v>
      </c>
      <c r="Q18" s="4">
        <f>(VLOOKUP('17.04'!Y18,'17.04'!$AM$4:$AP$55,4,FALSE))</f>
        <v>39.110982162825422</v>
      </c>
      <c r="R18" s="4">
        <f>(VLOOKUP('17.04'!Z18,'17.04'!$AM$4:$AP$55,4,FALSE))</f>
        <v>39.110982162825422</v>
      </c>
      <c r="S18" s="4">
        <f>(VLOOKUP('17.04'!AA18,'17.04'!$AM$4:$AP$55,4,FALSE))</f>
        <v>39.110982162825422</v>
      </c>
      <c r="T18" s="4">
        <f>(VLOOKUP('17.04'!AB18,'17.04'!$AM$4:$AP$55,4,FALSE))</f>
        <v>39.110982162825422</v>
      </c>
      <c r="U18" s="4">
        <f>(VLOOKUP('17.04'!AC18,'17.04'!$AM$4:$AP$55,4,FALSE))</f>
        <v>39.110982162825422</v>
      </c>
      <c r="V18" s="4">
        <f>(VLOOKUP('17.04'!AD18,'17.04'!$AM$4:$AP$55,4,FALSE))</f>
        <v>39.110982162825422</v>
      </c>
      <c r="W18" s="4">
        <f>(VLOOKUP('17.04'!AE18,'17.04'!$AM$4:$AP$55,4,FALSE))</f>
        <v>10</v>
      </c>
      <c r="X18" s="4">
        <f>(VLOOKUP('17.04'!AF18,'17.04'!$AM$4:$AP$55,4,FALSE))</f>
        <v>10</v>
      </c>
    </row>
    <row r="19" spans="1:24">
      <c r="A19" s="4">
        <f>(VLOOKUP('17.04'!I19,'17.04'!$AM$4:$AP$55,4,FALSE))</f>
        <v>0</v>
      </c>
      <c r="B19" s="4">
        <f>(VLOOKUP('17.04'!J19,'17.04'!$AM$4:$AP$55,4,FALSE))</f>
        <v>0</v>
      </c>
      <c r="C19" s="4">
        <f>(VLOOKUP('17.04'!K19,'17.04'!$AM$4:$AP$55,4,FALSE))</f>
        <v>0</v>
      </c>
      <c r="D19" s="4">
        <f>(VLOOKUP('17.04'!L19,'17.04'!$AM$4:$AP$55,4,FALSE))</f>
        <v>0</v>
      </c>
      <c r="E19" s="4">
        <f>(VLOOKUP('17.04'!M19,'17.04'!$AM$4:$AP$55,4,FALSE))</f>
        <v>0</v>
      </c>
      <c r="F19" s="4">
        <f>(VLOOKUP('17.04'!N19,'17.04'!$AM$4:$AP$55,4,FALSE))</f>
        <v>0</v>
      </c>
      <c r="G19" s="4">
        <f>(VLOOKUP('17.04'!O19,'17.04'!$AM$4:$AP$55,4,FALSE))</f>
        <v>0</v>
      </c>
      <c r="H19" s="4">
        <f>(VLOOKUP('17.04'!P19,'17.04'!$AM$4:$AP$55,4,FALSE))</f>
        <v>0</v>
      </c>
      <c r="I19" s="4">
        <f>(VLOOKUP('17.04'!Q19,'17.04'!$AM$4:$AP$55,4,FALSE))</f>
        <v>36</v>
      </c>
      <c r="J19" s="4">
        <f>(VLOOKUP('17.04'!R19,'17.04'!$AM$4:$AP$55,4,FALSE))</f>
        <v>36</v>
      </c>
      <c r="K19" s="4">
        <f>(VLOOKUP('17.04'!S19,'17.04'!$AM$4:$AP$55,4,FALSE))</f>
        <v>36</v>
      </c>
      <c r="L19" s="4">
        <f>(VLOOKUP('17.04'!T19,'17.04'!$AM$4:$AP$55,4,FALSE))</f>
        <v>38</v>
      </c>
      <c r="M19" s="4">
        <f>(VLOOKUP('17.04'!U19,'17.04'!$AM$4:$AP$55,4,FALSE))</f>
        <v>38</v>
      </c>
      <c r="N19" s="4">
        <f>(VLOOKUP('17.04'!V19,'17.04'!$AM$4:$AP$55,4,FALSE))</f>
        <v>38</v>
      </c>
      <c r="O19" s="4">
        <f>(VLOOKUP('17.04'!W19,'17.04'!$AM$4:$AP$55,4,FALSE))</f>
        <v>0</v>
      </c>
      <c r="P19" s="4">
        <f>(VLOOKUP('17.04'!X19,'17.04'!$AM$4:$AP$55,4,FALSE))</f>
        <v>0</v>
      </c>
      <c r="Q19" s="4">
        <f>(VLOOKUP('17.04'!Y19,'17.04'!$AM$4:$AP$55,4,FALSE))</f>
        <v>39.110982162825422</v>
      </c>
      <c r="R19" s="4">
        <f>(VLOOKUP('17.04'!Z19,'17.04'!$AM$4:$AP$55,4,FALSE))</f>
        <v>39.110982162825422</v>
      </c>
      <c r="S19" s="4">
        <f>(VLOOKUP('17.04'!AA19,'17.04'!$AM$4:$AP$55,4,FALSE))</f>
        <v>39.110982162825422</v>
      </c>
      <c r="T19" s="4">
        <f>(VLOOKUP('17.04'!AB19,'17.04'!$AM$4:$AP$55,4,FALSE))</f>
        <v>39.110982162825422</v>
      </c>
      <c r="U19" s="4">
        <f>(VLOOKUP('17.04'!AC19,'17.04'!$AM$4:$AP$55,4,FALSE))</f>
        <v>39.110982162825422</v>
      </c>
      <c r="V19" s="4">
        <f>(VLOOKUP('17.04'!AD19,'17.04'!$AM$4:$AP$55,4,FALSE))</f>
        <v>10</v>
      </c>
      <c r="W19" s="4">
        <f>(VLOOKUP('17.04'!AE19,'17.04'!$AM$4:$AP$55,4,FALSE))</f>
        <v>0</v>
      </c>
      <c r="X19" s="4">
        <f>(VLOOKUP('17.04'!AF19,'17.04'!$AM$4:$AP$55,4,FALSE))</f>
        <v>0</v>
      </c>
    </row>
    <row r="20" spans="1:24">
      <c r="A20" s="4">
        <f>(VLOOKUP('17.04'!I20,'17.04'!$AM$4:$AP$55,4,FALSE))</f>
        <v>0</v>
      </c>
      <c r="B20" s="4">
        <f>(VLOOKUP('17.04'!J20,'17.04'!$AM$4:$AP$55,4,FALSE))</f>
        <v>0</v>
      </c>
      <c r="C20" s="4">
        <f>(VLOOKUP('17.04'!K20,'17.04'!$AM$4:$AP$55,4,FALSE))</f>
        <v>0</v>
      </c>
      <c r="D20" s="4">
        <f>(VLOOKUP('17.04'!L20,'17.04'!$AM$4:$AP$55,4,FALSE))</f>
        <v>0</v>
      </c>
      <c r="E20" s="4">
        <f>(VLOOKUP('17.04'!M20,'17.04'!$AM$4:$AP$55,4,FALSE))</f>
        <v>0</v>
      </c>
      <c r="F20" s="4">
        <f>(VLOOKUP('17.04'!N20,'17.04'!$AM$4:$AP$55,4,FALSE))</f>
        <v>0</v>
      </c>
      <c r="G20" s="4">
        <f>(VLOOKUP('17.04'!O20,'17.04'!$AM$4:$AP$55,4,FALSE))</f>
        <v>0</v>
      </c>
      <c r="H20" s="4">
        <f>(VLOOKUP('17.04'!P20,'17.04'!$AM$4:$AP$55,4,FALSE))</f>
        <v>0</v>
      </c>
      <c r="I20" s="4">
        <f>(VLOOKUP('17.04'!Q20,'17.04'!$AM$4:$AP$55,4,FALSE))</f>
        <v>38</v>
      </c>
      <c r="J20" s="4">
        <f>(VLOOKUP('17.04'!R20,'17.04'!$AM$4:$AP$55,4,FALSE))</f>
        <v>38</v>
      </c>
      <c r="K20" s="4">
        <f>(VLOOKUP('17.04'!S20,'17.04'!$AM$4:$AP$55,4,FALSE))</f>
        <v>10</v>
      </c>
      <c r="L20" s="4">
        <f>(VLOOKUP('17.04'!T20,'17.04'!$AM$4:$AP$55,4,FALSE))</f>
        <v>38</v>
      </c>
      <c r="M20" s="4">
        <f>(VLOOKUP('17.04'!U20,'17.04'!$AM$4:$AP$55,4,FALSE))</f>
        <v>38</v>
      </c>
      <c r="N20" s="4">
        <f>(VLOOKUP('17.04'!V20,'17.04'!$AM$4:$AP$55,4,FALSE))</f>
        <v>36</v>
      </c>
      <c r="O20" s="4">
        <f>(VLOOKUP('17.04'!W20,'17.04'!$AM$4:$AP$55,4,FALSE))</f>
        <v>39.110982162825422</v>
      </c>
      <c r="P20" s="4">
        <f>(VLOOKUP('17.04'!X20,'17.04'!$AM$4:$AP$55,4,FALSE))</f>
        <v>0</v>
      </c>
      <c r="Q20" s="4">
        <f>(VLOOKUP('17.04'!Y20,'17.04'!$AM$4:$AP$55,4,FALSE))</f>
        <v>39.110982162825422</v>
      </c>
      <c r="R20" s="4">
        <f>(VLOOKUP('17.04'!Z20,'17.04'!$AM$4:$AP$55,4,FALSE))</f>
        <v>39.110982162825422</v>
      </c>
      <c r="S20" s="4">
        <f>(VLOOKUP('17.04'!AA20,'17.04'!$AM$4:$AP$55,4,FALSE))</f>
        <v>39.110982162825422</v>
      </c>
      <c r="T20" s="4">
        <f>(VLOOKUP('17.04'!AB20,'17.04'!$AM$4:$AP$55,4,FALSE))</f>
        <v>44.222109392472248</v>
      </c>
      <c r="U20" s="4">
        <f>(VLOOKUP('17.04'!AC20,'17.04'!$AM$4:$AP$55,4,FALSE))</f>
        <v>39.110982162825422</v>
      </c>
      <c r="V20" s="4">
        <f>(VLOOKUP('17.04'!AD20,'17.04'!$AM$4:$AP$55,4,FALSE))</f>
        <v>39.110982162825422</v>
      </c>
      <c r="W20" s="4">
        <f>(VLOOKUP('17.04'!AE20,'17.04'!$AM$4:$AP$55,4,FALSE))</f>
        <v>0</v>
      </c>
      <c r="X20" s="4">
        <f>(VLOOKUP('17.04'!AF20,'17.04'!$AM$4:$AP$55,4,FALSE))</f>
        <v>0</v>
      </c>
    </row>
    <row r="21" spans="1:24">
      <c r="A21" s="4">
        <f>(VLOOKUP('17.04'!I21,'17.04'!$AM$4:$AP$55,4,FALSE))</f>
        <v>0</v>
      </c>
      <c r="B21" s="4">
        <f>(VLOOKUP('17.04'!J21,'17.04'!$AM$4:$AP$55,4,FALSE))</f>
        <v>0</v>
      </c>
      <c r="C21" s="4">
        <f>(VLOOKUP('17.04'!K21,'17.04'!$AM$4:$AP$55,4,FALSE))</f>
        <v>0</v>
      </c>
      <c r="D21" s="4">
        <f>(VLOOKUP('17.04'!L21,'17.04'!$AM$4:$AP$55,4,FALSE))</f>
        <v>0</v>
      </c>
      <c r="E21" s="4">
        <f>(VLOOKUP('17.04'!M21,'17.04'!$AM$4:$AP$55,4,FALSE))</f>
        <v>0</v>
      </c>
      <c r="F21" s="4">
        <f>(VLOOKUP('17.04'!N21,'17.04'!$AM$4:$AP$55,4,FALSE))</f>
        <v>0</v>
      </c>
      <c r="G21" s="4">
        <f>(VLOOKUP('17.04'!O21,'17.04'!$AM$4:$AP$55,4,FALSE))</f>
        <v>0</v>
      </c>
      <c r="H21" s="4">
        <f>(VLOOKUP('17.04'!P21,'17.04'!$AM$4:$AP$55,4,FALSE))</f>
        <v>0</v>
      </c>
      <c r="I21" s="4">
        <f>(VLOOKUP('17.04'!Q21,'17.04'!$AM$4:$AP$55,4,FALSE))</f>
        <v>38</v>
      </c>
      <c r="J21" s="4">
        <f>(VLOOKUP('17.04'!R21,'17.04'!$AM$4:$AP$55,4,FALSE))</f>
        <v>38</v>
      </c>
      <c r="K21" s="4">
        <f>(VLOOKUP('17.04'!S21,'17.04'!$AM$4:$AP$55,4,FALSE))</f>
        <v>36</v>
      </c>
      <c r="L21" s="4">
        <f>(VLOOKUP('17.04'!T21,'17.04'!$AM$4:$AP$55,4,FALSE))</f>
        <v>36</v>
      </c>
      <c r="M21" s="4">
        <f>(VLOOKUP('17.04'!U21,'17.04'!$AM$4:$AP$55,4,FALSE))</f>
        <v>36</v>
      </c>
      <c r="N21" s="4">
        <f>(VLOOKUP('17.04'!V21,'17.04'!$AM$4:$AP$55,4,FALSE))</f>
        <v>36</v>
      </c>
      <c r="O21" s="4">
        <f>(VLOOKUP('17.04'!W21,'17.04'!$AM$4:$AP$55,4,FALSE))</f>
        <v>0</v>
      </c>
      <c r="P21" s="4">
        <f>(VLOOKUP('17.04'!X21,'17.04'!$AM$4:$AP$55,4,FALSE))</f>
        <v>0</v>
      </c>
      <c r="Q21" s="4">
        <f>(VLOOKUP('17.04'!Y21,'17.04'!$AM$4:$AP$55,4,FALSE))</f>
        <v>39.110982162825422</v>
      </c>
      <c r="R21" s="4">
        <f>(VLOOKUP('17.04'!Z21,'17.04'!$AM$4:$AP$55,4,FALSE))</f>
        <v>10</v>
      </c>
      <c r="S21" s="4">
        <f>(VLOOKUP('17.04'!AA21,'17.04'!$AM$4:$AP$55,4,FALSE))</f>
        <v>39.110982162825422</v>
      </c>
      <c r="T21" s="4">
        <f>(VLOOKUP('17.04'!AB21,'17.04'!$AM$4:$AP$55,4,FALSE))</f>
        <v>39.110982162825422</v>
      </c>
      <c r="U21" s="4">
        <f>(VLOOKUP('17.04'!AC21,'17.04'!$AM$4:$AP$55,4,FALSE))</f>
        <v>39.110982162825422</v>
      </c>
      <c r="V21" s="4">
        <f>(VLOOKUP('17.04'!AD21,'17.04'!$AM$4:$AP$55,4,FALSE))</f>
        <v>10</v>
      </c>
      <c r="W21" s="4">
        <f>(VLOOKUP('17.04'!AE21,'17.04'!$AM$4:$AP$55,4,FALSE))</f>
        <v>0</v>
      </c>
      <c r="X21" s="4">
        <f>(VLOOKUP('17.04'!AF21,'17.04'!$AM$4:$AP$55,4,FALSE))</f>
        <v>0</v>
      </c>
    </row>
    <row r="22" spans="1:24">
      <c r="A22" s="4">
        <f>(VLOOKUP('17.04'!I22,'17.04'!$AM$4:$AP$55,4,FALSE))</f>
        <v>0</v>
      </c>
      <c r="B22" s="4">
        <f>(VLOOKUP('17.04'!J22,'17.04'!$AM$4:$AP$55,4,FALSE))</f>
        <v>0</v>
      </c>
      <c r="C22" s="4">
        <f>(VLOOKUP('17.04'!K22,'17.04'!$AM$4:$AP$55,4,FALSE))</f>
        <v>0</v>
      </c>
      <c r="D22" s="4">
        <f>(VLOOKUP('17.04'!L22,'17.04'!$AM$4:$AP$55,4,FALSE))</f>
        <v>0</v>
      </c>
      <c r="E22" s="4">
        <f>(VLOOKUP('17.04'!M22,'17.04'!$AM$4:$AP$55,4,FALSE))</f>
        <v>0</v>
      </c>
      <c r="F22" s="4">
        <f>(VLOOKUP('17.04'!N22,'17.04'!$AM$4:$AP$55,4,FALSE))</f>
        <v>0</v>
      </c>
      <c r="G22" s="4">
        <f>(VLOOKUP('17.04'!O22,'17.04'!$AM$4:$AP$55,4,FALSE))</f>
        <v>0</v>
      </c>
      <c r="H22" s="4">
        <f>(VLOOKUP('17.04'!P22,'17.04'!$AM$4:$AP$55,4,FALSE))</f>
        <v>0</v>
      </c>
      <c r="I22" s="4">
        <f>(VLOOKUP('17.04'!Q22,'17.04'!$AM$4:$AP$55,4,FALSE))</f>
        <v>36</v>
      </c>
      <c r="J22" s="4">
        <f>(VLOOKUP('17.04'!R22,'17.04'!$AM$4:$AP$55,4,FALSE))</f>
        <v>10</v>
      </c>
      <c r="K22" s="4">
        <f>(VLOOKUP('17.04'!S22,'17.04'!$AM$4:$AP$55,4,FALSE))</f>
        <v>36</v>
      </c>
      <c r="L22" s="4">
        <f>(VLOOKUP('17.04'!T22,'17.04'!$AM$4:$AP$55,4,FALSE))</f>
        <v>36</v>
      </c>
      <c r="M22" s="4">
        <f>(VLOOKUP('17.04'!U22,'17.04'!$AM$4:$AP$55,4,FALSE))</f>
        <v>36</v>
      </c>
      <c r="N22" s="4">
        <f>(VLOOKUP('17.04'!V22,'17.04'!$AM$4:$AP$55,4,FALSE))</f>
        <v>38</v>
      </c>
      <c r="O22" s="4">
        <f>(VLOOKUP('17.04'!W22,'17.04'!$AM$4:$AP$55,4,FALSE))</f>
        <v>36</v>
      </c>
      <c r="P22" s="4">
        <f>(VLOOKUP('17.04'!X22,'17.04'!$AM$4:$AP$55,4,FALSE))</f>
        <v>36</v>
      </c>
      <c r="Q22" s="4">
        <f>(VLOOKUP('17.04'!Y22,'17.04'!$AM$4:$AP$55,4,FALSE))</f>
        <v>39.110982162825422</v>
      </c>
      <c r="R22" s="4">
        <f>(VLOOKUP('17.04'!Z22,'17.04'!$AM$4:$AP$55,4,FALSE))</f>
        <v>10</v>
      </c>
      <c r="S22" s="4">
        <f>(VLOOKUP('17.04'!AA22,'17.04'!$AM$4:$AP$55,4,FALSE))</f>
        <v>39.110982162825422</v>
      </c>
      <c r="T22" s="4">
        <f>(VLOOKUP('17.04'!AB22,'17.04'!$AM$4:$AP$55,4,FALSE))</f>
        <v>39.110982162825422</v>
      </c>
      <c r="U22" s="4">
        <f>(VLOOKUP('17.04'!AC22,'17.04'!$AM$4:$AP$55,4,FALSE))</f>
        <v>38</v>
      </c>
      <c r="V22" s="4">
        <f>(VLOOKUP('17.04'!AD22,'17.04'!$AM$4:$AP$55,4,FALSE))</f>
        <v>0</v>
      </c>
      <c r="W22" s="4">
        <f>(VLOOKUP('17.04'!AE22,'17.04'!$AM$4:$AP$55,4,FALSE))</f>
        <v>0</v>
      </c>
      <c r="X22" s="4">
        <f>(VLOOKUP('17.04'!AF22,'17.04'!$AM$4:$AP$55,4,FALSE))</f>
        <v>0</v>
      </c>
    </row>
    <row r="23" spans="1:24">
      <c r="A23" s="4">
        <f>(VLOOKUP('17.04'!I23,'17.04'!$AM$4:$AP$55,4,FALSE))</f>
        <v>0</v>
      </c>
      <c r="B23" s="4">
        <f>(VLOOKUP('17.04'!J23,'17.04'!$AM$4:$AP$55,4,FALSE))</f>
        <v>0</v>
      </c>
      <c r="C23" s="4">
        <f>(VLOOKUP('17.04'!K23,'17.04'!$AM$4:$AP$55,4,FALSE))</f>
        <v>0</v>
      </c>
      <c r="D23" s="4">
        <f>(VLOOKUP('17.04'!L23,'17.04'!$AM$4:$AP$55,4,FALSE))</f>
        <v>0</v>
      </c>
      <c r="E23" s="4">
        <f>(VLOOKUP('17.04'!M23,'17.04'!$AM$4:$AP$55,4,FALSE))</f>
        <v>0</v>
      </c>
      <c r="F23" s="4">
        <f>(VLOOKUP('17.04'!N23,'17.04'!$AM$4:$AP$55,4,FALSE))</f>
        <v>0</v>
      </c>
      <c r="G23" s="4">
        <f>(VLOOKUP('17.04'!O23,'17.04'!$AM$4:$AP$55,4,FALSE))</f>
        <v>0</v>
      </c>
      <c r="H23" s="4">
        <f>(VLOOKUP('17.04'!P23,'17.04'!$AM$4:$AP$55,4,FALSE))</f>
        <v>0</v>
      </c>
      <c r="I23" s="4">
        <f>(VLOOKUP('17.04'!Q23,'17.04'!$AM$4:$AP$55,4,FALSE))</f>
        <v>36</v>
      </c>
      <c r="J23" s="4">
        <f>(VLOOKUP('17.04'!R23,'17.04'!$AM$4:$AP$55,4,FALSE))</f>
        <v>38</v>
      </c>
      <c r="K23" s="4">
        <f>(VLOOKUP('17.04'!S23,'17.04'!$AM$4:$AP$55,4,FALSE))</f>
        <v>38</v>
      </c>
      <c r="L23" s="4">
        <f>(VLOOKUP('17.04'!T23,'17.04'!$AM$4:$AP$55,4,FALSE))</f>
        <v>10</v>
      </c>
      <c r="M23" s="4">
        <f>(VLOOKUP('17.04'!U23,'17.04'!$AM$4:$AP$55,4,FALSE))</f>
        <v>38</v>
      </c>
      <c r="N23" s="4">
        <f>(VLOOKUP('17.04'!V23,'17.04'!$AM$4:$AP$55,4,FALSE))</f>
        <v>38</v>
      </c>
      <c r="O23" s="4">
        <f>(VLOOKUP('17.04'!W23,'17.04'!$AM$4:$AP$55,4,FALSE))</f>
        <v>38</v>
      </c>
      <c r="P23" s="4">
        <f>(VLOOKUP('17.04'!X23,'17.04'!$AM$4:$AP$55,4,FALSE))</f>
        <v>38</v>
      </c>
      <c r="Q23" s="4">
        <f>(VLOOKUP('17.04'!Y23,'17.04'!$AM$4:$AP$55,4,FALSE))</f>
        <v>0</v>
      </c>
      <c r="R23" s="4">
        <f>(VLOOKUP('17.04'!Z23,'17.04'!$AM$4:$AP$55,4,FALSE))</f>
        <v>0</v>
      </c>
      <c r="S23" s="4">
        <f>(VLOOKUP('17.04'!AA23,'17.04'!$AM$4:$AP$55,4,FALSE))</f>
        <v>0</v>
      </c>
      <c r="T23" s="4">
        <f>(VLOOKUP('17.04'!AB23,'17.04'!$AM$4:$AP$55,4,FALSE))</f>
        <v>0</v>
      </c>
      <c r="U23" s="4">
        <f>(VLOOKUP('17.04'!AC23,'17.04'!$AM$4:$AP$55,4,FALSE))</f>
        <v>0</v>
      </c>
      <c r="V23" s="4">
        <f>(VLOOKUP('17.04'!AD23,'17.04'!$AM$4:$AP$55,4,FALSE))</f>
        <v>0</v>
      </c>
      <c r="W23" s="4">
        <f>(VLOOKUP('17.04'!AE23,'17.04'!$AM$4:$AP$55,4,FALSE))</f>
        <v>0</v>
      </c>
      <c r="X23" s="4">
        <f>(VLOOKUP('17.04'!AF23,'17.04'!$AM$4:$AP$55,4,FALSE))</f>
        <v>0</v>
      </c>
    </row>
    <row r="24" spans="1:24">
      <c r="A24" s="4">
        <f>(VLOOKUP('17.04'!I24,'17.04'!$AM$4:$AP$55,4,FALSE))</f>
        <v>0</v>
      </c>
      <c r="B24" s="4">
        <f>(VLOOKUP('17.04'!J24,'17.04'!$AM$4:$AP$55,4,FALSE))</f>
        <v>0</v>
      </c>
      <c r="C24" s="4">
        <f>(VLOOKUP('17.04'!K24,'17.04'!$AM$4:$AP$55,4,FALSE))</f>
        <v>0</v>
      </c>
      <c r="D24" s="4">
        <f>(VLOOKUP('17.04'!L24,'17.04'!$AM$4:$AP$55,4,FALSE))</f>
        <v>0</v>
      </c>
      <c r="E24" s="4">
        <f>(VLOOKUP('17.04'!M24,'17.04'!$AM$4:$AP$55,4,FALSE))</f>
        <v>0</v>
      </c>
      <c r="F24" s="4">
        <f>(VLOOKUP('17.04'!N24,'17.04'!$AM$4:$AP$55,4,FALSE))</f>
        <v>0</v>
      </c>
      <c r="G24" s="4">
        <f>(VLOOKUP('17.04'!O24,'17.04'!$AM$4:$AP$55,4,FALSE))</f>
        <v>0</v>
      </c>
      <c r="H24" s="4">
        <f>(VLOOKUP('17.04'!P24,'17.04'!$AM$4:$AP$55,4,FALSE))</f>
        <v>0</v>
      </c>
      <c r="I24" s="4">
        <f>(VLOOKUP('17.04'!Q24,'17.04'!$AM$4:$AP$55,4,FALSE))</f>
        <v>0</v>
      </c>
      <c r="J24" s="4">
        <f>(VLOOKUP('17.04'!R24,'17.04'!$AM$4:$AP$55,4,FALSE))</f>
        <v>10</v>
      </c>
      <c r="K24" s="4">
        <f>(VLOOKUP('17.04'!S24,'17.04'!$AM$4:$AP$55,4,FALSE))</f>
        <v>0</v>
      </c>
      <c r="L24" s="4">
        <f>(VLOOKUP('17.04'!T24,'17.04'!$AM$4:$AP$55,4,FALSE))</f>
        <v>38</v>
      </c>
      <c r="M24" s="4">
        <f>(VLOOKUP('17.04'!U24,'17.04'!$AM$4:$AP$55,4,FALSE))</f>
        <v>38</v>
      </c>
      <c r="N24" s="4">
        <f>(VLOOKUP('17.04'!V24,'17.04'!$AM$4:$AP$55,4,FALSE))</f>
        <v>38</v>
      </c>
      <c r="O24" s="4">
        <f>(VLOOKUP('17.04'!W24,'17.04'!$AM$4:$AP$55,4,FALSE))</f>
        <v>38</v>
      </c>
      <c r="P24" s="4">
        <f>(VLOOKUP('17.04'!X24,'17.04'!$AM$4:$AP$55,4,FALSE))</f>
        <v>38</v>
      </c>
      <c r="Q24" s="4">
        <f>(VLOOKUP('17.04'!Y24,'17.04'!$AM$4:$AP$55,4,FALSE))</f>
        <v>0</v>
      </c>
      <c r="R24" s="4">
        <f>(VLOOKUP('17.04'!Z24,'17.04'!$AM$4:$AP$55,4,FALSE))</f>
        <v>0</v>
      </c>
      <c r="S24" s="4">
        <f>(VLOOKUP('17.04'!AA24,'17.04'!$AM$4:$AP$55,4,FALSE))</f>
        <v>10</v>
      </c>
      <c r="T24" s="4">
        <f>(VLOOKUP('17.04'!AB24,'17.04'!$AM$4:$AP$55,4,FALSE))</f>
        <v>0</v>
      </c>
      <c r="U24" s="4">
        <f>(VLOOKUP('17.04'!AC24,'17.04'!$AM$4:$AP$55,4,FALSE))</f>
        <v>0</v>
      </c>
      <c r="V24" s="4">
        <f>(VLOOKUP('17.04'!AD24,'17.04'!$AM$4:$AP$55,4,FALSE))</f>
        <v>0</v>
      </c>
      <c r="W24" s="4">
        <f>(VLOOKUP('17.04'!AE24,'17.04'!$AM$4:$AP$55,4,FALSE))</f>
        <v>0</v>
      </c>
      <c r="X24" s="4">
        <f>(VLOOKUP('17.04'!AF24,'17.04'!$AM$4:$AP$55,4,FALSE))</f>
        <v>0</v>
      </c>
    </row>
    <row r="25" spans="1:24">
      <c r="A25" s="4">
        <f>(VLOOKUP('17.04'!I25,'17.04'!$AM$4:$AP$55,4,FALSE))</f>
        <v>0</v>
      </c>
      <c r="B25" s="4">
        <f>(VLOOKUP('17.04'!J25,'17.04'!$AM$4:$AP$55,4,FALSE))</f>
        <v>0</v>
      </c>
      <c r="C25" s="4">
        <f>(VLOOKUP('17.04'!K25,'17.04'!$AM$4:$AP$55,4,FALSE))</f>
        <v>0</v>
      </c>
      <c r="D25" s="4">
        <f>(VLOOKUP('17.04'!L25,'17.04'!$AM$4:$AP$55,4,FALSE))</f>
        <v>0</v>
      </c>
      <c r="E25" s="4">
        <f>(VLOOKUP('17.04'!M25,'17.04'!$AM$4:$AP$55,4,FALSE))</f>
        <v>0</v>
      </c>
      <c r="F25" s="4">
        <f>(VLOOKUP('17.04'!N25,'17.04'!$AM$4:$AP$55,4,FALSE))</f>
        <v>0</v>
      </c>
      <c r="G25" s="4">
        <f>(VLOOKUP('17.04'!O25,'17.04'!$AM$4:$AP$55,4,FALSE))</f>
        <v>0</v>
      </c>
      <c r="H25" s="4">
        <f>(VLOOKUP('17.04'!P25,'17.04'!$AM$4:$AP$55,4,FALSE))</f>
        <v>0</v>
      </c>
      <c r="I25" s="4">
        <f>(VLOOKUP('17.04'!Q25,'17.04'!$AM$4:$AP$55,4,FALSE))</f>
        <v>38</v>
      </c>
      <c r="J25" s="4">
        <f>(VLOOKUP('17.04'!R25,'17.04'!$AM$4:$AP$55,4,FALSE))</f>
        <v>38</v>
      </c>
      <c r="K25" s="4">
        <f>(VLOOKUP('17.04'!S25,'17.04'!$AM$4:$AP$55,4,FALSE))</f>
        <v>36</v>
      </c>
      <c r="L25" s="4">
        <f>(VLOOKUP('17.04'!T25,'17.04'!$AM$4:$AP$55,4,FALSE))</f>
        <v>36</v>
      </c>
      <c r="M25" s="4">
        <f>(VLOOKUP('17.04'!U25,'17.04'!$AM$4:$AP$55,4,FALSE))</f>
        <v>38</v>
      </c>
      <c r="N25" s="4">
        <f>(VLOOKUP('17.04'!V25,'17.04'!$AM$4:$AP$55,4,FALSE))</f>
        <v>36</v>
      </c>
      <c r="O25" s="4">
        <f>(VLOOKUP('17.04'!W25,'17.04'!$AM$4:$AP$55,4,FALSE))</f>
        <v>10</v>
      </c>
      <c r="P25" s="4">
        <f>(VLOOKUP('17.04'!X25,'17.04'!$AM$4:$AP$55,4,FALSE))</f>
        <v>36</v>
      </c>
      <c r="Q25" s="4">
        <f>(VLOOKUP('17.04'!Y25,'17.04'!$AM$4:$AP$55,4,FALSE))</f>
        <v>0</v>
      </c>
      <c r="R25" s="4">
        <f>(VLOOKUP('17.04'!Z25,'17.04'!$AM$4:$AP$55,4,FALSE))</f>
        <v>0</v>
      </c>
      <c r="S25" s="4">
        <f>(VLOOKUP('17.04'!AA25,'17.04'!$AM$4:$AP$55,4,FALSE))</f>
        <v>0</v>
      </c>
      <c r="T25" s="4">
        <f>(VLOOKUP('17.04'!AB25,'17.04'!$AM$4:$AP$55,4,FALSE))</f>
        <v>0</v>
      </c>
      <c r="U25" s="4">
        <f>(VLOOKUP('17.04'!AC25,'17.04'!$AM$4:$AP$55,4,FALSE))</f>
        <v>0</v>
      </c>
      <c r="V25" s="4">
        <f>(VLOOKUP('17.04'!AD25,'17.04'!$AM$4:$AP$55,4,FALSE))</f>
        <v>0</v>
      </c>
      <c r="W25" s="4">
        <f>(VLOOKUP('17.04'!AE25,'17.04'!$AM$4:$AP$55,4,FALSE))</f>
        <v>0</v>
      </c>
      <c r="X25" s="4">
        <f>(VLOOKUP('17.04'!AF25,'17.04'!$AM$4:$AP$55,4,FALSE))</f>
        <v>0</v>
      </c>
    </row>
    <row r="26" spans="1:24">
      <c r="A26" s="4">
        <f>(VLOOKUP('17.04'!I26,'17.04'!$AM$4:$AP$55,4,FALSE))</f>
        <v>0</v>
      </c>
      <c r="B26" s="4">
        <f>(VLOOKUP('17.04'!J26,'17.04'!$AM$4:$AP$55,4,FALSE))</f>
        <v>0</v>
      </c>
      <c r="C26" s="4">
        <f>(VLOOKUP('17.04'!K26,'17.04'!$AM$4:$AP$55,4,FALSE))</f>
        <v>0</v>
      </c>
      <c r="D26" s="4">
        <f>(VLOOKUP('17.04'!L26,'17.04'!$AM$4:$AP$55,4,FALSE))</f>
        <v>0</v>
      </c>
      <c r="E26" s="4">
        <f>(VLOOKUP('17.04'!M26,'17.04'!$AM$4:$AP$55,4,FALSE))</f>
        <v>0</v>
      </c>
      <c r="F26" s="4">
        <f>(VLOOKUP('17.04'!N26,'17.04'!$AM$4:$AP$55,4,FALSE))</f>
        <v>0</v>
      </c>
      <c r="G26" s="4">
        <f>(VLOOKUP('17.04'!O26,'17.04'!$AM$4:$AP$55,4,FALSE))</f>
        <v>0</v>
      </c>
      <c r="H26" s="4">
        <f>(VLOOKUP('17.04'!P26,'17.04'!$AM$4:$AP$55,4,FALSE))</f>
        <v>0</v>
      </c>
      <c r="I26" s="4">
        <f>(VLOOKUP('17.04'!Q26,'17.04'!$AM$4:$AP$55,4,FALSE))</f>
        <v>38</v>
      </c>
      <c r="J26" s="4">
        <f>(VLOOKUP('17.04'!R26,'17.04'!$AM$4:$AP$55,4,FALSE))</f>
        <v>10</v>
      </c>
      <c r="K26" s="4">
        <f>(VLOOKUP('17.04'!S26,'17.04'!$AM$4:$AP$55,4,FALSE))</f>
        <v>36</v>
      </c>
      <c r="L26" s="4">
        <f>(VLOOKUP('17.04'!T26,'17.04'!$AM$4:$AP$55,4,FALSE))</f>
        <v>36</v>
      </c>
      <c r="M26" s="4">
        <f>(VLOOKUP('17.04'!U26,'17.04'!$AM$4:$AP$55,4,FALSE))</f>
        <v>38</v>
      </c>
      <c r="N26" s="4">
        <f>(VLOOKUP('17.04'!V26,'17.04'!$AM$4:$AP$55,4,FALSE))</f>
        <v>38</v>
      </c>
      <c r="O26" s="4">
        <f>(VLOOKUP('17.04'!W26,'17.04'!$AM$4:$AP$55,4,FALSE))</f>
        <v>0</v>
      </c>
      <c r="P26" s="4">
        <f>(VLOOKUP('17.04'!X26,'17.04'!$AM$4:$AP$55,4,FALSE))</f>
        <v>0</v>
      </c>
      <c r="Q26" s="4">
        <f>(VLOOKUP('17.04'!Y26,'17.04'!$AM$4:$AP$55,4,FALSE))</f>
        <v>0</v>
      </c>
      <c r="R26" s="4">
        <f>(VLOOKUP('17.04'!Z26,'17.04'!$AM$4:$AP$55,4,FALSE))</f>
        <v>10</v>
      </c>
      <c r="S26" s="4">
        <f>(VLOOKUP('17.04'!AA26,'17.04'!$AM$4:$AP$55,4,FALSE))</f>
        <v>0</v>
      </c>
      <c r="T26" s="4">
        <f>(VLOOKUP('17.04'!AB26,'17.04'!$AM$4:$AP$55,4,FALSE))</f>
        <v>0</v>
      </c>
      <c r="U26" s="4">
        <f>(VLOOKUP('17.04'!AC26,'17.04'!$AM$4:$AP$55,4,FALSE))</f>
        <v>0</v>
      </c>
      <c r="V26" s="4">
        <f>(VLOOKUP('17.04'!AD26,'17.04'!$AM$4:$AP$55,4,FALSE))</f>
        <v>0</v>
      </c>
      <c r="W26" s="4">
        <f>(VLOOKUP('17.04'!AE26,'17.04'!$AM$4:$AP$55,4,FALSE))</f>
        <v>0</v>
      </c>
      <c r="X26" s="4">
        <f>(VLOOKUP('17.04'!AF26,'17.04'!$AM$4:$AP$55,4,FALSE))</f>
        <v>0</v>
      </c>
    </row>
    <row r="27" spans="1:24">
      <c r="A27" s="4">
        <f>(VLOOKUP('17.04'!I27,'17.04'!$AM$4:$AP$55,4,FALSE))</f>
        <v>0</v>
      </c>
      <c r="B27" s="4">
        <f>(VLOOKUP('17.04'!J27,'17.04'!$AM$4:$AP$55,4,FALSE))</f>
        <v>0</v>
      </c>
      <c r="C27" s="4">
        <f>(VLOOKUP('17.04'!K27,'17.04'!$AM$4:$AP$55,4,FALSE))</f>
        <v>0</v>
      </c>
      <c r="D27" s="4">
        <f>(VLOOKUP('17.04'!L27,'17.04'!$AM$4:$AP$55,4,FALSE))</f>
        <v>0</v>
      </c>
      <c r="E27" s="4">
        <f>(VLOOKUP('17.04'!M27,'17.04'!$AM$4:$AP$55,4,FALSE))</f>
        <v>0</v>
      </c>
      <c r="F27" s="4">
        <f>(VLOOKUP('17.04'!N27,'17.04'!$AM$4:$AP$55,4,FALSE))</f>
        <v>0</v>
      </c>
      <c r="G27" s="4">
        <f>(VLOOKUP('17.04'!O27,'17.04'!$AM$4:$AP$55,4,FALSE))</f>
        <v>0</v>
      </c>
      <c r="H27" s="4">
        <f>(VLOOKUP('17.04'!P27,'17.04'!$AM$4:$AP$55,4,FALSE))</f>
        <v>0</v>
      </c>
      <c r="I27" s="4">
        <f>(VLOOKUP('17.04'!Q27,'17.04'!$AM$4:$AP$55,4,FALSE))</f>
        <v>38</v>
      </c>
      <c r="J27" s="4">
        <f>(VLOOKUP('17.04'!R27,'17.04'!$AM$4:$AP$55,4,FALSE))</f>
        <v>38</v>
      </c>
      <c r="K27" s="4">
        <f>(VLOOKUP('17.04'!S27,'17.04'!$AM$4:$AP$55,4,FALSE))</f>
        <v>38</v>
      </c>
      <c r="L27" s="4">
        <f>(VLOOKUP('17.04'!T27,'17.04'!$AM$4:$AP$55,4,FALSE))</f>
        <v>39.110982162825422</v>
      </c>
      <c r="M27" s="4">
        <f>(VLOOKUP('17.04'!U27,'17.04'!$AM$4:$AP$55,4,FALSE))</f>
        <v>39.110982162825422</v>
      </c>
      <c r="N27" s="4">
        <f>(VLOOKUP('17.04'!V27,'17.04'!$AM$4:$AP$55,4,FALSE))</f>
        <v>10</v>
      </c>
      <c r="O27" s="4">
        <f>(VLOOKUP('17.04'!W27,'17.04'!$AM$4:$AP$55,4,FALSE))</f>
        <v>0</v>
      </c>
      <c r="P27" s="4">
        <f>(VLOOKUP('17.04'!X27,'17.04'!$AM$4:$AP$55,4,FALSE))</f>
        <v>0</v>
      </c>
      <c r="Q27" s="4">
        <f>(VLOOKUP('17.04'!Y27,'17.04'!$AM$4:$AP$55,4,FALSE))</f>
        <v>0</v>
      </c>
      <c r="R27" s="4">
        <f>(VLOOKUP('17.04'!Z27,'17.04'!$AM$4:$AP$55,4,FALSE))</f>
        <v>0</v>
      </c>
      <c r="S27" s="4">
        <f>(VLOOKUP('17.04'!AA27,'17.04'!$AM$4:$AP$55,4,FALSE))</f>
        <v>0</v>
      </c>
      <c r="T27" s="4">
        <f>(VLOOKUP('17.04'!AB27,'17.04'!$AM$4:$AP$55,4,FALSE))</f>
        <v>0</v>
      </c>
      <c r="U27" s="4">
        <f>(VLOOKUP('17.04'!AC27,'17.04'!$AM$4:$AP$55,4,FALSE))</f>
        <v>0</v>
      </c>
      <c r="V27" s="4">
        <f>(VLOOKUP('17.04'!AD27,'17.04'!$AM$4:$AP$55,4,FALSE))</f>
        <v>0</v>
      </c>
      <c r="W27" s="4">
        <f>(VLOOKUP('17.04'!AE27,'17.04'!$AM$4:$AP$55,4,FALSE))</f>
        <v>0</v>
      </c>
      <c r="X27" s="4">
        <f>(VLOOKUP('17.04'!AF27,'17.04'!$AM$4:$AP$55,4,FALSE))</f>
        <v>0</v>
      </c>
    </row>
    <row r="28" spans="1:24">
      <c r="A28" s="4">
        <f>(VLOOKUP('17.04'!I28,'17.04'!$AM$4:$AP$55,4,FALSE))</f>
        <v>0</v>
      </c>
      <c r="B28" s="4">
        <f>(VLOOKUP('17.04'!J28,'17.04'!$AM$4:$AP$55,4,FALSE))</f>
        <v>0</v>
      </c>
      <c r="C28" s="4">
        <f>(VLOOKUP('17.04'!K28,'17.04'!$AM$4:$AP$55,4,FALSE))</f>
        <v>0</v>
      </c>
      <c r="D28" s="4">
        <f>(VLOOKUP('17.04'!L28,'17.04'!$AM$4:$AP$55,4,FALSE))</f>
        <v>0</v>
      </c>
      <c r="E28" s="4">
        <f>(VLOOKUP('17.04'!M28,'17.04'!$AM$4:$AP$55,4,FALSE))</f>
        <v>0</v>
      </c>
      <c r="F28" s="4">
        <f>(VLOOKUP('17.04'!N28,'17.04'!$AM$4:$AP$55,4,FALSE))</f>
        <v>0</v>
      </c>
      <c r="G28" s="4">
        <f>(VLOOKUP('17.04'!O28,'17.04'!$AM$4:$AP$55,4,FALSE))</f>
        <v>0</v>
      </c>
      <c r="H28" s="4">
        <f>(VLOOKUP('17.04'!P28,'17.04'!$AM$4:$AP$55,4,FALSE))</f>
        <v>0</v>
      </c>
      <c r="I28" s="4">
        <f>(VLOOKUP('17.04'!Q28,'17.04'!$AM$4:$AP$55,4,FALSE))</f>
        <v>39.110982162825422</v>
      </c>
      <c r="J28" s="4">
        <f>(VLOOKUP('17.04'!R28,'17.04'!$AM$4:$AP$55,4,FALSE))</f>
        <v>0</v>
      </c>
      <c r="K28" s="4">
        <f>(VLOOKUP('17.04'!S28,'17.04'!$AM$4:$AP$55,4,FALSE))</f>
        <v>0</v>
      </c>
      <c r="L28" s="4">
        <f>(VLOOKUP('17.04'!T28,'17.04'!$AM$4:$AP$55,4,FALSE))</f>
        <v>0</v>
      </c>
      <c r="M28" s="4">
        <f>(VLOOKUP('17.04'!U28,'17.04'!$AM$4:$AP$55,4,FALSE))</f>
        <v>0</v>
      </c>
      <c r="N28" s="4">
        <f>(VLOOKUP('17.04'!V28,'17.04'!$AM$4:$AP$55,4,FALSE))</f>
        <v>0</v>
      </c>
      <c r="O28" s="4">
        <f>(VLOOKUP('17.04'!W28,'17.04'!$AM$4:$AP$55,4,FALSE))</f>
        <v>0</v>
      </c>
      <c r="P28" s="4">
        <f>(VLOOKUP('17.04'!X28,'17.04'!$AM$4:$AP$55,4,FALSE))</f>
        <v>0</v>
      </c>
      <c r="Q28" s="4">
        <f>(VLOOKUP('17.04'!Y28,'17.04'!$AM$4:$AP$55,4,FALSE))</f>
        <v>0</v>
      </c>
      <c r="R28" s="4">
        <f>(VLOOKUP('17.04'!Z28,'17.04'!$AM$4:$AP$55,4,FALSE))</f>
        <v>0</v>
      </c>
      <c r="S28" s="4">
        <f>(VLOOKUP('17.04'!AA28,'17.04'!$AM$4:$AP$55,4,FALSE))</f>
        <v>0</v>
      </c>
      <c r="T28" s="4">
        <f>(VLOOKUP('17.04'!AB28,'17.04'!$AM$4:$AP$55,4,FALSE))</f>
        <v>0</v>
      </c>
      <c r="U28" s="4">
        <f>(VLOOKUP('17.04'!AC28,'17.04'!$AM$4:$AP$55,4,FALSE))</f>
        <v>0</v>
      </c>
      <c r="V28" s="4">
        <f>(VLOOKUP('17.04'!AD28,'17.04'!$AM$4:$AP$55,4,FALSE))</f>
        <v>0</v>
      </c>
      <c r="W28" s="4">
        <f>(VLOOKUP('17.04'!AE28,'17.04'!$AM$4:$AP$55,4,FALSE))</f>
        <v>0</v>
      </c>
      <c r="X28" s="4">
        <f>(VLOOKUP('17.04'!AF28,'17.04'!$AM$4:$AP$55,4,FALSE))</f>
        <v>0</v>
      </c>
    </row>
    <row r="29" spans="1:24">
      <c r="A29" s="4">
        <f>(VLOOKUP('17.04'!I29,'17.04'!$AM$4:$AP$55,4,FALSE))</f>
        <v>0</v>
      </c>
      <c r="B29" s="4">
        <f>(VLOOKUP('17.04'!J29,'17.04'!$AM$4:$AP$55,4,FALSE))</f>
        <v>0</v>
      </c>
      <c r="C29" s="4">
        <f>(VLOOKUP('17.04'!K29,'17.04'!$AM$4:$AP$55,4,FALSE))</f>
        <v>0</v>
      </c>
      <c r="D29" s="4">
        <f>(VLOOKUP('17.04'!L29,'17.04'!$AM$4:$AP$55,4,FALSE))</f>
        <v>0</v>
      </c>
      <c r="E29" s="4">
        <f>(VLOOKUP('17.04'!M29,'17.04'!$AM$4:$AP$55,4,FALSE))</f>
        <v>0</v>
      </c>
      <c r="F29" s="4">
        <f>(VLOOKUP('17.04'!N29,'17.04'!$AM$4:$AP$55,4,FALSE))</f>
        <v>0</v>
      </c>
      <c r="G29" s="4">
        <f>(VLOOKUP('17.04'!O29,'17.04'!$AM$4:$AP$55,4,FALSE))</f>
        <v>0</v>
      </c>
      <c r="H29" s="4">
        <f>(VLOOKUP('17.04'!P29,'17.04'!$AM$4:$AP$55,4,FALSE))</f>
        <v>0</v>
      </c>
      <c r="I29" s="4">
        <f>(VLOOKUP('17.04'!Q29,'17.04'!$AM$4:$AP$55,4,FALSE))</f>
        <v>0</v>
      </c>
      <c r="J29" s="4">
        <f>(VLOOKUP('17.04'!R29,'17.04'!$AM$4:$AP$55,4,FALSE))</f>
        <v>0</v>
      </c>
      <c r="K29" s="4">
        <f>(VLOOKUP('17.04'!S29,'17.04'!$AM$4:$AP$55,4,FALSE))</f>
        <v>0</v>
      </c>
      <c r="L29" s="4">
        <f>(VLOOKUP('17.04'!T29,'17.04'!$AM$4:$AP$55,4,FALSE))</f>
        <v>0</v>
      </c>
      <c r="M29" s="4">
        <f>(VLOOKUP('17.04'!U29,'17.04'!$AM$4:$AP$55,4,FALSE))</f>
        <v>10</v>
      </c>
      <c r="N29" s="4">
        <f>(VLOOKUP('17.04'!V29,'17.04'!$AM$4:$AP$55,4,FALSE))</f>
        <v>0</v>
      </c>
      <c r="O29" s="4">
        <f>(VLOOKUP('17.04'!W29,'17.04'!$AM$4:$AP$55,4,FALSE))</f>
        <v>0</v>
      </c>
      <c r="P29" s="4">
        <f>(VLOOKUP('17.04'!X29,'17.04'!$AM$4:$AP$55,4,FALSE))</f>
        <v>0</v>
      </c>
      <c r="Q29" s="4">
        <f>(VLOOKUP('17.04'!Y29,'17.04'!$AM$4:$AP$55,4,FALSE))</f>
        <v>0</v>
      </c>
      <c r="R29" s="4">
        <f>(VLOOKUP('17.04'!Z29,'17.04'!$AM$4:$AP$55,4,FALSE))</f>
        <v>0</v>
      </c>
      <c r="S29" s="4">
        <f>(VLOOKUP('17.04'!AA29,'17.04'!$AM$4:$AP$55,4,FALSE))</f>
        <v>0</v>
      </c>
      <c r="T29" s="4">
        <f>(VLOOKUP('17.04'!AB29,'17.04'!$AM$4:$AP$55,4,FALSE))</f>
        <v>0</v>
      </c>
      <c r="U29" s="4">
        <f>(VLOOKUP('17.04'!AC29,'17.04'!$AM$4:$AP$55,4,FALSE))</f>
        <v>0</v>
      </c>
      <c r="V29" s="4">
        <f>(VLOOKUP('17.04'!AD29,'17.04'!$AM$4:$AP$55,4,FALSE))</f>
        <v>0</v>
      </c>
      <c r="W29" s="4">
        <f>(VLOOKUP('17.04'!AE29,'17.04'!$AM$4:$AP$55,4,FALSE))</f>
        <v>0</v>
      </c>
      <c r="X29" s="4">
        <f>(VLOOKUP('17.04'!AF29,'17.04'!$AM$4:$AP$55,4,FALSE))</f>
        <v>0</v>
      </c>
    </row>
    <row r="30" spans="1:24">
      <c r="A30" s="4">
        <f>(VLOOKUP('17.04'!I30,'17.04'!$AM$4:$AP$55,4,FALSE))</f>
        <v>0</v>
      </c>
      <c r="B30" s="4">
        <f>(VLOOKUP('17.04'!J30,'17.04'!$AM$4:$AP$55,4,FALSE))</f>
        <v>0</v>
      </c>
      <c r="C30" s="4">
        <f>(VLOOKUP('17.04'!K30,'17.04'!$AM$4:$AP$55,4,FALSE))</f>
        <v>0</v>
      </c>
      <c r="D30" s="4">
        <f>(VLOOKUP('17.04'!L30,'17.04'!$AM$4:$AP$55,4,FALSE))</f>
        <v>0</v>
      </c>
      <c r="E30" s="4">
        <f>(VLOOKUP('17.04'!M30,'17.04'!$AM$4:$AP$55,4,FALSE))</f>
        <v>0</v>
      </c>
      <c r="F30" s="4">
        <f>(VLOOKUP('17.04'!N30,'17.04'!$AM$4:$AP$55,4,FALSE))</f>
        <v>0</v>
      </c>
      <c r="G30" s="4">
        <f>(VLOOKUP('17.04'!O30,'17.04'!$AM$4:$AP$55,4,FALSE))</f>
        <v>0</v>
      </c>
      <c r="H30" s="4">
        <f>(VLOOKUP('17.04'!P30,'17.04'!$AM$4:$AP$55,4,FALSE))</f>
        <v>0</v>
      </c>
      <c r="I30" s="4">
        <f>(VLOOKUP('17.04'!Q30,'17.04'!$AM$4:$AP$55,4,FALSE))</f>
        <v>0</v>
      </c>
      <c r="J30" s="4">
        <f>(VLOOKUP('17.04'!R30,'17.04'!$AM$4:$AP$55,4,FALSE))</f>
        <v>0</v>
      </c>
      <c r="K30" s="4">
        <f>(VLOOKUP('17.04'!S30,'17.04'!$AM$4:$AP$55,4,FALSE))</f>
        <v>0</v>
      </c>
      <c r="L30" s="4">
        <f>(VLOOKUP('17.04'!T30,'17.04'!$AM$4:$AP$55,4,FALSE))</f>
        <v>0</v>
      </c>
      <c r="M30" s="4">
        <f>(VLOOKUP('17.04'!U30,'17.04'!$AM$4:$AP$55,4,FALSE))</f>
        <v>0</v>
      </c>
      <c r="N30" s="4">
        <f>(VLOOKUP('17.04'!V30,'17.04'!$AM$4:$AP$55,4,FALSE))</f>
        <v>0</v>
      </c>
      <c r="O30" s="4">
        <f>(VLOOKUP('17.04'!W30,'17.04'!$AM$4:$AP$55,4,FALSE))</f>
        <v>0</v>
      </c>
      <c r="P30" s="4">
        <f>(VLOOKUP('17.04'!X30,'17.04'!$AM$4:$AP$55,4,FALSE))</f>
        <v>0</v>
      </c>
      <c r="Q30" s="4">
        <f>(VLOOKUP('17.04'!Y30,'17.04'!$AM$4:$AP$55,4,FALSE))</f>
        <v>0</v>
      </c>
      <c r="R30" s="4">
        <f>(VLOOKUP('17.04'!Z30,'17.04'!$AM$4:$AP$55,4,FALSE))</f>
        <v>36</v>
      </c>
      <c r="S30" s="4">
        <f>(VLOOKUP('17.04'!AA30,'17.04'!$AM$4:$AP$55,4,FALSE))</f>
        <v>36</v>
      </c>
      <c r="T30" s="4">
        <f>(VLOOKUP('17.04'!AB30,'17.04'!$AM$4:$AP$55,4,FALSE))</f>
        <v>36</v>
      </c>
      <c r="U30" s="4">
        <f>(VLOOKUP('17.04'!AC30,'17.04'!$AM$4:$AP$55,4,FALSE))</f>
        <v>36</v>
      </c>
      <c r="V30" s="4">
        <f>(VLOOKUP('17.04'!AD30,'17.04'!$AM$4:$AP$55,4,FALSE))</f>
        <v>36</v>
      </c>
      <c r="W30" s="4">
        <f>(VLOOKUP('17.04'!AE30,'17.04'!$AM$4:$AP$55,4,FALSE))</f>
        <v>0</v>
      </c>
      <c r="X30" s="4">
        <f>(VLOOKUP('17.04'!AF30,'17.04'!$AM$4:$AP$55,4,FALSE))</f>
        <v>0</v>
      </c>
    </row>
    <row r="31" spans="1:24">
      <c r="A31" s="4">
        <f>(VLOOKUP('17.04'!I31,'17.04'!$AM$4:$AP$55,4,FALSE))</f>
        <v>0</v>
      </c>
      <c r="B31" s="4">
        <f>(VLOOKUP('17.04'!J31,'17.04'!$AM$4:$AP$55,4,FALSE))</f>
        <v>0</v>
      </c>
      <c r="C31" s="4">
        <f>(VLOOKUP('17.04'!K31,'17.04'!$AM$4:$AP$55,4,FALSE))</f>
        <v>0</v>
      </c>
      <c r="D31" s="4">
        <f>(VLOOKUP('17.04'!L31,'17.04'!$AM$4:$AP$55,4,FALSE))</f>
        <v>0</v>
      </c>
      <c r="E31" s="4">
        <f>(VLOOKUP('17.04'!M31,'17.04'!$AM$4:$AP$55,4,FALSE))</f>
        <v>0</v>
      </c>
      <c r="F31" s="4">
        <f>(VLOOKUP('17.04'!N31,'17.04'!$AM$4:$AP$55,4,FALSE))</f>
        <v>0</v>
      </c>
      <c r="G31" s="4">
        <f>(VLOOKUP('17.04'!O31,'17.04'!$AM$4:$AP$55,4,FALSE))</f>
        <v>0</v>
      </c>
      <c r="H31" s="4">
        <f>(VLOOKUP('17.04'!P31,'17.04'!$AM$4:$AP$55,4,FALSE))</f>
        <v>0</v>
      </c>
      <c r="I31" s="4">
        <f>(VLOOKUP('17.04'!Q31,'17.04'!$AM$4:$AP$55,4,FALSE))</f>
        <v>0</v>
      </c>
      <c r="J31" s="4">
        <f>(VLOOKUP('17.04'!R31,'17.04'!$AM$4:$AP$55,4,FALSE))</f>
        <v>0</v>
      </c>
      <c r="K31" s="4">
        <f>(VLOOKUP('17.04'!S31,'17.04'!$AM$4:$AP$55,4,FALSE))</f>
        <v>0</v>
      </c>
      <c r="L31" s="4">
        <f>(VLOOKUP('17.04'!T31,'17.04'!$AM$4:$AP$55,4,FALSE))</f>
        <v>0</v>
      </c>
      <c r="M31" s="4">
        <f>(VLOOKUP('17.04'!U31,'17.04'!$AM$4:$AP$55,4,FALSE))</f>
        <v>0</v>
      </c>
      <c r="N31" s="4">
        <f>(VLOOKUP('17.04'!V31,'17.04'!$AM$4:$AP$55,4,FALSE))</f>
        <v>0</v>
      </c>
      <c r="O31" s="4">
        <f>(VLOOKUP('17.04'!W31,'17.04'!$AM$4:$AP$55,4,FALSE))</f>
        <v>10</v>
      </c>
      <c r="P31" s="4">
        <f>(VLOOKUP('17.04'!X31,'17.04'!$AM$4:$AP$55,4,FALSE))</f>
        <v>0</v>
      </c>
      <c r="Q31" s="4">
        <f>(VLOOKUP('17.04'!Y31,'17.04'!$AM$4:$AP$55,4,FALSE))</f>
        <v>10</v>
      </c>
      <c r="R31" s="4">
        <f>(VLOOKUP('17.04'!Z31,'17.04'!$AM$4:$AP$55,4,FALSE))</f>
        <v>36</v>
      </c>
      <c r="S31" s="4">
        <f>(VLOOKUP('17.04'!AA31,'17.04'!$AM$4:$AP$55,4,FALSE))</f>
        <v>10</v>
      </c>
      <c r="T31" s="4">
        <f>(VLOOKUP('17.04'!AB31,'17.04'!$AM$4:$AP$55,4,FALSE))</f>
        <v>36</v>
      </c>
      <c r="U31" s="4">
        <f>(VLOOKUP('17.04'!AC31,'17.04'!$AM$4:$AP$55,4,FALSE))</f>
        <v>36</v>
      </c>
      <c r="V31" s="4">
        <f>(VLOOKUP('17.04'!AD31,'17.04'!$AM$4:$AP$55,4,FALSE))</f>
        <v>36</v>
      </c>
      <c r="W31" s="4">
        <f>(VLOOKUP('17.04'!AE31,'17.04'!$AM$4:$AP$55,4,FALSE))</f>
        <v>36</v>
      </c>
      <c r="X31" s="4">
        <f>(VLOOKUP('17.04'!AF31,'17.04'!$AM$4:$AP$55,4,FALSE))</f>
        <v>36</v>
      </c>
    </row>
    <row r="32" spans="1:24">
      <c r="A32" s="4">
        <f>(VLOOKUP('17.04'!I32,'17.04'!$AM$4:$AP$55,4,FALSE))</f>
        <v>44.222109392472248</v>
      </c>
      <c r="B32" s="4">
        <f>(VLOOKUP('17.04'!J32,'17.04'!$AM$4:$AP$55,4,FALSE))</f>
        <v>44.222109392472248</v>
      </c>
      <c r="C32" s="4">
        <f>(VLOOKUP('17.04'!K32,'17.04'!$AM$4:$AP$55,4,FALSE))</f>
        <v>10</v>
      </c>
      <c r="D32" s="4">
        <f>(VLOOKUP('17.04'!L32,'17.04'!$AM$4:$AP$55,4,FALSE))</f>
        <v>44.222109392472248</v>
      </c>
      <c r="E32" s="4">
        <f>(VLOOKUP('17.04'!M32,'17.04'!$AM$4:$AP$55,4,FALSE))</f>
        <v>44.222109392472248</v>
      </c>
      <c r="F32" s="4">
        <f>(VLOOKUP('17.04'!N32,'17.04'!$AM$4:$AP$55,4,FALSE))</f>
        <v>44.222109392472248</v>
      </c>
      <c r="G32" s="4">
        <f>(VLOOKUP('17.04'!O32,'17.04'!$AM$4:$AP$55,4,FALSE))</f>
        <v>10</v>
      </c>
      <c r="H32" s="4">
        <f>(VLOOKUP('17.04'!P32,'17.04'!$AM$4:$AP$55,4,FALSE))</f>
        <v>0</v>
      </c>
      <c r="I32" s="4">
        <f>(VLOOKUP('17.04'!Q32,'17.04'!$AM$4:$AP$55,4,FALSE))</f>
        <v>0</v>
      </c>
      <c r="J32" s="4">
        <f>(VLOOKUP('17.04'!R32,'17.04'!$AM$4:$AP$55,4,FALSE))</f>
        <v>0</v>
      </c>
      <c r="K32" s="4">
        <f>(VLOOKUP('17.04'!S32,'17.04'!$AM$4:$AP$55,4,FALSE))</f>
        <v>0</v>
      </c>
      <c r="L32" s="4">
        <f>(VLOOKUP('17.04'!T32,'17.04'!$AM$4:$AP$55,4,FALSE))</f>
        <v>0</v>
      </c>
      <c r="M32" s="4">
        <f>(VLOOKUP('17.04'!U32,'17.04'!$AM$4:$AP$55,4,FALSE))</f>
        <v>0</v>
      </c>
      <c r="N32" s="4">
        <f>(VLOOKUP('17.04'!V32,'17.04'!$AM$4:$AP$55,4,FALSE))</f>
        <v>0</v>
      </c>
      <c r="O32" s="4">
        <f>(VLOOKUP('17.04'!W32,'17.04'!$AM$4:$AP$55,4,FALSE))</f>
        <v>0</v>
      </c>
      <c r="P32" s="4">
        <f>(VLOOKUP('17.04'!X32,'17.04'!$AM$4:$AP$55,4,FALSE))</f>
        <v>0</v>
      </c>
      <c r="Q32" s="4">
        <f>(VLOOKUP('17.04'!Y32,'17.04'!$AM$4:$AP$55,4,FALSE))</f>
        <v>36</v>
      </c>
      <c r="R32" s="4">
        <f>(VLOOKUP('17.04'!Z32,'17.04'!$AM$4:$AP$55,4,FALSE))</f>
        <v>36</v>
      </c>
      <c r="S32" s="4">
        <f>(VLOOKUP('17.04'!AA32,'17.04'!$AM$4:$AP$55,4,FALSE))</f>
        <v>36</v>
      </c>
      <c r="T32" s="4">
        <f>(VLOOKUP('17.04'!AB32,'17.04'!$AM$4:$AP$55,4,FALSE))</f>
        <v>0</v>
      </c>
      <c r="U32" s="4">
        <f>(VLOOKUP('17.04'!AC32,'17.04'!$AM$4:$AP$55,4,FALSE))</f>
        <v>0</v>
      </c>
      <c r="V32" s="4">
        <f>(VLOOKUP('17.04'!AD32,'17.04'!$AM$4:$AP$55,4,FALSE))</f>
        <v>0</v>
      </c>
      <c r="W32" s="4">
        <f>(VLOOKUP('17.04'!AE32,'17.04'!$AM$4:$AP$55,4,FALSE))</f>
        <v>0</v>
      </c>
      <c r="X32" s="4">
        <f>(VLOOKUP('17.04'!AF32,'17.04'!$AM$4:$AP$55,4,FALSE))</f>
        <v>0</v>
      </c>
    </row>
    <row r="33" spans="1:24">
      <c r="A33" s="4">
        <f>(VLOOKUP('17.04'!I33,'17.04'!$AM$4:$AP$55,4,FALSE))</f>
        <v>39.110982162825422</v>
      </c>
      <c r="B33" s="4">
        <f>(VLOOKUP('17.04'!J33,'17.04'!$AM$4:$AP$55,4,FALSE))</f>
        <v>39.110982162825422</v>
      </c>
      <c r="C33" s="4">
        <f>(VLOOKUP('17.04'!K33,'17.04'!$AM$4:$AP$55,4,FALSE))</f>
        <v>39.110982162825422</v>
      </c>
      <c r="D33" s="4">
        <f>(VLOOKUP('17.04'!L33,'17.04'!$AM$4:$AP$55,4,FALSE))</f>
        <v>10</v>
      </c>
      <c r="E33" s="4">
        <f>(VLOOKUP('17.04'!M33,'17.04'!$AM$4:$AP$55,4,FALSE))</f>
        <v>39.110982162825422</v>
      </c>
      <c r="F33" s="4">
        <f>(VLOOKUP('17.04'!N33,'17.04'!$AM$4:$AP$55,4,FALSE))</f>
        <v>39.110982162825422</v>
      </c>
      <c r="G33" s="4">
        <f>(VLOOKUP('17.04'!O33,'17.04'!$AM$4:$AP$55,4,FALSE))</f>
        <v>10</v>
      </c>
      <c r="H33" s="4">
        <f>(VLOOKUP('17.04'!P33,'17.04'!$AM$4:$AP$55,4,FALSE))</f>
        <v>0</v>
      </c>
      <c r="I33" s="4">
        <f>(VLOOKUP('17.04'!Q33,'17.04'!$AM$4:$AP$55,4,FALSE))</f>
        <v>0</v>
      </c>
      <c r="J33" s="4">
        <f>(VLOOKUP('17.04'!R33,'17.04'!$AM$4:$AP$55,4,FALSE))</f>
        <v>0</v>
      </c>
      <c r="K33" s="4">
        <f>(VLOOKUP('17.04'!S33,'17.04'!$AM$4:$AP$55,4,FALSE))</f>
        <v>0</v>
      </c>
      <c r="L33" s="4">
        <f>(VLOOKUP('17.04'!T33,'17.04'!$AM$4:$AP$55,4,FALSE))</f>
        <v>0</v>
      </c>
      <c r="M33" s="4">
        <f>(VLOOKUP('17.04'!U33,'17.04'!$AM$4:$AP$55,4,FALSE))</f>
        <v>0</v>
      </c>
      <c r="N33" s="4">
        <f>(VLOOKUP('17.04'!V33,'17.04'!$AM$4:$AP$55,4,FALSE))</f>
        <v>0</v>
      </c>
      <c r="O33" s="4">
        <f>(VLOOKUP('17.04'!W33,'17.04'!$AM$4:$AP$55,4,FALSE))</f>
        <v>10</v>
      </c>
      <c r="P33" s="4">
        <f>(VLOOKUP('17.04'!X33,'17.04'!$AM$4:$AP$55,4,FALSE))</f>
        <v>34</v>
      </c>
      <c r="Q33" s="4">
        <f>(VLOOKUP('17.04'!Y33,'17.04'!$AM$4:$AP$55,4,FALSE))</f>
        <v>34</v>
      </c>
      <c r="R33" s="4">
        <f>(VLOOKUP('17.04'!Z33,'17.04'!$AM$4:$AP$55,4,FALSE))</f>
        <v>34</v>
      </c>
      <c r="S33" s="4">
        <f>(VLOOKUP('17.04'!AA33,'17.04'!$AM$4:$AP$55,4,FALSE))</f>
        <v>0</v>
      </c>
      <c r="T33" s="4">
        <f>(VLOOKUP('17.04'!AB33,'17.04'!$AM$4:$AP$55,4,FALSE))</f>
        <v>0</v>
      </c>
      <c r="U33" s="4">
        <f>(VLOOKUP('17.04'!AC33,'17.04'!$AM$4:$AP$55,4,FALSE))</f>
        <v>0</v>
      </c>
      <c r="V33" s="4">
        <f>(VLOOKUP('17.04'!AD33,'17.04'!$AM$4:$AP$55,4,FALSE))</f>
        <v>0</v>
      </c>
      <c r="W33" s="4">
        <f>(VLOOKUP('17.04'!AE33,'17.04'!$AM$4:$AP$55,4,FALSE))</f>
        <v>0</v>
      </c>
      <c r="X33" s="4">
        <f>(VLOOKUP('17.04'!AF33,'17.04'!$AM$4:$AP$55,4,FALSE))</f>
        <v>0</v>
      </c>
    </row>
    <row r="34" spans="1:24">
      <c r="A34" s="4">
        <f>(VLOOKUP('17.04'!I34,'17.04'!$AM$4:$AP$55,4,FALSE))</f>
        <v>0</v>
      </c>
      <c r="B34" s="4">
        <f>(VLOOKUP('17.04'!J34,'17.04'!$AM$4:$AP$55,4,FALSE))</f>
        <v>0</v>
      </c>
      <c r="C34" s="4">
        <f>(VLOOKUP('17.04'!K34,'17.04'!$AM$4:$AP$55,4,FALSE))</f>
        <v>0</v>
      </c>
      <c r="D34" s="4">
        <f>(VLOOKUP('17.04'!L34,'17.04'!$AM$4:$AP$55,4,FALSE))</f>
        <v>0</v>
      </c>
      <c r="E34" s="4">
        <f>(VLOOKUP('17.04'!M34,'17.04'!$AM$4:$AP$55,4,FALSE))</f>
        <v>0</v>
      </c>
      <c r="F34" s="4">
        <f>(VLOOKUP('17.04'!N34,'17.04'!$AM$4:$AP$55,4,FALSE))</f>
        <v>0</v>
      </c>
      <c r="G34" s="4">
        <f>(VLOOKUP('17.04'!O34,'17.04'!$AM$4:$AP$55,4,FALSE))</f>
        <v>0</v>
      </c>
      <c r="H34" s="4">
        <f>(VLOOKUP('17.04'!P34,'17.04'!$AM$4:$AP$55,4,FALSE))</f>
        <v>0</v>
      </c>
      <c r="I34" s="4">
        <f>(VLOOKUP('17.04'!Q34,'17.04'!$AM$4:$AP$55,4,FALSE))</f>
        <v>34</v>
      </c>
      <c r="J34" s="4">
        <f>(VLOOKUP('17.04'!R34,'17.04'!$AM$4:$AP$55,4,FALSE))</f>
        <v>10</v>
      </c>
      <c r="K34" s="4">
        <f>(VLOOKUP('17.04'!S34,'17.04'!$AM$4:$AP$55,4,FALSE))</f>
        <v>34</v>
      </c>
      <c r="L34" s="4">
        <f>(VLOOKUP('17.04'!T34,'17.04'!$AM$4:$AP$55,4,FALSE))</f>
        <v>13.999854933178597</v>
      </c>
      <c r="M34" s="4">
        <f>(VLOOKUP('17.04'!U34,'17.04'!$AM$4:$AP$55,4,FALSE))</f>
        <v>34</v>
      </c>
      <c r="N34" s="4">
        <f>(VLOOKUP('17.04'!V34,'17.04'!$AM$4:$AP$55,4,FALSE))</f>
        <v>34</v>
      </c>
      <c r="O34" s="4">
        <f>(VLOOKUP('17.04'!W34,'17.04'!$AM$4:$AP$55,4,FALSE))</f>
        <v>0</v>
      </c>
      <c r="P34" s="4">
        <f>(VLOOKUP('17.04'!X34,'17.04'!$AM$4:$AP$55,4,FALSE))</f>
        <v>0</v>
      </c>
      <c r="Q34" s="4">
        <f>(VLOOKUP('17.04'!Y34,'17.04'!$AM$4:$AP$55,4,FALSE))</f>
        <v>34</v>
      </c>
      <c r="R34" s="4">
        <f>(VLOOKUP('17.04'!Z34,'17.04'!$AM$4:$AP$55,4,FALSE))</f>
        <v>34</v>
      </c>
      <c r="S34" s="4">
        <f>(VLOOKUP('17.04'!AA34,'17.04'!$AM$4:$AP$55,4,FALSE))</f>
        <v>34</v>
      </c>
      <c r="T34" s="4">
        <f>(VLOOKUP('17.04'!AB34,'17.04'!$AM$4:$AP$55,4,FALSE))</f>
        <v>34</v>
      </c>
      <c r="U34" s="4">
        <f>(VLOOKUP('17.04'!AC34,'17.04'!$AM$4:$AP$55,4,FALSE))</f>
        <v>0</v>
      </c>
      <c r="V34" s="4">
        <f>(VLOOKUP('17.04'!AD34,'17.04'!$AM$4:$AP$55,4,FALSE))</f>
        <v>0</v>
      </c>
      <c r="W34" s="4">
        <f>(VLOOKUP('17.04'!AE34,'17.04'!$AM$4:$AP$55,4,FALSE))</f>
        <v>0</v>
      </c>
      <c r="X34" s="4">
        <f>(VLOOKUP('17.04'!AF34,'17.04'!$AM$4:$AP$55,4,FALSE))</f>
        <v>0</v>
      </c>
    </row>
    <row r="35" spans="1:24">
      <c r="A35" s="4">
        <f>(VLOOKUP('17.04'!I35,'17.04'!$AM$4:$AP$55,4,FALSE))</f>
        <v>0</v>
      </c>
      <c r="B35" s="4">
        <f>(VLOOKUP('17.04'!J35,'17.04'!$AM$4:$AP$55,4,FALSE))</f>
        <v>0</v>
      </c>
      <c r="C35" s="4">
        <f>(VLOOKUP('17.04'!K35,'17.04'!$AM$4:$AP$55,4,FALSE))</f>
        <v>0</v>
      </c>
      <c r="D35" s="4">
        <f>(VLOOKUP('17.04'!L35,'17.04'!$AM$4:$AP$55,4,FALSE))</f>
        <v>0</v>
      </c>
      <c r="E35" s="4">
        <f>(VLOOKUP('17.04'!M35,'17.04'!$AM$4:$AP$55,4,FALSE))</f>
        <v>0</v>
      </c>
      <c r="F35" s="4">
        <f>(VLOOKUP('17.04'!N35,'17.04'!$AM$4:$AP$55,4,FALSE))</f>
        <v>0</v>
      </c>
      <c r="G35" s="4">
        <f>(VLOOKUP('17.04'!O35,'17.04'!$AM$4:$AP$55,4,FALSE))</f>
        <v>0</v>
      </c>
      <c r="H35" s="4">
        <f>(VLOOKUP('17.04'!P35,'17.04'!$AM$4:$AP$55,4,FALSE))</f>
        <v>0</v>
      </c>
      <c r="I35" s="4">
        <f>(VLOOKUP('17.04'!Q35,'17.04'!$AM$4:$AP$55,4,FALSE))</f>
        <v>0</v>
      </c>
      <c r="J35" s="4">
        <f>(VLOOKUP('17.04'!R35,'17.04'!$AM$4:$AP$55,4,FALSE))</f>
        <v>0</v>
      </c>
      <c r="K35" s="4">
        <f>(VLOOKUP('17.04'!S35,'17.04'!$AM$4:$AP$55,4,FALSE))</f>
        <v>0</v>
      </c>
      <c r="L35" s="4">
        <f>(VLOOKUP('17.04'!T35,'17.04'!$AM$4:$AP$55,4,FALSE))</f>
        <v>0</v>
      </c>
      <c r="M35" s="4">
        <f>(VLOOKUP('17.04'!U35,'17.04'!$AM$4:$AP$55,4,FALSE))</f>
        <v>0</v>
      </c>
      <c r="N35" s="4">
        <f>(VLOOKUP('17.04'!V35,'17.04'!$AM$4:$AP$55,4,FALSE))</f>
        <v>0</v>
      </c>
      <c r="O35" s="4">
        <f>(VLOOKUP('17.04'!W35,'17.04'!$AM$4:$AP$55,4,FALSE))</f>
        <v>0</v>
      </c>
      <c r="P35" s="4">
        <f>(VLOOKUP('17.04'!X35,'17.04'!$AM$4:$AP$55,4,FALSE))</f>
        <v>0</v>
      </c>
      <c r="Q35" s="4">
        <f>(VLOOKUP('17.04'!Y35,'17.04'!$AM$4:$AP$55,4,FALSE))</f>
        <v>34</v>
      </c>
      <c r="R35" s="4">
        <f>(VLOOKUP('17.04'!Z35,'17.04'!$AM$4:$AP$55,4,FALSE))</f>
        <v>34</v>
      </c>
      <c r="S35" s="4">
        <f>(VLOOKUP('17.04'!AA35,'17.04'!$AM$4:$AP$55,4,FALSE))</f>
        <v>34</v>
      </c>
      <c r="T35" s="4">
        <f>(VLOOKUP('17.04'!AB35,'17.04'!$AM$4:$AP$55,4,FALSE))</f>
        <v>34</v>
      </c>
      <c r="U35" s="4">
        <f>(VLOOKUP('17.04'!AC35,'17.04'!$AM$4:$AP$55,4,FALSE))</f>
        <v>34</v>
      </c>
      <c r="V35" s="4">
        <f>(VLOOKUP('17.04'!AD35,'17.04'!$AM$4:$AP$55,4,FALSE))</f>
        <v>10</v>
      </c>
      <c r="W35" s="4">
        <f>(VLOOKUP('17.04'!AE35,'17.04'!$AM$4:$AP$55,4,FALSE))</f>
        <v>0</v>
      </c>
      <c r="X35" s="4">
        <f>(VLOOKUP('17.04'!AF35,'17.04'!$AM$4:$AP$55,4,FALSE))</f>
        <v>0</v>
      </c>
    </row>
    <row r="36" spans="1:24">
      <c r="A36" s="4">
        <f>(VLOOKUP('17.04'!I36,'17.04'!$AM$4:$AP$55,4,FALSE))</f>
        <v>0</v>
      </c>
      <c r="B36" s="4">
        <f>(VLOOKUP('17.04'!J36,'17.04'!$AM$4:$AP$55,4,FALSE))</f>
        <v>0</v>
      </c>
      <c r="C36" s="4">
        <f>(VLOOKUP('17.04'!K36,'17.04'!$AM$4:$AP$55,4,FALSE))</f>
        <v>0</v>
      </c>
      <c r="D36" s="4">
        <f>(VLOOKUP('17.04'!L36,'17.04'!$AM$4:$AP$55,4,FALSE))</f>
        <v>0</v>
      </c>
      <c r="E36" s="4">
        <f>(VLOOKUP('17.04'!M36,'17.04'!$AM$4:$AP$55,4,FALSE))</f>
        <v>0</v>
      </c>
      <c r="F36" s="4">
        <f>(VLOOKUP('17.04'!N36,'17.04'!$AM$4:$AP$55,4,FALSE))</f>
        <v>0</v>
      </c>
      <c r="G36" s="4">
        <f>(VLOOKUP('17.04'!O36,'17.04'!$AM$4:$AP$55,4,FALSE))</f>
        <v>0</v>
      </c>
      <c r="H36" s="4">
        <f>(VLOOKUP('17.04'!P36,'17.04'!$AM$4:$AP$55,4,FALSE))</f>
        <v>0</v>
      </c>
      <c r="I36" s="4">
        <f>(VLOOKUP('17.04'!Q36,'17.04'!$AM$4:$AP$55,4,FALSE))</f>
        <v>0</v>
      </c>
      <c r="J36" s="4">
        <f>(VLOOKUP('17.04'!R36,'17.04'!$AM$4:$AP$55,4,FALSE))</f>
        <v>0</v>
      </c>
      <c r="K36" s="4">
        <f>(VLOOKUP('17.04'!S36,'17.04'!$AM$4:$AP$55,4,FALSE))</f>
        <v>0</v>
      </c>
      <c r="L36" s="4">
        <f>(VLOOKUP('17.04'!T36,'17.04'!$AM$4:$AP$55,4,FALSE))</f>
        <v>0</v>
      </c>
      <c r="M36" s="4">
        <f>(VLOOKUP('17.04'!U36,'17.04'!$AM$4:$AP$55,4,FALSE))</f>
        <v>0</v>
      </c>
      <c r="N36" s="4">
        <f>(VLOOKUP('17.04'!V36,'17.04'!$AM$4:$AP$55,4,FALSE))</f>
        <v>0</v>
      </c>
      <c r="O36" s="4">
        <f>(VLOOKUP('17.04'!W36,'17.04'!$AM$4:$AP$55,4,FALSE))</f>
        <v>0</v>
      </c>
      <c r="P36" s="4">
        <f>(VLOOKUP('17.04'!X36,'17.04'!$AM$4:$AP$55,4,FALSE))</f>
        <v>0</v>
      </c>
      <c r="Q36" s="4">
        <f>(VLOOKUP('17.04'!Y36,'17.04'!$AM$4:$AP$55,4,FALSE))</f>
        <v>34</v>
      </c>
      <c r="R36" s="4">
        <f>(VLOOKUP('17.04'!Z36,'17.04'!$AM$4:$AP$55,4,FALSE))</f>
        <v>34</v>
      </c>
      <c r="S36" s="4">
        <f>(VLOOKUP('17.04'!AA36,'17.04'!$AM$4:$AP$55,4,FALSE))</f>
        <v>34</v>
      </c>
      <c r="T36" s="4">
        <f>(VLOOKUP('17.04'!AB36,'17.04'!$AM$4:$AP$55,4,FALSE))</f>
        <v>34</v>
      </c>
      <c r="U36" s="4">
        <f>(VLOOKUP('17.04'!AC36,'17.04'!$AM$4:$AP$55,4,FALSE))</f>
        <v>34</v>
      </c>
      <c r="V36" s="4">
        <f>(VLOOKUP('17.04'!AD36,'17.04'!$AM$4:$AP$55,4,FALSE))</f>
        <v>0</v>
      </c>
      <c r="W36" s="4">
        <f>(VLOOKUP('17.04'!AE36,'17.04'!$AM$4:$AP$55,4,FALSE))</f>
        <v>0</v>
      </c>
      <c r="X36" s="4">
        <f>(VLOOKUP('17.04'!AF36,'17.04'!$AM$4:$AP$55,4,FALSE))</f>
        <v>0</v>
      </c>
    </row>
    <row r="37" spans="1:24">
      <c r="A37" s="4">
        <f>(VLOOKUP('17.04'!I37,'17.04'!$AM$4:$AP$55,4,FALSE))</f>
        <v>0</v>
      </c>
      <c r="B37" s="4">
        <f>(VLOOKUP('17.04'!J37,'17.04'!$AM$4:$AP$55,4,FALSE))</f>
        <v>0</v>
      </c>
      <c r="C37" s="4">
        <f>(VLOOKUP('17.04'!K37,'17.04'!$AM$4:$AP$55,4,FALSE))</f>
        <v>0</v>
      </c>
      <c r="D37" s="4">
        <f>(VLOOKUP('17.04'!L37,'17.04'!$AM$4:$AP$55,4,FALSE))</f>
        <v>0</v>
      </c>
      <c r="E37" s="4">
        <f>(VLOOKUP('17.04'!M37,'17.04'!$AM$4:$AP$55,4,FALSE))</f>
        <v>0</v>
      </c>
      <c r="F37" s="4">
        <f>(VLOOKUP('17.04'!N37,'17.04'!$AM$4:$AP$55,4,FALSE))</f>
        <v>0</v>
      </c>
      <c r="G37" s="4">
        <f>(VLOOKUP('17.04'!O37,'17.04'!$AM$4:$AP$55,4,FALSE))</f>
        <v>0</v>
      </c>
      <c r="H37" s="4">
        <f>(VLOOKUP('17.04'!P37,'17.04'!$AM$4:$AP$55,4,FALSE))</f>
        <v>0</v>
      </c>
      <c r="I37" s="4">
        <f>(VLOOKUP('17.04'!Q37,'17.04'!$AM$4:$AP$55,4,FALSE))</f>
        <v>0</v>
      </c>
      <c r="J37" s="4">
        <f>(VLOOKUP('17.04'!R37,'17.04'!$AM$4:$AP$55,4,FALSE))</f>
        <v>0</v>
      </c>
      <c r="K37" s="4">
        <f>(VLOOKUP('17.04'!S37,'17.04'!$AM$4:$AP$55,4,FALSE))</f>
        <v>0</v>
      </c>
      <c r="L37" s="4">
        <f>(VLOOKUP('17.04'!T37,'17.04'!$AM$4:$AP$55,4,FALSE))</f>
        <v>0</v>
      </c>
      <c r="M37" s="4">
        <f>(VLOOKUP('17.04'!U37,'17.04'!$AM$4:$AP$55,4,FALSE))</f>
        <v>0</v>
      </c>
      <c r="N37" s="4">
        <f>(VLOOKUP('17.04'!V37,'17.04'!$AM$4:$AP$55,4,FALSE))</f>
        <v>0</v>
      </c>
      <c r="O37" s="4">
        <f>(VLOOKUP('17.04'!W37,'17.04'!$AM$4:$AP$55,4,FALSE))</f>
        <v>0</v>
      </c>
      <c r="P37" s="4">
        <f>(VLOOKUP('17.04'!X37,'17.04'!$AM$4:$AP$55,4,FALSE))</f>
        <v>0</v>
      </c>
      <c r="Q37" s="4">
        <f>(VLOOKUP('17.04'!Y37,'17.04'!$AM$4:$AP$55,4,FALSE))</f>
        <v>34</v>
      </c>
      <c r="R37" s="4">
        <f>(VLOOKUP('17.04'!Z37,'17.04'!$AM$4:$AP$55,4,FALSE))</f>
        <v>36</v>
      </c>
      <c r="S37" s="4">
        <f>(VLOOKUP('17.04'!AA37,'17.04'!$AM$4:$AP$55,4,FALSE))</f>
        <v>36</v>
      </c>
      <c r="T37" s="4">
        <f>(VLOOKUP('17.04'!AB37,'17.04'!$AM$4:$AP$55,4,FALSE))</f>
        <v>36</v>
      </c>
      <c r="U37" s="4">
        <f>(VLOOKUP('17.04'!AC37,'17.04'!$AM$4:$AP$55,4,FALSE))</f>
        <v>0</v>
      </c>
      <c r="V37" s="4">
        <f>(VLOOKUP('17.04'!AD37,'17.04'!$AM$4:$AP$55,4,FALSE))</f>
        <v>0</v>
      </c>
      <c r="W37" s="4">
        <f>(VLOOKUP('17.04'!AE37,'17.04'!$AM$4:$AP$55,4,FALSE))</f>
        <v>0</v>
      </c>
      <c r="X37" s="4">
        <f>(VLOOKUP('17.04'!AF37,'17.04'!$AM$4:$AP$55,4,FALSE))</f>
        <v>0</v>
      </c>
    </row>
    <row r="38" spans="1:24">
      <c r="A38" s="4">
        <f>(VLOOKUP('17.04'!I38,'17.04'!$AM$4:$AP$55,4,FALSE))</f>
        <v>0</v>
      </c>
      <c r="B38" s="4">
        <f>(VLOOKUP('17.04'!J38,'17.04'!$AM$4:$AP$55,4,FALSE))</f>
        <v>0</v>
      </c>
      <c r="C38" s="4">
        <f>(VLOOKUP('17.04'!K38,'17.04'!$AM$4:$AP$55,4,FALSE))</f>
        <v>0</v>
      </c>
      <c r="D38" s="4">
        <f>(VLOOKUP('17.04'!L38,'17.04'!$AM$4:$AP$55,4,FALSE))</f>
        <v>0</v>
      </c>
      <c r="E38" s="4">
        <f>(VLOOKUP('17.04'!M38,'17.04'!$AM$4:$AP$55,4,FALSE))</f>
        <v>0</v>
      </c>
      <c r="F38" s="4">
        <f>(VLOOKUP('17.04'!N38,'17.04'!$AM$4:$AP$55,4,FALSE))</f>
        <v>0</v>
      </c>
      <c r="G38" s="4">
        <f>(VLOOKUP('17.04'!O38,'17.04'!$AM$4:$AP$55,4,FALSE))</f>
        <v>0</v>
      </c>
      <c r="H38" s="4">
        <f>(VLOOKUP('17.04'!P38,'17.04'!$AM$4:$AP$55,4,FALSE))</f>
        <v>0</v>
      </c>
      <c r="I38" s="4">
        <f>(VLOOKUP('17.04'!Q38,'17.04'!$AM$4:$AP$55,4,FALSE))</f>
        <v>34</v>
      </c>
      <c r="J38" s="4">
        <f>(VLOOKUP('17.04'!R38,'17.04'!$AM$4:$AP$55,4,FALSE))</f>
        <v>34</v>
      </c>
      <c r="K38" s="4">
        <f>(VLOOKUP('17.04'!S38,'17.04'!$AM$4:$AP$55,4,FALSE))</f>
        <v>34</v>
      </c>
      <c r="L38" s="4">
        <f>(VLOOKUP('17.04'!T38,'17.04'!$AM$4:$AP$55,4,FALSE))</f>
        <v>34</v>
      </c>
      <c r="M38" s="4">
        <f>(VLOOKUP('17.04'!U38,'17.04'!$AM$4:$AP$55,4,FALSE))</f>
        <v>34</v>
      </c>
      <c r="N38" s="4">
        <f>(VLOOKUP('17.04'!V38,'17.04'!$AM$4:$AP$55,4,FALSE))</f>
        <v>34</v>
      </c>
      <c r="O38" s="4">
        <f>(VLOOKUP('17.04'!W38,'17.04'!$AM$4:$AP$55,4,FALSE))</f>
        <v>0</v>
      </c>
      <c r="P38" s="4">
        <f>(VLOOKUP('17.04'!X38,'17.04'!$AM$4:$AP$55,4,FALSE))</f>
        <v>0</v>
      </c>
      <c r="Q38" s="4">
        <f>(VLOOKUP('17.04'!Y38,'17.04'!$AM$4:$AP$55,4,FALSE))</f>
        <v>36</v>
      </c>
      <c r="R38" s="4">
        <f>(VLOOKUP('17.04'!Z38,'17.04'!$AM$4:$AP$55,4,FALSE))</f>
        <v>36</v>
      </c>
      <c r="S38" s="4">
        <f>(VLOOKUP('17.04'!AA38,'17.04'!$AM$4:$AP$55,4,FALSE))</f>
        <v>36</v>
      </c>
      <c r="T38" s="4">
        <f>(VLOOKUP('17.04'!AB38,'17.04'!$AM$4:$AP$55,4,FALSE))</f>
        <v>36</v>
      </c>
      <c r="U38" s="4">
        <f>(VLOOKUP('17.04'!AC38,'17.04'!$AM$4:$AP$55,4,FALSE))</f>
        <v>36</v>
      </c>
      <c r="V38" s="4">
        <f>(VLOOKUP('17.04'!AD38,'17.04'!$AM$4:$AP$55,4,FALSE))</f>
        <v>0</v>
      </c>
      <c r="W38" s="4">
        <f>(VLOOKUP('17.04'!AE38,'17.04'!$AM$4:$AP$55,4,FALSE))</f>
        <v>0</v>
      </c>
      <c r="X38" s="4">
        <f>(VLOOKUP('17.04'!AF38,'17.04'!$AM$4:$AP$55,4,FALSE))</f>
        <v>0</v>
      </c>
    </row>
    <row r="39" spans="1:24">
      <c r="A39" s="4">
        <f>(VLOOKUP('17.04'!I39,'17.04'!$AM$4:$AP$55,4,FALSE))</f>
        <v>0</v>
      </c>
      <c r="B39" s="4">
        <f>(VLOOKUP('17.04'!J39,'17.04'!$AM$4:$AP$55,4,FALSE))</f>
        <v>0</v>
      </c>
      <c r="C39" s="4">
        <f>(VLOOKUP('17.04'!K39,'17.04'!$AM$4:$AP$55,4,FALSE))</f>
        <v>0</v>
      </c>
      <c r="D39" s="4">
        <f>(VLOOKUP('17.04'!L39,'17.04'!$AM$4:$AP$55,4,FALSE))</f>
        <v>0</v>
      </c>
      <c r="E39" s="4">
        <f>(VLOOKUP('17.04'!M39,'17.04'!$AM$4:$AP$55,4,FALSE))</f>
        <v>0</v>
      </c>
      <c r="F39" s="4">
        <f>(VLOOKUP('17.04'!N39,'17.04'!$AM$4:$AP$55,4,FALSE))</f>
        <v>0</v>
      </c>
      <c r="G39" s="4">
        <f>(VLOOKUP('17.04'!O39,'17.04'!$AM$4:$AP$55,4,FALSE))</f>
        <v>0</v>
      </c>
      <c r="H39" s="4">
        <f>(VLOOKUP('17.04'!P39,'17.04'!$AM$4:$AP$55,4,FALSE))</f>
        <v>0</v>
      </c>
      <c r="I39" s="4">
        <f>(VLOOKUP('17.04'!Q39,'17.04'!$AM$4:$AP$55,4,FALSE))</f>
        <v>34</v>
      </c>
      <c r="J39" s="4">
        <f>(VLOOKUP('17.04'!R39,'17.04'!$AM$4:$AP$55,4,FALSE))</f>
        <v>34</v>
      </c>
      <c r="K39" s="4">
        <f>(VLOOKUP('17.04'!S39,'17.04'!$AM$4:$AP$55,4,FALSE))</f>
        <v>34</v>
      </c>
      <c r="L39" s="4">
        <f>(VLOOKUP('17.04'!T39,'17.04'!$AM$4:$AP$55,4,FALSE))</f>
        <v>34</v>
      </c>
      <c r="M39" s="4">
        <f>(VLOOKUP('17.04'!U39,'17.04'!$AM$4:$AP$55,4,FALSE))</f>
        <v>34</v>
      </c>
      <c r="N39" s="4">
        <f>(VLOOKUP('17.04'!V39,'17.04'!$AM$4:$AP$55,4,FALSE))</f>
        <v>34</v>
      </c>
      <c r="O39" s="4">
        <f>(VLOOKUP('17.04'!W39,'17.04'!$AM$4:$AP$55,4,FALSE))</f>
        <v>0</v>
      </c>
      <c r="P39" s="4">
        <f>(VLOOKUP('17.04'!X39,'17.04'!$AM$4:$AP$55,4,FALSE))</f>
        <v>0</v>
      </c>
      <c r="Q39" s="4">
        <f>(VLOOKUP('17.04'!Y39,'17.04'!$AM$4:$AP$55,4,FALSE))</f>
        <v>36</v>
      </c>
      <c r="R39" s="4">
        <f>(VLOOKUP('17.04'!Z39,'17.04'!$AM$4:$AP$55,4,FALSE))</f>
        <v>36</v>
      </c>
      <c r="S39" s="4">
        <f>(VLOOKUP('17.04'!AA39,'17.04'!$AM$4:$AP$55,4,FALSE))</f>
        <v>36</v>
      </c>
      <c r="T39" s="4">
        <f>(VLOOKUP('17.04'!AB39,'17.04'!$AM$4:$AP$55,4,FALSE))</f>
        <v>36</v>
      </c>
      <c r="U39" s="4">
        <f>(VLOOKUP('17.04'!AC39,'17.04'!$AM$4:$AP$55,4,FALSE))</f>
        <v>36</v>
      </c>
      <c r="V39" s="4">
        <f>(VLOOKUP('17.04'!AD39,'17.04'!$AM$4:$AP$55,4,FALSE))</f>
        <v>36</v>
      </c>
      <c r="W39" s="4">
        <f>(VLOOKUP('17.04'!AE39,'17.04'!$AM$4:$AP$55,4,FALSE))</f>
        <v>0</v>
      </c>
      <c r="X39" s="4">
        <f>(VLOOKUP('17.04'!AF39,'17.04'!$AM$4:$AP$55,4,FALSE))</f>
        <v>0</v>
      </c>
    </row>
    <row r="40" spans="1:24">
      <c r="A40" s="4">
        <f>(VLOOKUP('17.04'!I40,'17.04'!$AM$4:$AP$55,4,FALSE))</f>
        <v>0</v>
      </c>
      <c r="B40" s="4">
        <f>(VLOOKUP('17.04'!J40,'17.04'!$AM$4:$AP$55,4,FALSE))</f>
        <v>0</v>
      </c>
      <c r="C40" s="4">
        <f>(VLOOKUP('17.04'!K40,'17.04'!$AM$4:$AP$55,4,FALSE))</f>
        <v>0</v>
      </c>
      <c r="D40" s="4">
        <f>(VLOOKUP('17.04'!L40,'17.04'!$AM$4:$AP$55,4,FALSE))</f>
        <v>0</v>
      </c>
      <c r="E40" s="4">
        <f>(VLOOKUP('17.04'!M40,'17.04'!$AM$4:$AP$55,4,FALSE))</f>
        <v>0</v>
      </c>
      <c r="F40" s="4">
        <f>(VLOOKUP('17.04'!N40,'17.04'!$AM$4:$AP$55,4,FALSE))</f>
        <v>0</v>
      </c>
      <c r="G40" s="4">
        <f>(VLOOKUP('17.04'!O40,'17.04'!$AM$4:$AP$55,4,FALSE))</f>
        <v>0</v>
      </c>
      <c r="H40" s="4">
        <f>(VLOOKUP('17.04'!P40,'17.04'!$AM$4:$AP$55,4,FALSE))</f>
        <v>0</v>
      </c>
      <c r="I40" s="4">
        <f>(VLOOKUP('17.04'!Q40,'17.04'!$AM$4:$AP$55,4,FALSE))</f>
        <v>13.999854933178597</v>
      </c>
      <c r="J40" s="4">
        <f>(VLOOKUP('17.04'!R40,'17.04'!$AM$4:$AP$55,4,FALSE))</f>
        <v>34</v>
      </c>
      <c r="K40" s="4">
        <f>(VLOOKUP('17.04'!S40,'17.04'!$AM$4:$AP$55,4,FALSE))</f>
        <v>34</v>
      </c>
      <c r="L40" s="4">
        <f>(VLOOKUP('17.04'!T40,'17.04'!$AM$4:$AP$55,4,FALSE))</f>
        <v>34</v>
      </c>
      <c r="M40" s="4">
        <f>(VLOOKUP('17.04'!U40,'17.04'!$AM$4:$AP$55,4,FALSE))</f>
        <v>34</v>
      </c>
      <c r="N40" s="4">
        <f>(VLOOKUP('17.04'!V40,'17.04'!$AM$4:$AP$55,4,FALSE))</f>
        <v>34</v>
      </c>
      <c r="O40" s="4">
        <f>(VLOOKUP('17.04'!W40,'17.04'!$AM$4:$AP$55,4,FALSE))</f>
        <v>0</v>
      </c>
      <c r="P40" s="4">
        <f>(VLOOKUP('17.04'!X40,'17.04'!$AM$4:$AP$55,4,FALSE))</f>
        <v>0</v>
      </c>
      <c r="Q40" s="4">
        <f>(VLOOKUP('17.04'!Y40,'17.04'!$AM$4:$AP$55,4,FALSE))</f>
        <v>36</v>
      </c>
      <c r="R40" s="4">
        <f>(VLOOKUP('17.04'!Z40,'17.04'!$AM$4:$AP$55,4,FALSE))</f>
        <v>36</v>
      </c>
      <c r="S40" s="4">
        <f>(VLOOKUP('17.04'!AA40,'17.04'!$AM$4:$AP$55,4,FALSE))</f>
        <v>34</v>
      </c>
      <c r="T40" s="4">
        <f>(VLOOKUP('17.04'!AB40,'17.04'!$AM$4:$AP$55,4,FALSE))</f>
        <v>34</v>
      </c>
      <c r="U40" s="4">
        <f>(VLOOKUP('17.04'!AC40,'17.04'!$AM$4:$AP$55,4,FALSE))</f>
        <v>34</v>
      </c>
      <c r="V40" s="4">
        <f>(VLOOKUP('17.04'!AD40,'17.04'!$AM$4:$AP$55,4,FALSE))</f>
        <v>0</v>
      </c>
      <c r="W40" s="4">
        <f>(VLOOKUP('17.04'!AE40,'17.04'!$AM$4:$AP$55,4,FALSE))</f>
        <v>0</v>
      </c>
      <c r="X40" s="4">
        <f>(VLOOKUP('17.04'!AF40,'17.04'!$AM$4:$AP$55,4,FALSE))</f>
        <v>0</v>
      </c>
    </row>
    <row r="41" spans="1:24">
      <c r="A41" s="4">
        <f>(VLOOKUP('17.04'!I41,'17.04'!$AM$4:$AP$55,4,FALSE))</f>
        <v>0</v>
      </c>
      <c r="B41" s="4">
        <f>(VLOOKUP('17.04'!J41,'17.04'!$AM$4:$AP$55,4,FALSE))</f>
        <v>0</v>
      </c>
      <c r="C41" s="4">
        <f>(VLOOKUP('17.04'!K41,'17.04'!$AM$4:$AP$55,4,FALSE))</f>
        <v>0</v>
      </c>
      <c r="D41" s="4">
        <f>(VLOOKUP('17.04'!L41,'17.04'!$AM$4:$AP$55,4,FALSE))</f>
        <v>0</v>
      </c>
      <c r="E41" s="4">
        <f>(VLOOKUP('17.04'!M41,'17.04'!$AM$4:$AP$55,4,FALSE))</f>
        <v>0</v>
      </c>
      <c r="F41" s="4">
        <f>(VLOOKUP('17.04'!N41,'17.04'!$AM$4:$AP$55,4,FALSE))</f>
        <v>0</v>
      </c>
      <c r="G41" s="4">
        <f>(VLOOKUP('17.04'!O41,'17.04'!$AM$4:$AP$55,4,FALSE))</f>
        <v>0</v>
      </c>
      <c r="H41" s="4">
        <f>(VLOOKUP('17.04'!P41,'17.04'!$AM$4:$AP$55,4,FALSE))</f>
        <v>0</v>
      </c>
      <c r="I41" s="4">
        <f>(VLOOKUP('17.04'!Q41,'17.04'!$AM$4:$AP$55,4,FALSE))</f>
        <v>34</v>
      </c>
      <c r="J41" s="4">
        <f>(VLOOKUP('17.04'!R41,'17.04'!$AM$4:$AP$55,4,FALSE))</f>
        <v>34</v>
      </c>
      <c r="K41" s="4">
        <f>(VLOOKUP('17.04'!S41,'17.04'!$AM$4:$AP$55,4,FALSE))</f>
        <v>34</v>
      </c>
      <c r="L41" s="4">
        <f>(VLOOKUP('17.04'!T41,'17.04'!$AM$4:$AP$55,4,FALSE))</f>
        <v>34</v>
      </c>
      <c r="M41" s="4">
        <f>(VLOOKUP('17.04'!U41,'17.04'!$AM$4:$AP$55,4,FALSE))</f>
        <v>34</v>
      </c>
      <c r="N41" s="4">
        <f>(VLOOKUP('17.04'!V41,'17.04'!$AM$4:$AP$55,4,FALSE))</f>
        <v>10</v>
      </c>
      <c r="O41" s="4">
        <f>(VLOOKUP('17.04'!W41,'17.04'!$AM$4:$AP$55,4,FALSE))</f>
        <v>0</v>
      </c>
      <c r="P41" s="4">
        <f>(VLOOKUP('17.04'!X41,'17.04'!$AM$4:$AP$55,4,FALSE))</f>
        <v>0</v>
      </c>
      <c r="Q41" s="4">
        <f>(VLOOKUP('17.04'!Y41,'17.04'!$AM$4:$AP$55,4,FALSE))</f>
        <v>34</v>
      </c>
      <c r="R41" s="4">
        <f>(VLOOKUP('17.04'!Z41,'17.04'!$AM$4:$AP$55,4,FALSE))</f>
        <v>34</v>
      </c>
      <c r="S41" s="4">
        <f>(VLOOKUP('17.04'!AA41,'17.04'!$AM$4:$AP$55,4,FALSE))</f>
        <v>34</v>
      </c>
      <c r="T41" s="4">
        <f>(VLOOKUP('17.04'!AB41,'17.04'!$AM$4:$AP$55,4,FALSE))</f>
        <v>0</v>
      </c>
      <c r="U41" s="4">
        <f>(VLOOKUP('17.04'!AC41,'17.04'!$AM$4:$AP$55,4,FALSE))</f>
        <v>0</v>
      </c>
      <c r="V41" s="4">
        <f>(VLOOKUP('17.04'!AD41,'17.04'!$AM$4:$AP$55,4,FALSE))</f>
        <v>0</v>
      </c>
      <c r="W41" s="4">
        <f>(VLOOKUP('17.04'!AE41,'17.04'!$AM$4:$AP$55,4,FALSE))</f>
        <v>0</v>
      </c>
      <c r="X41" s="4">
        <f>(VLOOKUP('17.04'!AF41,'17.04'!$AM$4:$AP$55,4,FALSE))</f>
        <v>0</v>
      </c>
    </row>
    <row r="42" spans="1:24">
      <c r="A42" s="4">
        <f>(VLOOKUP('17.04'!I42,'17.04'!$AM$4:$AP$55,4,FALSE))</f>
        <v>0</v>
      </c>
      <c r="B42" s="4">
        <f>(VLOOKUP('17.04'!J42,'17.04'!$AM$4:$AP$55,4,FALSE))</f>
        <v>0</v>
      </c>
      <c r="C42" s="4">
        <f>(VLOOKUP('17.04'!K42,'17.04'!$AM$4:$AP$55,4,FALSE))</f>
        <v>0</v>
      </c>
      <c r="D42" s="4">
        <f>(VLOOKUP('17.04'!L42,'17.04'!$AM$4:$AP$55,4,FALSE))</f>
        <v>0</v>
      </c>
      <c r="E42" s="4">
        <f>(VLOOKUP('17.04'!M42,'17.04'!$AM$4:$AP$55,4,FALSE))</f>
        <v>0</v>
      </c>
      <c r="F42" s="4">
        <f>(VLOOKUP('17.04'!N42,'17.04'!$AM$4:$AP$55,4,FALSE))</f>
        <v>0</v>
      </c>
      <c r="G42" s="4">
        <f>(VLOOKUP('17.04'!O42,'17.04'!$AM$4:$AP$55,4,FALSE))</f>
        <v>0</v>
      </c>
      <c r="H42" s="4">
        <f>(VLOOKUP('17.04'!P42,'17.04'!$AM$4:$AP$55,4,FALSE))</f>
        <v>0</v>
      </c>
      <c r="I42" s="4">
        <f>(VLOOKUP('17.04'!Q42,'17.04'!$AM$4:$AP$55,4,FALSE))</f>
        <v>34</v>
      </c>
      <c r="J42" s="4">
        <f>(VLOOKUP('17.04'!R42,'17.04'!$AM$4:$AP$55,4,FALSE))</f>
        <v>34</v>
      </c>
      <c r="K42" s="4">
        <f>(VLOOKUP('17.04'!S42,'17.04'!$AM$4:$AP$55,4,FALSE))</f>
        <v>34</v>
      </c>
      <c r="L42" s="4">
        <f>(VLOOKUP('17.04'!T42,'17.04'!$AM$4:$AP$55,4,FALSE))</f>
        <v>34</v>
      </c>
      <c r="M42" s="4">
        <f>(VLOOKUP('17.04'!U42,'17.04'!$AM$4:$AP$55,4,FALSE))</f>
        <v>34</v>
      </c>
      <c r="N42" s="4">
        <f>(VLOOKUP('17.04'!V42,'17.04'!$AM$4:$AP$55,4,FALSE))</f>
        <v>34</v>
      </c>
      <c r="O42" s="4">
        <f>(VLOOKUP('17.04'!W42,'17.04'!$AM$4:$AP$55,4,FALSE))</f>
        <v>0</v>
      </c>
      <c r="P42" s="4">
        <f>(VLOOKUP('17.04'!X42,'17.04'!$AM$4:$AP$55,4,FALSE))</f>
        <v>0</v>
      </c>
      <c r="Q42" s="4">
        <f>(VLOOKUP('17.04'!Y42,'17.04'!$AM$4:$AP$55,4,FALSE))</f>
        <v>34</v>
      </c>
      <c r="R42" s="4">
        <f>(VLOOKUP('17.04'!Z42,'17.04'!$AM$4:$AP$55,4,FALSE))</f>
        <v>34</v>
      </c>
      <c r="S42" s="4">
        <f>(VLOOKUP('17.04'!AA42,'17.04'!$AM$4:$AP$55,4,FALSE))</f>
        <v>34</v>
      </c>
      <c r="T42" s="4">
        <f>(VLOOKUP('17.04'!AB42,'17.04'!$AM$4:$AP$55,4,FALSE))</f>
        <v>13.999854933178597</v>
      </c>
      <c r="U42" s="4">
        <f>(VLOOKUP('17.04'!AC42,'17.04'!$AM$4:$AP$55,4,FALSE))</f>
        <v>34</v>
      </c>
      <c r="V42" s="4">
        <f>(VLOOKUP('17.04'!AD42,'17.04'!$AM$4:$AP$55,4,FALSE))</f>
        <v>34</v>
      </c>
      <c r="W42" s="4">
        <f>(VLOOKUP('17.04'!AE42,'17.04'!$AM$4:$AP$55,4,FALSE))</f>
        <v>0</v>
      </c>
      <c r="X42" s="4">
        <f>(VLOOKUP('17.04'!AF42,'17.04'!$AM$4:$AP$55,4,FALSE))</f>
        <v>0</v>
      </c>
    </row>
    <row r="43" spans="1:24">
      <c r="A43" s="4">
        <f>(VLOOKUP('17.04'!I43,'17.04'!$AM$4:$AP$55,4,FALSE))</f>
        <v>0</v>
      </c>
      <c r="B43" s="4">
        <f>(VLOOKUP('17.04'!J43,'17.04'!$AM$4:$AP$55,4,FALSE))</f>
        <v>0</v>
      </c>
      <c r="C43" s="4">
        <f>(VLOOKUP('17.04'!K43,'17.04'!$AM$4:$AP$55,4,FALSE))</f>
        <v>0</v>
      </c>
      <c r="D43" s="4">
        <f>(VLOOKUP('17.04'!L43,'17.04'!$AM$4:$AP$55,4,FALSE))</f>
        <v>0</v>
      </c>
      <c r="E43" s="4">
        <f>(VLOOKUP('17.04'!M43,'17.04'!$AM$4:$AP$55,4,FALSE))</f>
        <v>0</v>
      </c>
      <c r="F43" s="4">
        <f>(VLOOKUP('17.04'!N43,'17.04'!$AM$4:$AP$55,4,FALSE))</f>
        <v>0</v>
      </c>
      <c r="G43" s="4">
        <f>(VLOOKUP('17.04'!O43,'17.04'!$AM$4:$AP$55,4,FALSE))</f>
        <v>0</v>
      </c>
      <c r="H43" s="4">
        <f>(VLOOKUP('17.04'!P43,'17.04'!$AM$4:$AP$55,4,FALSE))</f>
        <v>0</v>
      </c>
      <c r="I43" s="4">
        <f>(VLOOKUP('17.04'!Q43,'17.04'!$AM$4:$AP$55,4,FALSE))</f>
        <v>34</v>
      </c>
      <c r="J43" s="4">
        <f>(VLOOKUP('17.04'!R43,'17.04'!$AM$4:$AP$55,4,FALSE))</f>
        <v>34</v>
      </c>
      <c r="K43" s="4">
        <f>(VLOOKUP('17.04'!S43,'17.04'!$AM$4:$AP$55,4,FALSE))</f>
        <v>10</v>
      </c>
      <c r="L43" s="4">
        <f>(VLOOKUP('17.04'!T43,'17.04'!$AM$4:$AP$55,4,FALSE))</f>
        <v>34</v>
      </c>
      <c r="M43" s="4">
        <f>(VLOOKUP('17.04'!U43,'17.04'!$AM$4:$AP$55,4,FALSE))</f>
        <v>34</v>
      </c>
      <c r="N43" s="4">
        <f>(VLOOKUP('17.04'!V43,'17.04'!$AM$4:$AP$55,4,FALSE))</f>
        <v>34</v>
      </c>
      <c r="O43" s="4">
        <f>(VLOOKUP('17.04'!W43,'17.04'!$AM$4:$AP$55,4,FALSE))</f>
        <v>0</v>
      </c>
      <c r="P43" s="4">
        <f>(VLOOKUP('17.04'!X43,'17.04'!$AM$4:$AP$55,4,FALSE))</f>
        <v>0</v>
      </c>
      <c r="Q43" s="4">
        <f>(VLOOKUP('17.04'!Y43,'17.04'!$AM$4:$AP$55,4,FALSE))</f>
        <v>34</v>
      </c>
      <c r="R43" s="4">
        <f>(VLOOKUP('17.04'!Z43,'17.04'!$AM$4:$AP$55,4,FALSE))</f>
        <v>34</v>
      </c>
      <c r="S43" s="4">
        <f>(VLOOKUP('17.04'!AA43,'17.04'!$AM$4:$AP$55,4,FALSE))</f>
        <v>10</v>
      </c>
      <c r="T43" s="4">
        <f>(VLOOKUP('17.04'!AB43,'17.04'!$AM$4:$AP$55,4,FALSE))</f>
        <v>34</v>
      </c>
      <c r="U43" s="4">
        <f>(VLOOKUP('17.04'!AC43,'17.04'!$AM$4:$AP$55,4,FALSE))</f>
        <v>34</v>
      </c>
      <c r="V43" s="4">
        <f>(VLOOKUP('17.04'!AD43,'17.04'!$AM$4:$AP$55,4,FALSE))</f>
        <v>34</v>
      </c>
      <c r="W43" s="4">
        <f>(VLOOKUP('17.04'!AE43,'17.04'!$AM$4:$AP$55,4,FALSE))</f>
        <v>0</v>
      </c>
      <c r="X43" s="4">
        <f>(VLOOKUP('17.04'!AF43,'17.04'!$AM$4:$AP$55,4,FALSE))</f>
        <v>0</v>
      </c>
    </row>
    <row r="44" spans="1:24">
      <c r="A44" s="4">
        <f>(VLOOKUP('17.04'!I44,'17.04'!$AM$4:$AP$55,4,FALSE))</f>
        <v>0</v>
      </c>
      <c r="B44" s="4">
        <f>(VLOOKUP('17.04'!J44,'17.04'!$AM$4:$AP$55,4,FALSE))</f>
        <v>0</v>
      </c>
      <c r="C44" s="4">
        <f>(VLOOKUP('17.04'!K44,'17.04'!$AM$4:$AP$55,4,FALSE))</f>
        <v>0</v>
      </c>
      <c r="D44" s="4">
        <f>(VLOOKUP('17.04'!L44,'17.04'!$AM$4:$AP$55,4,FALSE))</f>
        <v>0</v>
      </c>
      <c r="E44" s="4">
        <f>(VLOOKUP('17.04'!M44,'17.04'!$AM$4:$AP$55,4,FALSE))</f>
        <v>0</v>
      </c>
      <c r="F44" s="4">
        <f>(VLOOKUP('17.04'!N44,'17.04'!$AM$4:$AP$55,4,FALSE))</f>
        <v>0</v>
      </c>
      <c r="G44" s="4">
        <f>(VLOOKUP('17.04'!O44,'17.04'!$AM$4:$AP$55,4,FALSE))</f>
        <v>0</v>
      </c>
      <c r="H44" s="4">
        <f>(VLOOKUP('17.04'!P44,'17.04'!$AM$4:$AP$55,4,FALSE))</f>
        <v>0</v>
      </c>
      <c r="I44" s="4">
        <f>(VLOOKUP('17.04'!Q44,'17.04'!$AM$4:$AP$55,4,FALSE))</f>
        <v>34</v>
      </c>
      <c r="J44" s="4">
        <f>(VLOOKUP('17.04'!R44,'17.04'!$AM$4:$AP$55,4,FALSE))</f>
        <v>34</v>
      </c>
      <c r="K44" s="4">
        <f>(VLOOKUP('17.04'!S44,'17.04'!$AM$4:$AP$55,4,FALSE))</f>
        <v>34</v>
      </c>
      <c r="L44" s="4">
        <f>(VLOOKUP('17.04'!T44,'17.04'!$AM$4:$AP$55,4,FALSE))</f>
        <v>34</v>
      </c>
      <c r="M44" s="4">
        <f>(VLOOKUP('17.04'!U44,'17.04'!$AM$4:$AP$55,4,FALSE))</f>
        <v>34</v>
      </c>
      <c r="N44" s="4">
        <f>(VLOOKUP('17.04'!V44,'17.04'!$AM$4:$AP$55,4,FALSE))</f>
        <v>34</v>
      </c>
      <c r="O44" s="4">
        <f>(VLOOKUP('17.04'!W44,'17.04'!$AM$4:$AP$55,4,FALSE))</f>
        <v>0</v>
      </c>
      <c r="P44" s="4">
        <f>(VLOOKUP('17.04'!X44,'17.04'!$AM$4:$AP$55,4,FALSE))</f>
        <v>0</v>
      </c>
      <c r="Q44" s="4">
        <f>(VLOOKUP('17.04'!Y44,'17.04'!$AM$4:$AP$55,4,FALSE))</f>
        <v>34</v>
      </c>
      <c r="R44" s="4">
        <f>(VLOOKUP('17.04'!Z44,'17.04'!$AM$4:$AP$55,4,FALSE))</f>
        <v>34</v>
      </c>
      <c r="S44" s="4">
        <f>(VLOOKUP('17.04'!AA44,'17.04'!$AM$4:$AP$55,4,FALSE))</f>
        <v>34</v>
      </c>
      <c r="T44" s="4">
        <f>(VLOOKUP('17.04'!AB44,'17.04'!$AM$4:$AP$55,4,FALSE))</f>
        <v>0</v>
      </c>
      <c r="U44" s="4">
        <f>(VLOOKUP('17.04'!AC44,'17.04'!$AM$4:$AP$55,4,FALSE))</f>
        <v>0</v>
      </c>
      <c r="V44" s="4">
        <f>(VLOOKUP('17.04'!AD44,'17.04'!$AM$4:$AP$55,4,FALSE))</f>
        <v>0</v>
      </c>
      <c r="W44" s="4">
        <f>(VLOOKUP('17.04'!AE44,'17.04'!$AM$4:$AP$55,4,FALSE))</f>
        <v>0</v>
      </c>
      <c r="X44" s="4">
        <f>(VLOOKUP('17.04'!AF44,'17.04'!$AM$4:$AP$55,4,FALSE))</f>
        <v>0</v>
      </c>
    </row>
    <row r="45" spans="1:24">
      <c r="A45" s="4">
        <f>(VLOOKUP('17.04'!I45,'17.04'!$AM$4:$AP$55,4,FALSE))</f>
        <v>0</v>
      </c>
      <c r="B45" s="4">
        <f>(VLOOKUP('17.04'!J45,'17.04'!$AM$4:$AP$55,4,FALSE))</f>
        <v>0</v>
      </c>
      <c r="C45" s="4">
        <f>(VLOOKUP('17.04'!K45,'17.04'!$AM$4:$AP$55,4,FALSE))</f>
        <v>0</v>
      </c>
      <c r="D45" s="4">
        <f>(VLOOKUP('17.04'!L45,'17.04'!$AM$4:$AP$55,4,FALSE))</f>
        <v>0</v>
      </c>
      <c r="E45" s="4">
        <f>(VLOOKUP('17.04'!M45,'17.04'!$AM$4:$AP$55,4,FALSE))</f>
        <v>0</v>
      </c>
      <c r="F45" s="4">
        <f>(VLOOKUP('17.04'!N45,'17.04'!$AM$4:$AP$55,4,FALSE))</f>
        <v>0</v>
      </c>
      <c r="G45" s="4">
        <f>(VLOOKUP('17.04'!O45,'17.04'!$AM$4:$AP$55,4,FALSE))</f>
        <v>0</v>
      </c>
      <c r="H45" s="4">
        <f>(VLOOKUP('17.04'!P45,'17.04'!$AM$4:$AP$55,4,FALSE))</f>
        <v>0</v>
      </c>
      <c r="I45" s="4">
        <f>(VLOOKUP('17.04'!Q45,'17.04'!$AM$4:$AP$55,4,FALSE))</f>
        <v>34</v>
      </c>
      <c r="J45" s="4">
        <f>(VLOOKUP('17.04'!R45,'17.04'!$AM$4:$AP$55,4,FALSE))</f>
        <v>34</v>
      </c>
      <c r="K45" s="4">
        <f>(VLOOKUP('17.04'!S45,'17.04'!$AM$4:$AP$55,4,FALSE))</f>
        <v>34</v>
      </c>
      <c r="L45" s="4">
        <f>(VLOOKUP('17.04'!T45,'17.04'!$AM$4:$AP$55,4,FALSE))</f>
        <v>34</v>
      </c>
      <c r="M45" s="4">
        <f>(VLOOKUP('17.04'!U45,'17.04'!$AM$4:$AP$55,4,FALSE))</f>
        <v>34</v>
      </c>
      <c r="N45" s="4">
        <f>(VLOOKUP('17.04'!V45,'17.04'!$AM$4:$AP$55,4,FALSE))</f>
        <v>34</v>
      </c>
      <c r="O45" s="4">
        <f>(VLOOKUP('17.04'!W45,'17.04'!$AM$4:$AP$55,4,FALSE))</f>
        <v>0</v>
      </c>
      <c r="P45" s="4">
        <f>(VLOOKUP('17.04'!X45,'17.04'!$AM$4:$AP$55,4,FALSE))</f>
        <v>0</v>
      </c>
      <c r="Q45" s="4">
        <f>(VLOOKUP('17.04'!Y45,'17.04'!$AM$4:$AP$55,4,FALSE))</f>
        <v>0</v>
      </c>
      <c r="R45" s="4">
        <f>(VLOOKUP('17.04'!Z45,'17.04'!$AM$4:$AP$55,4,FALSE))</f>
        <v>0</v>
      </c>
      <c r="S45" s="4">
        <f>(VLOOKUP('17.04'!AA45,'17.04'!$AM$4:$AP$55,4,FALSE))</f>
        <v>0</v>
      </c>
      <c r="T45" s="4">
        <f>(VLOOKUP('17.04'!AB45,'17.04'!$AM$4:$AP$55,4,FALSE))</f>
        <v>0</v>
      </c>
      <c r="U45" s="4">
        <f>(VLOOKUP('17.04'!AC45,'17.04'!$AM$4:$AP$55,4,FALSE))</f>
        <v>0</v>
      </c>
      <c r="V45" s="4">
        <f>(VLOOKUP('17.04'!AD45,'17.04'!$AM$4:$AP$55,4,FALSE))</f>
        <v>0</v>
      </c>
      <c r="W45" s="4">
        <f>(VLOOKUP('17.04'!AE45,'17.04'!$AM$4:$AP$55,4,FALSE))</f>
        <v>0</v>
      </c>
      <c r="X45" s="4">
        <f>(VLOOKUP('17.04'!AF45,'17.04'!$AM$4:$AP$55,4,FALSE))</f>
        <v>0</v>
      </c>
    </row>
    <row r="46" spans="1:24">
      <c r="A46" s="4">
        <f>(VLOOKUP('17.04'!I46,'17.04'!$AM$4:$AP$55,4,FALSE))</f>
        <v>0</v>
      </c>
      <c r="B46" s="4">
        <f>(VLOOKUP('17.04'!J46,'17.04'!$AM$4:$AP$55,4,FALSE))</f>
        <v>0</v>
      </c>
      <c r="C46" s="4">
        <f>(VLOOKUP('17.04'!K46,'17.04'!$AM$4:$AP$55,4,FALSE))</f>
        <v>0</v>
      </c>
      <c r="D46" s="4">
        <f>(VLOOKUP('17.04'!L46,'17.04'!$AM$4:$AP$55,4,FALSE))</f>
        <v>0</v>
      </c>
      <c r="E46" s="4">
        <f>(VLOOKUP('17.04'!M46,'17.04'!$AM$4:$AP$55,4,FALSE))</f>
        <v>0</v>
      </c>
      <c r="F46" s="4">
        <f>(VLOOKUP('17.04'!N46,'17.04'!$AM$4:$AP$55,4,FALSE))</f>
        <v>0</v>
      </c>
      <c r="G46" s="4">
        <f>(VLOOKUP('17.04'!O46,'17.04'!$AM$4:$AP$55,4,FALSE))</f>
        <v>0</v>
      </c>
      <c r="H46" s="4">
        <f>(VLOOKUP('17.04'!P46,'17.04'!$AM$4:$AP$55,4,FALSE))</f>
        <v>0</v>
      </c>
      <c r="I46" s="4">
        <f>(VLOOKUP('17.04'!Q46,'17.04'!$AM$4:$AP$55,4,FALSE))</f>
        <v>10</v>
      </c>
      <c r="J46" s="4">
        <f>(VLOOKUP('17.04'!R46,'17.04'!$AM$4:$AP$55,4,FALSE))</f>
        <v>34</v>
      </c>
      <c r="K46" s="4">
        <f>(VLOOKUP('17.04'!S46,'17.04'!$AM$4:$AP$55,4,FALSE))</f>
        <v>36</v>
      </c>
      <c r="L46" s="4">
        <f>(VLOOKUP('17.04'!T46,'17.04'!$AM$4:$AP$55,4,FALSE))</f>
        <v>36</v>
      </c>
      <c r="M46" s="4">
        <f>(VLOOKUP('17.04'!U46,'17.04'!$AM$4:$AP$55,4,FALSE))</f>
        <v>0</v>
      </c>
      <c r="N46" s="4">
        <f>(VLOOKUP('17.04'!V46,'17.04'!$AM$4:$AP$55,4,FALSE))</f>
        <v>0</v>
      </c>
      <c r="O46" s="4">
        <f>(VLOOKUP('17.04'!W46,'17.04'!$AM$4:$AP$55,4,FALSE))</f>
        <v>0</v>
      </c>
      <c r="P46" s="4">
        <f>(VLOOKUP('17.04'!X46,'17.04'!$AM$4:$AP$55,4,FALSE))</f>
        <v>0</v>
      </c>
      <c r="Q46" s="4">
        <f>(VLOOKUP('17.04'!Y46,'17.04'!$AM$4:$AP$55,4,FALSE))</f>
        <v>0</v>
      </c>
      <c r="R46" s="4">
        <f>(VLOOKUP('17.04'!Z46,'17.04'!$AM$4:$AP$55,4,FALSE))</f>
        <v>0</v>
      </c>
      <c r="S46" s="4">
        <f>(VLOOKUP('17.04'!AA46,'17.04'!$AM$4:$AP$55,4,FALSE))</f>
        <v>0</v>
      </c>
      <c r="T46" s="4">
        <f>(VLOOKUP('17.04'!AB46,'17.04'!$AM$4:$AP$55,4,FALSE))</f>
        <v>0</v>
      </c>
      <c r="U46" s="4">
        <f>(VLOOKUP('17.04'!AC46,'17.04'!$AM$4:$AP$55,4,FALSE))</f>
        <v>0</v>
      </c>
      <c r="V46" s="4">
        <f>(VLOOKUP('17.04'!AD46,'17.04'!$AM$4:$AP$55,4,FALSE))</f>
        <v>0</v>
      </c>
      <c r="W46" s="4">
        <f>(VLOOKUP('17.04'!AE46,'17.04'!$AM$4:$AP$55,4,FALSE))</f>
        <v>0</v>
      </c>
      <c r="X46" s="4">
        <f>(VLOOKUP('17.04'!AF46,'17.04'!$AM$4:$AP$55,4,FALSE))</f>
        <v>0</v>
      </c>
    </row>
    <row r="47" spans="1:24">
      <c r="A47" s="4">
        <f>(VLOOKUP('17.04'!I47,'17.04'!$AM$4:$AP$55,4,FALSE))</f>
        <v>0</v>
      </c>
      <c r="B47" s="4">
        <f>(VLOOKUP('17.04'!J47,'17.04'!$AM$4:$AP$55,4,FALSE))</f>
        <v>0</v>
      </c>
      <c r="C47" s="4">
        <f>(VLOOKUP('17.04'!K47,'17.04'!$AM$4:$AP$55,4,FALSE))</f>
        <v>0</v>
      </c>
      <c r="D47" s="4">
        <f>(VLOOKUP('17.04'!L47,'17.04'!$AM$4:$AP$55,4,FALSE))</f>
        <v>0</v>
      </c>
      <c r="E47" s="4">
        <f>(VLOOKUP('17.04'!M47,'17.04'!$AM$4:$AP$55,4,FALSE))</f>
        <v>0</v>
      </c>
      <c r="F47" s="4">
        <f>(VLOOKUP('17.04'!N47,'17.04'!$AM$4:$AP$55,4,FALSE))</f>
        <v>0</v>
      </c>
      <c r="G47" s="4">
        <f>(VLOOKUP('17.04'!O47,'17.04'!$AM$4:$AP$55,4,FALSE))</f>
        <v>0</v>
      </c>
      <c r="H47" s="4">
        <f>(VLOOKUP('17.04'!P47,'17.04'!$AM$4:$AP$55,4,FALSE))</f>
        <v>0</v>
      </c>
      <c r="I47" s="4">
        <f>(VLOOKUP('17.04'!Q47,'17.04'!$AM$4:$AP$55,4,FALSE))</f>
        <v>36</v>
      </c>
      <c r="J47" s="4">
        <f>(VLOOKUP('17.04'!R47,'17.04'!$AM$4:$AP$55,4,FALSE))</f>
        <v>36</v>
      </c>
      <c r="K47" s="4">
        <f>(VLOOKUP('17.04'!S47,'17.04'!$AM$4:$AP$55,4,FALSE))</f>
        <v>36</v>
      </c>
      <c r="L47" s="4">
        <f>(VLOOKUP('17.04'!T47,'17.04'!$AM$4:$AP$55,4,FALSE))</f>
        <v>36</v>
      </c>
      <c r="M47" s="4">
        <f>(VLOOKUP('17.04'!U47,'17.04'!$AM$4:$AP$55,4,FALSE))</f>
        <v>36</v>
      </c>
      <c r="N47" s="4">
        <f>(VLOOKUP('17.04'!V47,'17.04'!$AM$4:$AP$55,4,FALSE))</f>
        <v>36</v>
      </c>
      <c r="O47" s="4">
        <f>(VLOOKUP('17.04'!W47,'17.04'!$AM$4:$AP$55,4,FALSE))</f>
        <v>0</v>
      </c>
      <c r="P47" s="4">
        <f>(VLOOKUP('17.04'!X47,'17.04'!$AM$4:$AP$55,4,FALSE))</f>
        <v>0</v>
      </c>
      <c r="Q47" s="4">
        <f>(VLOOKUP('17.04'!Y47,'17.04'!$AM$4:$AP$55,4,FALSE))</f>
        <v>0</v>
      </c>
      <c r="R47" s="4">
        <f>(VLOOKUP('17.04'!Z47,'17.04'!$AM$4:$AP$55,4,FALSE))</f>
        <v>0</v>
      </c>
      <c r="S47" s="4">
        <f>(VLOOKUP('17.04'!AA47,'17.04'!$AM$4:$AP$55,4,FALSE))</f>
        <v>0</v>
      </c>
      <c r="T47" s="4">
        <f>(VLOOKUP('17.04'!AB47,'17.04'!$AM$4:$AP$55,4,FALSE))</f>
        <v>0</v>
      </c>
      <c r="U47" s="4">
        <f>(VLOOKUP('17.04'!AC47,'17.04'!$AM$4:$AP$55,4,FALSE))</f>
        <v>0</v>
      </c>
      <c r="V47" s="4">
        <f>(VLOOKUP('17.04'!AD47,'17.04'!$AM$4:$AP$55,4,FALSE))</f>
        <v>0</v>
      </c>
      <c r="W47" s="4">
        <f>(VLOOKUP('17.04'!AE47,'17.04'!$AM$4:$AP$55,4,FALSE))</f>
        <v>0</v>
      </c>
      <c r="X47" s="4">
        <f>(VLOOKUP('17.04'!AF47,'17.04'!$AM$4:$AP$55,4,FALSE))</f>
        <v>0</v>
      </c>
    </row>
    <row r="48" spans="1:24">
      <c r="A48" s="4">
        <f>(VLOOKUP('17.04'!I48,'17.04'!$AM$4:$AP$55,4,FALSE))</f>
        <v>0</v>
      </c>
      <c r="B48" s="4">
        <f>(VLOOKUP('17.04'!J48,'17.04'!$AM$4:$AP$55,4,FALSE))</f>
        <v>0</v>
      </c>
      <c r="C48" s="4">
        <f>(VLOOKUP('17.04'!K48,'17.04'!$AM$4:$AP$55,4,FALSE))</f>
        <v>0</v>
      </c>
      <c r="D48" s="4">
        <f>(VLOOKUP('17.04'!L48,'17.04'!$AM$4:$AP$55,4,FALSE))</f>
        <v>0</v>
      </c>
      <c r="E48" s="4">
        <f>(VLOOKUP('17.04'!M48,'17.04'!$AM$4:$AP$55,4,FALSE))</f>
        <v>0</v>
      </c>
      <c r="F48" s="4">
        <f>(VLOOKUP('17.04'!N48,'17.04'!$AM$4:$AP$55,4,FALSE))</f>
        <v>0</v>
      </c>
      <c r="G48" s="4">
        <f>(VLOOKUP('17.04'!O48,'17.04'!$AM$4:$AP$55,4,FALSE))</f>
        <v>0</v>
      </c>
      <c r="H48" s="4">
        <f>(VLOOKUP('17.04'!P48,'17.04'!$AM$4:$AP$55,4,FALSE))</f>
        <v>0</v>
      </c>
      <c r="I48" s="4">
        <f>(VLOOKUP('17.04'!Q48,'17.04'!$AM$4:$AP$55,4,FALSE))</f>
        <v>36</v>
      </c>
      <c r="J48" s="4">
        <f>(VLOOKUP('17.04'!R48,'17.04'!$AM$4:$AP$55,4,FALSE))</f>
        <v>36</v>
      </c>
      <c r="K48" s="4">
        <f>(VLOOKUP('17.04'!S48,'17.04'!$AM$4:$AP$55,4,FALSE))</f>
        <v>36</v>
      </c>
      <c r="L48" s="4">
        <f>(VLOOKUP('17.04'!T48,'17.04'!$AM$4:$AP$55,4,FALSE))</f>
        <v>36</v>
      </c>
      <c r="M48" s="4">
        <f>(VLOOKUP('17.04'!U48,'17.04'!$AM$4:$AP$55,4,FALSE))</f>
        <v>36</v>
      </c>
      <c r="N48" s="4">
        <f>(VLOOKUP('17.04'!V48,'17.04'!$AM$4:$AP$55,4,FALSE))</f>
        <v>36</v>
      </c>
      <c r="O48" s="4">
        <f>(VLOOKUP('17.04'!W48,'17.04'!$AM$4:$AP$55,4,FALSE))</f>
        <v>0</v>
      </c>
      <c r="P48" s="4">
        <f>(VLOOKUP('17.04'!X48,'17.04'!$AM$4:$AP$55,4,FALSE))</f>
        <v>0</v>
      </c>
      <c r="Q48" s="4">
        <f>(VLOOKUP('17.04'!Y48,'17.04'!$AM$4:$AP$55,4,FALSE))</f>
        <v>0</v>
      </c>
      <c r="R48" s="4">
        <f>(VLOOKUP('17.04'!Z48,'17.04'!$AM$4:$AP$55,4,FALSE))</f>
        <v>0</v>
      </c>
      <c r="S48" s="4">
        <f>(VLOOKUP('17.04'!AA48,'17.04'!$AM$4:$AP$55,4,FALSE))</f>
        <v>0</v>
      </c>
      <c r="T48" s="4">
        <f>(VLOOKUP('17.04'!AB48,'17.04'!$AM$4:$AP$55,4,FALSE))</f>
        <v>0</v>
      </c>
      <c r="U48" s="4">
        <f>(VLOOKUP('17.04'!AC48,'17.04'!$AM$4:$AP$55,4,FALSE))</f>
        <v>0</v>
      </c>
      <c r="V48" s="4">
        <f>(VLOOKUP('17.04'!AD48,'17.04'!$AM$4:$AP$55,4,FALSE))</f>
        <v>0</v>
      </c>
      <c r="W48" s="4">
        <f>(VLOOKUP('17.04'!AE48,'17.04'!$AM$4:$AP$55,4,FALSE))</f>
        <v>0</v>
      </c>
      <c r="X48" s="4">
        <f>(VLOOKUP('17.04'!AF48,'17.04'!$AM$4:$AP$55,4,FALSE))</f>
        <v>0</v>
      </c>
    </row>
    <row r="49" spans="1:24">
      <c r="A49" s="4">
        <f>(VLOOKUP('17.04'!I49,'17.04'!$AM$4:$AP$55,4,FALSE))</f>
        <v>0</v>
      </c>
      <c r="B49" s="4">
        <f>(VLOOKUP('17.04'!J49,'17.04'!$AM$4:$AP$55,4,FALSE))</f>
        <v>0</v>
      </c>
      <c r="C49" s="4">
        <f>(VLOOKUP('17.04'!K49,'17.04'!$AM$4:$AP$55,4,FALSE))</f>
        <v>0</v>
      </c>
      <c r="D49" s="4">
        <f>(VLOOKUP('17.04'!L49,'17.04'!$AM$4:$AP$55,4,FALSE))</f>
        <v>0</v>
      </c>
      <c r="E49" s="4">
        <f>(VLOOKUP('17.04'!M49,'17.04'!$AM$4:$AP$55,4,FALSE))</f>
        <v>0</v>
      </c>
      <c r="F49" s="4">
        <f>(VLOOKUP('17.04'!N49,'17.04'!$AM$4:$AP$55,4,FALSE))</f>
        <v>0</v>
      </c>
      <c r="G49" s="4">
        <f>(VLOOKUP('17.04'!O49,'17.04'!$AM$4:$AP$55,4,FALSE))</f>
        <v>0</v>
      </c>
      <c r="H49" s="4">
        <f>(VLOOKUP('17.04'!P49,'17.04'!$AM$4:$AP$55,4,FALSE))</f>
        <v>0</v>
      </c>
      <c r="I49" s="4">
        <f>(VLOOKUP('17.04'!Q49,'17.04'!$AM$4:$AP$55,4,FALSE))</f>
        <v>36</v>
      </c>
      <c r="J49" s="4">
        <f>(VLOOKUP('17.04'!R49,'17.04'!$AM$4:$AP$55,4,FALSE))</f>
        <v>36</v>
      </c>
      <c r="K49" s="4">
        <f>(VLOOKUP('17.04'!S49,'17.04'!$AM$4:$AP$55,4,FALSE))</f>
        <v>36</v>
      </c>
      <c r="L49" s="4">
        <f>(VLOOKUP('17.04'!T49,'17.04'!$AM$4:$AP$55,4,FALSE))</f>
        <v>36</v>
      </c>
      <c r="M49" s="4">
        <f>(VLOOKUP('17.04'!U49,'17.04'!$AM$4:$AP$55,4,FALSE))</f>
        <v>36</v>
      </c>
      <c r="N49" s="4">
        <f>(VLOOKUP('17.04'!V49,'17.04'!$AM$4:$AP$55,4,FALSE))</f>
        <v>0</v>
      </c>
      <c r="O49" s="4">
        <f>(VLOOKUP('17.04'!W49,'17.04'!$AM$4:$AP$55,4,FALSE))</f>
        <v>0</v>
      </c>
      <c r="P49" s="4">
        <f>(VLOOKUP('17.04'!X49,'17.04'!$AM$4:$AP$55,4,FALSE))</f>
        <v>0</v>
      </c>
      <c r="Q49" s="4">
        <f>(VLOOKUP('17.04'!Y49,'17.04'!$AM$4:$AP$55,4,FALSE))</f>
        <v>0</v>
      </c>
      <c r="R49" s="4">
        <f>(VLOOKUP('17.04'!Z49,'17.04'!$AM$4:$AP$55,4,FALSE))</f>
        <v>0</v>
      </c>
      <c r="S49" s="4">
        <f>(VLOOKUP('17.04'!AA49,'17.04'!$AM$4:$AP$55,4,FALSE))</f>
        <v>0</v>
      </c>
      <c r="T49" s="4">
        <f>(VLOOKUP('17.04'!AB49,'17.04'!$AM$4:$AP$55,4,FALSE))</f>
        <v>0</v>
      </c>
      <c r="U49" s="4">
        <f>(VLOOKUP('17.04'!AC49,'17.04'!$AM$4:$AP$55,4,FALSE))</f>
        <v>0</v>
      </c>
      <c r="V49" s="4">
        <f>(VLOOKUP('17.04'!AD49,'17.04'!$AM$4:$AP$55,4,FALSE))</f>
        <v>0</v>
      </c>
      <c r="W49" s="4">
        <f>(VLOOKUP('17.04'!AE49,'17.04'!$AM$4:$AP$55,4,FALSE))</f>
        <v>0</v>
      </c>
      <c r="X49" s="4">
        <f>(VLOOKUP('17.04'!AF49,'17.04'!$AM$4:$AP$55,4,FALSE))</f>
        <v>0</v>
      </c>
    </row>
    <row r="50" spans="1:24">
      <c r="A50" s="4">
        <f>(VLOOKUP('17.04'!I50,'17.04'!$AM$4:$AP$55,4,FALSE))</f>
        <v>0</v>
      </c>
      <c r="B50" s="4">
        <f>(VLOOKUP('17.04'!J50,'17.04'!$AM$4:$AP$55,4,FALSE))</f>
        <v>0</v>
      </c>
      <c r="C50" s="4">
        <f>(VLOOKUP('17.04'!K50,'17.04'!$AM$4:$AP$55,4,FALSE))</f>
        <v>0</v>
      </c>
      <c r="D50" s="4">
        <f>(VLOOKUP('17.04'!L50,'17.04'!$AM$4:$AP$55,4,FALSE))</f>
        <v>0</v>
      </c>
      <c r="E50" s="4">
        <f>(VLOOKUP('17.04'!M50,'17.04'!$AM$4:$AP$55,4,FALSE))</f>
        <v>0</v>
      </c>
      <c r="F50" s="4">
        <f>(VLOOKUP('17.04'!N50,'17.04'!$AM$4:$AP$55,4,FALSE))</f>
        <v>0</v>
      </c>
      <c r="G50" s="4">
        <f>(VLOOKUP('17.04'!O50,'17.04'!$AM$4:$AP$55,4,FALSE))</f>
        <v>0</v>
      </c>
      <c r="H50" s="4">
        <f>(VLOOKUP('17.04'!P50,'17.04'!$AM$4:$AP$55,4,FALSE))</f>
        <v>0</v>
      </c>
      <c r="I50" s="4">
        <f>(VLOOKUP('17.04'!Q50,'17.04'!$AM$4:$AP$55,4,FALSE))</f>
        <v>0</v>
      </c>
      <c r="J50" s="4">
        <f>(VLOOKUP('17.04'!R50,'17.04'!$AM$4:$AP$55,4,FALSE))</f>
        <v>0</v>
      </c>
      <c r="K50" s="4">
        <f>(VLOOKUP('17.04'!S50,'17.04'!$AM$4:$AP$55,4,FALSE))</f>
        <v>0</v>
      </c>
      <c r="L50" s="4">
        <f>(VLOOKUP('17.04'!T50,'17.04'!$AM$4:$AP$55,4,FALSE))</f>
        <v>0</v>
      </c>
      <c r="M50" s="4">
        <f>(VLOOKUP('17.04'!U50,'17.04'!$AM$4:$AP$55,4,FALSE))</f>
        <v>0</v>
      </c>
      <c r="N50" s="4">
        <f>(VLOOKUP('17.04'!V50,'17.04'!$AM$4:$AP$55,4,FALSE))</f>
        <v>0</v>
      </c>
      <c r="O50" s="4">
        <f>(VLOOKUP('17.04'!W50,'17.04'!$AM$4:$AP$55,4,FALSE))</f>
        <v>0</v>
      </c>
      <c r="P50" s="4">
        <f>(VLOOKUP('17.04'!X50,'17.04'!$AM$4:$AP$55,4,FALSE))</f>
        <v>0</v>
      </c>
      <c r="Q50" s="4">
        <f>(VLOOKUP('17.04'!Y50,'17.04'!$AM$4:$AP$55,4,FALSE))</f>
        <v>0</v>
      </c>
      <c r="R50" s="4">
        <f>(VLOOKUP('17.04'!Z50,'17.04'!$AM$4:$AP$55,4,FALSE))</f>
        <v>0</v>
      </c>
      <c r="S50" s="4">
        <f>(VLOOKUP('17.04'!AA50,'17.04'!$AM$4:$AP$55,4,FALSE))</f>
        <v>0</v>
      </c>
      <c r="T50" s="4">
        <f>(VLOOKUP('17.04'!AB50,'17.04'!$AM$4:$AP$55,4,FALSE))</f>
        <v>0</v>
      </c>
      <c r="U50" s="4">
        <f>(VLOOKUP('17.04'!AC50,'17.04'!$AM$4:$AP$55,4,FALSE))</f>
        <v>0</v>
      </c>
      <c r="V50" s="4">
        <f>(VLOOKUP('17.04'!AD50,'17.04'!$AM$4:$AP$55,4,FALSE))</f>
        <v>0</v>
      </c>
      <c r="W50" s="4">
        <f>(VLOOKUP('17.04'!AE50,'17.04'!$AM$4:$AP$55,4,FALSE))</f>
        <v>0</v>
      </c>
      <c r="X50" s="4">
        <f>(VLOOKUP('17.04'!AF50,'17.04'!$AM$4:$AP$55,4,FALSE))</f>
        <v>0</v>
      </c>
    </row>
    <row r="51" spans="1:24">
      <c r="A51" s="4">
        <f>(VLOOKUP('17.04'!I51,'17.04'!$AM$4:$AP$55,4,FALSE))</f>
        <v>0</v>
      </c>
      <c r="B51" s="4">
        <f>(VLOOKUP('17.04'!J51,'17.04'!$AM$4:$AP$55,4,FALSE))</f>
        <v>0</v>
      </c>
      <c r="C51" s="4">
        <f>(VLOOKUP('17.04'!K51,'17.04'!$AM$4:$AP$55,4,FALSE))</f>
        <v>0</v>
      </c>
      <c r="D51" s="4">
        <f>(VLOOKUP('17.04'!L51,'17.04'!$AM$4:$AP$55,4,FALSE))</f>
        <v>0</v>
      </c>
      <c r="E51" s="4">
        <f>(VLOOKUP('17.04'!M51,'17.04'!$AM$4:$AP$55,4,FALSE))</f>
        <v>0</v>
      </c>
      <c r="F51" s="4">
        <f>(VLOOKUP('17.04'!N51,'17.04'!$AM$4:$AP$55,4,FALSE))</f>
        <v>0</v>
      </c>
      <c r="G51" s="4">
        <f>(VLOOKUP('17.04'!O51,'17.04'!$AM$4:$AP$55,4,FALSE))</f>
        <v>0</v>
      </c>
      <c r="H51" s="4">
        <f>(VLOOKUP('17.04'!P51,'17.04'!$AM$4:$AP$55,4,FALSE))</f>
        <v>0</v>
      </c>
      <c r="I51" s="4">
        <f>(VLOOKUP('17.04'!Q51,'17.04'!$AM$4:$AP$55,4,FALSE))</f>
        <v>0</v>
      </c>
      <c r="J51" s="4">
        <f>(VLOOKUP('17.04'!R51,'17.04'!$AM$4:$AP$55,4,FALSE))</f>
        <v>0</v>
      </c>
      <c r="K51" s="4">
        <f>(VLOOKUP('17.04'!S51,'17.04'!$AM$4:$AP$55,4,FALSE))</f>
        <v>0</v>
      </c>
      <c r="L51" s="4">
        <f>(VLOOKUP('17.04'!T51,'17.04'!$AM$4:$AP$55,4,FALSE))</f>
        <v>0</v>
      </c>
      <c r="M51" s="4">
        <f>(VLOOKUP('17.04'!U51,'17.04'!$AM$4:$AP$55,4,FALSE))</f>
        <v>0</v>
      </c>
      <c r="N51" s="4">
        <f>(VLOOKUP('17.04'!V51,'17.04'!$AM$4:$AP$55,4,FALSE))</f>
        <v>0</v>
      </c>
      <c r="O51" s="4">
        <f>(VLOOKUP('17.04'!W51,'17.04'!$AM$4:$AP$55,4,FALSE))</f>
        <v>0</v>
      </c>
      <c r="P51" s="4">
        <f>(VLOOKUP('17.04'!X51,'17.04'!$AM$4:$AP$55,4,FALSE))</f>
        <v>0</v>
      </c>
      <c r="Q51" s="4">
        <f>(VLOOKUP('17.04'!Y51,'17.04'!$AM$4:$AP$55,4,FALSE))</f>
        <v>0</v>
      </c>
      <c r="R51" s="4">
        <f>(VLOOKUP('17.04'!Z51,'17.04'!$AM$4:$AP$55,4,FALSE))</f>
        <v>0</v>
      </c>
      <c r="S51" s="4">
        <f>(VLOOKUP('17.04'!AA51,'17.04'!$AM$4:$AP$55,4,FALSE))</f>
        <v>0</v>
      </c>
      <c r="T51" s="4">
        <f>(VLOOKUP('17.04'!AB51,'17.04'!$AM$4:$AP$55,4,FALSE))</f>
        <v>0</v>
      </c>
      <c r="U51" s="4">
        <f>(VLOOKUP('17.04'!AC51,'17.04'!$AM$4:$AP$55,4,FALSE))</f>
        <v>0</v>
      </c>
      <c r="V51" s="4">
        <f>(VLOOKUP('17.04'!AD51,'17.04'!$AM$4:$AP$55,4,FALSE))</f>
        <v>0</v>
      </c>
      <c r="W51" s="4">
        <f>(VLOOKUP('17.04'!AE51,'17.04'!$AM$4:$AP$55,4,FALSE))</f>
        <v>0</v>
      </c>
      <c r="X51" s="4">
        <f>(VLOOKUP('17.04'!AF51,'17.04'!$AM$4:$AP$55,4,FALSE))</f>
        <v>0</v>
      </c>
    </row>
    <row r="52" spans="1:24">
      <c r="A52" s="4">
        <f>(VLOOKUP('17.04'!I52,'17.04'!$AM$4:$AP$55,4,FALSE))</f>
        <v>0</v>
      </c>
      <c r="B52" s="4">
        <f>(VLOOKUP('17.04'!J52,'17.04'!$AM$4:$AP$55,4,FALSE))</f>
        <v>0</v>
      </c>
      <c r="C52" s="4">
        <f>(VLOOKUP('17.04'!K52,'17.04'!$AM$4:$AP$55,4,FALSE))</f>
        <v>0</v>
      </c>
      <c r="D52" s="4">
        <f>(VLOOKUP('17.04'!L52,'17.04'!$AM$4:$AP$55,4,FALSE))</f>
        <v>0</v>
      </c>
      <c r="E52" s="4">
        <f>(VLOOKUP('17.04'!M52,'17.04'!$AM$4:$AP$55,4,FALSE))</f>
        <v>0</v>
      </c>
      <c r="F52" s="4">
        <f>(VLOOKUP('17.04'!N52,'17.04'!$AM$4:$AP$55,4,FALSE))</f>
        <v>0</v>
      </c>
      <c r="G52" s="4">
        <f>(VLOOKUP('17.04'!O52,'17.04'!$AM$4:$AP$55,4,FALSE))</f>
        <v>0</v>
      </c>
      <c r="H52" s="4">
        <f>(VLOOKUP('17.04'!P52,'17.04'!$AM$4:$AP$55,4,FALSE))</f>
        <v>0</v>
      </c>
      <c r="I52" s="4">
        <f>(VLOOKUP('17.04'!Q52,'17.04'!$AM$4:$AP$55,4,FALSE))</f>
        <v>0</v>
      </c>
      <c r="J52" s="4">
        <f>(VLOOKUP('17.04'!R52,'17.04'!$AM$4:$AP$55,4,FALSE))</f>
        <v>0</v>
      </c>
      <c r="K52" s="4">
        <f>(VLOOKUP('17.04'!S52,'17.04'!$AM$4:$AP$55,4,FALSE))</f>
        <v>0</v>
      </c>
      <c r="L52" s="4">
        <f>(VLOOKUP('17.04'!T52,'17.04'!$AM$4:$AP$55,4,FALSE))</f>
        <v>0</v>
      </c>
      <c r="M52" s="4">
        <f>(VLOOKUP('17.04'!U52,'17.04'!$AM$4:$AP$55,4,FALSE))</f>
        <v>0</v>
      </c>
      <c r="N52" s="4">
        <f>(VLOOKUP('17.04'!V52,'17.04'!$AM$4:$AP$55,4,FALSE))</f>
        <v>0</v>
      </c>
      <c r="O52" s="4">
        <f>(VLOOKUP('17.04'!W52,'17.04'!$AM$4:$AP$55,4,FALSE))</f>
        <v>0</v>
      </c>
      <c r="P52" s="4">
        <f>(VLOOKUP('17.04'!X52,'17.04'!$AM$4:$AP$55,4,FALSE))</f>
        <v>0</v>
      </c>
      <c r="Q52" s="4">
        <f>(VLOOKUP('17.04'!Y52,'17.04'!$AM$4:$AP$55,4,FALSE))</f>
        <v>0</v>
      </c>
      <c r="R52" s="4">
        <f>(VLOOKUP('17.04'!Z52,'17.04'!$AM$4:$AP$55,4,FALSE))</f>
        <v>0</v>
      </c>
      <c r="S52" s="4">
        <f>(VLOOKUP('17.04'!AA52,'17.04'!$AM$4:$AP$55,4,FALSE))</f>
        <v>0</v>
      </c>
      <c r="T52" s="4">
        <f>(VLOOKUP('17.04'!AB52,'17.04'!$AM$4:$AP$55,4,FALSE))</f>
        <v>0</v>
      </c>
      <c r="U52" s="4">
        <f>(VLOOKUP('17.04'!AC52,'17.04'!$AM$4:$AP$55,4,FALSE))</f>
        <v>0</v>
      </c>
      <c r="V52" s="4">
        <f>(VLOOKUP('17.04'!AD52,'17.04'!$AM$4:$AP$55,4,FALSE))</f>
        <v>0</v>
      </c>
      <c r="W52" s="4">
        <f>(VLOOKUP('17.04'!AE52,'17.04'!$AM$4:$AP$55,4,FALSE))</f>
        <v>0</v>
      </c>
      <c r="X52" s="4">
        <f>(VLOOKUP('17.04'!AF52,'17.04'!$AM$4:$AP$55,4,FALSE))</f>
        <v>0</v>
      </c>
    </row>
    <row r="53" spans="1:24">
      <c r="A53" s="4">
        <f>(VLOOKUP('17.04'!I53,'17.04'!$AM$4:$AP$55,4,FALSE))</f>
        <v>0</v>
      </c>
      <c r="B53" s="4">
        <f>(VLOOKUP('17.04'!J53,'17.04'!$AM$4:$AP$55,4,FALSE))</f>
        <v>0</v>
      </c>
      <c r="C53" s="4">
        <f>(VLOOKUP('17.04'!K53,'17.04'!$AM$4:$AP$55,4,FALSE))</f>
        <v>0</v>
      </c>
      <c r="D53" s="4">
        <f>(VLOOKUP('17.04'!L53,'17.04'!$AM$4:$AP$55,4,FALSE))</f>
        <v>0</v>
      </c>
      <c r="E53" s="4">
        <f>(VLOOKUP('17.04'!M53,'17.04'!$AM$4:$AP$55,4,FALSE))</f>
        <v>0</v>
      </c>
      <c r="F53" s="4">
        <f>(VLOOKUP('17.04'!N53,'17.04'!$AM$4:$AP$55,4,FALSE))</f>
        <v>0</v>
      </c>
      <c r="G53" s="4">
        <f>(VLOOKUP('17.04'!O53,'17.04'!$AM$4:$AP$55,4,FALSE))</f>
        <v>0</v>
      </c>
      <c r="H53" s="4">
        <f>(VLOOKUP('17.04'!P53,'17.04'!$AM$4:$AP$55,4,FALSE))</f>
        <v>0</v>
      </c>
      <c r="I53" s="4">
        <f>(VLOOKUP('17.04'!Q53,'17.04'!$AM$4:$AP$55,4,FALSE))</f>
        <v>0</v>
      </c>
      <c r="J53" s="4">
        <f>(VLOOKUP('17.04'!R53,'17.04'!$AM$4:$AP$55,4,FALSE))</f>
        <v>0</v>
      </c>
      <c r="K53" s="4">
        <f>(VLOOKUP('17.04'!S53,'17.04'!$AM$4:$AP$55,4,FALSE))</f>
        <v>0</v>
      </c>
      <c r="L53" s="4">
        <f>(VLOOKUP('17.04'!T53,'17.04'!$AM$4:$AP$55,4,FALSE))</f>
        <v>0</v>
      </c>
      <c r="M53" s="4">
        <f>(VLOOKUP('17.04'!U53,'17.04'!$AM$4:$AP$55,4,FALSE))</f>
        <v>0</v>
      </c>
      <c r="N53" s="4">
        <f>(VLOOKUP('17.04'!V53,'17.04'!$AM$4:$AP$55,4,FALSE))</f>
        <v>0</v>
      </c>
      <c r="O53" s="4">
        <f>(VLOOKUP('17.04'!W53,'17.04'!$AM$4:$AP$55,4,FALSE))</f>
        <v>0</v>
      </c>
      <c r="P53" s="4">
        <f>(VLOOKUP('17.04'!X53,'17.04'!$AM$4:$AP$55,4,FALSE))</f>
        <v>0</v>
      </c>
      <c r="Q53" s="4">
        <f>(VLOOKUP('17.04'!Y53,'17.04'!$AM$4:$AP$55,4,FALSE))</f>
        <v>0</v>
      </c>
      <c r="R53" s="4">
        <f>(VLOOKUP('17.04'!Z53,'17.04'!$AM$4:$AP$55,4,FALSE))</f>
        <v>0</v>
      </c>
      <c r="S53" s="4">
        <f>(VLOOKUP('17.04'!AA53,'17.04'!$AM$4:$AP$55,4,FALSE))</f>
        <v>0</v>
      </c>
      <c r="T53" s="4">
        <f>(VLOOKUP('17.04'!AB53,'17.04'!$AM$4:$AP$55,4,FALSE))</f>
        <v>0</v>
      </c>
      <c r="U53" s="4">
        <f>(VLOOKUP('17.04'!AC53,'17.04'!$AM$4:$AP$55,4,FALSE))</f>
        <v>0</v>
      </c>
      <c r="V53" s="4">
        <f>(VLOOKUP('17.04'!AD53,'17.04'!$AM$4:$AP$55,4,FALSE))</f>
        <v>0</v>
      </c>
      <c r="W53" s="4">
        <f>(VLOOKUP('17.04'!AE53,'17.04'!$AM$4:$AP$55,4,FALSE))</f>
        <v>0</v>
      </c>
      <c r="X53" s="4">
        <f>(VLOOKUP('17.04'!AF53,'17.04'!$AM$4:$AP$55,4,FALSE))</f>
        <v>0</v>
      </c>
    </row>
    <row r="54" spans="1:24">
      <c r="A54" s="4">
        <f>(VLOOKUP('17.04'!I54,'17.04'!$AM$4:$AP$55,4,FALSE))</f>
        <v>0</v>
      </c>
      <c r="B54" s="4">
        <f>(VLOOKUP('17.04'!J54,'17.04'!$AM$4:$AP$55,4,FALSE))</f>
        <v>0</v>
      </c>
      <c r="C54" s="4">
        <f>(VLOOKUP('17.04'!K54,'17.04'!$AM$4:$AP$55,4,FALSE))</f>
        <v>0</v>
      </c>
      <c r="D54" s="4">
        <f>(VLOOKUP('17.04'!L54,'17.04'!$AM$4:$AP$55,4,FALSE))</f>
        <v>0</v>
      </c>
      <c r="E54" s="4">
        <f>(VLOOKUP('17.04'!M54,'17.04'!$AM$4:$AP$55,4,FALSE))</f>
        <v>0</v>
      </c>
      <c r="F54" s="4">
        <f>(VLOOKUP('17.04'!N54,'17.04'!$AM$4:$AP$55,4,FALSE))</f>
        <v>0</v>
      </c>
      <c r="G54" s="4">
        <f>(VLOOKUP('17.04'!O54,'17.04'!$AM$4:$AP$55,4,FALSE))</f>
        <v>0</v>
      </c>
      <c r="H54" s="4">
        <f>(VLOOKUP('17.04'!P54,'17.04'!$AM$4:$AP$55,4,FALSE))</f>
        <v>0</v>
      </c>
      <c r="I54" s="4">
        <f>(VLOOKUP('17.04'!Q54,'17.04'!$AM$4:$AP$55,4,FALSE))</f>
        <v>0</v>
      </c>
      <c r="J54" s="4">
        <f>(VLOOKUP('17.04'!R54,'17.04'!$AM$4:$AP$55,4,FALSE))</f>
        <v>0</v>
      </c>
      <c r="K54" s="4">
        <f>(VLOOKUP('17.04'!S54,'17.04'!$AM$4:$AP$55,4,FALSE))</f>
        <v>0</v>
      </c>
      <c r="L54" s="4">
        <f>(VLOOKUP('17.04'!T54,'17.04'!$AM$4:$AP$55,4,FALSE))</f>
        <v>0</v>
      </c>
      <c r="M54" s="4">
        <f>(VLOOKUP('17.04'!U54,'17.04'!$AM$4:$AP$55,4,FALSE))</f>
        <v>0</v>
      </c>
      <c r="N54" s="4">
        <f>(VLOOKUP('17.04'!V54,'17.04'!$AM$4:$AP$55,4,FALSE))</f>
        <v>0</v>
      </c>
      <c r="O54" s="4">
        <f>(VLOOKUP('17.04'!W54,'17.04'!$AM$4:$AP$55,4,FALSE))</f>
        <v>0</v>
      </c>
      <c r="P54" s="4">
        <f>(VLOOKUP('17.04'!X54,'17.04'!$AM$4:$AP$55,4,FALSE))</f>
        <v>0</v>
      </c>
      <c r="Q54" s="4">
        <f>(VLOOKUP('17.04'!Y54,'17.04'!$AM$4:$AP$55,4,FALSE))</f>
        <v>0</v>
      </c>
      <c r="R54" s="4">
        <f>(VLOOKUP('17.04'!Z54,'17.04'!$AM$4:$AP$55,4,FALSE))</f>
        <v>0</v>
      </c>
      <c r="S54" s="4">
        <f>(VLOOKUP('17.04'!AA54,'17.04'!$AM$4:$AP$55,4,FALSE))</f>
        <v>0</v>
      </c>
      <c r="T54" s="4">
        <f>(VLOOKUP('17.04'!AB54,'17.04'!$AM$4:$AP$55,4,FALSE))</f>
        <v>0</v>
      </c>
      <c r="U54" s="4">
        <f>(VLOOKUP('17.04'!AC54,'17.04'!$AM$4:$AP$55,4,FALSE))</f>
        <v>0</v>
      </c>
      <c r="V54" s="4">
        <f>(VLOOKUP('17.04'!AD54,'17.04'!$AM$4:$AP$55,4,FALSE))</f>
        <v>0</v>
      </c>
      <c r="W54" s="4">
        <f>(VLOOKUP('17.04'!AE54,'17.04'!$AM$4:$AP$55,4,FALSE))</f>
        <v>0</v>
      </c>
      <c r="X54" s="4">
        <f>(VLOOKUP('17.04'!AF54,'17.04'!$AM$4:$AP$55,4,FALSE))</f>
        <v>0</v>
      </c>
    </row>
    <row r="55" spans="1:24">
      <c r="A55" s="4">
        <f>(VLOOKUP('17.04'!I55,'17.04'!$AM$4:$AP$55,4,FALSE))</f>
        <v>0</v>
      </c>
      <c r="B55" s="4">
        <f>(VLOOKUP('17.04'!J55,'17.04'!$AM$4:$AP$55,4,FALSE))</f>
        <v>0</v>
      </c>
      <c r="C55" s="4">
        <f>(VLOOKUP('17.04'!K55,'17.04'!$AM$4:$AP$55,4,FALSE))</f>
        <v>0</v>
      </c>
      <c r="D55" s="4">
        <f>(VLOOKUP('17.04'!L55,'17.04'!$AM$4:$AP$55,4,FALSE))</f>
        <v>0</v>
      </c>
      <c r="E55" s="4">
        <f>(VLOOKUP('17.04'!M55,'17.04'!$AM$4:$AP$55,4,FALSE))</f>
        <v>0</v>
      </c>
      <c r="F55" s="4">
        <f>(VLOOKUP('17.04'!N55,'17.04'!$AM$4:$AP$55,4,FALSE))</f>
        <v>0</v>
      </c>
      <c r="G55" s="4">
        <f>(VLOOKUP('17.04'!O55,'17.04'!$AM$4:$AP$55,4,FALSE))</f>
        <v>0</v>
      </c>
      <c r="H55" s="4">
        <f>(VLOOKUP('17.04'!P55,'17.04'!$AM$4:$AP$55,4,FALSE))</f>
        <v>0</v>
      </c>
      <c r="I55" s="4">
        <f>(VLOOKUP('17.04'!Q55,'17.04'!$AM$4:$AP$55,4,FALSE))</f>
        <v>0</v>
      </c>
      <c r="J55" s="4">
        <f>(VLOOKUP('17.04'!R55,'17.04'!$AM$4:$AP$55,4,FALSE))</f>
        <v>0</v>
      </c>
      <c r="K55" s="4">
        <f>(VLOOKUP('17.04'!S55,'17.04'!$AM$4:$AP$55,4,FALSE))</f>
        <v>0</v>
      </c>
      <c r="L55" s="4">
        <f>(VLOOKUP('17.04'!T55,'17.04'!$AM$4:$AP$55,4,FALSE))</f>
        <v>0</v>
      </c>
      <c r="M55" s="4">
        <f>(VLOOKUP('17.04'!U55,'17.04'!$AM$4:$AP$55,4,FALSE))</f>
        <v>0</v>
      </c>
      <c r="N55" s="4">
        <f>(VLOOKUP('17.04'!V55,'17.04'!$AM$4:$AP$55,4,FALSE))</f>
        <v>0</v>
      </c>
      <c r="O55" s="4">
        <f>(VLOOKUP('17.04'!W55,'17.04'!$AM$4:$AP$55,4,FALSE))</f>
        <v>0</v>
      </c>
      <c r="P55" s="4">
        <f>(VLOOKUP('17.04'!X55,'17.04'!$AM$4:$AP$55,4,FALSE))</f>
        <v>0</v>
      </c>
      <c r="Q55" s="4">
        <f>(VLOOKUP('17.04'!Y55,'17.04'!$AM$4:$AP$55,4,FALSE))</f>
        <v>0</v>
      </c>
      <c r="R55" s="4">
        <f>(VLOOKUP('17.04'!Z55,'17.04'!$AM$4:$AP$55,4,FALSE))</f>
        <v>0</v>
      </c>
      <c r="S55" s="4">
        <f>(VLOOKUP('17.04'!AA55,'17.04'!$AM$4:$AP$55,4,FALSE))</f>
        <v>0</v>
      </c>
      <c r="T55" s="4">
        <f>(VLOOKUP('17.04'!AB55,'17.04'!$AM$4:$AP$55,4,FALSE))</f>
        <v>0</v>
      </c>
      <c r="U55" s="4">
        <f>(VLOOKUP('17.04'!AC55,'17.04'!$AM$4:$AP$55,4,FALSE))</f>
        <v>0</v>
      </c>
      <c r="V55" s="4">
        <f>(VLOOKUP('17.04'!AD55,'17.04'!$AM$4:$AP$55,4,FALSE))</f>
        <v>0</v>
      </c>
      <c r="W55" s="4">
        <f>(VLOOKUP('17.04'!AE55,'17.04'!$AM$4:$AP$55,4,FALSE))</f>
        <v>0</v>
      </c>
      <c r="X55" s="4">
        <f>(VLOOKUP('17.04'!AF55,'17.04'!$AM$4:$AP$55,4,FALSE))</f>
        <v>0</v>
      </c>
    </row>
    <row r="56" spans="1:24">
      <c r="A56" s="4">
        <f>(VLOOKUP('17.04'!I56,'17.04'!$AM$4:$AP$55,4,FALSE))</f>
        <v>0</v>
      </c>
      <c r="B56" s="4">
        <f>(VLOOKUP('17.04'!J56,'17.04'!$AM$4:$AP$55,4,FALSE))</f>
        <v>0</v>
      </c>
      <c r="C56" s="4">
        <f>(VLOOKUP('17.04'!K56,'17.04'!$AM$4:$AP$55,4,FALSE))</f>
        <v>0</v>
      </c>
      <c r="D56" s="4">
        <f>(VLOOKUP('17.04'!L56,'17.04'!$AM$4:$AP$55,4,FALSE))</f>
        <v>0</v>
      </c>
      <c r="E56" s="4">
        <f>(VLOOKUP('17.04'!M56,'17.04'!$AM$4:$AP$55,4,FALSE))</f>
        <v>0</v>
      </c>
      <c r="F56" s="4">
        <f>(VLOOKUP('17.04'!N56,'17.04'!$AM$4:$AP$55,4,FALSE))</f>
        <v>0</v>
      </c>
      <c r="G56" s="4">
        <f>(VLOOKUP('17.04'!O56,'17.04'!$AM$4:$AP$55,4,FALSE))</f>
        <v>0</v>
      </c>
      <c r="H56" s="4">
        <f>(VLOOKUP('17.04'!P56,'17.04'!$AM$4:$AP$55,4,FALSE))</f>
        <v>0</v>
      </c>
      <c r="I56" s="4">
        <f>(VLOOKUP('17.04'!Q56,'17.04'!$AM$4:$AP$55,4,FALSE))</f>
        <v>0</v>
      </c>
      <c r="J56" s="4">
        <f>(VLOOKUP('17.04'!R56,'17.04'!$AM$4:$AP$55,4,FALSE))</f>
        <v>0</v>
      </c>
      <c r="K56" s="4">
        <f>(VLOOKUP('17.04'!S56,'17.04'!$AM$4:$AP$55,4,FALSE))</f>
        <v>0</v>
      </c>
      <c r="L56" s="4">
        <f>(VLOOKUP('17.04'!T56,'17.04'!$AM$4:$AP$55,4,FALSE))</f>
        <v>0</v>
      </c>
      <c r="M56" s="4">
        <f>(VLOOKUP('17.04'!U56,'17.04'!$AM$4:$AP$55,4,FALSE))</f>
        <v>0</v>
      </c>
      <c r="N56" s="4">
        <f>(VLOOKUP('17.04'!V56,'17.04'!$AM$4:$AP$55,4,FALSE))</f>
        <v>0</v>
      </c>
      <c r="O56" s="4">
        <f>(VLOOKUP('17.04'!W56,'17.04'!$AM$4:$AP$55,4,FALSE))</f>
        <v>0</v>
      </c>
      <c r="P56" s="4">
        <f>(VLOOKUP('17.04'!X56,'17.04'!$AM$4:$AP$55,4,FALSE))</f>
        <v>0</v>
      </c>
      <c r="Q56" s="4">
        <f>(VLOOKUP('17.04'!Y56,'17.04'!$AM$4:$AP$55,4,FALSE))</f>
        <v>0</v>
      </c>
      <c r="R56" s="4">
        <f>(VLOOKUP('17.04'!Z56,'17.04'!$AM$4:$AP$55,4,FALSE))</f>
        <v>0</v>
      </c>
      <c r="S56" s="4">
        <f>(VLOOKUP('17.04'!AA56,'17.04'!$AM$4:$AP$55,4,FALSE))</f>
        <v>0</v>
      </c>
      <c r="T56" s="4">
        <f>(VLOOKUP('17.04'!AB56,'17.04'!$AM$4:$AP$55,4,FALSE))</f>
        <v>0</v>
      </c>
      <c r="U56" s="4">
        <f>(VLOOKUP('17.04'!AC56,'17.04'!$AM$4:$AP$55,4,FALSE))</f>
        <v>0</v>
      </c>
      <c r="V56" s="4">
        <f>(VLOOKUP('17.04'!AD56,'17.04'!$AM$4:$AP$55,4,FALSE))</f>
        <v>0</v>
      </c>
      <c r="W56" s="4">
        <f>(VLOOKUP('17.04'!AE56,'17.04'!$AM$4:$AP$55,4,FALSE))</f>
        <v>0</v>
      </c>
      <c r="X56" s="4">
        <f>(VLOOKUP('17.04'!AF56,'17.04'!$AM$4:$AP$55,4,FALSE))</f>
        <v>0</v>
      </c>
    </row>
    <row r="57" spans="1:24">
      <c r="A57" s="4">
        <f>(VLOOKUP('17.04'!I57,'17.04'!$AM$4:$AP$55,4,FALSE))</f>
        <v>0</v>
      </c>
      <c r="B57" s="4">
        <f>(VLOOKUP('17.04'!J57,'17.04'!$AM$4:$AP$55,4,FALSE))</f>
        <v>0</v>
      </c>
      <c r="C57" s="4">
        <f>(VLOOKUP('17.04'!K57,'17.04'!$AM$4:$AP$55,4,FALSE))</f>
        <v>0</v>
      </c>
      <c r="D57" s="4">
        <f>(VLOOKUP('17.04'!L57,'17.04'!$AM$4:$AP$55,4,FALSE))</f>
        <v>0</v>
      </c>
      <c r="E57" s="4">
        <f>(VLOOKUP('17.04'!M57,'17.04'!$AM$4:$AP$55,4,FALSE))</f>
        <v>0</v>
      </c>
      <c r="F57" s="4">
        <f>(VLOOKUP('17.04'!N57,'17.04'!$AM$4:$AP$55,4,FALSE))</f>
        <v>0</v>
      </c>
      <c r="G57" s="4">
        <f>(VLOOKUP('17.04'!O57,'17.04'!$AM$4:$AP$55,4,FALSE))</f>
        <v>0</v>
      </c>
      <c r="H57" s="4">
        <f>(VLOOKUP('17.04'!P57,'17.04'!$AM$4:$AP$55,4,FALSE))</f>
        <v>0</v>
      </c>
      <c r="I57" s="4">
        <f>(VLOOKUP('17.04'!Q57,'17.04'!$AM$4:$AP$55,4,FALSE))</f>
        <v>0</v>
      </c>
      <c r="J57" s="4">
        <f>(VLOOKUP('17.04'!R57,'17.04'!$AM$4:$AP$55,4,FALSE))</f>
        <v>0</v>
      </c>
      <c r="K57" s="4">
        <f>(VLOOKUP('17.04'!S57,'17.04'!$AM$4:$AP$55,4,FALSE))</f>
        <v>0</v>
      </c>
      <c r="L57" s="4">
        <f>(VLOOKUP('17.04'!T57,'17.04'!$AM$4:$AP$55,4,FALSE))</f>
        <v>0</v>
      </c>
      <c r="M57" s="4">
        <f>(VLOOKUP('17.04'!U57,'17.04'!$AM$4:$AP$55,4,FALSE))</f>
        <v>0</v>
      </c>
      <c r="N57" s="4">
        <f>(VLOOKUP('17.04'!V57,'17.04'!$AM$4:$AP$55,4,FALSE))</f>
        <v>0</v>
      </c>
      <c r="O57" s="4">
        <f>(VLOOKUP('17.04'!W57,'17.04'!$AM$4:$AP$55,4,FALSE))</f>
        <v>0</v>
      </c>
      <c r="P57" s="4">
        <f>(VLOOKUP('17.04'!X57,'17.04'!$AM$4:$AP$55,4,FALSE))</f>
        <v>0</v>
      </c>
      <c r="Q57" s="4">
        <f>(VLOOKUP('17.04'!Y57,'17.04'!$AM$4:$AP$55,4,FALSE))</f>
        <v>0</v>
      </c>
      <c r="R57" s="4">
        <f>(VLOOKUP('17.04'!Z57,'17.04'!$AM$4:$AP$55,4,FALSE))</f>
        <v>0</v>
      </c>
      <c r="S57" s="4">
        <f>(VLOOKUP('17.04'!AA57,'17.04'!$AM$4:$AP$55,4,FALSE))</f>
        <v>0</v>
      </c>
      <c r="T57" s="4">
        <f>(VLOOKUP('17.04'!AB57,'17.04'!$AM$4:$AP$55,4,FALSE))</f>
        <v>0</v>
      </c>
      <c r="U57" s="4">
        <f>(VLOOKUP('17.04'!AC57,'17.04'!$AM$4:$AP$55,4,FALSE))</f>
        <v>0</v>
      </c>
      <c r="V57" s="4">
        <f>(VLOOKUP('17.04'!AD57,'17.04'!$AM$4:$AP$55,4,FALSE))</f>
        <v>0</v>
      </c>
      <c r="W57" s="4">
        <f>(VLOOKUP('17.04'!AE57,'17.04'!$AM$4:$AP$55,4,FALSE))</f>
        <v>0</v>
      </c>
      <c r="X57" s="4">
        <f>(VLOOKUP('17.04'!AF57,'17.04'!$AM$4:$AP$55,4,FALSE))</f>
        <v>0</v>
      </c>
    </row>
    <row r="58" spans="1:24">
      <c r="A58" s="4">
        <f>(VLOOKUP('17.04'!I58,'17.04'!$AM$4:$AP$55,4,FALSE))</f>
        <v>0</v>
      </c>
      <c r="B58" s="4">
        <f>(VLOOKUP('17.04'!J58,'17.04'!$AM$4:$AP$55,4,FALSE))</f>
        <v>0</v>
      </c>
      <c r="C58" s="4">
        <f>(VLOOKUP('17.04'!K58,'17.04'!$AM$4:$AP$55,4,FALSE))</f>
        <v>0</v>
      </c>
      <c r="D58" s="4">
        <f>(VLOOKUP('17.04'!L58,'17.04'!$AM$4:$AP$55,4,FALSE))</f>
        <v>0</v>
      </c>
      <c r="E58" s="4">
        <f>(VLOOKUP('17.04'!M58,'17.04'!$AM$4:$AP$55,4,FALSE))</f>
        <v>0</v>
      </c>
      <c r="F58" s="4">
        <f>(VLOOKUP('17.04'!N58,'17.04'!$AM$4:$AP$55,4,FALSE))</f>
        <v>0</v>
      </c>
      <c r="G58" s="4">
        <f>(VLOOKUP('17.04'!O58,'17.04'!$AM$4:$AP$55,4,FALSE))</f>
        <v>0</v>
      </c>
      <c r="H58" s="4">
        <f>(VLOOKUP('17.04'!P58,'17.04'!$AM$4:$AP$55,4,FALSE))</f>
        <v>0</v>
      </c>
      <c r="I58" s="4">
        <f>(VLOOKUP('17.04'!Q58,'17.04'!$AM$4:$AP$55,4,FALSE))</f>
        <v>0</v>
      </c>
      <c r="J58" s="4">
        <f>(VLOOKUP('17.04'!R58,'17.04'!$AM$4:$AP$55,4,FALSE))</f>
        <v>0</v>
      </c>
      <c r="K58" s="4">
        <f>(VLOOKUP('17.04'!S58,'17.04'!$AM$4:$AP$55,4,FALSE))</f>
        <v>0</v>
      </c>
      <c r="L58" s="4">
        <f>(VLOOKUP('17.04'!T58,'17.04'!$AM$4:$AP$55,4,FALSE))</f>
        <v>0</v>
      </c>
      <c r="M58" s="4">
        <f>(VLOOKUP('17.04'!U58,'17.04'!$AM$4:$AP$55,4,FALSE))</f>
        <v>0</v>
      </c>
      <c r="N58" s="4">
        <f>(VLOOKUP('17.04'!V58,'17.04'!$AM$4:$AP$55,4,FALSE))</f>
        <v>0</v>
      </c>
      <c r="O58" s="4">
        <f>(VLOOKUP('17.04'!W58,'17.04'!$AM$4:$AP$55,4,FALSE))</f>
        <v>0</v>
      </c>
      <c r="P58" s="4">
        <f>(VLOOKUP('17.04'!X58,'17.04'!$AM$4:$AP$55,4,FALSE))</f>
        <v>0</v>
      </c>
      <c r="Q58" s="4">
        <f>(VLOOKUP('17.04'!Y58,'17.04'!$AM$4:$AP$55,4,FALSE))</f>
        <v>0</v>
      </c>
      <c r="R58" s="4">
        <f>(VLOOKUP('17.04'!Z58,'17.04'!$AM$4:$AP$55,4,FALSE))</f>
        <v>0</v>
      </c>
      <c r="S58" s="4">
        <f>(VLOOKUP('17.04'!AA58,'17.04'!$AM$4:$AP$55,4,FALSE))</f>
        <v>0</v>
      </c>
      <c r="T58" s="4">
        <f>(VLOOKUP('17.04'!AB58,'17.04'!$AM$4:$AP$55,4,FALSE))</f>
        <v>0</v>
      </c>
      <c r="U58" s="4">
        <f>(VLOOKUP('17.04'!AC58,'17.04'!$AM$4:$AP$55,4,FALSE))</f>
        <v>0</v>
      </c>
      <c r="V58" s="4">
        <f>(VLOOKUP('17.04'!AD58,'17.04'!$AM$4:$AP$55,4,FALSE))</f>
        <v>0</v>
      </c>
      <c r="W58" s="4">
        <f>(VLOOKUP('17.04'!AE58,'17.04'!$AM$4:$AP$55,4,FALSE))</f>
        <v>0</v>
      </c>
      <c r="X58" s="4">
        <f>(VLOOKUP('17.04'!AF58,'17.04'!$AM$4:$AP$55,4,FALSE))</f>
        <v>0</v>
      </c>
    </row>
    <row r="59" spans="1:24">
      <c r="A59" s="4">
        <f>(VLOOKUP('17.04'!I59,'17.04'!$AM$4:$AP$55,4,FALSE))</f>
        <v>0</v>
      </c>
      <c r="B59" s="4">
        <f>(VLOOKUP('17.04'!J59,'17.04'!$AM$4:$AP$55,4,FALSE))</f>
        <v>0</v>
      </c>
      <c r="C59" s="4">
        <f>(VLOOKUP('17.04'!K59,'17.04'!$AM$4:$AP$55,4,FALSE))</f>
        <v>0</v>
      </c>
      <c r="D59" s="4">
        <f>(VLOOKUP('17.04'!L59,'17.04'!$AM$4:$AP$55,4,FALSE))</f>
        <v>0</v>
      </c>
      <c r="E59" s="4">
        <f>(VLOOKUP('17.04'!M59,'17.04'!$AM$4:$AP$55,4,FALSE))</f>
        <v>0</v>
      </c>
      <c r="F59" s="4">
        <f>(VLOOKUP('17.04'!N59,'17.04'!$AM$4:$AP$55,4,FALSE))</f>
        <v>0</v>
      </c>
      <c r="G59" s="4">
        <f>(VLOOKUP('17.04'!O59,'17.04'!$AM$4:$AP$55,4,FALSE))</f>
        <v>0</v>
      </c>
      <c r="H59" s="4">
        <f>(VLOOKUP('17.04'!P59,'17.04'!$AM$4:$AP$55,4,FALSE))</f>
        <v>0</v>
      </c>
      <c r="I59" s="4">
        <f>(VLOOKUP('17.04'!Q59,'17.04'!$AM$4:$AP$55,4,FALSE))</f>
        <v>0</v>
      </c>
      <c r="J59" s="4">
        <f>(VLOOKUP('17.04'!R59,'17.04'!$AM$4:$AP$55,4,FALSE))</f>
        <v>0</v>
      </c>
      <c r="K59" s="4">
        <f>(VLOOKUP('17.04'!S59,'17.04'!$AM$4:$AP$55,4,FALSE))</f>
        <v>0</v>
      </c>
      <c r="L59" s="4">
        <f>(VLOOKUP('17.04'!T59,'17.04'!$AM$4:$AP$55,4,FALSE))</f>
        <v>0</v>
      </c>
      <c r="M59" s="4">
        <f>(VLOOKUP('17.04'!U59,'17.04'!$AM$4:$AP$55,4,FALSE))</f>
        <v>0</v>
      </c>
      <c r="N59" s="4">
        <f>(VLOOKUP('17.04'!V59,'17.04'!$AM$4:$AP$55,4,FALSE))</f>
        <v>0</v>
      </c>
      <c r="O59" s="4">
        <f>(VLOOKUP('17.04'!W59,'17.04'!$AM$4:$AP$55,4,FALSE))</f>
        <v>0</v>
      </c>
      <c r="P59" s="4">
        <f>(VLOOKUP('17.04'!X59,'17.04'!$AM$4:$AP$55,4,FALSE))</f>
        <v>0</v>
      </c>
      <c r="Q59" s="4">
        <f>(VLOOKUP('17.04'!Y59,'17.04'!$AM$4:$AP$55,4,FALSE))</f>
        <v>0</v>
      </c>
      <c r="R59" s="4">
        <f>(VLOOKUP('17.04'!Z59,'17.04'!$AM$4:$AP$55,4,FALSE))</f>
        <v>0</v>
      </c>
      <c r="S59" s="4">
        <f>(VLOOKUP('17.04'!AA59,'17.04'!$AM$4:$AP$55,4,FALSE))</f>
        <v>0</v>
      </c>
      <c r="T59" s="4">
        <f>(VLOOKUP('17.04'!AB59,'17.04'!$AM$4:$AP$55,4,FALSE))</f>
        <v>0</v>
      </c>
      <c r="U59" s="4">
        <f>(VLOOKUP('17.04'!AC59,'17.04'!$AM$4:$AP$55,4,FALSE))</f>
        <v>0</v>
      </c>
      <c r="V59" s="4">
        <f>(VLOOKUP('17.04'!AD59,'17.04'!$AM$4:$AP$55,4,FALSE))</f>
        <v>0</v>
      </c>
      <c r="W59" s="4">
        <f>(VLOOKUP('17.04'!AE59,'17.04'!$AM$4:$AP$55,4,FALSE))</f>
        <v>0</v>
      </c>
      <c r="X59" s="4">
        <f>(VLOOKUP('17.04'!AF59,'17.04'!$AM$4:$AP$55,4,FALSE))</f>
        <v>0</v>
      </c>
    </row>
    <row r="60" spans="1:24">
      <c r="A60" s="4">
        <f>(VLOOKUP('17.04'!I60,'17.04'!$AM$4:$AP$55,4,FALSE))</f>
        <v>0</v>
      </c>
      <c r="B60" s="4">
        <f>(VLOOKUP('17.04'!J60,'17.04'!$AM$4:$AP$55,4,FALSE))</f>
        <v>0</v>
      </c>
      <c r="C60" s="4">
        <f>(VLOOKUP('17.04'!K60,'17.04'!$AM$4:$AP$55,4,FALSE))</f>
        <v>0</v>
      </c>
      <c r="D60" s="4">
        <f>(VLOOKUP('17.04'!L60,'17.04'!$AM$4:$AP$55,4,FALSE))</f>
        <v>0</v>
      </c>
      <c r="E60" s="4">
        <f>(VLOOKUP('17.04'!M60,'17.04'!$AM$4:$AP$55,4,FALSE))</f>
        <v>0</v>
      </c>
      <c r="F60" s="4">
        <f>(VLOOKUP('17.04'!N60,'17.04'!$AM$4:$AP$55,4,FALSE))</f>
        <v>0</v>
      </c>
      <c r="G60" s="4">
        <f>(VLOOKUP('17.04'!O60,'17.04'!$AM$4:$AP$55,4,FALSE))</f>
        <v>0</v>
      </c>
      <c r="H60" s="4">
        <f>(VLOOKUP('17.04'!P60,'17.04'!$AM$4:$AP$55,4,FALSE))</f>
        <v>0</v>
      </c>
      <c r="I60" s="4">
        <f>(VLOOKUP('17.04'!Q60,'17.04'!$AM$4:$AP$55,4,FALSE))</f>
        <v>0</v>
      </c>
      <c r="J60" s="4">
        <f>(VLOOKUP('17.04'!R60,'17.04'!$AM$4:$AP$55,4,FALSE))</f>
        <v>0</v>
      </c>
      <c r="K60" s="4">
        <f>(VLOOKUP('17.04'!S60,'17.04'!$AM$4:$AP$55,4,FALSE))</f>
        <v>0</v>
      </c>
      <c r="L60" s="4">
        <f>(VLOOKUP('17.04'!T60,'17.04'!$AM$4:$AP$55,4,FALSE))</f>
        <v>0</v>
      </c>
      <c r="M60" s="4">
        <f>(VLOOKUP('17.04'!U60,'17.04'!$AM$4:$AP$55,4,FALSE))</f>
        <v>0</v>
      </c>
      <c r="N60" s="4">
        <f>(VLOOKUP('17.04'!V60,'17.04'!$AM$4:$AP$55,4,FALSE))</f>
        <v>0</v>
      </c>
      <c r="O60" s="4">
        <f>(VLOOKUP('17.04'!W60,'17.04'!$AM$4:$AP$55,4,FALSE))</f>
        <v>0</v>
      </c>
      <c r="P60" s="4">
        <f>(VLOOKUP('17.04'!X60,'17.04'!$AM$4:$AP$55,4,FALSE))</f>
        <v>0</v>
      </c>
      <c r="Q60" s="4">
        <f>(VLOOKUP('17.04'!Y60,'17.04'!$AM$4:$AP$55,4,FALSE))</f>
        <v>0</v>
      </c>
      <c r="R60" s="4">
        <f>(VLOOKUP('17.04'!Z60,'17.04'!$AM$4:$AP$55,4,FALSE))</f>
        <v>0</v>
      </c>
      <c r="S60" s="4">
        <f>(VLOOKUP('17.04'!AA60,'17.04'!$AM$4:$AP$55,4,FALSE))</f>
        <v>0</v>
      </c>
      <c r="T60" s="4">
        <f>(VLOOKUP('17.04'!AB60,'17.04'!$AM$4:$AP$55,4,FALSE))</f>
        <v>0</v>
      </c>
      <c r="U60" s="4">
        <f>(VLOOKUP('17.04'!AC60,'17.04'!$AM$4:$AP$55,4,FALSE))</f>
        <v>0</v>
      </c>
      <c r="V60" s="4">
        <f>(VLOOKUP('17.04'!AD60,'17.04'!$AM$4:$AP$55,4,FALSE))</f>
        <v>0</v>
      </c>
      <c r="W60" s="4">
        <f>(VLOOKUP('17.04'!AE60,'17.04'!$AM$4:$AP$55,4,FALSE))</f>
        <v>0</v>
      </c>
      <c r="X60" s="4">
        <f>(VLOOKUP('17.04'!AF60,'17.04'!$AM$4:$AP$55,4,FALSE))</f>
        <v>0</v>
      </c>
    </row>
    <row r="61" spans="1:24">
      <c r="A61" s="4">
        <f>(VLOOKUP('17.04'!I61,'17.04'!$AM$4:$AP$55,4,FALSE))</f>
        <v>0</v>
      </c>
      <c r="B61" s="4">
        <f>(VLOOKUP('17.04'!J61,'17.04'!$AM$4:$AP$55,4,FALSE))</f>
        <v>0</v>
      </c>
      <c r="C61" s="4">
        <f>(VLOOKUP('17.04'!K61,'17.04'!$AM$4:$AP$55,4,FALSE))</f>
        <v>0</v>
      </c>
      <c r="D61" s="4">
        <f>(VLOOKUP('17.04'!L61,'17.04'!$AM$4:$AP$55,4,FALSE))</f>
        <v>0</v>
      </c>
      <c r="E61" s="4">
        <f>(VLOOKUP('17.04'!M61,'17.04'!$AM$4:$AP$55,4,FALSE))</f>
        <v>0</v>
      </c>
      <c r="F61" s="4">
        <f>(VLOOKUP('17.04'!N61,'17.04'!$AM$4:$AP$55,4,FALSE))</f>
        <v>0</v>
      </c>
      <c r="G61" s="4">
        <f>(VLOOKUP('17.04'!O61,'17.04'!$AM$4:$AP$55,4,FALSE))</f>
        <v>0</v>
      </c>
      <c r="H61" s="4">
        <f>(VLOOKUP('17.04'!P61,'17.04'!$AM$4:$AP$55,4,FALSE))</f>
        <v>0</v>
      </c>
      <c r="I61" s="4">
        <f>(VLOOKUP('17.04'!Q61,'17.04'!$AM$4:$AP$55,4,FALSE))</f>
        <v>0</v>
      </c>
      <c r="J61" s="4">
        <f>(VLOOKUP('17.04'!R61,'17.04'!$AM$4:$AP$55,4,FALSE))</f>
        <v>0</v>
      </c>
      <c r="K61" s="4">
        <f>(VLOOKUP('17.04'!S61,'17.04'!$AM$4:$AP$55,4,FALSE))</f>
        <v>0</v>
      </c>
      <c r="L61" s="4">
        <f>(VLOOKUP('17.04'!T61,'17.04'!$AM$4:$AP$55,4,FALSE))</f>
        <v>0</v>
      </c>
      <c r="M61" s="4">
        <f>(VLOOKUP('17.04'!U61,'17.04'!$AM$4:$AP$55,4,FALSE))</f>
        <v>0</v>
      </c>
      <c r="N61" s="4">
        <f>(VLOOKUP('17.04'!V61,'17.04'!$AM$4:$AP$55,4,FALSE))</f>
        <v>0</v>
      </c>
      <c r="O61" s="4">
        <f>(VLOOKUP('17.04'!W61,'17.04'!$AM$4:$AP$55,4,FALSE))</f>
        <v>0</v>
      </c>
      <c r="P61" s="4">
        <f>(VLOOKUP('17.04'!X61,'17.04'!$AM$4:$AP$55,4,FALSE))</f>
        <v>0</v>
      </c>
      <c r="Q61" s="4">
        <f>(VLOOKUP('17.04'!Y61,'17.04'!$AM$4:$AP$55,4,FALSE))</f>
        <v>0</v>
      </c>
      <c r="R61" s="4">
        <f>(VLOOKUP('17.04'!Z61,'17.04'!$AM$4:$AP$55,4,FALSE))</f>
        <v>0</v>
      </c>
      <c r="S61" s="4">
        <f>(VLOOKUP('17.04'!AA61,'17.04'!$AM$4:$AP$55,4,FALSE))</f>
        <v>0</v>
      </c>
      <c r="T61" s="4">
        <f>(VLOOKUP('17.04'!AB61,'17.04'!$AM$4:$AP$55,4,FALSE))</f>
        <v>0</v>
      </c>
      <c r="U61" s="4">
        <f>(VLOOKUP('17.04'!AC61,'17.04'!$AM$4:$AP$55,4,FALSE))</f>
        <v>0</v>
      </c>
      <c r="V61" s="4">
        <f>(VLOOKUP('17.04'!AD61,'17.04'!$AM$4:$AP$55,4,FALSE))</f>
        <v>0</v>
      </c>
      <c r="W61" s="4">
        <f>(VLOOKUP('17.04'!AE61,'17.04'!$AM$4:$AP$55,4,FALSE))</f>
        <v>0</v>
      </c>
      <c r="X61" s="4">
        <f>(VLOOKUP('17.04'!AF61,'17.04'!$AM$4:$AP$55,4,FALSE))</f>
        <v>0</v>
      </c>
    </row>
    <row r="62" spans="1:24">
      <c r="A62" s="4">
        <f>(VLOOKUP('17.04'!I62,'17.04'!$AM$4:$AP$55,4,FALSE))</f>
        <v>0</v>
      </c>
      <c r="B62" s="4">
        <f>(VLOOKUP('17.04'!J62,'17.04'!$AM$4:$AP$55,4,FALSE))</f>
        <v>0</v>
      </c>
      <c r="C62" s="4">
        <f>(VLOOKUP('17.04'!K62,'17.04'!$AM$4:$AP$55,4,FALSE))</f>
        <v>0</v>
      </c>
      <c r="D62" s="4">
        <f>(VLOOKUP('17.04'!L62,'17.04'!$AM$4:$AP$55,4,FALSE))</f>
        <v>0</v>
      </c>
      <c r="E62" s="4">
        <f>(VLOOKUP('17.04'!M62,'17.04'!$AM$4:$AP$55,4,FALSE))</f>
        <v>0</v>
      </c>
      <c r="F62" s="4">
        <f>(VLOOKUP('17.04'!N62,'17.04'!$AM$4:$AP$55,4,FALSE))</f>
        <v>0</v>
      </c>
      <c r="G62" s="4">
        <f>(VLOOKUP('17.04'!O62,'17.04'!$AM$4:$AP$55,4,FALSE))</f>
        <v>0</v>
      </c>
      <c r="H62" s="4">
        <f>(VLOOKUP('17.04'!P62,'17.04'!$AM$4:$AP$55,4,FALSE))</f>
        <v>0</v>
      </c>
      <c r="I62" s="4">
        <f>(VLOOKUP('17.04'!Q62,'17.04'!$AM$4:$AP$55,4,FALSE))</f>
        <v>0</v>
      </c>
      <c r="J62" s="4">
        <f>(VLOOKUP('17.04'!R62,'17.04'!$AM$4:$AP$55,4,FALSE))</f>
        <v>0</v>
      </c>
      <c r="K62" s="4">
        <f>(VLOOKUP('17.04'!S62,'17.04'!$AM$4:$AP$55,4,FALSE))</f>
        <v>0</v>
      </c>
      <c r="L62" s="4">
        <f>(VLOOKUP('17.04'!T62,'17.04'!$AM$4:$AP$55,4,FALSE))</f>
        <v>0</v>
      </c>
      <c r="M62" s="4">
        <f>(VLOOKUP('17.04'!U62,'17.04'!$AM$4:$AP$55,4,FALSE))</f>
        <v>0</v>
      </c>
      <c r="N62" s="4">
        <f>(VLOOKUP('17.04'!V62,'17.04'!$AM$4:$AP$55,4,FALSE))</f>
        <v>0</v>
      </c>
      <c r="O62" s="4">
        <f>(VLOOKUP('17.04'!W62,'17.04'!$AM$4:$AP$55,4,FALSE))</f>
        <v>0</v>
      </c>
      <c r="P62" s="4">
        <f>(VLOOKUP('17.04'!X62,'17.04'!$AM$4:$AP$55,4,FALSE))</f>
        <v>0</v>
      </c>
      <c r="Q62" s="4">
        <f>(VLOOKUP('17.04'!Y62,'17.04'!$AM$4:$AP$55,4,FALSE))</f>
        <v>0</v>
      </c>
      <c r="R62" s="4">
        <f>(VLOOKUP('17.04'!Z62,'17.04'!$AM$4:$AP$55,4,FALSE))</f>
        <v>0</v>
      </c>
      <c r="S62" s="4">
        <f>(VLOOKUP('17.04'!AA62,'17.04'!$AM$4:$AP$55,4,FALSE))</f>
        <v>0</v>
      </c>
      <c r="T62" s="4">
        <f>(VLOOKUP('17.04'!AB62,'17.04'!$AM$4:$AP$55,4,FALSE))</f>
        <v>0</v>
      </c>
      <c r="U62" s="4">
        <f>(VLOOKUP('17.04'!AC62,'17.04'!$AM$4:$AP$55,4,FALSE))</f>
        <v>0</v>
      </c>
      <c r="V62" s="4">
        <f>(VLOOKUP('17.04'!AD62,'17.04'!$AM$4:$AP$55,4,FALSE))</f>
        <v>0</v>
      </c>
      <c r="W62" s="4">
        <f>(VLOOKUP('17.04'!AE62,'17.04'!$AM$4:$AP$55,4,FALSE))</f>
        <v>0</v>
      </c>
      <c r="X62" s="4">
        <f>(VLOOKUP('17.04'!AF62,'17.04'!$AM$4:$AP$55,4,FALSE))</f>
        <v>0</v>
      </c>
    </row>
    <row r="63" spans="1:24">
      <c r="A63" s="4">
        <f>(VLOOKUP('17.04'!I63,'17.04'!$AM$4:$AP$55,4,FALSE))</f>
        <v>0</v>
      </c>
      <c r="B63" s="4">
        <f>(VLOOKUP('17.04'!J63,'17.04'!$AM$4:$AP$55,4,FALSE))</f>
        <v>0</v>
      </c>
      <c r="C63" s="4">
        <f>(VLOOKUP('17.04'!K63,'17.04'!$AM$4:$AP$55,4,FALSE))</f>
        <v>0</v>
      </c>
      <c r="D63" s="4">
        <f>(VLOOKUP('17.04'!L63,'17.04'!$AM$4:$AP$55,4,FALSE))</f>
        <v>0</v>
      </c>
      <c r="E63" s="4">
        <f>(VLOOKUP('17.04'!M63,'17.04'!$AM$4:$AP$55,4,FALSE))</f>
        <v>0</v>
      </c>
      <c r="F63" s="4">
        <f>(VLOOKUP('17.04'!N63,'17.04'!$AM$4:$AP$55,4,FALSE))</f>
        <v>0</v>
      </c>
      <c r="G63" s="4">
        <f>(VLOOKUP('17.04'!O63,'17.04'!$AM$4:$AP$55,4,FALSE))</f>
        <v>0</v>
      </c>
      <c r="H63" s="4">
        <f>(VLOOKUP('17.04'!P63,'17.04'!$AM$4:$AP$55,4,FALSE))</f>
        <v>0</v>
      </c>
      <c r="I63" s="4">
        <f>(VLOOKUP('17.04'!Q63,'17.04'!$AM$4:$AP$55,4,FALSE))</f>
        <v>0</v>
      </c>
      <c r="J63" s="4">
        <f>(VLOOKUP('17.04'!R63,'17.04'!$AM$4:$AP$55,4,FALSE))</f>
        <v>0</v>
      </c>
      <c r="K63" s="4">
        <f>(VLOOKUP('17.04'!S63,'17.04'!$AM$4:$AP$55,4,FALSE))</f>
        <v>0</v>
      </c>
      <c r="L63" s="4">
        <f>(VLOOKUP('17.04'!T63,'17.04'!$AM$4:$AP$55,4,FALSE))</f>
        <v>0</v>
      </c>
      <c r="M63" s="4">
        <f>(VLOOKUP('17.04'!U63,'17.04'!$AM$4:$AP$55,4,FALSE))</f>
        <v>0</v>
      </c>
      <c r="N63" s="4">
        <f>(VLOOKUP('17.04'!V63,'17.04'!$AM$4:$AP$55,4,FALSE))</f>
        <v>0</v>
      </c>
      <c r="O63" s="4">
        <f>(VLOOKUP('17.04'!W63,'17.04'!$AM$4:$AP$55,4,FALSE))</f>
        <v>0</v>
      </c>
      <c r="P63" s="4">
        <f>(VLOOKUP('17.04'!X63,'17.04'!$AM$4:$AP$55,4,FALSE))</f>
        <v>0</v>
      </c>
      <c r="Q63" s="4">
        <f>(VLOOKUP('17.04'!Y63,'17.04'!$AM$4:$AP$55,4,FALSE))</f>
        <v>0</v>
      </c>
      <c r="R63" s="4">
        <f>(VLOOKUP('17.04'!Z63,'17.04'!$AM$4:$AP$55,4,FALSE))</f>
        <v>0</v>
      </c>
      <c r="S63" s="4">
        <f>(VLOOKUP('17.04'!AA63,'17.04'!$AM$4:$AP$55,4,FALSE))</f>
        <v>0</v>
      </c>
      <c r="T63" s="4">
        <f>(VLOOKUP('17.04'!AB63,'17.04'!$AM$4:$AP$55,4,FALSE))</f>
        <v>0</v>
      </c>
      <c r="U63" s="4">
        <f>(VLOOKUP('17.04'!AC63,'17.04'!$AM$4:$AP$55,4,FALSE))</f>
        <v>0</v>
      </c>
      <c r="V63" s="4">
        <f>(VLOOKUP('17.04'!AD63,'17.04'!$AM$4:$AP$55,4,FALSE))</f>
        <v>0</v>
      </c>
      <c r="W63" s="4">
        <f>(VLOOKUP('17.04'!AE63,'17.04'!$AM$4:$AP$55,4,FALSE))</f>
        <v>0</v>
      </c>
      <c r="X63" s="4">
        <f>(VLOOKUP('17.04'!AF63,'17.04'!$AM$4:$AP$55,4,FALSE))</f>
        <v>0</v>
      </c>
    </row>
    <row r="64" spans="1:24">
      <c r="A64" s="4">
        <f>(VLOOKUP('17.04'!I64,'17.04'!$AM$4:$AP$55,4,FALSE))</f>
        <v>0</v>
      </c>
      <c r="B64" s="4">
        <f>(VLOOKUP('17.04'!J64,'17.04'!$AM$4:$AP$55,4,FALSE))</f>
        <v>0</v>
      </c>
      <c r="C64" s="4">
        <f>(VLOOKUP('17.04'!K64,'17.04'!$AM$4:$AP$55,4,FALSE))</f>
        <v>0</v>
      </c>
      <c r="D64" s="4">
        <f>(VLOOKUP('17.04'!L64,'17.04'!$AM$4:$AP$55,4,FALSE))</f>
        <v>0</v>
      </c>
      <c r="E64" s="4">
        <f>(VLOOKUP('17.04'!M64,'17.04'!$AM$4:$AP$55,4,FALSE))</f>
        <v>0</v>
      </c>
      <c r="F64" s="4">
        <f>(VLOOKUP('17.04'!N64,'17.04'!$AM$4:$AP$55,4,FALSE))</f>
        <v>0</v>
      </c>
      <c r="G64" s="4">
        <f>(VLOOKUP('17.04'!O64,'17.04'!$AM$4:$AP$55,4,FALSE))</f>
        <v>0</v>
      </c>
      <c r="H64" s="4">
        <f>(VLOOKUP('17.04'!P64,'17.04'!$AM$4:$AP$55,4,FALSE))</f>
        <v>0</v>
      </c>
      <c r="I64" s="4">
        <f>(VLOOKUP('17.04'!Q64,'17.04'!$AM$4:$AP$55,4,FALSE))</f>
        <v>0</v>
      </c>
      <c r="J64" s="4">
        <f>(VLOOKUP('17.04'!R64,'17.04'!$AM$4:$AP$55,4,FALSE))</f>
        <v>0</v>
      </c>
      <c r="K64" s="4">
        <f>(VLOOKUP('17.04'!S64,'17.04'!$AM$4:$AP$55,4,FALSE))</f>
        <v>0</v>
      </c>
      <c r="L64" s="4">
        <f>(VLOOKUP('17.04'!T64,'17.04'!$AM$4:$AP$55,4,FALSE))</f>
        <v>0</v>
      </c>
      <c r="M64" s="4">
        <f>(VLOOKUP('17.04'!U64,'17.04'!$AM$4:$AP$55,4,FALSE))</f>
        <v>0</v>
      </c>
      <c r="N64" s="4">
        <f>(VLOOKUP('17.04'!V64,'17.04'!$AM$4:$AP$55,4,FALSE))</f>
        <v>0</v>
      </c>
      <c r="O64" s="4">
        <f>(VLOOKUP('17.04'!W64,'17.04'!$AM$4:$AP$55,4,FALSE))</f>
        <v>0</v>
      </c>
      <c r="P64" s="4">
        <f>(VLOOKUP('17.04'!X64,'17.04'!$AM$4:$AP$55,4,FALSE))</f>
        <v>0</v>
      </c>
      <c r="Q64" s="4">
        <f>(VLOOKUP('17.04'!Y64,'17.04'!$AM$4:$AP$55,4,FALSE))</f>
        <v>0</v>
      </c>
      <c r="R64" s="4">
        <f>(VLOOKUP('17.04'!Z64,'17.04'!$AM$4:$AP$55,4,FALSE))</f>
        <v>0</v>
      </c>
      <c r="S64" s="4">
        <f>(VLOOKUP('17.04'!AA64,'17.04'!$AM$4:$AP$55,4,FALSE))</f>
        <v>0</v>
      </c>
      <c r="T64" s="4">
        <f>(VLOOKUP('17.04'!AB64,'17.04'!$AM$4:$AP$55,4,FALSE))</f>
        <v>0</v>
      </c>
      <c r="U64" s="4">
        <f>(VLOOKUP('17.04'!AC64,'17.04'!$AM$4:$AP$55,4,FALSE))</f>
        <v>0</v>
      </c>
      <c r="V64" s="4">
        <f>(VLOOKUP('17.04'!AD64,'17.04'!$AM$4:$AP$55,4,FALSE))</f>
        <v>0</v>
      </c>
      <c r="W64" s="4">
        <f>(VLOOKUP('17.04'!AE64,'17.04'!$AM$4:$AP$55,4,FALSE))</f>
        <v>0</v>
      </c>
      <c r="X64" s="4">
        <f>(VLOOKUP('17.04'!AF64,'17.04'!$AM$4:$AP$55,4,FALSE))</f>
        <v>0</v>
      </c>
    </row>
    <row r="65" spans="1:24">
      <c r="A65" s="4">
        <f>(VLOOKUP('17.04'!I65,'17.04'!$AM$4:$AP$55,4,FALSE))</f>
        <v>0</v>
      </c>
      <c r="B65" s="4">
        <f>(VLOOKUP('17.04'!J65,'17.04'!$AM$4:$AP$55,4,FALSE))</f>
        <v>0</v>
      </c>
      <c r="C65" s="4">
        <f>(VLOOKUP('17.04'!K65,'17.04'!$AM$4:$AP$55,4,FALSE))</f>
        <v>0</v>
      </c>
      <c r="D65" s="4">
        <f>(VLOOKUP('17.04'!L65,'17.04'!$AM$4:$AP$55,4,FALSE))</f>
        <v>0</v>
      </c>
      <c r="E65" s="4">
        <f>(VLOOKUP('17.04'!M65,'17.04'!$AM$4:$AP$55,4,FALSE))</f>
        <v>0</v>
      </c>
      <c r="F65" s="4">
        <f>(VLOOKUP('17.04'!N65,'17.04'!$AM$4:$AP$55,4,FALSE))</f>
        <v>0</v>
      </c>
      <c r="G65" s="4">
        <f>(VLOOKUP('17.04'!O65,'17.04'!$AM$4:$AP$55,4,FALSE))</f>
        <v>0</v>
      </c>
      <c r="H65" s="4">
        <f>(VLOOKUP('17.04'!P65,'17.04'!$AM$4:$AP$55,4,FALSE))</f>
        <v>0</v>
      </c>
      <c r="I65" s="4">
        <f>(VLOOKUP('17.04'!Q65,'17.04'!$AM$4:$AP$55,4,FALSE))</f>
        <v>0</v>
      </c>
      <c r="J65" s="4">
        <f>(VLOOKUP('17.04'!R65,'17.04'!$AM$4:$AP$55,4,FALSE))</f>
        <v>0</v>
      </c>
      <c r="K65" s="4">
        <f>(VLOOKUP('17.04'!S65,'17.04'!$AM$4:$AP$55,4,FALSE))</f>
        <v>0</v>
      </c>
      <c r="L65" s="4">
        <f>(VLOOKUP('17.04'!T65,'17.04'!$AM$4:$AP$55,4,FALSE))</f>
        <v>0</v>
      </c>
      <c r="M65" s="4">
        <f>(VLOOKUP('17.04'!U65,'17.04'!$AM$4:$AP$55,4,FALSE))</f>
        <v>0</v>
      </c>
      <c r="N65" s="4">
        <f>(VLOOKUP('17.04'!V65,'17.04'!$AM$4:$AP$55,4,FALSE))</f>
        <v>0</v>
      </c>
      <c r="O65" s="4">
        <f>(VLOOKUP('17.04'!W65,'17.04'!$AM$4:$AP$55,4,FALSE))</f>
        <v>0</v>
      </c>
      <c r="P65" s="4">
        <f>(VLOOKUP('17.04'!X65,'17.04'!$AM$4:$AP$55,4,FALSE))</f>
        <v>0</v>
      </c>
      <c r="Q65" s="4">
        <f>(VLOOKUP('17.04'!Y65,'17.04'!$AM$4:$AP$55,4,FALSE))</f>
        <v>0</v>
      </c>
      <c r="R65" s="4">
        <f>(VLOOKUP('17.04'!Z65,'17.04'!$AM$4:$AP$55,4,FALSE))</f>
        <v>0</v>
      </c>
      <c r="S65" s="4">
        <f>(VLOOKUP('17.04'!AA65,'17.04'!$AM$4:$AP$55,4,FALSE))</f>
        <v>0</v>
      </c>
      <c r="T65" s="4">
        <f>(VLOOKUP('17.04'!AB65,'17.04'!$AM$4:$AP$55,4,FALSE))</f>
        <v>0</v>
      </c>
      <c r="U65" s="4">
        <f>(VLOOKUP('17.04'!AC65,'17.04'!$AM$4:$AP$55,4,FALSE))</f>
        <v>0</v>
      </c>
      <c r="V65" s="4">
        <f>(VLOOKUP('17.04'!AD65,'17.04'!$AM$4:$AP$55,4,FALSE))</f>
        <v>0</v>
      </c>
      <c r="W65" s="4">
        <f>(VLOOKUP('17.04'!AE65,'17.04'!$AM$4:$AP$55,4,FALSE))</f>
        <v>0</v>
      </c>
      <c r="X65" s="4">
        <f>(VLOOKUP('17.04'!AF65,'17.04'!$AM$4:$AP$55,4,FALSE))</f>
        <v>0</v>
      </c>
    </row>
    <row r="66" spans="1:24">
      <c r="A66" s="4">
        <f>(VLOOKUP('17.04'!I66,'17.04'!$AM$4:$AP$55,4,FALSE))</f>
        <v>0</v>
      </c>
      <c r="B66" s="4">
        <f>(VLOOKUP('17.04'!J66,'17.04'!$AM$4:$AP$55,4,FALSE))</f>
        <v>0</v>
      </c>
      <c r="C66" s="4">
        <f>(VLOOKUP('17.04'!K66,'17.04'!$AM$4:$AP$55,4,FALSE))</f>
        <v>0</v>
      </c>
      <c r="D66" s="4">
        <f>(VLOOKUP('17.04'!L66,'17.04'!$AM$4:$AP$55,4,FALSE))</f>
        <v>0</v>
      </c>
      <c r="E66" s="4">
        <f>(VLOOKUP('17.04'!M66,'17.04'!$AM$4:$AP$55,4,FALSE))</f>
        <v>0</v>
      </c>
      <c r="F66" s="4">
        <f>(VLOOKUP('17.04'!N66,'17.04'!$AM$4:$AP$55,4,FALSE))</f>
        <v>0</v>
      </c>
      <c r="G66" s="4">
        <f>(VLOOKUP('17.04'!O66,'17.04'!$AM$4:$AP$55,4,FALSE))</f>
        <v>0</v>
      </c>
      <c r="H66" s="4">
        <f>(VLOOKUP('17.04'!P66,'17.04'!$AM$4:$AP$55,4,FALSE))</f>
        <v>0</v>
      </c>
      <c r="I66" s="4">
        <f>(VLOOKUP('17.04'!Q66,'17.04'!$AM$4:$AP$55,4,FALSE))</f>
        <v>0</v>
      </c>
      <c r="J66" s="4">
        <f>(VLOOKUP('17.04'!R66,'17.04'!$AM$4:$AP$55,4,FALSE))</f>
        <v>0</v>
      </c>
      <c r="K66" s="4">
        <f>(VLOOKUP('17.04'!S66,'17.04'!$AM$4:$AP$55,4,FALSE))</f>
        <v>0</v>
      </c>
      <c r="L66" s="4">
        <f>(VLOOKUP('17.04'!T66,'17.04'!$AM$4:$AP$55,4,FALSE))</f>
        <v>0</v>
      </c>
      <c r="M66" s="4">
        <f>(VLOOKUP('17.04'!U66,'17.04'!$AM$4:$AP$55,4,FALSE))</f>
        <v>0</v>
      </c>
      <c r="N66" s="4">
        <f>(VLOOKUP('17.04'!V66,'17.04'!$AM$4:$AP$55,4,FALSE))</f>
        <v>0</v>
      </c>
      <c r="O66" s="4">
        <f>(VLOOKUP('17.04'!W66,'17.04'!$AM$4:$AP$55,4,FALSE))</f>
        <v>0</v>
      </c>
      <c r="P66" s="4">
        <f>(VLOOKUP('17.04'!X66,'17.04'!$AM$4:$AP$55,4,FALSE))</f>
        <v>0</v>
      </c>
      <c r="Q66" s="4">
        <f>(VLOOKUP('17.04'!Y66,'17.04'!$AM$4:$AP$55,4,FALSE))</f>
        <v>0</v>
      </c>
      <c r="R66" s="4">
        <f>(VLOOKUP('17.04'!Z66,'17.04'!$AM$4:$AP$55,4,FALSE))</f>
        <v>0</v>
      </c>
      <c r="S66" s="4">
        <f>(VLOOKUP('17.04'!AA66,'17.04'!$AM$4:$AP$55,4,FALSE))</f>
        <v>0</v>
      </c>
      <c r="T66" s="4">
        <f>(VLOOKUP('17.04'!AB66,'17.04'!$AM$4:$AP$55,4,FALSE))</f>
        <v>0</v>
      </c>
      <c r="U66" s="4">
        <f>(VLOOKUP('17.04'!AC66,'17.04'!$AM$4:$AP$55,4,FALSE))</f>
        <v>0</v>
      </c>
      <c r="V66" s="4">
        <f>(VLOOKUP('17.04'!AD66,'17.04'!$AM$4:$AP$55,4,FALSE))</f>
        <v>0</v>
      </c>
      <c r="W66" s="4">
        <f>(VLOOKUP('17.04'!AE66,'17.04'!$AM$4:$AP$55,4,FALSE))</f>
        <v>0</v>
      </c>
      <c r="X66" s="4">
        <f>(VLOOKUP('17.04'!AF66,'17.04'!$AM$4:$AP$55,4,FALSE))</f>
        <v>0</v>
      </c>
    </row>
    <row r="67" spans="1:24">
      <c r="A67" s="4">
        <f>(VLOOKUP('17.04'!I67,'17.04'!$AM$4:$AP$55,4,FALSE))</f>
        <v>0</v>
      </c>
      <c r="B67" s="4">
        <f>(VLOOKUP('17.04'!J67,'17.04'!$AM$4:$AP$55,4,FALSE))</f>
        <v>0</v>
      </c>
      <c r="C67" s="4">
        <f>(VLOOKUP('17.04'!K67,'17.04'!$AM$4:$AP$55,4,FALSE))</f>
        <v>0</v>
      </c>
      <c r="D67" s="4">
        <f>(VLOOKUP('17.04'!L67,'17.04'!$AM$4:$AP$55,4,FALSE))</f>
        <v>0</v>
      </c>
      <c r="E67" s="4">
        <f>(VLOOKUP('17.04'!M67,'17.04'!$AM$4:$AP$55,4,FALSE))</f>
        <v>0</v>
      </c>
      <c r="F67" s="4">
        <f>(VLOOKUP('17.04'!N67,'17.04'!$AM$4:$AP$55,4,FALSE))</f>
        <v>0</v>
      </c>
      <c r="G67" s="4">
        <f>(VLOOKUP('17.04'!O67,'17.04'!$AM$4:$AP$55,4,FALSE))</f>
        <v>0</v>
      </c>
      <c r="H67" s="4">
        <f>(VLOOKUP('17.04'!P67,'17.04'!$AM$4:$AP$55,4,FALSE))</f>
        <v>0</v>
      </c>
      <c r="I67" s="4">
        <f>(VLOOKUP('17.04'!Q67,'17.04'!$AM$4:$AP$55,4,FALSE))</f>
        <v>0</v>
      </c>
      <c r="J67" s="4">
        <f>(VLOOKUP('17.04'!R67,'17.04'!$AM$4:$AP$55,4,FALSE))</f>
        <v>0</v>
      </c>
      <c r="K67" s="4">
        <f>(VLOOKUP('17.04'!S67,'17.04'!$AM$4:$AP$55,4,FALSE))</f>
        <v>0</v>
      </c>
      <c r="L67" s="4">
        <f>(VLOOKUP('17.04'!T67,'17.04'!$AM$4:$AP$55,4,FALSE))</f>
        <v>0</v>
      </c>
      <c r="M67" s="4">
        <f>(VLOOKUP('17.04'!U67,'17.04'!$AM$4:$AP$55,4,FALSE))</f>
        <v>0</v>
      </c>
      <c r="N67" s="4">
        <f>(VLOOKUP('17.04'!V67,'17.04'!$AM$4:$AP$55,4,FALSE))</f>
        <v>0</v>
      </c>
      <c r="O67" s="4">
        <f>(VLOOKUP('17.04'!W67,'17.04'!$AM$4:$AP$55,4,FALSE))</f>
        <v>0</v>
      </c>
      <c r="P67" s="4">
        <f>(VLOOKUP('17.04'!X67,'17.04'!$AM$4:$AP$55,4,FALSE))</f>
        <v>0</v>
      </c>
      <c r="Q67" s="4">
        <f>(VLOOKUP('17.04'!Y67,'17.04'!$AM$4:$AP$55,4,FALSE))</f>
        <v>0</v>
      </c>
      <c r="R67" s="4">
        <f>(VLOOKUP('17.04'!Z67,'17.04'!$AM$4:$AP$55,4,FALSE))</f>
        <v>0</v>
      </c>
      <c r="S67" s="4">
        <f>(VLOOKUP('17.04'!AA67,'17.04'!$AM$4:$AP$55,4,FALSE))</f>
        <v>0</v>
      </c>
      <c r="T67" s="4">
        <f>(VLOOKUP('17.04'!AB67,'17.04'!$AM$4:$AP$55,4,FALSE))</f>
        <v>0</v>
      </c>
      <c r="U67" s="4">
        <f>(VLOOKUP('17.04'!AC67,'17.04'!$AM$4:$AP$55,4,FALSE))</f>
        <v>0</v>
      </c>
      <c r="V67" s="4">
        <f>(VLOOKUP('17.04'!AD67,'17.04'!$AM$4:$AP$55,4,FALSE))</f>
        <v>0</v>
      </c>
      <c r="W67" s="4">
        <f>(VLOOKUP('17.04'!AE67,'17.04'!$AM$4:$AP$55,4,FALSE))</f>
        <v>0</v>
      </c>
      <c r="X67" s="4">
        <f>(VLOOKUP('17.04'!AF67,'17.04'!$AM$4:$AP$55,4,FALSE))</f>
        <v>0</v>
      </c>
    </row>
    <row r="68" spans="1:24">
      <c r="A68" s="4">
        <f>(VLOOKUP('17.04'!I68,'17.04'!$AM$4:$AP$55,4,FALSE))</f>
        <v>0</v>
      </c>
      <c r="B68" s="4">
        <f>(VLOOKUP('17.04'!J68,'17.04'!$AM$4:$AP$55,4,FALSE))</f>
        <v>0</v>
      </c>
      <c r="C68" s="4">
        <f>(VLOOKUP('17.04'!K68,'17.04'!$AM$4:$AP$55,4,FALSE))</f>
        <v>0</v>
      </c>
      <c r="D68" s="4">
        <f>(VLOOKUP('17.04'!L68,'17.04'!$AM$4:$AP$55,4,FALSE))</f>
        <v>0</v>
      </c>
      <c r="E68" s="4">
        <f>(VLOOKUP('17.04'!M68,'17.04'!$AM$4:$AP$55,4,FALSE))</f>
        <v>0</v>
      </c>
      <c r="F68" s="4">
        <f>(VLOOKUP('17.04'!N68,'17.04'!$AM$4:$AP$55,4,FALSE))</f>
        <v>0</v>
      </c>
      <c r="G68" s="4">
        <f>(VLOOKUP('17.04'!O68,'17.04'!$AM$4:$AP$55,4,FALSE))</f>
        <v>0</v>
      </c>
      <c r="H68" s="4">
        <f>(VLOOKUP('17.04'!P68,'17.04'!$AM$4:$AP$55,4,FALSE))</f>
        <v>0</v>
      </c>
      <c r="I68" s="4">
        <f>(VLOOKUP('17.04'!Q68,'17.04'!$AM$4:$AP$55,4,FALSE))</f>
        <v>0</v>
      </c>
      <c r="J68" s="4">
        <f>(VLOOKUP('17.04'!R68,'17.04'!$AM$4:$AP$55,4,FALSE))</f>
        <v>0</v>
      </c>
      <c r="K68" s="4">
        <f>(VLOOKUP('17.04'!S68,'17.04'!$AM$4:$AP$55,4,FALSE))</f>
        <v>0</v>
      </c>
      <c r="L68" s="4">
        <f>(VLOOKUP('17.04'!T68,'17.04'!$AM$4:$AP$55,4,FALSE))</f>
        <v>0</v>
      </c>
      <c r="M68" s="4">
        <f>(VLOOKUP('17.04'!U68,'17.04'!$AM$4:$AP$55,4,FALSE))</f>
        <v>0</v>
      </c>
      <c r="N68" s="4">
        <f>(VLOOKUP('17.04'!V68,'17.04'!$AM$4:$AP$55,4,FALSE))</f>
        <v>0</v>
      </c>
      <c r="O68" s="4">
        <f>(VLOOKUP('17.04'!W68,'17.04'!$AM$4:$AP$55,4,FALSE))</f>
        <v>0</v>
      </c>
      <c r="P68" s="4">
        <f>(VLOOKUP('17.04'!X68,'17.04'!$AM$4:$AP$55,4,FALSE))</f>
        <v>0</v>
      </c>
      <c r="Q68" s="4">
        <f>(VLOOKUP('17.04'!Y68,'17.04'!$AM$4:$AP$55,4,FALSE))</f>
        <v>0</v>
      </c>
      <c r="R68" s="4">
        <f>(VLOOKUP('17.04'!Z68,'17.04'!$AM$4:$AP$55,4,FALSE))</f>
        <v>0</v>
      </c>
      <c r="S68" s="4">
        <f>(VLOOKUP('17.04'!AA68,'17.04'!$AM$4:$AP$55,4,FALSE))</f>
        <v>0</v>
      </c>
      <c r="T68" s="4">
        <f>(VLOOKUP('17.04'!AB68,'17.04'!$AM$4:$AP$55,4,FALSE))</f>
        <v>0</v>
      </c>
      <c r="U68" s="4">
        <f>(VLOOKUP('17.04'!AC68,'17.04'!$AM$4:$AP$55,4,FALSE))</f>
        <v>0</v>
      </c>
      <c r="V68" s="4">
        <f>(VLOOKUP('17.04'!AD68,'17.04'!$AM$4:$AP$55,4,FALSE))</f>
        <v>0</v>
      </c>
      <c r="W68" s="4">
        <f>(VLOOKUP('17.04'!AE68,'17.04'!$AM$4:$AP$55,4,FALSE))</f>
        <v>0</v>
      </c>
      <c r="X68" s="4">
        <f>(VLOOKUP('17.04'!AF68,'17.04'!$AM$4:$AP$55,4,FALSE))</f>
        <v>0</v>
      </c>
    </row>
    <row r="69" spans="1:24">
      <c r="A69" s="4">
        <f>(VLOOKUP('17.04'!I69,'17.04'!$AM$4:$AP$55,4,FALSE))</f>
        <v>0</v>
      </c>
      <c r="B69" s="4">
        <f>(VLOOKUP('17.04'!J69,'17.04'!$AM$4:$AP$55,4,FALSE))</f>
        <v>0</v>
      </c>
      <c r="C69" s="4">
        <f>(VLOOKUP('17.04'!K69,'17.04'!$AM$4:$AP$55,4,FALSE))</f>
        <v>0</v>
      </c>
      <c r="D69" s="4">
        <f>(VLOOKUP('17.04'!L69,'17.04'!$AM$4:$AP$55,4,FALSE))</f>
        <v>0</v>
      </c>
      <c r="E69" s="4">
        <f>(VLOOKUP('17.04'!M69,'17.04'!$AM$4:$AP$55,4,FALSE))</f>
        <v>0</v>
      </c>
      <c r="F69" s="4">
        <f>(VLOOKUP('17.04'!N69,'17.04'!$AM$4:$AP$55,4,FALSE))</f>
        <v>0</v>
      </c>
      <c r="G69" s="4">
        <f>(VLOOKUP('17.04'!O69,'17.04'!$AM$4:$AP$55,4,FALSE))</f>
        <v>0</v>
      </c>
      <c r="H69" s="4">
        <f>(VLOOKUP('17.04'!P69,'17.04'!$AM$4:$AP$55,4,FALSE))</f>
        <v>0</v>
      </c>
      <c r="I69" s="4">
        <f>(VLOOKUP('17.04'!Q69,'17.04'!$AM$4:$AP$55,4,FALSE))</f>
        <v>0</v>
      </c>
      <c r="J69" s="4">
        <f>(VLOOKUP('17.04'!R69,'17.04'!$AM$4:$AP$55,4,FALSE))</f>
        <v>0</v>
      </c>
      <c r="K69" s="4">
        <f>(VLOOKUP('17.04'!S69,'17.04'!$AM$4:$AP$55,4,FALSE))</f>
        <v>0</v>
      </c>
      <c r="L69" s="4">
        <f>(VLOOKUP('17.04'!T69,'17.04'!$AM$4:$AP$55,4,FALSE))</f>
        <v>0</v>
      </c>
      <c r="M69" s="4">
        <f>(VLOOKUP('17.04'!U69,'17.04'!$AM$4:$AP$55,4,FALSE))</f>
        <v>0</v>
      </c>
      <c r="N69" s="4">
        <f>(VLOOKUP('17.04'!V69,'17.04'!$AM$4:$AP$55,4,FALSE))</f>
        <v>0</v>
      </c>
      <c r="O69" s="4">
        <f>(VLOOKUP('17.04'!W69,'17.04'!$AM$4:$AP$55,4,FALSE))</f>
        <v>0</v>
      </c>
      <c r="P69" s="4">
        <f>(VLOOKUP('17.04'!X69,'17.04'!$AM$4:$AP$55,4,FALSE))</f>
        <v>0</v>
      </c>
      <c r="Q69" s="4">
        <f>(VLOOKUP('17.04'!Y69,'17.04'!$AM$4:$AP$55,4,FALSE))</f>
        <v>0</v>
      </c>
      <c r="R69" s="4">
        <f>(VLOOKUP('17.04'!Z69,'17.04'!$AM$4:$AP$55,4,FALSE))</f>
        <v>0</v>
      </c>
      <c r="S69" s="4">
        <f>(VLOOKUP('17.04'!AA69,'17.04'!$AM$4:$AP$55,4,FALSE))</f>
        <v>0</v>
      </c>
      <c r="T69" s="4">
        <f>(VLOOKUP('17.04'!AB69,'17.04'!$AM$4:$AP$55,4,FALSE))</f>
        <v>0</v>
      </c>
      <c r="U69" s="4">
        <f>(VLOOKUP('17.04'!AC69,'17.04'!$AM$4:$AP$55,4,FALSE))</f>
        <v>0</v>
      </c>
      <c r="V69" s="4">
        <f>(VLOOKUP('17.04'!AD69,'17.04'!$AM$4:$AP$55,4,FALSE))</f>
        <v>0</v>
      </c>
      <c r="W69" s="4">
        <f>(VLOOKUP('17.04'!AE69,'17.04'!$AM$4:$AP$55,4,FALSE))</f>
        <v>0</v>
      </c>
      <c r="X69" s="4">
        <f>(VLOOKUP('17.04'!AF69,'17.04'!$AM$4:$AP$55,4,FALSE))</f>
        <v>0</v>
      </c>
    </row>
    <row r="70" spans="1:24">
      <c r="A70" s="4">
        <f>(VLOOKUP('17.04'!I70,'17.04'!$AM$4:$AP$55,4,FALSE))</f>
        <v>0</v>
      </c>
      <c r="B70" s="4">
        <f>(VLOOKUP('17.04'!J70,'17.04'!$AM$4:$AP$55,4,FALSE))</f>
        <v>0</v>
      </c>
      <c r="C70" s="4">
        <f>(VLOOKUP('17.04'!K70,'17.04'!$AM$4:$AP$55,4,FALSE))</f>
        <v>0</v>
      </c>
      <c r="D70" s="4">
        <f>(VLOOKUP('17.04'!L70,'17.04'!$AM$4:$AP$55,4,FALSE))</f>
        <v>0</v>
      </c>
      <c r="E70" s="4">
        <f>(VLOOKUP('17.04'!M70,'17.04'!$AM$4:$AP$55,4,FALSE))</f>
        <v>0</v>
      </c>
      <c r="F70" s="4">
        <f>(VLOOKUP('17.04'!N70,'17.04'!$AM$4:$AP$55,4,FALSE))</f>
        <v>0</v>
      </c>
      <c r="G70" s="4">
        <f>(VLOOKUP('17.04'!O70,'17.04'!$AM$4:$AP$55,4,FALSE))</f>
        <v>0</v>
      </c>
      <c r="H70" s="4">
        <f>(VLOOKUP('17.04'!P70,'17.04'!$AM$4:$AP$55,4,FALSE))</f>
        <v>0</v>
      </c>
      <c r="I70" s="4">
        <f>(VLOOKUP('17.04'!Q70,'17.04'!$AM$4:$AP$55,4,FALSE))</f>
        <v>0</v>
      </c>
      <c r="J70" s="4">
        <f>(VLOOKUP('17.04'!R70,'17.04'!$AM$4:$AP$55,4,FALSE))</f>
        <v>0</v>
      </c>
      <c r="K70" s="4">
        <f>(VLOOKUP('17.04'!S70,'17.04'!$AM$4:$AP$55,4,FALSE))</f>
        <v>0</v>
      </c>
      <c r="L70" s="4">
        <f>(VLOOKUP('17.04'!T70,'17.04'!$AM$4:$AP$55,4,FALSE))</f>
        <v>0</v>
      </c>
      <c r="M70" s="4">
        <f>(VLOOKUP('17.04'!U70,'17.04'!$AM$4:$AP$55,4,FALSE))</f>
        <v>0</v>
      </c>
      <c r="N70" s="4">
        <f>(VLOOKUP('17.04'!V70,'17.04'!$AM$4:$AP$55,4,FALSE))</f>
        <v>0</v>
      </c>
      <c r="O70" s="4">
        <f>(VLOOKUP('17.04'!W70,'17.04'!$AM$4:$AP$55,4,FALSE))</f>
        <v>0</v>
      </c>
      <c r="P70" s="4">
        <f>(VLOOKUP('17.04'!X70,'17.04'!$AM$4:$AP$55,4,FALSE))</f>
        <v>0</v>
      </c>
      <c r="Q70" s="4">
        <f>(VLOOKUP('17.04'!Y70,'17.04'!$AM$4:$AP$55,4,FALSE))</f>
        <v>0</v>
      </c>
      <c r="R70" s="4">
        <f>(VLOOKUP('17.04'!Z70,'17.04'!$AM$4:$AP$55,4,FALSE))</f>
        <v>0</v>
      </c>
      <c r="S70" s="4">
        <f>(VLOOKUP('17.04'!AA70,'17.04'!$AM$4:$AP$55,4,FALSE))</f>
        <v>0</v>
      </c>
      <c r="T70" s="4">
        <f>(VLOOKUP('17.04'!AB70,'17.04'!$AM$4:$AP$55,4,FALSE))</f>
        <v>0</v>
      </c>
      <c r="U70" s="4">
        <f>(VLOOKUP('17.04'!AC70,'17.04'!$AM$4:$AP$55,4,FALSE))</f>
        <v>0</v>
      </c>
      <c r="V70" s="4">
        <f>(VLOOKUP('17.04'!AD70,'17.04'!$AM$4:$AP$55,4,FALSE))</f>
        <v>0</v>
      </c>
      <c r="W70" s="4">
        <f>(VLOOKUP('17.04'!AE70,'17.04'!$AM$4:$AP$55,4,FALSE))</f>
        <v>0</v>
      </c>
      <c r="X70" s="4">
        <f>(VLOOKUP('17.04'!AF70,'17.04'!$AM$4:$AP$55,4,FALSE))</f>
        <v>0</v>
      </c>
    </row>
    <row r="71" spans="1:24">
      <c r="A71" s="4">
        <f>(VLOOKUP('17.04'!I71,'17.04'!$AM$4:$AP$55,4,FALSE))</f>
        <v>0</v>
      </c>
      <c r="B71" s="4">
        <f>(VLOOKUP('17.04'!J71,'17.04'!$AM$4:$AP$55,4,FALSE))</f>
        <v>0</v>
      </c>
      <c r="C71" s="4">
        <f>(VLOOKUP('17.04'!K71,'17.04'!$AM$4:$AP$55,4,FALSE))</f>
        <v>0</v>
      </c>
      <c r="D71" s="4">
        <f>(VLOOKUP('17.04'!L71,'17.04'!$AM$4:$AP$55,4,FALSE))</f>
        <v>0</v>
      </c>
      <c r="E71" s="4">
        <f>(VLOOKUP('17.04'!M71,'17.04'!$AM$4:$AP$55,4,FALSE))</f>
        <v>0</v>
      </c>
      <c r="F71" s="4">
        <f>(VLOOKUP('17.04'!N71,'17.04'!$AM$4:$AP$55,4,FALSE))</f>
        <v>0</v>
      </c>
      <c r="G71" s="4">
        <f>(VLOOKUP('17.04'!O71,'17.04'!$AM$4:$AP$55,4,FALSE))</f>
        <v>0</v>
      </c>
      <c r="H71" s="4">
        <f>(VLOOKUP('17.04'!P71,'17.04'!$AM$4:$AP$55,4,FALSE))</f>
        <v>0</v>
      </c>
      <c r="I71" s="4">
        <f>(VLOOKUP('17.04'!Q71,'17.04'!$AM$4:$AP$55,4,FALSE))</f>
        <v>0</v>
      </c>
      <c r="J71" s="4">
        <f>(VLOOKUP('17.04'!R71,'17.04'!$AM$4:$AP$55,4,FALSE))</f>
        <v>0</v>
      </c>
      <c r="K71" s="4">
        <f>(VLOOKUP('17.04'!S71,'17.04'!$AM$4:$AP$55,4,FALSE))</f>
        <v>0</v>
      </c>
      <c r="L71" s="4">
        <f>(VLOOKUP('17.04'!T71,'17.04'!$AM$4:$AP$55,4,FALSE))</f>
        <v>0</v>
      </c>
      <c r="M71" s="4">
        <f>(VLOOKUP('17.04'!U71,'17.04'!$AM$4:$AP$55,4,FALSE))</f>
        <v>0</v>
      </c>
      <c r="N71" s="4">
        <f>(VLOOKUP('17.04'!V71,'17.04'!$AM$4:$AP$55,4,FALSE))</f>
        <v>0</v>
      </c>
      <c r="O71" s="4">
        <f>(VLOOKUP('17.04'!W71,'17.04'!$AM$4:$AP$55,4,FALSE))</f>
        <v>0</v>
      </c>
      <c r="P71" s="4">
        <f>(VLOOKUP('17.04'!X71,'17.04'!$AM$4:$AP$55,4,FALSE))</f>
        <v>0</v>
      </c>
      <c r="Q71" s="4">
        <f>(VLOOKUP('17.04'!Y71,'17.04'!$AM$4:$AP$55,4,FALSE))</f>
        <v>0</v>
      </c>
      <c r="R71" s="4">
        <f>(VLOOKUP('17.04'!Z71,'17.04'!$AM$4:$AP$55,4,FALSE))</f>
        <v>0</v>
      </c>
      <c r="S71" s="4">
        <f>(VLOOKUP('17.04'!AA71,'17.04'!$AM$4:$AP$55,4,FALSE))</f>
        <v>0</v>
      </c>
      <c r="T71" s="4">
        <f>(VLOOKUP('17.04'!AB71,'17.04'!$AM$4:$AP$55,4,FALSE))</f>
        <v>0</v>
      </c>
      <c r="U71" s="4">
        <f>(VLOOKUP('17.04'!AC71,'17.04'!$AM$4:$AP$55,4,FALSE))</f>
        <v>0</v>
      </c>
      <c r="V71" s="4">
        <f>(VLOOKUP('17.04'!AD71,'17.04'!$AM$4:$AP$55,4,FALSE))</f>
        <v>0</v>
      </c>
      <c r="W71" s="4">
        <f>(VLOOKUP('17.04'!AE71,'17.04'!$AM$4:$AP$55,4,FALSE))</f>
        <v>0</v>
      </c>
      <c r="X71" s="4">
        <f>(VLOOKUP('17.04'!AF71,'17.04'!$AM$4:$AP$55,4,FALSE))</f>
        <v>0</v>
      </c>
    </row>
    <row r="72" spans="1:24">
      <c r="A72" s="4">
        <f>(VLOOKUP('17.04'!I72,'17.04'!$AM$4:$AP$55,4,FALSE))</f>
        <v>0</v>
      </c>
      <c r="B72" s="4">
        <f>(VLOOKUP('17.04'!J72,'17.04'!$AM$4:$AP$55,4,FALSE))</f>
        <v>0</v>
      </c>
      <c r="C72" s="4">
        <f>(VLOOKUP('17.04'!K72,'17.04'!$AM$4:$AP$55,4,FALSE))</f>
        <v>0</v>
      </c>
      <c r="D72" s="4">
        <f>(VLOOKUP('17.04'!L72,'17.04'!$AM$4:$AP$55,4,FALSE))</f>
        <v>0</v>
      </c>
      <c r="E72" s="4">
        <f>(VLOOKUP('17.04'!M72,'17.04'!$AM$4:$AP$55,4,FALSE))</f>
        <v>0</v>
      </c>
      <c r="F72" s="4">
        <f>(VLOOKUP('17.04'!N72,'17.04'!$AM$4:$AP$55,4,FALSE))</f>
        <v>0</v>
      </c>
      <c r="G72" s="4">
        <f>(VLOOKUP('17.04'!O72,'17.04'!$AM$4:$AP$55,4,FALSE))</f>
        <v>0</v>
      </c>
      <c r="H72" s="4">
        <f>(VLOOKUP('17.04'!P72,'17.04'!$AM$4:$AP$55,4,FALSE))</f>
        <v>0</v>
      </c>
      <c r="I72" s="4">
        <f>(VLOOKUP('17.04'!Q72,'17.04'!$AM$4:$AP$55,4,FALSE))</f>
        <v>0</v>
      </c>
      <c r="J72" s="4">
        <f>(VLOOKUP('17.04'!R72,'17.04'!$AM$4:$AP$55,4,FALSE))</f>
        <v>0</v>
      </c>
      <c r="K72" s="4">
        <f>(VLOOKUP('17.04'!S72,'17.04'!$AM$4:$AP$55,4,FALSE))</f>
        <v>0</v>
      </c>
      <c r="L72" s="4">
        <f>(VLOOKUP('17.04'!T72,'17.04'!$AM$4:$AP$55,4,FALSE))</f>
        <v>0</v>
      </c>
      <c r="M72" s="4">
        <f>(VLOOKUP('17.04'!U72,'17.04'!$AM$4:$AP$55,4,FALSE))</f>
        <v>0</v>
      </c>
      <c r="N72" s="4">
        <f>(VLOOKUP('17.04'!V72,'17.04'!$AM$4:$AP$55,4,FALSE))</f>
        <v>0</v>
      </c>
      <c r="O72" s="4">
        <f>(VLOOKUP('17.04'!W72,'17.04'!$AM$4:$AP$55,4,FALSE))</f>
        <v>0</v>
      </c>
      <c r="P72" s="4">
        <f>(VLOOKUP('17.04'!X72,'17.04'!$AM$4:$AP$55,4,FALSE))</f>
        <v>0</v>
      </c>
      <c r="Q72" s="4">
        <f>(VLOOKUP('17.04'!Y72,'17.04'!$AM$4:$AP$55,4,FALSE))</f>
        <v>0</v>
      </c>
      <c r="R72" s="4">
        <f>(VLOOKUP('17.04'!Z72,'17.04'!$AM$4:$AP$55,4,FALSE))</f>
        <v>0</v>
      </c>
      <c r="S72" s="4">
        <f>(VLOOKUP('17.04'!AA72,'17.04'!$AM$4:$AP$55,4,FALSE))</f>
        <v>0</v>
      </c>
      <c r="T72" s="4">
        <f>(VLOOKUP('17.04'!AB72,'17.04'!$AM$4:$AP$55,4,FALSE))</f>
        <v>0</v>
      </c>
      <c r="U72" s="4">
        <f>(VLOOKUP('17.04'!AC72,'17.04'!$AM$4:$AP$55,4,FALSE))</f>
        <v>0</v>
      </c>
      <c r="V72" s="4">
        <f>(VLOOKUP('17.04'!AD72,'17.04'!$AM$4:$AP$55,4,FALSE))</f>
        <v>0</v>
      </c>
      <c r="W72" s="4">
        <f>(VLOOKUP('17.04'!AE72,'17.04'!$AM$4:$AP$55,4,FALSE))</f>
        <v>0</v>
      </c>
      <c r="X72" s="4">
        <f>(VLOOKUP('17.04'!AF72,'17.04'!$AM$4:$AP$55,4,FALSE))</f>
        <v>0</v>
      </c>
    </row>
    <row r="73" spans="1:24">
      <c r="A73" s="4">
        <f>(VLOOKUP('17.04'!I73,'17.04'!$AM$4:$AP$55,4,FALSE))</f>
        <v>0</v>
      </c>
      <c r="B73" s="4">
        <f>(VLOOKUP('17.04'!J73,'17.04'!$AM$4:$AP$55,4,FALSE))</f>
        <v>0</v>
      </c>
      <c r="C73" s="4">
        <f>(VLOOKUP('17.04'!K73,'17.04'!$AM$4:$AP$55,4,FALSE))</f>
        <v>0</v>
      </c>
      <c r="D73" s="4">
        <f>(VLOOKUP('17.04'!L73,'17.04'!$AM$4:$AP$55,4,FALSE))</f>
        <v>0</v>
      </c>
      <c r="E73" s="4">
        <f>(VLOOKUP('17.04'!M73,'17.04'!$AM$4:$AP$55,4,FALSE))</f>
        <v>0</v>
      </c>
      <c r="F73" s="4">
        <f>(VLOOKUP('17.04'!N73,'17.04'!$AM$4:$AP$55,4,FALSE))</f>
        <v>0</v>
      </c>
      <c r="G73" s="4">
        <f>(VLOOKUP('17.04'!O73,'17.04'!$AM$4:$AP$55,4,FALSE))</f>
        <v>0</v>
      </c>
      <c r="H73" s="4">
        <f>(VLOOKUP('17.04'!P73,'17.04'!$AM$4:$AP$55,4,FALSE))</f>
        <v>0</v>
      </c>
      <c r="I73" s="4">
        <f>(VLOOKUP('17.04'!Q73,'17.04'!$AM$4:$AP$55,4,FALSE))</f>
        <v>0</v>
      </c>
      <c r="J73" s="4">
        <f>(VLOOKUP('17.04'!R73,'17.04'!$AM$4:$AP$55,4,FALSE))</f>
        <v>0</v>
      </c>
      <c r="K73" s="4">
        <f>(VLOOKUP('17.04'!S73,'17.04'!$AM$4:$AP$55,4,FALSE))</f>
        <v>0</v>
      </c>
      <c r="L73" s="4">
        <f>(VLOOKUP('17.04'!T73,'17.04'!$AM$4:$AP$55,4,FALSE))</f>
        <v>0</v>
      </c>
      <c r="M73" s="4">
        <f>(VLOOKUP('17.04'!U73,'17.04'!$AM$4:$AP$55,4,FALSE))</f>
        <v>0</v>
      </c>
      <c r="N73" s="4">
        <f>(VLOOKUP('17.04'!V73,'17.04'!$AM$4:$AP$55,4,FALSE))</f>
        <v>0</v>
      </c>
      <c r="O73" s="4">
        <f>(VLOOKUP('17.04'!W73,'17.04'!$AM$4:$AP$55,4,FALSE))</f>
        <v>0</v>
      </c>
      <c r="P73" s="4">
        <f>(VLOOKUP('17.04'!X73,'17.04'!$AM$4:$AP$55,4,FALSE))</f>
        <v>0</v>
      </c>
      <c r="Q73" s="4">
        <f>(VLOOKUP('17.04'!Y73,'17.04'!$AM$4:$AP$55,4,FALSE))</f>
        <v>0</v>
      </c>
      <c r="R73" s="4">
        <f>(VLOOKUP('17.04'!Z73,'17.04'!$AM$4:$AP$55,4,FALSE))</f>
        <v>0</v>
      </c>
      <c r="S73" s="4">
        <f>(VLOOKUP('17.04'!AA73,'17.04'!$AM$4:$AP$55,4,FALSE))</f>
        <v>0</v>
      </c>
      <c r="T73" s="4">
        <f>(VLOOKUP('17.04'!AB73,'17.04'!$AM$4:$AP$55,4,FALSE))</f>
        <v>0</v>
      </c>
      <c r="U73" s="4">
        <f>(VLOOKUP('17.04'!AC73,'17.04'!$AM$4:$AP$55,4,FALSE))</f>
        <v>0</v>
      </c>
      <c r="V73" s="4">
        <f>(VLOOKUP('17.04'!AD73,'17.04'!$AM$4:$AP$55,4,FALSE))</f>
        <v>0</v>
      </c>
      <c r="W73" s="4">
        <f>(VLOOKUP('17.04'!AE73,'17.04'!$AM$4:$AP$55,4,FALSE))</f>
        <v>0</v>
      </c>
      <c r="X73" s="4">
        <f>(VLOOKUP('17.04'!AF73,'17.04'!$AM$4:$AP$55,4,FALSE))</f>
        <v>0</v>
      </c>
    </row>
    <row r="74" spans="1:24">
      <c r="A74" s="4">
        <f>(VLOOKUP('17.04'!I74,'17.04'!$AM$4:$AP$55,4,FALSE))</f>
        <v>0</v>
      </c>
      <c r="B74" s="4">
        <f>(VLOOKUP('17.04'!J74,'17.04'!$AM$4:$AP$55,4,FALSE))</f>
        <v>0</v>
      </c>
      <c r="C74" s="4">
        <f>(VLOOKUP('17.04'!K74,'17.04'!$AM$4:$AP$55,4,FALSE))</f>
        <v>0</v>
      </c>
      <c r="D74" s="4">
        <f>(VLOOKUP('17.04'!L74,'17.04'!$AM$4:$AP$55,4,FALSE))</f>
        <v>0</v>
      </c>
      <c r="E74" s="4">
        <f>(VLOOKUP('17.04'!M74,'17.04'!$AM$4:$AP$55,4,FALSE))</f>
        <v>0</v>
      </c>
      <c r="F74" s="4">
        <f>(VLOOKUP('17.04'!N74,'17.04'!$AM$4:$AP$55,4,FALSE))</f>
        <v>0</v>
      </c>
      <c r="G74" s="4">
        <f>(VLOOKUP('17.04'!O74,'17.04'!$AM$4:$AP$55,4,FALSE))</f>
        <v>0</v>
      </c>
      <c r="H74" s="4">
        <f>(VLOOKUP('17.04'!P74,'17.04'!$AM$4:$AP$55,4,FALSE))</f>
        <v>0</v>
      </c>
      <c r="I74" s="4">
        <f>(VLOOKUP('17.04'!Q74,'17.04'!$AM$4:$AP$55,4,FALSE))</f>
        <v>0</v>
      </c>
      <c r="J74" s="4">
        <f>(VLOOKUP('17.04'!R74,'17.04'!$AM$4:$AP$55,4,FALSE))</f>
        <v>0</v>
      </c>
      <c r="K74" s="4">
        <f>(VLOOKUP('17.04'!S74,'17.04'!$AM$4:$AP$55,4,FALSE))</f>
        <v>0</v>
      </c>
      <c r="L74" s="4">
        <f>(VLOOKUP('17.04'!T74,'17.04'!$AM$4:$AP$55,4,FALSE))</f>
        <v>0</v>
      </c>
      <c r="M74" s="4">
        <f>(VLOOKUP('17.04'!U74,'17.04'!$AM$4:$AP$55,4,FALSE))</f>
        <v>0</v>
      </c>
      <c r="N74" s="4">
        <f>(VLOOKUP('17.04'!V74,'17.04'!$AM$4:$AP$55,4,FALSE))</f>
        <v>0</v>
      </c>
      <c r="O74" s="4">
        <f>(VLOOKUP('17.04'!W74,'17.04'!$AM$4:$AP$55,4,FALSE))</f>
        <v>0</v>
      </c>
      <c r="P74" s="4">
        <f>(VLOOKUP('17.04'!X74,'17.04'!$AM$4:$AP$55,4,FALSE))</f>
        <v>0</v>
      </c>
      <c r="Q74" s="4">
        <f>(VLOOKUP('17.04'!Y74,'17.04'!$AM$4:$AP$55,4,FALSE))</f>
        <v>0</v>
      </c>
      <c r="R74" s="4">
        <f>(VLOOKUP('17.04'!Z74,'17.04'!$AM$4:$AP$55,4,FALSE))</f>
        <v>0</v>
      </c>
      <c r="S74" s="4">
        <f>(VLOOKUP('17.04'!AA74,'17.04'!$AM$4:$AP$55,4,FALSE))</f>
        <v>0</v>
      </c>
      <c r="T74" s="4">
        <f>(VLOOKUP('17.04'!AB74,'17.04'!$AM$4:$AP$55,4,FALSE))</f>
        <v>0</v>
      </c>
      <c r="U74" s="4">
        <f>(VLOOKUP('17.04'!AC74,'17.04'!$AM$4:$AP$55,4,FALSE))</f>
        <v>0</v>
      </c>
      <c r="V74" s="4">
        <f>(VLOOKUP('17.04'!AD74,'17.04'!$AM$4:$AP$55,4,FALSE))</f>
        <v>0</v>
      </c>
      <c r="W74" s="4">
        <f>(VLOOKUP('17.04'!AE74,'17.04'!$AM$4:$AP$55,4,FALSE))</f>
        <v>0</v>
      </c>
      <c r="X74" s="4">
        <f>(VLOOKUP('17.04'!AF74,'17.04'!$AM$4:$AP$55,4,FALSE))</f>
        <v>0</v>
      </c>
    </row>
    <row r="75" spans="1:24">
      <c r="A75" s="4">
        <f>(VLOOKUP('17.04'!I75,'17.04'!$AM$4:$AP$55,4,FALSE))</f>
        <v>0</v>
      </c>
      <c r="B75" s="4">
        <f>(VLOOKUP('17.04'!J75,'17.04'!$AM$4:$AP$55,4,FALSE))</f>
        <v>0</v>
      </c>
      <c r="C75" s="4">
        <f>(VLOOKUP('17.04'!K75,'17.04'!$AM$4:$AP$55,4,FALSE))</f>
        <v>0</v>
      </c>
      <c r="D75" s="4">
        <f>(VLOOKUP('17.04'!L75,'17.04'!$AM$4:$AP$55,4,FALSE))</f>
        <v>0</v>
      </c>
      <c r="E75" s="4">
        <f>(VLOOKUP('17.04'!M75,'17.04'!$AM$4:$AP$55,4,FALSE))</f>
        <v>0</v>
      </c>
      <c r="F75" s="4">
        <f>(VLOOKUP('17.04'!N75,'17.04'!$AM$4:$AP$55,4,FALSE))</f>
        <v>0</v>
      </c>
      <c r="G75" s="4">
        <f>(VLOOKUP('17.04'!O75,'17.04'!$AM$4:$AP$55,4,FALSE))</f>
        <v>0</v>
      </c>
      <c r="H75" s="4">
        <f>(VLOOKUP('17.04'!P75,'17.04'!$AM$4:$AP$55,4,FALSE))</f>
        <v>0</v>
      </c>
      <c r="I75" s="4">
        <f>(VLOOKUP('17.04'!Q75,'17.04'!$AM$4:$AP$55,4,FALSE))</f>
        <v>0</v>
      </c>
      <c r="J75" s="4">
        <f>(VLOOKUP('17.04'!R75,'17.04'!$AM$4:$AP$55,4,FALSE))</f>
        <v>0</v>
      </c>
      <c r="K75" s="4">
        <f>(VLOOKUP('17.04'!S75,'17.04'!$AM$4:$AP$55,4,FALSE))</f>
        <v>0</v>
      </c>
      <c r="L75" s="4">
        <f>(VLOOKUP('17.04'!T75,'17.04'!$AM$4:$AP$55,4,FALSE))</f>
        <v>0</v>
      </c>
      <c r="M75" s="4">
        <f>(VLOOKUP('17.04'!U75,'17.04'!$AM$4:$AP$55,4,FALSE))</f>
        <v>0</v>
      </c>
      <c r="N75" s="4">
        <f>(VLOOKUP('17.04'!V75,'17.04'!$AM$4:$AP$55,4,FALSE))</f>
        <v>0</v>
      </c>
      <c r="O75" s="4">
        <f>(VLOOKUP('17.04'!W75,'17.04'!$AM$4:$AP$55,4,FALSE))</f>
        <v>0</v>
      </c>
      <c r="P75" s="4">
        <f>(VLOOKUP('17.04'!X75,'17.04'!$AM$4:$AP$55,4,FALSE))</f>
        <v>0</v>
      </c>
      <c r="Q75" s="4">
        <f>(VLOOKUP('17.04'!Y75,'17.04'!$AM$4:$AP$55,4,FALSE))</f>
        <v>0</v>
      </c>
      <c r="R75" s="4">
        <f>(VLOOKUP('17.04'!Z75,'17.04'!$AM$4:$AP$55,4,FALSE))</f>
        <v>0</v>
      </c>
      <c r="S75" s="4">
        <f>(VLOOKUP('17.04'!AA75,'17.04'!$AM$4:$AP$55,4,FALSE))</f>
        <v>0</v>
      </c>
      <c r="T75" s="4">
        <f>(VLOOKUP('17.04'!AB75,'17.04'!$AM$4:$AP$55,4,FALSE))</f>
        <v>0</v>
      </c>
      <c r="U75" s="4">
        <f>(VLOOKUP('17.04'!AC75,'17.04'!$AM$4:$AP$55,4,FALSE))</f>
        <v>0</v>
      </c>
      <c r="V75" s="4">
        <f>(VLOOKUP('17.04'!AD75,'17.04'!$AM$4:$AP$55,4,FALSE))</f>
        <v>0</v>
      </c>
      <c r="W75" s="4">
        <f>(VLOOKUP('17.04'!AE75,'17.04'!$AM$4:$AP$55,4,FALSE))</f>
        <v>0</v>
      </c>
      <c r="X75" s="4">
        <f>(VLOOKUP('17.04'!AF75,'17.04'!$AM$4:$AP$55,4,FALSE))</f>
        <v>0</v>
      </c>
    </row>
    <row r="76" spans="1:24">
      <c r="A76" s="4">
        <f>(VLOOKUP('17.04'!I76,'17.04'!$AM$4:$AP$55,4,FALSE))</f>
        <v>0</v>
      </c>
      <c r="B76" s="4">
        <f>(VLOOKUP('17.04'!J76,'17.04'!$AM$4:$AP$55,4,FALSE))</f>
        <v>0</v>
      </c>
      <c r="C76" s="4">
        <f>(VLOOKUP('17.04'!K76,'17.04'!$AM$4:$AP$55,4,FALSE))</f>
        <v>0</v>
      </c>
      <c r="D76" s="4">
        <f>(VLOOKUP('17.04'!L76,'17.04'!$AM$4:$AP$55,4,FALSE))</f>
        <v>0</v>
      </c>
      <c r="E76" s="4">
        <f>(VLOOKUP('17.04'!M76,'17.04'!$AM$4:$AP$55,4,FALSE))</f>
        <v>0</v>
      </c>
      <c r="F76" s="4">
        <f>(VLOOKUP('17.04'!N76,'17.04'!$AM$4:$AP$55,4,FALSE))</f>
        <v>0</v>
      </c>
      <c r="G76" s="4">
        <f>(VLOOKUP('17.04'!O76,'17.04'!$AM$4:$AP$55,4,FALSE))</f>
        <v>0</v>
      </c>
      <c r="H76" s="4">
        <f>(VLOOKUP('17.04'!P76,'17.04'!$AM$4:$AP$55,4,FALSE))</f>
        <v>0</v>
      </c>
      <c r="I76" s="4">
        <f>(VLOOKUP('17.04'!Q76,'17.04'!$AM$4:$AP$55,4,FALSE))</f>
        <v>0</v>
      </c>
      <c r="J76" s="4">
        <f>(VLOOKUP('17.04'!R76,'17.04'!$AM$4:$AP$55,4,FALSE))</f>
        <v>0</v>
      </c>
      <c r="K76" s="4">
        <f>(VLOOKUP('17.04'!S76,'17.04'!$AM$4:$AP$55,4,FALSE))</f>
        <v>0</v>
      </c>
      <c r="L76" s="4">
        <f>(VLOOKUP('17.04'!T76,'17.04'!$AM$4:$AP$55,4,FALSE))</f>
        <v>0</v>
      </c>
      <c r="M76" s="4">
        <f>(VLOOKUP('17.04'!U76,'17.04'!$AM$4:$AP$55,4,FALSE))</f>
        <v>0</v>
      </c>
      <c r="N76" s="4">
        <f>(VLOOKUP('17.04'!V76,'17.04'!$AM$4:$AP$55,4,FALSE))</f>
        <v>0</v>
      </c>
      <c r="O76" s="4">
        <f>(VLOOKUP('17.04'!W76,'17.04'!$AM$4:$AP$55,4,FALSE))</f>
        <v>0</v>
      </c>
      <c r="P76" s="4">
        <f>(VLOOKUP('17.04'!X76,'17.04'!$AM$4:$AP$55,4,FALSE))</f>
        <v>0</v>
      </c>
      <c r="Q76" s="4">
        <f>(VLOOKUP('17.04'!Y76,'17.04'!$AM$4:$AP$55,4,FALSE))</f>
        <v>0</v>
      </c>
      <c r="R76" s="4">
        <f>(VLOOKUP('17.04'!Z76,'17.04'!$AM$4:$AP$55,4,FALSE))</f>
        <v>0</v>
      </c>
      <c r="S76" s="4">
        <f>(VLOOKUP('17.04'!AA76,'17.04'!$AM$4:$AP$55,4,FALSE))</f>
        <v>0</v>
      </c>
      <c r="T76" s="4">
        <f>(VLOOKUP('17.04'!AB76,'17.04'!$AM$4:$AP$55,4,FALSE))</f>
        <v>0</v>
      </c>
      <c r="U76" s="4">
        <f>(VLOOKUP('17.04'!AC76,'17.04'!$AM$4:$AP$55,4,FALSE))</f>
        <v>0</v>
      </c>
      <c r="V76" s="4">
        <f>(VLOOKUP('17.04'!AD76,'17.04'!$AM$4:$AP$55,4,FALSE))</f>
        <v>0</v>
      </c>
      <c r="W76" s="4">
        <f>(VLOOKUP('17.04'!AE76,'17.04'!$AM$4:$AP$55,4,FALSE))</f>
        <v>0</v>
      </c>
      <c r="X76" s="4">
        <f>(VLOOKUP('17.04'!AF76,'17.04'!$AM$4:$AP$55,4,FALSE))</f>
        <v>0</v>
      </c>
    </row>
    <row r="77" spans="1:24">
      <c r="A77" s="4">
        <f>(VLOOKUP('17.04'!I77,'17.04'!$AM$4:$AP$55,4,FALSE))</f>
        <v>0</v>
      </c>
      <c r="B77" s="4">
        <f>(VLOOKUP('17.04'!J77,'17.04'!$AM$4:$AP$55,4,FALSE))</f>
        <v>0</v>
      </c>
      <c r="C77" s="4">
        <f>(VLOOKUP('17.04'!K77,'17.04'!$AM$4:$AP$55,4,FALSE))</f>
        <v>0</v>
      </c>
      <c r="D77" s="4">
        <f>(VLOOKUP('17.04'!L77,'17.04'!$AM$4:$AP$55,4,FALSE))</f>
        <v>0</v>
      </c>
      <c r="E77" s="4">
        <f>(VLOOKUP('17.04'!M77,'17.04'!$AM$4:$AP$55,4,FALSE))</f>
        <v>0</v>
      </c>
      <c r="F77" s="4">
        <f>(VLOOKUP('17.04'!N77,'17.04'!$AM$4:$AP$55,4,FALSE))</f>
        <v>0</v>
      </c>
      <c r="G77" s="4">
        <f>(VLOOKUP('17.04'!O77,'17.04'!$AM$4:$AP$55,4,FALSE))</f>
        <v>0</v>
      </c>
      <c r="H77" s="4">
        <f>(VLOOKUP('17.04'!P77,'17.04'!$AM$4:$AP$55,4,FALSE))</f>
        <v>0</v>
      </c>
      <c r="I77" s="4">
        <f>(VLOOKUP('17.04'!Q77,'17.04'!$AM$4:$AP$55,4,FALSE))</f>
        <v>0</v>
      </c>
      <c r="J77" s="4">
        <f>(VLOOKUP('17.04'!R77,'17.04'!$AM$4:$AP$55,4,FALSE))</f>
        <v>0</v>
      </c>
      <c r="K77" s="4">
        <f>(VLOOKUP('17.04'!S77,'17.04'!$AM$4:$AP$55,4,FALSE))</f>
        <v>0</v>
      </c>
      <c r="L77" s="4">
        <f>(VLOOKUP('17.04'!T77,'17.04'!$AM$4:$AP$55,4,FALSE))</f>
        <v>0</v>
      </c>
      <c r="M77" s="4">
        <f>(VLOOKUP('17.04'!U77,'17.04'!$AM$4:$AP$55,4,FALSE))</f>
        <v>0</v>
      </c>
      <c r="N77" s="4">
        <f>(VLOOKUP('17.04'!V77,'17.04'!$AM$4:$AP$55,4,FALSE))</f>
        <v>0</v>
      </c>
      <c r="O77" s="4">
        <f>(VLOOKUP('17.04'!W77,'17.04'!$AM$4:$AP$55,4,FALSE))</f>
        <v>0</v>
      </c>
      <c r="P77" s="4">
        <f>(VLOOKUP('17.04'!X77,'17.04'!$AM$4:$AP$55,4,FALSE))</f>
        <v>0</v>
      </c>
      <c r="Q77" s="4">
        <f>(VLOOKUP('17.04'!Y77,'17.04'!$AM$4:$AP$55,4,FALSE))</f>
        <v>0</v>
      </c>
      <c r="R77" s="4">
        <f>(VLOOKUP('17.04'!Z77,'17.04'!$AM$4:$AP$55,4,FALSE))</f>
        <v>0</v>
      </c>
      <c r="S77" s="4">
        <f>(VLOOKUP('17.04'!AA77,'17.04'!$AM$4:$AP$55,4,FALSE))</f>
        <v>0</v>
      </c>
      <c r="T77" s="4">
        <f>(VLOOKUP('17.04'!AB77,'17.04'!$AM$4:$AP$55,4,FALSE))</f>
        <v>0</v>
      </c>
      <c r="U77" s="4">
        <f>(VLOOKUP('17.04'!AC77,'17.04'!$AM$4:$AP$55,4,FALSE))</f>
        <v>0</v>
      </c>
      <c r="V77" s="4">
        <f>(VLOOKUP('17.04'!AD77,'17.04'!$AM$4:$AP$55,4,FALSE))</f>
        <v>0</v>
      </c>
      <c r="W77" s="4">
        <f>(VLOOKUP('17.04'!AE77,'17.04'!$AM$4:$AP$55,4,FALSE))</f>
        <v>0</v>
      </c>
      <c r="X77" s="4">
        <f>(VLOOKUP('17.04'!AF77,'17.04'!$AM$4:$AP$55,4,FALSE))</f>
        <v>0</v>
      </c>
    </row>
    <row r="78" spans="1:24">
      <c r="A78" s="4">
        <f>(VLOOKUP('17.04'!I78,'17.04'!$AM$4:$AP$55,4,FALSE))</f>
        <v>0</v>
      </c>
      <c r="B78" s="4">
        <f>(VLOOKUP('17.04'!J78,'17.04'!$AM$4:$AP$55,4,FALSE))</f>
        <v>0</v>
      </c>
      <c r="C78" s="4">
        <f>(VLOOKUP('17.04'!K78,'17.04'!$AM$4:$AP$55,4,FALSE))</f>
        <v>0</v>
      </c>
      <c r="D78" s="4">
        <f>(VLOOKUP('17.04'!L78,'17.04'!$AM$4:$AP$55,4,FALSE))</f>
        <v>0</v>
      </c>
      <c r="E78" s="4">
        <f>(VLOOKUP('17.04'!M78,'17.04'!$AM$4:$AP$55,4,FALSE))</f>
        <v>0</v>
      </c>
      <c r="F78" s="4">
        <f>(VLOOKUP('17.04'!N78,'17.04'!$AM$4:$AP$55,4,FALSE))</f>
        <v>0</v>
      </c>
      <c r="G78" s="4">
        <f>(VLOOKUP('17.04'!O78,'17.04'!$AM$4:$AP$55,4,FALSE))</f>
        <v>0</v>
      </c>
      <c r="H78" s="4">
        <f>(VLOOKUP('17.04'!P78,'17.04'!$AM$4:$AP$55,4,FALSE))</f>
        <v>0</v>
      </c>
      <c r="I78" s="4">
        <f>(VLOOKUP('17.04'!Q78,'17.04'!$AM$4:$AP$55,4,FALSE))</f>
        <v>0</v>
      </c>
      <c r="J78" s="4">
        <f>(VLOOKUP('17.04'!R78,'17.04'!$AM$4:$AP$55,4,FALSE))</f>
        <v>0</v>
      </c>
      <c r="K78" s="4">
        <f>(VLOOKUP('17.04'!S78,'17.04'!$AM$4:$AP$55,4,FALSE))</f>
        <v>0</v>
      </c>
      <c r="L78" s="4">
        <f>(VLOOKUP('17.04'!T78,'17.04'!$AM$4:$AP$55,4,FALSE))</f>
        <v>0</v>
      </c>
      <c r="M78" s="4">
        <f>(VLOOKUP('17.04'!U78,'17.04'!$AM$4:$AP$55,4,FALSE))</f>
        <v>0</v>
      </c>
      <c r="N78" s="4">
        <f>(VLOOKUP('17.04'!V78,'17.04'!$AM$4:$AP$55,4,FALSE))</f>
        <v>0</v>
      </c>
      <c r="O78" s="4">
        <f>(VLOOKUP('17.04'!W78,'17.04'!$AM$4:$AP$55,4,FALSE))</f>
        <v>0</v>
      </c>
      <c r="P78" s="4">
        <f>(VLOOKUP('17.04'!X78,'17.04'!$AM$4:$AP$55,4,FALSE))</f>
        <v>0</v>
      </c>
      <c r="Q78" s="4">
        <f>(VLOOKUP('17.04'!Y78,'17.04'!$AM$4:$AP$55,4,FALSE))</f>
        <v>0</v>
      </c>
      <c r="R78" s="4">
        <f>(VLOOKUP('17.04'!Z78,'17.04'!$AM$4:$AP$55,4,FALSE))</f>
        <v>0</v>
      </c>
      <c r="S78" s="4">
        <f>(VLOOKUP('17.04'!AA78,'17.04'!$AM$4:$AP$55,4,FALSE))</f>
        <v>0</v>
      </c>
      <c r="T78" s="4">
        <f>(VLOOKUP('17.04'!AB78,'17.04'!$AM$4:$AP$55,4,FALSE))</f>
        <v>0</v>
      </c>
      <c r="U78" s="4">
        <f>(VLOOKUP('17.04'!AC78,'17.04'!$AM$4:$AP$55,4,FALSE))</f>
        <v>0</v>
      </c>
      <c r="V78" s="4">
        <f>(VLOOKUP('17.04'!AD78,'17.04'!$AM$4:$AP$55,4,FALSE))</f>
        <v>0</v>
      </c>
      <c r="W78" s="4">
        <f>(VLOOKUP('17.04'!AE78,'17.04'!$AM$4:$AP$55,4,FALSE))</f>
        <v>0</v>
      </c>
      <c r="X78" s="4">
        <f>(VLOOKUP('17.04'!AF78,'17.04'!$AM$4:$AP$55,4,FALSE))</f>
        <v>0</v>
      </c>
    </row>
    <row r="79" spans="1:24">
      <c r="A79" s="4">
        <f>(VLOOKUP('17.04'!I79,'17.04'!$AM$4:$AP$55,4,FALSE))</f>
        <v>0</v>
      </c>
      <c r="B79" s="4">
        <f>(VLOOKUP('17.04'!J79,'17.04'!$AM$4:$AP$55,4,FALSE))</f>
        <v>0</v>
      </c>
      <c r="C79" s="4">
        <f>(VLOOKUP('17.04'!K79,'17.04'!$AM$4:$AP$55,4,FALSE))</f>
        <v>0</v>
      </c>
      <c r="D79" s="4">
        <f>(VLOOKUP('17.04'!L79,'17.04'!$AM$4:$AP$55,4,FALSE))</f>
        <v>0</v>
      </c>
      <c r="E79" s="4">
        <f>(VLOOKUP('17.04'!M79,'17.04'!$AM$4:$AP$55,4,FALSE))</f>
        <v>0</v>
      </c>
      <c r="F79" s="4">
        <f>(VLOOKUP('17.04'!N79,'17.04'!$AM$4:$AP$55,4,FALSE))</f>
        <v>0</v>
      </c>
      <c r="G79" s="4">
        <f>(VLOOKUP('17.04'!O79,'17.04'!$AM$4:$AP$55,4,FALSE))</f>
        <v>0</v>
      </c>
      <c r="H79" s="4">
        <f>(VLOOKUP('17.04'!P79,'17.04'!$AM$4:$AP$55,4,FALSE))</f>
        <v>0</v>
      </c>
      <c r="I79" s="4">
        <f>(VLOOKUP('17.04'!Q79,'17.04'!$AM$4:$AP$55,4,FALSE))</f>
        <v>0</v>
      </c>
      <c r="J79" s="4">
        <f>(VLOOKUP('17.04'!R79,'17.04'!$AM$4:$AP$55,4,FALSE))</f>
        <v>0</v>
      </c>
      <c r="K79" s="4">
        <f>(VLOOKUP('17.04'!S79,'17.04'!$AM$4:$AP$55,4,FALSE))</f>
        <v>0</v>
      </c>
      <c r="L79" s="4">
        <f>(VLOOKUP('17.04'!T79,'17.04'!$AM$4:$AP$55,4,FALSE))</f>
        <v>0</v>
      </c>
      <c r="M79" s="4">
        <f>(VLOOKUP('17.04'!U79,'17.04'!$AM$4:$AP$55,4,FALSE))</f>
        <v>0</v>
      </c>
      <c r="N79" s="4">
        <f>(VLOOKUP('17.04'!V79,'17.04'!$AM$4:$AP$55,4,FALSE))</f>
        <v>0</v>
      </c>
      <c r="O79" s="4">
        <f>(VLOOKUP('17.04'!W79,'17.04'!$AM$4:$AP$55,4,FALSE))</f>
        <v>0</v>
      </c>
      <c r="P79" s="4">
        <f>(VLOOKUP('17.04'!X79,'17.04'!$AM$4:$AP$55,4,FALSE))</f>
        <v>0</v>
      </c>
      <c r="Q79" s="4">
        <f>(VLOOKUP('17.04'!Y79,'17.04'!$AM$4:$AP$55,4,FALSE))</f>
        <v>0</v>
      </c>
      <c r="R79" s="4">
        <f>(VLOOKUP('17.04'!Z79,'17.04'!$AM$4:$AP$55,4,FALSE))</f>
        <v>0</v>
      </c>
      <c r="S79" s="4">
        <f>(VLOOKUP('17.04'!AA79,'17.04'!$AM$4:$AP$55,4,FALSE))</f>
        <v>0</v>
      </c>
      <c r="T79" s="4">
        <f>(VLOOKUP('17.04'!AB79,'17.04'!$AM$4:$AP$55,4,FALSE))</f>
        <v>0</v>
      </c>
      <c r="U79" s="4">
        <f>(VLOOKUP('17.04'!AC79,'17.04'!$AM$4:$AP$55,4,FALSE))</f>
        <v>0</v>
      </c>
      <c r="V79" s="4">
        <f>(VLOOKUP('17.04'!AD79,'17.04'!$AM$4:$AP$55,4,FALSE))</f>
        <v>0</v>
      </c>
      <c r="W79" s="4">
        <f>(VLOOKUP('17.04'!AE79,'17.04'!$AM$4:$AP$55,4,FALSE))</f>
        <v>0</v>
      </c>
      <c r="X79" s="4">
        <f>(VLOOKUP('17.04'!AF79,'17.04'!$AM$4:$AP$55,4,FALSE))</f>
        <v>0</v>
      </c>
    </row>
    <row r="80" spans="1:24">
      <c r="A80" s="4">
        <f>(VLOOKUP('17.04'!I80,'17.04'!$AM$4:$AP$55,4,FALSE))</f>
        <v>0</v>
      </c>
      <c r="B80" s="4">
        <f>(VLOOKUP('17.04'!J80,'17.04'!$AM$4:$AP$55,4,FALSE))</f>
        <v>0</v>
      </c>
      <c r="C80" s="4">
        <f>(VLOOKUP('17.04'!K80,'17.04'!$AM$4:$AP$55,4,FALSE))</f>
        <v>0</v>
      </c>
      <c r="D80" s="4">
        <f>(VLOOKUP('17.04'!L80,'17.04'!$AM$4:$AP$55,4,FALSE))</f>
        <v>0</v>
      </c>
      <c r="E80" s="4">
        <f>(VLOOKUP('17.04'!M80,'17.04'!$AM$4:$AP$55,4,FALSE))</f>
        <v>0</v>
      </c>
      <c r="F80" s="4">
        <f>(VLOOKUP('17.04'!N80,'17.04'!$AM$4:$AP$55,4,FALSE))</f>
        <v>0</v>
      </c>
      <c r="G80" s="4">
        <f>(VLOOKUP('17.04'!O80,'17.04'!$AM$4:$AP$55,4,FALSE))</f>
        <v>0</v>
      </c>
      <c r="H80" s="4">
        <f>(VLOOKUP('17.04'!P80,'17.04'!$AM$4:$AP$55,4,FALSE))</f>
        <v>0</v>
      </c>
      <c r="I80" s="4">
        <f>(VLOOKUP('17.04'!Q80,'17.04'!$AM$4:$AP$55,4,FALSE))</f>
        <v>0</v>
      </c>
      <c r="J80" s="4">
        <f>(VLOOKUP('17.04'!R80,'17.04'!$AM$4:$AP$55,4,FALSE))</f>
        <v>0</v>
      </c>
      <c r="K80" s="4">
        <f>(VLOOKUP('17.04'!S80,'17.04'!$AM$4:$AP$55,4,FALSE))</f>
        <v>0</v>
      </c>
      <c r="L80" s="4">
        <f>(VLOOKUP('17.04'!T80,'17.04'!$AM$4:$AP$55,4,FALSE))</f>
        <v>0</v>
      </c>
      <c r="M80" s="4">
        <f>(VLOOKUP('17.04'!U80,'17.04'!$AM$4:$AP$55,4,FALSE))</f>
        <v>0</v>
      </c>
      <c r="N80" s="4">
        <f>(VLOOKUP('17.04'!V80,'17.04'!$AM$4:$AP$55,4,FALSE))</f>
        <v>0</v>
      </c>
      <c r="O80" s="4">
        <f>(VLOOKUP('17.04'!W80,'17.04'!$AM$4:$AP$55,4,FALSE))</f>
        <v>0</v>
      </c>
      <c r="P80" s="4">
        <f>(VLOOKUP('17.04'!X80,'17.04'!$AM$4:$AP$55,4,FALSE))</f>
        <v>0</v>
      </c>
      <c r="Q80" s="4">
        <f>(VLOOKUP('17.04'!Y80,'17.04'!$AM$4:$AP$55,4,FALSE))</f>
        <v>0</v>
      </c>
      <c r="R80" s="4">
        <f>(VLOOKUP('17.04'!Z80,'17.04'!$AM$4:$AP$55,4,FALSE))</f>
        <v>0</v>
      </c>
      <c r="S80" s="4">
        <f>(VLOOKUP('17.04'!AA80,'17.04'!$AM$4:$AP$55,4,FALSE))</f>
        <v>0</v>
      </c>
      <c r="T80" s="4">
        <f>(VLOOKUP('17.04'!AB80,'17.04'!$AM$4:$AP$55,4,FALSE))</f>
        <v>0</v>
      </c>
      <c r="U80" s="4">
        <f>(VLOOKUP('17.04'!AC80,'17.04'!$AM$4:$AP$55,4,FALSE))</f>
        <v>0</v>
      </c>
      <c r="V80" s="4">
        <f>(VLOOKUP('17.04'!AD80,'17.04'!$AM$4:$AP$55,4,FALSE))</f>
        <v>0</v>
      </c>
      <c r="W80" s="4">
        <f>(VLOOKUP('17.04'!AE80,'17.04'!$AM$4:$AP$55,4,FALSE))</f>
        <v>0</v>
      </c>
      <c r="X80" s="4">
        <f>(VLOOKUP('17.04'!AF80,'17.04'!$AM$4:$AP$55,4,FALSE))</f>
        <v>0</v>
      </c>
    </row>
    <row r="81" spans="1:24">
      <c r="A81" s="4">
        <f>(VLOOKUP('17.04'!I81,'17.04'!$AM$4:$AP$55,4,FALSE))</f>
        <v>0</v>
      </c>
      <c r="B81" s="4">
        <f>(VLOOKUP('17.04'!J81,'17.04'!$AM$4:$AP$55,4,FALSE))</f>
        <v>0</v>
      </c>
      <c r="C81" s="4">
        <f>(VLOOKUP('17.04'!K81,'17.04'!$AM$4:$AP$55,4,FALSE))</f>
        <v>0</v>
      </c>
      <c r="D81" s="4">
        <f>(VLOOKUP('17.04'!L81,'17.04'!$AM$4:$AP$55,4,FALSE))</f>
        <v>0</v>
      </c>
      <c r="E81" s="4">
        <f>(VLOOKUP('17.04'!M81,'17.04'!$AM$4:$AP$55,4,FALSE))</f>
        <v>0</v>
      </c>
      <c r="F81" s="4">
        <f>(VLOOKUP('17.04'!N81,'17.04'!$AM$4:$AP$55,4,FALSE))</f>
        <v>0</v>
      </c>
      <c r="G81" s="4">
        <f>(VLOOKUP('17.04'!O81,'17.04'!$AM$4:$AP$55,4,FALSE))</f>
        <v>0</v>
      </c>
      <c r="H81" s="4">
        <f>(VLOOKUP('17.04'!P81,'17.04'!$AM$4:$AP$55,4,FALSE))</f>
        <v>0</v>
      </c>
      <c r="I81" s="4">
        <f>(VLOOKUP('17.04'!Q81,'17.04'!$AM$4:$AP$55,4,FALSE))</f>
        <v>0</v>
      </c>
      <c r="J81" s="4">
        <f>(VLOOKUP('17.04'!R81,'17.04'!$AM$4:$AP$55,4,FALSE))</f>
        <v>0</v>
      </c>
      <c r="K81" s="4">
        <f>(VLOOKUP('17.04'!S81,'17.04'!$AM$4:$AP$55,4,FALSE))</f>
        <v>0</v>
      </c>
      <c r="L81" s="4">
        <f>(VLOOKUP('17.04'!T81,'17.04'!$AM$4:$AP$55,4,FALSE))</f>
        <v>0</v>
      </c>
      <c r="M81" s="4">
        <f>(VLOOKUP('17.04'!U81,'17.04'!$AM$4:$AP$55,4,FALSE))</f>
        <v>0</v>
      </c>
      <c r="N81" s="4">
        <f>(VLOOKUP('17.04'!V81,'17.04'!$AM$4:$AP$55,4,FALSE))</f>
        <v>0</v>
      </c>
      <c r="O81" s="4">
        <f>(VLOOKUP('17.04'!W81,'17.04'!$AM$4:$AP$55,4,FALSE))</f>
        <v>0</v>
      </c>
      <c r="P81" s="4">
        <f>(VLOOKUP('17.04'!X81,'17.04'!$AM$4:$AP$55,4,FALSE))</f>
        <v>0</v>
      </c>
      <c r="Q81" s="4">
        <f>(VLOOKUP('17.04'!Y81,'17.04'!$AM$4:$AP$55,4,FALSE))</f>
        <v>0</v>
      </c>
      <c r="R81" s="4">
        <f>(VLOOKUP('17.04'!Z81,'17.04'!$AM$4:$AP$55,4,FALSE))</f>
        <v>0</v>
      </c>
      <c r="S81" s="4">
        <f>(VLOOKUP('17.04'!AA81,'17.04'!$AM$4:$AP$55,4,FALSE))</f>
        <v>0</v>
      </c>
      <c r="T81" s="4">
        <f>(VLOOKUP('17.04'!AB81,'17.04'!$AM$4:$AP$55,4,FALSE))</f>
        <v>0</v>
      </c>
      <c r="U81" s="4">
        <f>(VLOOKUP('17.04'!AC81,'17.04'!$AM$4:$AP$55,4,FALSE))</f>
        <v>0</v>
      </c>
      <c r="V81" s="4">
        <f>(VLOOKUP('17.04'!AD81,'17.04'!$AM$4:$AP$55,4,FALSE))</f>
        <v>0</v>
      </c>
      <c r="W81" s="4">
        <f>(VLOOKUP('17.04'!AE81,'17.04'!$AM$4:$AP$55,4,FALSE))</f>
        <v>0</v>
      </c>
      <c r="X81" s="4">
        <f>(VLOOKUP('17.04'!AF81,'17.04'!$AM$4:$AP$55,4,FALSE))</f>
        <v>0</v>
      </c>
    </row>
    <row r="82" spans="1:24">
      <c r="A82" s="4">
        <f>(VLOOKUP('17.04'!I82,'17.04'!$AM$4:$AP$55,4,FALSE))</f>
        <v>0</v>
      </c>
      <c r="B82" s="4">
        <f>(VLOOKUP('17.04'!J82,'17.04'!$AM$4:$AP$55,4,FALSE))</f>
        <v>0</v>
      </c>
      <c r="C82" s="4">
        <f>(VLOOKUP('17.04'!K82,'17.04'!$AM$4:$AP$55,4,FALSE))</f>
        <v>0</v>
      </c>
      <c r="D82" s="4">
        <f>(VLOOKUP('17.04'!L82,'17.04'!$AM$4:$AP$55,4,FALSE))</f>
        <v>0</v>
      </c>
      <c r="E82" s="4">
        <f>(VLOOKUP('17.04'!M82,'17.04'!$AM$4:$AP$55,4,FALSE))</f>
        <v>0</v>
      </c>
      <c r="F82" s="4">
        <f>(VLOOKUP('17.04'!N82,'17.04'!$AM$4:$AP$55,4,FALSE))</f>
        <v>0</v>
      </c>
      <c r="G82" s="4">
        <f>(VLOOKUP('17.04'!O82,'17.04'!$AM$4:$AP$55,4,FALSE))</f>
        <v>0</v>
      </c>
      <c r="H82" s="4">
        <f>(VLOOKUP('17.04'!P82,'17.04'!$AM$4:$AP$55,4,FALSE))</f>
        <v>0</v>
      </c>
      <c r="I82" s="4">
        <f>(VLOOKUP('17.04'!Q82,'17.04'!$AM$4:$AP$55,4,FALSE))</f>
        <v>0</v>
      </c>
      <c r="J82" s="4">
        <f>(VLOOKUP('17.04'!R82,'17.04'!$AM$4:$AP$55,4,FALSE))</f>
        <v>0</v>
      </c>
      <c r="K82" s="4">
        <f>(VLOOKUP('17.04'!S82,'17.04'!$AM$4:$AP$55,4,FALSE))</f>
        <v>0</v>
      </c>
      <c r="L82" s="4">
        <f>(VLOOKUP('17.04'!T82,'17.04'!$AM$4:$AP$55,4,FALSE))</f>
        <v>0</v>
      </c>
      <c r="M82" s="4">
        <f>(VLOOKUP('17.04'!U82,'17.04'!$AM$4:$AP$55,4,FALSE))</f>
        <v>0</v>
      </c>
      <c r="N82" s="4">
        <f>(VLOOKUP('17.04'!V82,'17.04'!$AM$4:$AP$55,4,FALSE))</f>
        <v>0</v>
      </c>
      <c r="O82" s="4">
        <f>(VLOOKUP('17.04'!W82,'17.04'!$AM$4:$AP$55,4,FALSE))</f>
        <v>0</v>
      </c>
      <c r="P82" s="4">
        <f>(VLOOKUP('17.04'!X82,'17.04'!$AM$4:$AP$55,4,FALSE))</f>
        <v>0</v>
      </c>
      <c r="Q82" s="4">
        <f>(VLOOKUP('17.04'!Y82,'17.04'!$AM$4:$AP$55,4,FALSE))</f>
        <v>0</v>
      </c>
      <c r="R82" s="4">
        <f>(VLOOKUP('17.04'!Z82,'17.04'!$AM$4:$AP$55,4,FALSE))</f>
        <v>0</v>
      </c>
      <c r="S82" s="4">
        <f>(VLOOKUP('17.04'!AA82,'17.04'!$AM$4:$AP$55,4,FALSE))</f>
        <v>0</v>
      </c>
      <c r="T82" s="4">
        <f>(VLOOKUP('17.04'!AB82,'17.04'!$AM$4:$AP$55,4,FALSE))</f>
        <v>0</v>
      </c>
      <c r="U82" s="4">
        <f>(VLOOKUP('17.04'!AC82,'17.04'!$AM$4:$AP$55,4,FALSE))</f>
        <v>0</v>
      </c>
      <c r="V82" s="4">
        <f>(VLOOKUP('17.04'!AD82,'17.04'!$AM$4:$AP$55,4,FALSE))</f>
        <v>0</v>
      </c>
      <c r="W82" s="4">
        <f>(VLOOKUP('17.04'!AE82,'17.04'!$AM$4:$AP$55,4,FALSE))</f>
        <v>0</v>
      </c>
      <c r="X82" s="4">
        <f>(VLOOKUP('17.04'!AF82,'17.04'!$AM$4:$AP$55,4,FALSE))</f>
        <v>0</v>
      </c>
    </row>
    <row r="83" spans="1:24">
      <c r="A83" s="4">
        <f>(VLOOKUP('17.04'!I83,'17.04'!$AM$4:$AP$55,4,FALSE))</f>
        <v>0</v>
      </c>
      <c r="B83" s="4">
        <f>(VLOOKUP('17.04'!J83,'17.04'!$AM$4:$AP$55,4,FALSE))</f>
        <v>0</v>
      </c>
      <c r="C83" s="4">
        <f>(VLOOKUP('17.04'!K83,'17.04'!$AM$4:$AP$55,4,FALSE))</f>
        <v>0</v>
      </c>
      <c r="D83" s="4">
        <f>(VLOOKUP('17.04'!L83,'17.04'!$AM$4:$AP$55,4,FALSE))</f>
        <v>0</v>
      </c>
      <c r="E83" s="4">
        <f>(VLOOKUP('17.04'!M83,'17.04'!$AM$4:$AP$55,4,FALSE))</f>
        <v>0</v>
      </c>
      <c r="F83" s="4">
        <f>(VLOOKUP('17.04'!N83,'17.04'!$AM$4:$AP$55,4,FALSE))</f>
        <v>0</v>
      </c>
      <c r="G83" s="4">
        <f>(VLOOKUP('17.04'!O83,'17.04'!$AM$4:$AP$55,4,FALSE))</f>
        <v>0</v>
      </c>
      <c r="H83" s="4">
        <f>(VLOOKUP('17.04'!P83,'17.04'!$AM$4:$AP$55,4,FALSE))</f>
        <v>0</v>
      </c>
      <c r="I83" s="4">
        <f>(VLOOKUP('17.04'!Q83,'17.04'!$AM$4:$AP$55,4,FALSE))</f>
        <v>0</v>
      </c>
      <c r="J83" s="4">
        <f>(VLOOKUP('17.04'!R83,'17.04'!$AM$4:$AP$55,4,FALSE))</f>
        <v>0</v>
      </c>
      <c r="K83" s="4">
        <f>(VLOOKUP('17.04'!S83,'17.04'!$AM$4:$AP$55,4,FALSE))</f>
        <v>0</v>
      </c>
      <c r="L83" s="4">
        <f>(VLOOKUP('17.04'!T83,'17.04'!$AM$4:$AP$55,4,FALSE))</f>
        <v>0</v>
      </c>
      <c r="M83" s="4">
        <f>(VLOOKUP('17.04'!U83,'17.04'!$AM$4:$AP$55,4,FALSE))</f>
        <v>0</v>
      </c>
      <c r="N83" s="4">
        <f>(VLOOKUP('17.04'!V83,'17.04'!$AM$4:$AP$55,4,FALSE))</f>
        <v>0</v>
      </c>
      <c r="O83" s="4">
        <f>(VLOOKUP('17.04'!W83,'17.04'!$AM$4:$AP$55,4,FALSE))</f>
        <v>0</v>
      </c>
      <c r="P83" s="4">
        <f>(VLOOKUP('17.04'!X83,'17.04'!$AM$4:$AP$55,4,FALSE))</f>
        <v>0</v>
      </c>
      <c r="Q83" s="4">
        <f>(VLOOKUP('17.04'!Y83,'17.04'!$AM$4:$AP$55,4,FALSE))</f>
        <v>0</v>
      </c>
      <c r="R83" s="4">
        <f>(VLOOKUP('17.04'!Z83,'17.04'!$AM$4:$AP$55,4,FALSE))</f>
        <v>0</v>
      </c>
      <c r="S83" s="4">
        <f>(VLOOKUP('17.04'!AA83,'17.04'!$AM$4:$AP$55,4,FALSE))</f>
        <v>0</v>
      </c>
      <c r="T83" s="4">
        <f>(VLOOKUP('17.04'!AB83,'17.04'!$AM$4:$AP$55,4,FALSE))</f>
        <v>0</v>
      </c>
      <c r="U83" s="4">
        <f>(VLOOKUP('17.04'!AC83,'17.04'!$AM$4:$AP$55,4,FALSE))</f>
        <v>0</v>
      </c>
      <c r="V83" s="4">
        <f>(VLOOKUP('17.04'!AD83,'17.04'!$AM$4:$AP$55,4,FALSE))</f>
        <v>0</v>
      </c>
      <c r="W83" s="4">
        <f>(VLOOKUP('17.04'!AE83,'17.04'!$AM$4:$AP$55,4,FALSE))</f>
        <v>0</v>
      </c>
      <c r="X83" s="4">
        <f>(VLOOKUP('17.04'!AF83,'17.04'!$AM$4:$AP$55,4,FALSE))</f>
        <v>0</v>
      </c>
    </row>
    <row r="84" spans="1:24">
      <c r="A84" s="4">
        <f>(VLOOKUP('17.04'!I84,'17.04'!$AM$4:$AP$55,4,FALSE))</f>
        <v>0</v>
      </c>
      <c r="B84" s="4">
        <f>(VLOOKUP('17.04'!J84,'17.04'!$AM$4:$AP$55,4,FALSE))</f>
        <v>0</v>
      </c>
      <c r="C84" s="4">
        <f>(VLOOKUP('17.04'!K84,'17.04'!$AM$4:$AP$55,4,FALSE))</f>
        <v>0</v>
      </c>
      <c r="D84" s="4">
        <f>(VLOOKUP('17.04'!L84,'17.04'!$AM$4:$AP$55,4,FALSE))</f>
        <v>0</v>
      </c>
      <c r="E84" s="4">
        <f>(VLOOKUP('17.04'!M84,'17.04'!$AM$4:$AP$55,4,FALSE))</f>
        <v>0</v>
      </c>
      <c r="F84" s="4">
        <f>(VLOOKUP('17.04'!N84,'17.04'!$AM$4:$AP$55,4,FALSE))</f>
        <v>0</v>
      </c>
      <c r="G84" s="4">
        <f>(VLOOKUP('17.04'!O84,'17.04'!$AM$4:$AP$55,4,FALSE))</f>
        <v>0</v>
      </c>
      <c r="H84" s="4">
        <f>(VLOOKUP('17.04'!P84,'17.04'!$AM$4:$AP$55,4,FALSE))</f>
        <v>0</v>
      </c>
      <c r="I84" s="4">
        <f>(VLOOKUP('17.04'!Q84,'17.04'!$AM$4:$AP$55,4,FALSE))</f>
        <v>0</v>
      </c>
      <c r="J84" s="4">
        <f>(VLOOKUP('17.04'!R84,'17.04'!$AM$4:$AP$55,4,FALSE))</f>
        <v>0</v>
      </c>
      <c r="K84" s="4">
        <f>(VLOOKUP('17.04'!S84,'17.04'!$AM$4:$AP$55,4,FALSE))</f>
        <v>0</v>
      </c>
      <c r="L84" s="4">
        <f>(VLOOKUP('17.04'!T84,'17.04'!$AM$4:$AP$55,4,FALSE))</f>
        <v>0</v>
      </c>
      <c r="M84" s="4">
        <f>(VLOOKUP('17.04'!U84,'17.04'!$AM$4:$AP$55,4,FALSE))</f>
        <v>0</v>
      </c>
      <c r="N84" s="4">
        <f>(VLOOKUP('17.04'!V84,'17.04'!$AM$4:$AP$55,4,FALSE))</f>
        <v>0</v>
      </c>
      <c r="O84" s="4">
        <f>(VLOOKUP('17.04'!W84,'17.04'!$AM$4:$AP$55,4,FALSE))</f>
        <v>0</v>
      </c>
      <c r="P84" s="4">
        <f>(VLOOKUP('17.04'!X84,'17.04'!$AM$4:$AP$55,4,FALSE))</f>
        <v>0</v>
      </c>
      <c r="Q84" s="4">
        <f>(VLOOKUP('17.04'!Y84,'17.04'!$AM$4:$AP$55,4,FALSE))</f>
        <v>0</v>
      </c>
      <c r="R84" s="4">
        <f>(VLOOKUP('17.04'!Z84,'17.04'!$AM$4:$AP$55,4,FALSE))</f>
        <v>0</v>
      </c>
      <c r="S84" s="4">
        <f>(VLOOKUP('17.04'!AA84,'17.04'!$AM$4:$AP$55,4,FALSE))</f>
        <v>0</v>
      </c>
      <c r="T84" s="4">
        <f>(VLOOKUP('17.04'!AB84,'17.04'!$AM$4:$AP$55,4,FALSE))</f>
        <v>0</v>
      </c>
      <c r="U84" s="4">
        <f>(VLOOKUP('17.04'!AC84,'17.04'!$AM$4:$AP$55,4,FALSE))</f>
        <v>0</v>
      </c>
      <c r="V84" s="4">
        <f>(VLOOKUP('17.04'!AD84,'17.04'!$AM$4:$AP$55,4,FALSE))</f>
        <v>0</v>
      </c>
      <c r="W84" s="4">
        <f>(VLOOKUP('17.04'!AE84,'17.04'!$AM$4:$AP$55,4,FALSE))</f>
        <v>0</v>
      </c>
      <c r="X84" s="4">
        <f>(VLOOKUP('17.04'!AF84,'17.04'!$AM$4:$AP$55,4,FALSE))</f>
        <v>0</v>
      </c>
    </row>
    <row r="85" spans="1:24">
      <c r="A85" s="4">
        <f>(VLOOKUP('17.04'!I85,'17.04'!$AM$4:$AP$55,4,FALSE))</f>
        <v>0</v>
      </c>
      <c r="B85" s="4">
        <f>(VLOOKUP('17.04'!J85,'17.04'!$AM$4:$AP$55,4,FALSE))</f>
        <v>0</v>
      </c>
      <c r="C85" s="4">
        <f>(VLOOKUP('17.04'!K85,'17.04'!$AM$4:$AP$55,4,FALSE))</f>
        <v>0</v>
      </c>
      <c r="D85" s="4">
        <f>(VLOOKUP('17.04'!L85,'17.04'!$AM$4:$AP$55,4,FALSE))</f>
        <v>0</v>
      </c>
      <c r="E85" s="4">
        <f>(VLOOKUP('17.04'!M85,'17.04'!$AM$4:$AP$55,4,FALSE))</f>
        <v>0</v>
      </c>
      <c r="F85" s="4">
        <f>(VLOOKUP('17.04'!N85,'17.04'!$AM$4:$AP$55,4,FALSE))</f>
        <v>0</v>
      </c>
      <c r="G85" s="4">
        <f>(VLOOKUP('17.04'!O85,'17.04'!$AM$4:$AP$55,4,FALSE))</f>
        <v>0</v>
      </c>
      <c r="H85" s="4">
        <f>(VLOOKUP('17.04'!P85,'17.04'!$AM$4:$AP$55,4,FALSE))</f>
        <v>0</v>
      </c>
      <c r="I85" s="4">
        <f>(VLOOKUP('17.04'!Q85,'17.04'!$AM$4:$AP$55,4,FALSE))</f>
        <v>0</v>
      </c>
      <c r="J85" s="4">
        <f>(VLOOKUP('17.04'!R85,'17.04'!$AM$4:$AP$55,4,FALSE))</f>
        <v>0</v>
      </c>
      <c r="K85" s="4">
        <f>(VLOOKUP('17.04'!S85,'17.04'!$AM$4:$AP$55,4,FALSE))</f>
        <v>0</v>
      </c>
      <c r="L85" s="4">
        <f>(VLOOKUP('17.04'!T85,'17.04'!$AM$4:$AP$55,4,FALSE))</f>
        <v>0</v>
      </c>
      <c r="M85" s="4">
        <f>(VLOOKUP('17.04'!U85,'17.04'!$AM$4:$AP$55,4,FALSE))</f>
        <v>0</v>
      </c>
      <c r="N85" s="4">
        <f>(VLOOKUP('17.04'!V85,'17.04'!$AM$4:$AP$55,4,FALSE))</f>
        <v>0</v>
      </c>
      <c r="O85" s="4">
        <f>(VLOOKUP('17.04'!W85,'17.04'!$AM$4:$AP$55,4,FALSE))</f>
        <v>0</v>
      </c>
      <c r="P85" s="4">
        <f>(VLOOKUP('17.04'!X85,'17.04'!$AM$4:$AP$55,4,FALSE))</f>
        <v>0</v>
      </c>
      <c r="Q85" s="4">
        <f>(VLOOKUP('17.04'!Y85,'17.04'!$AM$4:$AP$55,4,FALSE))</f>
        <v>0</v>
      </c>
      <c r="R85" s="4">
        <f>(VLOOKUP('17.04'!Z85,'17.04'!$AM$4:$AP$55,4,FALSE))</f>
        <v>0</v>
      </c>
      <c r="S85" s="4">
        <f>(VLOOKUP('17.04'!AA85,'17.04'!$AM$4:$AP$55,4,FALSE))</f>
        <v>0</v>
      </c>
      <c r="T85" s="4">
        <f>(VLOOKUP('17.04'!AB85,'17.04'!$AM$4:$AP$55,4,FALSE))</f>
        <v>0</v>
      </c>
      <c r="U85" s="4">
        <f>(VLOOKUP('17.04'!AC85,'17.04'!$AM$4:$AP$55,4,FALSE))</f>
        <v>0</v>
      </c>
      <c r="V85" s="4">
        <f>(VLOOKUP('17.04'!AD85,'17.04'!$AM$4:$AP$55,4,FALSE))</f>
        <v>0</v>
      </c>
      <c r="W85" s="4">
        <f>(VLOOKUP('17.04'!AE85,'17.04'!$AM$4:$AP$55,4,FALSE))</f>
        <v>0</v>
      </c>
      <c r="X85" s="4">
        <f>(VLOOKUP('17.04'!AF85,'17.04'!$AM$4:$AP$55,4,FALSE))</f>
        <v>0</v>
      </c>
    </row>
    <row r="86" spans="1:24">
      <c r="A86" s="4">
        <f>(VLOOKUP('17.04'!I86,'17.04'!$AM$4:$AP$55,4,FALSE))</f>
        <v>0</v>
      </c>
      <c r="B86" s="4">
        <f>(VLOOKUP('17.04'!J86,'17.04'!$AM$4:$AP$55,4,FALSE))</f>
        <v>0</v>
      </c>
      <c r="C86" s="4">
        <f>(VLOOKUP('17.04'!K86,'17.04'!$AM$4:$AP$55,4,FALSE))</f>
        <v>0</v>
      </c>
      <c r="D86" s="4">
        <f>(VLOOKUP('17.04'!L86,'17.04'!$AM$4:$AP$55,4,FALSE))</f>
        <v>0</v>
      </c>
      <c r="E86" s="4">
        <f>(VLOOKUP('17.04'!M86,'17.04'!$AM$4:$AP$55,4,FALSE))</f>
        <v>0</v>
      </c>
      <c r="F86" s="4">
        <f>(VLOOKUP('17.04'!N86,'17.04'!$AM$4:$AP$55,4,FALSE))</f>
        <v>0</v>
      </c>
      <c r="G86" s="4">
        <f>(VLOOKUP('17.04'!O86,'17.04'!$AM$4:$AP$55,4,FALSE))</f>
        <v>0</v>
      </c>
      <c r="H86" s="4">
        <f>(VLOOKUP('17.04'!P86,'17.04'!$AM$4:$AP$55,4,FALSE))</f>
        <v>0</v>
      </c>
      <c r="I86" s="4">
        <f>(VLOOKUP('17.04'!Q86,'17.04'!$AM$4:$AP$55,4,FALSE))</f>
        <v>0</v>
      </c>
      <c r="J86" s="4">
        <f>(VLOOKUP('17.04'!R86,'17.04'!$AM$4:$AP$55,4,FALSE))</f>
        <v>0</v>
      </c>
      <c r="K86" s="4">
        <f>(VLOOKUP('17.04'!S86,'17.04'!$AM$4:$AP$55,4,FALSE))</f>
        <v>0</v>
      </c>
      <c r="L86" s="4">
        <f>(VLOOKUP('17.04'!T86,'17.04'!$AM$4:$AP$55,4,FALSE))</f>
        <v>0</v>
      </c>
      <c r="M86" s="4">
        <f>(VLOOKUP('17.04'!U86,'17.04'!$AM$4:$AP$55,4,FALSE))</f>
        <v>0</v>
      </c>
      <c r="N86" s="4">
        <f>(VLOOKUP('17.04'!V86,'17.04'!$AM$4:$AP$55,4,FALSE))</f>
        <v>0</v>
      </c>
      <c r="O86" s="4">
        <f>(VLOOKUP('17.04'!W86,'17.04'!$AM$4:$AP$55,4,FALSE))</f>
        <v>0</v>
      </c>
      <c r="P86" s="4">
        <f>(VLOOKUP('17.04'!X86,'17.04'!$AM$4:$AP$55,4,FALSE))</f>
        <v>0</v>
      </c>
      <c r="Q86" s="4">
        <f>(VLOOKUP('17.04'!Y86,'17.04'!$AM$4:$AP$55,4,FALSE))</f>
        <v>0</v>
      </c>
      <c r="R86" s="4">
        <f>(VLOOKUP('17.04'!Z86,'17.04'!$AM$4:$AP$55,4,FALSE))</f>
        <v>0</v>
      </c>
      <c r="S86" s="4">
        <f>(VLOOKUP('17.04'!AA86,'17.04'!$AM$4:$AP$55,4,FALSE))</f>
        <v>0</v>
      </c>
      <c r="T86" s="4">
        <f>(VLOOKUP('17.04'!AB86,'17.04'!$AM$4:$AP$55,4,FALSE))</f>
        <v>0</v>
      </c>
      <c r="U86" s="4">
        <f>(VLOOKUP('17.04'!AC86,'17.04'!$AM$4:$AP$55,4,FALSE))</f>
        <v>0</v>
      </c>
      <c r="V86" s="4">
        <f>(VLOOKUP('17.04'!AD86,'17.04'!$AM$4:$AP$55,4,FALSE))</f>
        <v>0</v>
      </c>
      <c r="W86" s="4">
        <f>(VLOOKUP('17.04'!AE86,'17.04'!$AM$4:$AP$55,4,FALSE))</f>
        <v>0</v>
      </c>
      <c r="X86" s="4">
        <f>(VLOOKUP('17.04'!AF86,'17.04'!$AM$4:$AP$55,4,FALSE))</f>
        <v>0</v>
      </c>
    </row>
    <row r="87" spans="1:24">
      <c r="A87" s="4">
        <f>(VLOOKUP('17.04'!I87,'17.04'!$AM$4:$AP$55,4,FALSE))</f>
        <v>0</v>
      </c>
      <c r="B87" s="4">
        <f>(VLOOKUP('17.04'!J87,'17.04'!$AM$4:$AP$55,4,FALSE))</f>
        <v>0</v>
      </c>
      <c r="C87" s="4">
        <f>(VLOOKUP('17.04'!K87,'17.04'!$AM$4:$AP$55,4,FALSE))</f>
        <v>0</v>
      </c>
      <c r="D87" s="4">
        <f>(VLOOKUP('17.04'!L87,'17.04'!$AM$4:$AP$55,4,FALSE))</f>
        <v>0</v>
      </c>
      <c r="E87" s="4">
        <f>(VLOOKUP('17.04'!M87,'17.04'!$AM$4:$AP$55,4,FALSE))</f>
        <v>0</v>
      </c>
      <c r="F87" s="4">
        <f>(VLOOKUP('17.04'!N87,'17.04'!$AM$4:$AP$55,4,FALSE))</f>
        <v>0</v>
      </c>
      <c r="G87" s="4">
        <f>(VLOOKUP('17.04'!O87,'17.04'!$AM$4:$AP$55,4,FALSE))</f>
        <v>0</v>
      </c>
      <c r="H87" s="4">
        <f>(VLOOKUP('17.04'!P87,'17.04'!$AM$4:$AP$55,4,FALSE))</f>
        <v>0</v>
      </c>
      <c r="I87" s="4">
        <f>(VLOOKUP('17.04'!Q87,'17.04'!$AM$4:$AP$55,4,FALSE))</f>
        <v>0</v>
      </c>
      <c r="J87" s="4">
        <f>(VLOOKUP('17.04'!R87,'17.04'!$AM$4:$AP$55,4,FALSE))</f>
        <v>0</v>
      </c>
      <c r="K87" s="4">
        <f>(VLOOKUP('17.04'!S87,'17.04'!$AM$4:$AP$55,4,FALSE))</f>
        <v>0</v>
      </c>
      <c r="L87" s="4">
        <f>(VLOOKUP('17.04'!T87,'17.04'!$AM$4:$AP$55,4,FALSE))</f>
        <v>0</v>
      </c>
      <c r="M87" s="4">
        <f>(VLOOKUP('17.04'!U87,'17.04'!$AM$4:$AP$55,4,FALSE))</f>
        <v>0</v>
      </c>
      <c r="N87" s="4">
        <f>(VLOOKUP('17.04'!V87,'17.04'!$AM$4:$AP$55,4,FALSE))</f>
        <v>0</v>
      </c>
      <c r="O87" s="4">
        <f>(VLOOKUP('17.04'!W87,'17.04'!$AM$4:$AP$55,4,FALSE))</f>
        <v>0</v>
      </c>
      <c r="P87" s="4">
        <f>(VLOOKUP('17.04'!X87,'17.04'!$AM$4:$AP$55,4,FALSE))</f>
        <v>0</v>
      </c>
      <c r="Q87" s="4">
        <f>(VLOOKUP('17.04'!Y87,'17.04'!$AM$4:$AP$55,4,FALSE))</f>
        <v>0</v>
      </c>
      <c r="R87" s="4">
        <f>(VLOOKUP('17.04'!Z87,'17.04'!$AM$4:$AP$55,4,FALSE))</f>
        <v>0</v>
      </c>
      <c r="S87" s="4">
        <f>(VLOOKUP('17.04'!AA87,'17.04'!$AM$4:$AP$55,4,FALSE))</f>
        <v>0</v>
      </c>
      <c r="T87" s="4">
        <f>(VLOOKUP('17.04'!AB87,'17.04'!$AM$4:$AP$55,4,FALSE))</f>
        <v>0</v>
      </c>
      <c r="U87" s="4">
        <f>(VLOOKUP('17.04'!AC87,'17.04'!$AM$4:$AP$55,4,FALSE))</f>
        <v>0</v>
      </c>
      <c r="V87" s="4">
        <f>(VLOOKUP('17.04'!AD87,'17.04'!$AM$4:$AP$55,4,FALSE))</f>
        <v>0</v>
      </c>
      <c r="W87" s="4">
        <f>(VLOOKUP('17.04'!AE87,'17.04'!$AM$4:$AP$55,4,FALSE))</f>
        <v>0</v>
      </c>
      <c r="X87" s="4">
        <f>(VLOOKUP('17.04'!AF87,'17.04'!$AM$4:$AP$55,4,FALSE))</f>
        <v>0</v>
      </c>
    </row>
    <row r="88" spans="1:24">
      <c r="A88" s="4">
        <f>(VLOOKUP('17.04'!I88,'17.04'!$AM$4:$AP$55,4,FALSE))</f>
        <v>0</v>
      </c>
      <c r="B88" s="4">
        <f>(VLOOKUP('17.04'!J88,'17.04'!$AM$4:$AP$55,4,FALSE))</f>
        <v>0</v>
      </c>
      <c r="C88" s="4">
        <f>(VLOOKUP('17.04'!K88,'17.04'!$AM$4:$AP$55,4,FALSE))</f>
        <v>0</v>
      </c>
      <c r="D88" s="4">
        <f>(VLOOKUP('17.04'!L88,'17.04'!$AM$4:$AP$55,4,FALSE))</f>
        <v>0</v>
      </c>
      <c r="E88" s="4">
        <f>(VLOOKUP('17.04'!M88,'17.04'!$AM$4:$AP$55,4,FALSE))</f>
        <v>0</v>
      </c>
      <c r="F88" s="4">
        <f>(VLOOKUP('17.04'!N88,'17.04'!$AM$4:$AP$55,4,FALSE))</f>
        <v>0</v>
      </c>
      <c r="G88" s="4">
        <f>(VLOOKUP('17.04'!O88,'17.04'!$AM$4:$AP$55,4,FALSE))</f>
        <v>0</v>
      </c>
      <c r="H88" s="4">
        <f>(VLOOKUP('17.04'!P88,'17.04'!$AM$4:$AP$55,4,FALSE))</f>
        <v>0</v>
      </c>
      <c r="I88" s="4">
        <f>(VLOOKUP('17.04'!Q88,'17.04'!$AM$4:$AP$55,4,FALSE))</f>
        <v>0</v>
      </c>
      <c r="J88" s="4">
        <f>(VLOOKUP('17.04'!R88,'17.04'!$AM$4:$AP$55,4,FALSE))</f>
        <v>0</v>
      </c>
      <c r="K88" s="4">
        <f>(VLOOKUP('17.04'!S88,'17.04'!$AM$4:$AP$55,4,FALSE))</f>
        <v>0</v>
      </c>
      <c r="L88" s="4">
        <f>(VLOOKUP('17.04'!T88,'17.04'!$AM$4:$AP$55,4,FALSE))</f>
        <v>0</v>
      </c>
      <c r="M88" s="4">
        <f>(VLOOKUP('17.04'!U88,'17.04'!$AM$4:$AP$55,4,FALSE))</f>
        <v>0</v>
      </c>
      <c r="N88" s="4">
        <f>(VLOOKUP('17.04'!V88,'17.04'!$AM$4:$AP$55,4,FALSE))</f>
        <v>0</v>
      </c>
      <c r="O88" s="4">
        <f>(VLOOKUP('17.04'!W88,'17.04'!$AM$4:$AP$55,4,FALSE))</f>
        <v>0</v>
      </c>
      <c r="P88" s="4">
        <f>(VLOOKUP('17.04'!X88,'17.04'!$AM$4:$AP$55,4,FALSE))</f>
        <v>0</v>
      </c>
      <c r="Q88" s="4">
        <f>(VLOOKUP('17.04'!Y88,'17.04'!$AM$4:$AP$55,4,FALSE))</f>
        <v>0</v>
      </c>
      <c r="R88" s="4">
        <f>(VLOOKUP('17.04'!Z88,'17.04'!$AM$4:$AP$55,4,FALSE))</f>
        <v>0</v>
      </c>
      <c r="S88" s="4">
        <f>(VLOOKUP('17.04'!AA88,'17.04'!$AM$4:$AP$55,4,FALSE))</f>
        <v>0</v>
      </c>
      <c r="T88" s="4">
        <f>(VLOOKUP('17.04'!AB88,'17.04'!$AM$4:$AP$55,4,FALSE))</f>
        <v>0</v>
      </c>
      <c r="U88" s="4">
        <f>(VLOOKUP('17.04'!AC88,'17.04'!$AM$4:$AP$55,4,FALSE))</f>
        <v>0</v>
      </c>
      <c r="V88" s="4">
        <f>(VLOOKUP('17.04'!AD88,'17.04'!$AM$4:$AP$55,4,FALSE))</f>
        <v>0</v>
      </c>
      <c r="W88" s="4">
        <f>(VLOOKUP('17.04'!AE88,'17.04'!$AM$4:$AP$55,4,FALSE))</f>
        <v>0</v>
      </c>
      <c r="X88" s="4">
        <f>(VLOOKUP('17.04'!AF88,'17.04'!$AM$4:$AP$55,4,FALSE))</f>
        <v>0</v>
      </c>
    </row>
    <row r="89" spans="1:24">
      <c r="A89" s="4">
        <f>(VLOOKUP('17.04'!I89,'17.04'!$AM$4:$AP$55,4,FALSE))</f>
        <v>0</v>
      </c>
      <c r="B89" s="4">
        <f>(VLOOKUP('17.04'!J89,'17.04'!$AM$4:$AP$55,4,FALSE))</f>
        <v>0</v>
      </c>
      <c r="C89" s="4">
        <f>(VLOOKUP('17.04'!K89,'17.04'!$AM$4:$AP$55,4,FALSE))</f>
        <v>0</v>
      </c>
      <c r="D89" s="4">
        <f>(VLOOKUP('17.04'!L89,'17.04'!$AM$4:$AP$55,4,FALSE))</f>
        <v>0</v>
      </c>
      <c r="E89" s="4">
        <f>(VLOOKUP('17.04'!M89,'17.04'!$AM$4:$AP$55,4,FALSE))</f>
        <v>0</v>
      </c>
      <c r="F89" s="4">
        <f>(VLOOKUP('17.04'!N89,'17.04'!$AM$4:$AP$55,4,FALSE))</f>
        <v>0</v>
      </c>
      <c r="G89" s="4">
        <f>(VLOOKUP('17.04'!O89,'17.04'!$AM$4:$AP$55,4,FALSE))</f>
        <v>0</v>
      </c>
      <c r="H89" s="4">
        <f>(VLOOKUP('17.04'!P89,'17.04'!$AM$4:$AP$55,4,FALSE))</f>
        <v>0</v>
      </c>
      <c r="I89" s="4">
        <f>(VLOOKUP('17.04'!Q89,'17.04'!$AM$4:$AP$55,4,FALSE))</f>
        <v>0</v>
      </c>
      <c r="J89" s="4">
        <f>(VLOOKUP('17.04'!R89,'17.04'!$AM$4:$AP$55,4,FALSE))</f>
        <v>0</v>
      </c>
      <c r="K89" s="4">
        <f>(VLOOKUP('17.04'!S89,'17.04'!$AM$4:$AP$55,4,FALSE))</f>
        <v>0</v>
      </c>
      <c r="L89" s="4">
        <f>(VLOOKUP('17.04'!T89,'17.04'!$AM$4:$AP$55,4,FALSE))</f>
        <v>0</v>
      </c>
      <c r="M89" s="4">
        <f>(VLOOKUP('17.04'!U89,'17.04'!$AM$4:$AP$55,4,FALSE))</f>
        <v>0</v>
      </c>
      <c r="N89" s="4">
        <f>(VLOOKUP('17.04'!V89,'17.04'!$AM$4:$AP$55,4,FALSE))</f>
        <v>0</v>
      </c>
      <c r="O89" s="4">
        <f>(VLOOKUP('17.04'!W89,'17.04'!$AM$4:$AP$55,4,FALSE))</f>
        <v>0</v>
      </c>
      <c r="P89" s="4">
        <f>(VLOOKUP('17.04'!X89,'17.04'!$AM$4:$AP$55,4,FALSE))</f>
        <v>0</v>
      </c>
      <c r="Q89" s="4">
        <f>(VLOOKUP('17.04'!Y89,'17.04'!$AM$4:$AP$55,4,FALSE))</f>
        <v>0</v>
      </c>
      <c r="R89" s="4">
        <f>(VLOOKUP('17.04'!Z89,'17.04'!$AM$4:$AP$55,4,FALSE))</f>
        <v>0</v>
      </c>
      <c r="S89" s="4">
        <f>(VLOOKUP('17.04'!AA89,'17.04'!$AM$4:$AP$55,4,FALSE))</f>
        <v>0</v>
      </c>
      <c r="T89" s="4">
        <f>(VLOOKUP('17.04'!AB89,'17.04'!$AM$4:$AP$55,4,FALSE))</f>
        <v>0</v>
      </c>
      <c r="U89" s="4">
        <f>(VLOOKUP('17.04'!AC89,'17.04'!$AM$4:$AP$55,4,FALSE))</f>
        <v>0</v>
      </c>
      <c r="V89" s="4">
        <f>(VLOOKUP('17.04'!AD89,'17.04'!$AM$4:$AP$55,4,FALSE))</f>
        <v>0</v>
      </c>
      <c r="W89" s="4">
        <f>(VLOOKUP('17.04'!AE89,'17.04'!$AM$4:$AP$55,4,FALSE))</f>
        <v>0</v>
      </c>
      <c r="X89" s="4">
        <f>(VLOOKUP('17.04'!AF89,'17.04'!$AM$4:$AP$55,4,FALSE))</f>
        <v>0</v>
      </c>
    </row>
    <row r="90" spans="1:24">
      <c r="A90" s="4">
        <f>(VLOOKUP('17.04'!I90,'17.04'!$AM$4:$AP$55,4,FALSE))</f>
        <v>0</v>
      </c>
      <c r="B90" s="4">
        <f>(VLOOKUP('17.04'!J90,'17.04'!$AM$4:$AP$55,4,FALSE))</f>
        <v>0</v>
      </c>
      <c r="C90" s="4">
        <f>(VLOOKUP('17.04'!K90,'17.04'!$AM$4:$AP$55,4,FALSE))</f>
        <v>0</v>
      </c>
      <c r="D90" s="4">
        <f>(VLOOKUP('17.04'!L90,'17.04'!$AM$4:$AP$55,4,FALSE))</f>
        <v>0</v>
      </c>
      <c r="E90" s="4">
        <f>(VLOOKUP('17.04'!M90,'17.04'!$AM$4:$AP$55,4,FALSE))</f>
        <v>0</v>
      </c>
      <c r="F90" s="4">
        <f>(VLOOKUP('17.04'!N90,'17.04'!$AM$4:$AP$55,4,FALSE))</f>
        <v>0</v>
      </c>
      <c r="G90" s="4">
        <f>(VLOOKUP('17.04'!O90,'17.04'!$AM$4:$AP$55,4,FALSE))</f>
        <v>0</v>
      </c>
      <c r="H90" s="4">
        <f>(VLOOKUP('17.04'!P90,'17.04'!$AM$4:$AP$55,4,FALSE))</f>
        <v>0</v>
      </c>
      <c r="I90" s="4">
        <f>(VLOOKUP('17.04'!Q90,'17.04'!$AM$4:$AP$55,4,FALSE))</f>
        <v>29.110982162825422</v>
      </c>
      <c r="J90" s="4">
        <f>(VLOOKUP('17.04'!R90,'17.04'!$AM$4:$AP$55,4,FALSE))</f>
        <v>29.110982162825422</v>
      </c>
      <c r="K90" s="4">
        <f>(VLOOKUP('17.04'!S90,'17.04'!$AM$4:$AP$55,4,FALSE))</f>
        <v>0</v>
      </c>
      <c r="L90" s="4">
        <f>(VLOOKUP('17.04'!T90,'17.04'!$AM$4:$AP$55,4,FALSE))</f>
        <v>39.110982162825422</v>
      </c>
      <c r="M90" s="4">
        <f>(VLOOKUP('17.04'!U90,'17.04'!$AM$4:$AP$55,4,FALSE))</f>
        <v>10</v>
      </c>
      <c r="N90" s="4">
        <f>(VLOOKUP('17.04'!V90,'17.04'!$AM$4:$AP$55,4,FALSE))</f>
        <v>39.110982162825422</v>
      </c>
      <c r="O90" s="4">
        <f>(VLOOKUP('17.04'!W90,'17.04'!$AM$4:$AP$55,4,FALSE))</f>
        <v>0</v>
      </c>
      <c r="P90" s="4">
        <f>(VLOOKUP('17.04'!X90,'17.04'!$AM$4:$AP$55,4,FALSE))</f>
        <v>0</v>
      </c>
      <c r="Q90" s="4">
        <f>(VLOOKUP('17.04'!Y90,'17.04'!$AM$4:$AP$55,4,FALSE))</f>
        <v>0</v>
      </c>
      <c r="R90" s="4">
        <f>(VLOOKUP('17.04'!Z90,'17.04'!$AM$4:$AP$55,4,FALSE))</f>
        <v>0</v>
      </c>
      <c r="S90" s="4">
        <f>(VLOOKUP('17.04'!AA90,'17.04'!$AM$4:$AP$55,4,FALSE))</f>
        <v>0</v>
      </c>
      <c r="T90" s="4">
        <f>(VLOOKUP('17.04'!AB90,'17.04'!$AM$4:$AP$55,4,FALSE))</f>
        <v>0</v>
      </c>
      <c r="U90" s="4">
        <f>(VLOOKUP('17.04'!AC90,'17.04'!$AM$4:$AP$55,4,FALSE))</f>
        <v>0</v>
      </c>
      <c r="V90" s="4">
        <f>(VLOOKUP('17.04'!AD90,'17.04'!$AM$4:$AP$55,4,FALSE))</f>
        <v>0</v>
      </c>
      <c r="W90" s="4">
        <f>(VLOOKUP('17.04'!AE90,'17.04'!$AM$4:$AP$55,4,FALSE))</f>
        <v>0</v>
      </c>
      <c r="X90" s="4">
        <f>(VLOOKUP('17.04'!AF90,'17.04'!$AM$4:$AP$55,4,FALSE))</f>
        <v>0</v>
      </c>
    </row>
    <row r="91" spans="1:24">
      <c r="A91" s="4">
        <f>(VLOOKUP('17.04'!I91,'17.04'!$AM$4:$AP$55,4,FALSE))</f>
        <v>39.110982162825422</v>
      </c>
      <c r="B91" s="4">
        <f>(VLOOKUP('17.04'!J91,'17.04'!$AM$4:$AP$55,4,FALSE))</f>
        <v>39.110982162825422</v>
      </c>
      <c r="C91" s="4">
        <f>(VLOOKUP('17.04'!K91,'17.04'!$AM$4:$AP$55,4,FALSE))</f>
        <v>39.110982162825422</v>
      </c>
      <c r="D91" s="4">
        <f>(VLOOKUP('17.04'!L91,'17.04'!$AM$4:$AP$55,4,FALSE))</f>
        <v>39.110982162825422</v>
      </c>
      <c r="E91" s="4">
        <f>(VLOOKUP('17.04'!M91,'17.04'!$AM$4:$AP$55,4,FALSE))</f>
        <v>39.110982162825422</v>
      </c>
      <c r="F91" s="4">
        <f>(VLOOKUP('17.04'!N91,'17.04'!$AM$4:$AP$55,4,FALSE))</f>
        <v>10</v>
      </c>
      <c r="G91" s="4">
        <f>(VLOOKUP('17.04'!O91,'17.04'!$AM$4:$AP$55,4,FALSE))</f>
        <v>0</v>
      </c>
      <c r="H91" s="4">
        <f>(VLOOKUP('17.04'!P91,'17.04'!$AM$4:$AP$55,4,FALSE))</f>
        <v>0</v>
      </c>
      <c r="I91" s="4">
        <f>(VLOOKUP('17.04'!Q91,'17.04'!$AM$4:$AP$55,4,FALSE))</f>
        <v>0</v>
      </c>
      <c r="J91" s="4">
        <f>(VLOOKUP('17.04'!R91,'17.04'!$AM$4:$AP$55,4,FALSE))</f>
        <v>0</v>
      </c>
      <c r="K91" s="4">
        <f>(VLOOKUP('17.04'!S91,'17.04'!$AM$4:$AP$55,4,FALSE))</f>
        <v>0</v>
      </c>
      <c r="L91" s="4">
        <f>(VLOOKUP('17.04'!T91,'17.04'!$AM$4:$AP$55,4,FALSE))</f>
        <v>0</v>
      </c>
      <c r="M91" s="4">
        <f>(VLOOKUP('17.04'!U91,'17.04'!$AM$4:$AP$55,4,FALSE))</f>
        <v>0</v>
      </c>
      <c r="N91" s="4">
        <f>(VLOOKUP('17.04'!V91,'17.04'!$AM$4:$AP$55,4,FALSE))</f>
        <v>0</v>
      </c>
      <c r="O91" s="4">
        <f>(VLOOKUP('17.04'!W91,'17.04'!$AM$4:$AP$55,4,FALSE))</f>
        <v>0</v>
      </c>
      <c r="P91" s="4">
        <f>(VLOOKUP('17.04'!X91,'17.04'!$AM$4:$AP$55,4,FALSE))</f>
        <v>0</v>
      </c>
      <c r="Q91" s="4">
        <f>(VLOOKUP('17.04'!Y91,'17.04'!$AM$4:$AP$55,4,FALSE))</f>
        <v>0</v>
      </c>
      <c r="R91" s="4">
        <f>(VLOOKUP('17.04'!Z91,'17.04'!$AM$4:$AP$55,4,FALSE))</f>
        <v>0</v>
      </c>
      <c r="S91" s="4">
        <f>(VLOOKUP('17.04'!AA91,'17.04'!$AM$4:$AP$55,4,FALSE))</f>
        <v>0</v>
      </c>
      <c r="T91" s="4">
        <f>(VLOOKUP('17.04'!AB91,'17.04'!$AM$4:$AP$55,4,FALSE))</f>
        <v>0</v>
      </c>
      <c r="U91" s="4">
        <f>(VLOOKUP('17.04'!AC91,'17.04'!$AM$4:$AP$55,4,FALSE))</f>
        <v>0</v>
      </c>
      <c r="V91" s="4">
        <f>(VLOOKUP('17.04'!AD91,'17.04'!$AM$4:$AP$55,4,FALSE))</f>
        <v>0</v>
      </c>
      <c r="W91" s="4">
        <f>(VLOOKUP('17.04'!AE91,'17.04'!$AM$4:$AP$55,4,FALSE))</f>
        <v>0</v>
      </c>
      <c r="X91" s="4">
        <f>(VLOOKUP('17.04'!AF91,'17.04'!$AM$4:$AP$55,4,FALSE))</f>
        <v>0</v>
      </c>
    </row>
    <row r="92" spans="1:24">
      <c r="A92" s="4">
        <f>(VLOOKUP('17.04'!I92,'17.04'!$AM$4:$AP$55,4,FALSE))</f>
        <v>39.110982162825422</v>
      </c>
      <c r="B92" s="4">
        <f>(VLOOKUP('17.04'!J92,'17.04'!$AM$4:$AP$55,4,FALSE))</f>
        <v>39.110982162825422</v>
      </c>
      <c r="C92" s="4">
        <f>(VLOOKUP('17.04'!K92,'17.04'!$AM$4:$AP$55,4,FALSE))</f>
        <v>44.222109392472248</v>
      </c>
      <c r="D92" s="4">
        <f>(VLOOKUP('17.04'!L92,'17.04'!$AM$4:$AP$55,4,FALSE))</f>
        <v>39.110982162825422</v>
      </c>
      <c r="E92" s="4">
        <f>(VLOOKUP('17.04'!M92,'17.04'!$AM$4:$AP$55,4,FALSE))</f>
        <v>39.110982162825422</v>
      </c>
      <c r="F92" s="4">
        <f>(VLOOKUP('17.04'!N92,'17.04'!$AM$4:$AP$55,4,FALSE))</f>
        <v>10</v>
      </c>
      <c r="G92" s="4">
        <f>(VLOOKUP('17.04'!O92,'17.04'!$AM$4:$AP$55,4,FALSE))</f>
        <v>0</v>
      </c>
      <c r="H92" s="4">
        <f>(VLOOKUP('17.04'!P92,'17.04'!$AM$4:$AP$55,4,FALSE))</f>
        <v>0</v>
      </c>
      <c r="I92" s="4">
        <f>(VLOOKUP('17.04'!Q92,'17.04'!$AM$4:$AP$55,4,FALSE))</f>
        <v>0</v>
      </c>
      <c r="J92" s="4">
        <f>(VLOOKUP('17.04'!R92,'17.04'!$AM$4:$AP$55,4,FALSE))</f>
        <v>0</v>
      </c>
      <c r="K92" s="4">
        <f>(VLOOKUP('17.04'!S92,'17.04'!$AM$4:$AP$55,4,FALSE))</f>
        <v>0</v>
      </c>
      <c r="L92" s="4">
        <f>(VLOOKUP('17.04'!T92,'17.04'!$AM$4:$AP$55,4,FALSE))</f>
        <v>0</v>
      </c>
      <c r="M92" s="4">
        <f>(VLOOKUP('17.04'!U92,'17.04'!$AM$4:$AP$55,4,FALSE))</f>
        <v>0</v>
      </c>
      <c r="N92" s="4">
        <f>(VLOOKUP('17.04'!V92,'17.04'!$AM$4:$AP$55,4,FALSE))</f>
        <v>0</v>
      </c>
      <c r="O92" s="4">
        <f>(VLOOKUP('17.04'!W92,'17.04'!$AM$4:$AP$55,4,FALSE))</f>
        <v>0</v>
      </c>
      <c r="P92" s="4">
        <f>(VLOOKUP('17.04'!X92,'17.04'!$AM$4:$AP$55,4,FALSE))</f>
        <v>0</v>
      </c>
      <c r="Q92" s="4">
        <f>(VLOOKUP('17.04'!Y92,'17.04'!$AM$4:$AP$55,4,FALSE))</f>
        <v>39.110982162825422</v>
      </c>
      <c r="R92" s="4">
        <f>(VLOOKUP('17.04'!Z92,'17.04'!$AM$4:$AP$55,4,FALSE))</f>
        <v>39.110982162825422</v>
      </c>
      <c r="S92" s="4">
        <f>(VLOOKUP('17.04'!AA92,'17.04'!$AM$4:$AP$55,4,FALSE))</f>
        <v>39.110982162825422</v>
      </c>
      <c r="T92" s="4">
        <f>(VLOOKUP('17.04'!AB92,'17.04'!$AM$4:$AP$55,4,FALSE))</f>
        <v>39.110982162825422</v>
      </c>
      <c r="U92" s="4">
        <f>(VLOOKUP('17.04'!AC92,'17.04'!$AM$4:$AP$55,4,FALSE))</f>
        <v>10</v>
      </c>
      <c r="V92" s="4">
        <f>(VLOOKUP('17.04'!AD92,'17.04'!$AM$4:$AP$55,4,FALSE))</f>
        <v>0</v>
      </c>
      <c r="W92" s="4">
        <f>(VLOOKUP('17.04'!AE92,'17.04'!$AM$4:$AP$55,4,FALSE))</f>
        <v>0</v>
      </c>
      <c r="X92" s="4">
        <f>(VLOOKUP('17.04'!AF92,'17.04'!$AM$4:$AP$55,4,FALSE))</f>
        <v>0</v>
      </c>
    </row>
    <row r="93" spans="1:24">
      <c r="A93" s="4">
        <f>(VLOOKUP('17.04'!I93,'17.04'!$AM$4:$AP$55,4,FALSE))</f>
        <v>0</v>
      </c>
      <c r="B93" s="4">
        <f>(VLOOKUP('17.04'!J93,'17.04'!$AM$4:$AP$55,4,FALSE))</f>
        <v>0</v>
      </c>
      <c r="C93" s="4">
        <f>(VLOOKUP('17.04'!K93,'17.04'!$AM$4:$AP$55,4,FALSE))</f>
        <v>0</v>
      </c>
      <c r="D93" s="4">
        <f>(VLOOKUP('17.04'!L93,'17.04'!$AM$4:$AP$55,4,FALSE))</f>
        <v>0</v>
      </c>
      <c r="E93" s="4">
        <f>(VLOOKUP('17.04'!M93,'17.04'!$AM$4:$AP$55,4,FALSE))</f>
        <v>0</v>
      </c>
      <c r="F93" s="4">
        <f>(VLOOKUP('17.04'!N93,'17.04'!$AM$4:$AP$55,4,FALSE))</f>
        <v>0</v>
      </c>
      <c r="G93" s="4">
        <f>(VLOOKUP('17.04'!O93,'17.04'!$AM$4:$AP$55,4,FALSE))</f>
        <v>0</v>
      </c>
      <c r="H93" s="4">
        <f>(VLOOKUP('17.04'!P93,'17.04'!$AM$4:$AP$55,4,FALSE))</f>
        <v>0</v>
      </c>
      <c r="I93" s="4">
        <f>(VLOOKUP('17.04'!Q93,'17.04'!$AM$4:$AP$55,4,FALSE))</f>
        <v>0</v>
      </c>
      <c r="J93" s="4">
        <f>(VLOOKUP('17.04'!R93,'17.04'!$AM$4:$AP$55,4,FALSE))</f>
        <v>0</v>
      </c>
      <c r="K93" s="4">
        <f>(VLOOKUP('17.04'!S93,'17.04'!$AM$4:$AP$55,4,FALSE))</f>
        <v>0</v>
      </c>
      <c r="L93" s="4">
        <f>(VLOOKUP('17.04'!T93,'17.04'!$AM$4:$AP$55,4,FALSE))</f>
        <v>0</v>
      </c>
      <c r="M93" s="4">
        <f>(VLOOKUP('17.04'!U93,'17.04'!$AM$4:$AP$55,4,FALSE))</f>
        <v>0</v>
      </c>
      <c r="N93" s="4">
        <f>(VLOOKUP('17.04'!V93,'17.04'!$AM$4:$AP$55,4,FALSE))</f>
        <v>0</v>
      </c>
      <c r="O93" s="4">
        <f>(VLOOKUP('17.04'!W93,'17.04'!$AM$4:$AP$55,4,FALSE))</f>
        <v>0</v>
      </c>
      <c r="P93" s="4">
        <f>(VLOOKUP('17.04'!X93,'17.04'!$AM$4:$AP$55,4,FALSE))</f>
        <v>0</v>
      </c>
      <c r="Q93" s="4">
        <f>(VLOOKUP('17.04'!Y93,'17.04'!$AM$4:$AP$55,4,FALSE))</f>
        <v>0</v>
      </c>
      <c r="R93" s="4">
        <f>(VLOOKUP('17.04'!Z93,'17.04'!$AM$4:$AP$55,4,FALSE))</f>
        <v>0</v>
      </c>
      <c r="S93" s="4">
        <f>(VLOOKUP('17.04'!AA93,'17.04'!$AM$4:$AP$55,4,FALSE))</f>
        <v>0</v>
      </c>
      <c r="T93" s="4">
        <f>(VLOOKUP('17.04'!AB93,'17.04'!$AM$4:$AP$55,4,FALSE))</f>
        <v>0</v>
      </c>
      <c r="U93" s="4">
        <f>(VLOOKUP('17.04'!AC93,'17.04'!$AM$4:$AP$55,4,FALSE))</f>
        <v>0</v>
      </c>
      <c r="V93" s="4">
        <f>(VLOOKUP('17.04'!AD93,'17.04'!$AM$4:$AP$55,4,FALSE))</f>
        <v>0</v>
      </c>
      <c r="W93" s="4">
        <f>(VLOOKUP('17.04'!AE93,'17.04'!$AM$4:$AP$55,4,FALSE))</f>
        <v>0</v>
      </c>
      <c r="X93" s="4">
        <f>(VLOOKUP('17.04'!AF93,'17.04'!$AM$4:$AP$55,4,FALSE))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17.04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2024-09-17T23:47:25Z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