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48F31407-2030-4573-8C9C-ABA992F6BE7E}" xr6:coauthVersionLast="46" xr6:coauthVersionMax="46" xr10:uidLastSave="{00000000-0000-0000-0000-000000000000}"/>
  <bookViews>
    <workbookView xWindow="28680" yWindow="-120" windowWidth="29040" windowHeight="17640" xr2:uid="{00000000-000D-0000-FFFF-FFFF00000000}"/>
  </bookViews>
  <sheets>
    <sheet name="Aug 7 21" sheetId="117" r:id="rId1"/>
  </sheets>
  <definedNames>
    <definedName name="_xlnm._FilterDatabase" localSheetId="0" hidden="1">'Aug 7 21'!$A$4:$W$69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69" i="117" l="1"/>
  <c r="N69" i="117"/>
  <c r="M69" i="117"/>
  <c r="L69" i="117"/>
  <c r="S68" i="117"/>
  <c r="N68" i="117"/>
  <c r="M68" i="117"/>
  <c r="L68" i="117"/>
  <c r="S67" i="117"/>
  <c r="N67" i="117"/>
  <c r="M67" i="117"/>
  <c r="L67" i="117"/>
  <c r="S66" i="117"/>
  <c r="N66" i="117"/>
  <c r="M66" i="117"/>
  <c r="L66" i="117"/>
  <c r="S65" i="117"/>
  <c r="N65" i="117"/>
  <c r="M65" i="117"/>
  <c r="L65" i="117"/>
  <c r="S64" i="117"/>
  <c r="N64" i="117"/>
  <c r="M64" i="117"/>
  <c r="L64" i="117"/>
  <c r="S62" i="117"/>
  <c r="N62" i="117"/>
  <c r="M62" i="117"/>
  <c r="L62" i="117"/>
  <c r="S61" i="117"/>
  <c r="N61" i="117"/>
  <c r="M61" i="117"/>
  <c r="L61" i="117"/>
  <c r="S60" i="117"/>
  <c r="N60" i="117"/>
  <c r="M60" i="117"/>
  <c r="L60" i="117"/>
  <c r="N57" i="117"/>
  <c r="M57" i="117"/>
  <c r="L57" i="117"/>
  <c r="S59" i="117"/>
  <c r="N59" i="117"/>
  <c r="M59" i="117"/>
  <c r="L59" i="117"/>
  <c r="S58" i="117"/>
  <c r="N58" i="117"/>
  <c r="M58" i="117"/>
  <c r="L58" i="117"/>
  <c r="N63" i="117"/>
  <c r="M63" i="117"/>
  <c r="L63" i="117"/>
  <c r="S56" i="117"/>
  <c r="N56" i="117"/>
  <c r="M56" i="117"/>
  <c r="L56" i="117"/>
  <c r="S55" i="117"/>
  <c r="N55" i="117"/>
  <c r="M55" i="117"/>
  <c r="L55" i="117"/>
  <c r="S54" i="117"/>
  <c r="N54" i="117"/>
  <c r="M54" i="117"/>
  <c r="L54" i="117"/>
  <c r="S53" i="117"/>
  <c r="N53" i="117"/>
  <c r="M53" i="117"/>
  <c r="L53" i="117"/>
  <c r="S52" i="117"/>
  <c r="N52" i="117"/>
  <c r="M52" i="117"/>
  <c r="L52" i="117"/>
  <c r="N51" i="117"/>
  <c r="M51" i="117"/>
  <c r="L51" i="117"/>
  <c r="S50" i="117"/>
  <c r="N50" i="117"/>
  <c r="M50" i="117"/>
  <c r="L50" i="117"/>
  <c r="N48" i="117"/>
  <c r="M48" i="117"/>
  <c r="L48" i="117"/>
  <c r="N42" i="117"/>
  <c r="M42" i="117"/>
  <c r="L42" i="117"/>
  <c r="S47" i="117"/>
  <c r="N47" i="117"/>
  <c r="M47" i="117"/>
  <c r="L47" i="117"/>
  <c r="N27" i="117"/>
  <c r="M27" i="117"/>
  <c r="L27" i="117"/>
  <c r="N30" i="117"/>
  <c r="M30" i="117"/>
  <c r="L30" i="117"/>
  <c r="N26" i="117"/>
  <c r="M26" i="117"/>
  <c r="L26" i="117"/>
  <c r="S46" i="117"/>
  <c r="N46" i="117"/>
  <c r="M46" i="117"/>
  <c r="L46" i="117"/>
  <c r="N25" i="117"/>
  <c r="M25" i="117"/>
  <c r="L25" i="117"/>
  <c r="N41" i="117"/>
  <c r="M41" i="117"/>
  <c r="L41" i="117"/>
  <c r="N22" i="117"/>
  <c r="M22" i="117"/>
  <c r="L22" i="117"/>
  <c r="N21" i="117"/>
  <c r="M21" i="117"/>
  <c r="L21" i="117"/>
  <c r="N29" i="117"/>
  <c r="M29" i="117"/>
  <c r="L29" i="117"/>
  <c r="N34" i="117"/>
  <c r="M34" i="117"/>
  <c r="L34" i="117"/>
  <c r="N19" i="117"/>
  <c r="M19" i="117"/>
  <c r="L19" i="117"/>
  <c r="N18" i="117"/>
  <c r="M18" i="117"/>
  <c r="L18" i="117"/>
  <c r="N17" i="117"/>
  <c r="M17" i="117"/>
  <c r="L17" i="117"/>
  <c r="N14" i="117"/>
  <c r="M14" i="117"/>
  <c r="L14" i="117"/>
  <c r="N16" i="117"/>
  <c r="M16" i="117"/>
  <c r="L16" i="117"/>
  <c r="N15" i="117"/>
  <c r="M15" i="117"/>
  <c r="L15" i="117"/>
  <c r="N24" i="117"/>
  <c r="M24" i="117"/>
  <c r="L24" i="117"/>
  <c r="N9" i="117"/>
  <c r="M9" i="117"/>
  <c r="L9" i="117"/>
  <c r="N12" i="117"/>
  <c r="M12" i="117"/>
  <c r="L12" i="117"/>
  <c r="N11" i="117"/>
  <c r="M11" i="117"/>
  <c r="L11" i="117"/>
  <c r="N7" i="117"/>
  <c r="M7" i="117"/>
  <c r="L7" i="117"/>
  <c r="N10" i="117"/>
  <c r="M10" i="117"/>
  <c r="L10" i="117"/>
  <c r="N13" i="117"/>
  <c r="M13" i="117"/>
  <c r="L13" i="117"/>
  <c r="N6" i="117"/>
  <c r="M6" i="117"/>
  <c r="L6" i="117"/>
  <c r="N8" i="117"/>
  <c r="M8" i="117"/>
  <c r="L8" i="117"/>
  <c r="N20" i="117"/>
  <c r="M20" i="117"/>
  <c r="L20" i="117"/>
  <c r="N31" i="117"/>
  <c r="M31" i="117"/>
  <c r="L31" i="117"/>
  <c r="N33" i="117"/>
  <c r="M33" i="117"/>
  <c r="L33" i="117"/>
  <c r="N32" i="117"/>
  <c r="M32" i="117"/>
  <c r="L32" i="117"/>
  <c r="N49" i="117"/>
  <c r="M49" i="117"/>
  <c r="L49" i="117"/>
  <c r="N38" i="117"/>
  <c r="M38" i="117"/>
  <c r="L38" i="117"/>
  <c r="N37" i="117"/>
  <c r="M37" i="117"/>
  <c r="L37" i="117"/>
  <c r="N28" i="117"/>
  <c r="M28" i="117"/>
  <c r="L28" i="117"/>
  <c r="S23" i="117"/>
  <c r="N23" i="117"/>
  <c r="M23" i="117"/>
  <c r="L23" i="117"/>
  <c r="N43" i="117"/>
  <c r="M43" i="117"/>
  <c r="L43" i="117"/>
  <c r="N45" i="117"/>
  <c r="M45" i="117"/>
  <c r="L45" i="117"/>
  <c r="S35" i="117"/>
  <c r="N35" i="117"/>
  <c r="M35" i="117"/>
  <c r="L35" i="117"/>
  <c r="N40" i="117"/>
  <c r="M40" i="117"/>
  <c r="L40" i="117"/>
  <c r="N39" i="117"/>
  <c r="M39" i="117"/>
  <c r="L39" i="117"/>
  <c r="N36" i="117"/>
  <c r="M36" i="117"/>
  <c r="L36" i="117"/>
  <c r="N44" i="117"/>
  <c r="M44" i="117"/>
  <c r="L44" i="117"/>
  <c r="N5" i="117"/>
  <c r="M5" i="117"/>
  <c r="L5" i="117"/>
  <c r="Y9" i="117"/>
  <c r="S44" i="117" s="1"/>
  <c r="Y8" i="117"/>
  <c r="S19" i="117" s="1"/>
  <c r="Y7" i="117"/>
  <c r="Y5" i="117"/>
  <c r="Y4" i="117"/>
  <c r="S33" i="117" s="1"/>
  <c r="Y3" i="117"/>
  <c r="B1" i="117"/>
  <c r="S57" i="117" l="1"/>
  <c r="S21" i="117"/>
  <c r="S20" i="117"/>
  <c r="S51" i="117"/>
  <c r="S42" i="117"/>
  <c r="S28" i="117"/>
  <c r="S43" i="117"/>
  <c r="S40" i="117"/>
  <c r="P22" i="117"/>
  <c r="R22" i="117" s="1"/>
  <c r="P36" i="117"/>
  <c r="R36" i="117" s="1"/>
  <c r="P45" i="117"/>
  <c r="R45" i="117" s="1"/>
  <c r="P41" i="117"/>
  <c r="R41" i="117" s="1"/>
  <c r="P60" i="117"/>
  <c r="R60" i="117" s="1"/>
  <c r="T60" i="117" s="1"/>
  <c r="P62" i="117"/>
  <c r="R62" i="117" s="1"/>
  <c r="T62" i="117" s="1"/>
  <c r="P16" i="117"/>
  <c r="R16" i="117" s="1"/>
  <c r="P5" i="117"/>
  <c r="R5" i="117" s="1"/>
  <c r="P33" i="117"/>
  <c r="R33" i="117" s="1"/>
  <c r="T33" i="117" s="1"/>
  <c r="P11" i="117"/>
  <c r="R11" i="117" s="1"/>
  <c r="P18" i="117"/>
  <c r="R18" i="117" s="1"/>
  <c r="P53" i="117"/>
  <c r="R53" i="117" s="1"/>
  <c r="T53" i="117" s="1"/>
  <c r="P26" i="117"/>
  <c r="R26" i="117" s="1"/>
  <c r="P51" i="117"/>
  <c r="R51" i="117" s="1"/>
  <c r="P25" i="117"/>
  <c r="R25" i="117" s="1"/>
  <c r="P39" i="117"/>
  <c r="R39" i="117" s="1"/>
  <c r="P28" i="117"/>
  <c r="R28" i="117" s="1"/>
  <c r="P29" i="117"/>
  <c r="R29" i="117" s="1"/>
  <c r="P42" i="117"/>
  <c r="R42" i="117" s="1"/>
  <c r="P23" i="117"/>
  <c r="R23" i="117" s="1"/>
  <c r="T23" i="117" s="1"/>
  <c r="P30" i="117"/>
  <c r="R30" i="117" s="1"/>
  <c r="P61" i="117"/>
  <c r="R61" i="117" s="1"/>
  <c r="T61" i="117" s="1"/>
  <c r="P21" i="117"/>
  <c r="R21" i="117" s="1"/>
  <c r="P65" i="117"/>
  <c r="R65" i="117" s="1"/>
  <c r="T65" i="117" s="1"/>
  <c r="P66" i="117"/>
  <c r="R66" i="117" s="1"/>
  <c r="T66" i="117" s="1"/>
  <c r="P68" i="117"/>
  <c r="R68" i="117" s="1"/>
  <c r="T68" i="117" s="1"/>
  <c r="P12" i="117"/>
  <c r="R12" i="117" s="1"/>
  <c r="P27" i="117"/>
  <c r="R27" i="117" s="1"/>
  <c r="P44" i="117"/>
  <c r="R44" i="117" s="1"/>
  <c r="T44" i="117" s="1"/>
  <c r="P38" i="117"/>
  <c r="R38" i="117" s="1"/>
  <c r="P20" i="117"/>
  <c r="R20" i="117" s="1"/>
  <c r="T20" i="117" s="1"/>
  <c r="P50" i="117"/>
  <c r="R50" i="117" s="1"/>
  <c r="T50" i="117" s="1"/>
  <c r="P56" i="117"/>
  <c r="R56" i="117" s="1"/>
  <c r="T56" i="117" s="1"/>
  <c r="P63" i="117"/>
  <c r="R63" i="117" s="1"/>
  <c r="P13" i="117"/>
  <c r="R13" i="117" s="1"/>
  <c r="P37" i="117"/>
  <c r="R37" i="117" s="1"/>
  <c r="P9" i="117"/>
  <c r="R9" i="117" s="1"/>
  <c r="P54" i="117"/>
  <c r="R54" i="117" s="1"/>
  <c r="T54" i="117" s="1"/>
  <c r="P64" i="117"/>
  <c r="R64" i="117" s="1"/>
  <c r="T64" i="117" s="1"/>
  <c r="P49" i="117"/>
  <c r="R49" i="117" s="1"/>
  <c r="P8" i="117"/>
  <c r="R8" i="117" s="1"/>
  <c r="P10" i="117"/>
  <c r="R10" i="117" s="1"/>
  <c r="P14" i="117"/>
  <c r="R14" i="117" s="1"/>
  <c r="P34" i="117"/>
  <c r="R34" i="117" s="1"/>
  <c r="P59" i="117"/>
  <c r="R59" i="117" s="1"/>
  <c r="T59" i="117" s="1"/>
  <c r="P67" i="117"/>
  <c r="R67" i="117" s="1"/>
  <c r="T67" i="117" s="1"/>
  <c r="P43" i="117"/>
  <c r="R43" i="117" s="1"/>
  <c r="T43" i="117" s="1"/>
  <c r="P40" i="117"/>
  <c r="R40" i="117" s="1"/>
  <c r="T40" i="117" s="1"/>
  <c r="P6" i="117"/>
  <c r="R6" i="117" s="1"/>
  <c r="P24" i="117"/>
  <c r="R24" i="117" s="1"/>
  <c r="P17" i="117"/>
  <c r="R17" i="117" s="1"/>
  <c r="P47" i="117"/>
  <c r="R47" i="117" s="1"/>
  <c r="T47" i="117" s="1"/>
  <c r="P52" i="117"/>
  <c r="R52" i="117" s="1"/>
  <c r="T52" i="117" s="1"/>
  <c r="P31" i="117"/>
  <c r="R31" i="117" s="1"/>
  <c r="P7" i="117"/>
  <c r="R7" i="117" s="1"/>
  <c r="P35" i="117"/>
  <c r="R35" i="117" s="1"/>
  <c r="T35" i="117" s="1"/>
  <c r="P32" i="117"/>
  <c r="R32" i="117" s="1"/>
  <c r="P15" i="117"/>
  <c r="R15" i="117" s="1"/>
  <c r="P57" i="117"/>
  <c r="R57" i="117" s="1"/>
  <c r="P55" i="117"/>
  <c r="R55" i="117" s="1"/>
  <c r="T55" i="117" s="1"/>
  <c r="P19" i="117"/>
  <c r="R19" i="117" s="1"/>
  <c r="T19" i="117" s="1"/>
  <c r="P46" i="117"/>
  <c r="R46" i="117" s="1"/>
  <c r="T46" i="117" s="1"/>
  <c r="P58" i="117"/>
  <c r="R58" i="117" s="1"/>
  <c r="T58" i="117" s="1"/>
  <c r="P48" i="117"/>
  <c r="R48" i="117" s="1"/>
  <c r="P69" i="117"/>
  <c r="R69" i="117" s="1"/>
  <c r="T69" i="117" s="1"/>
  <c r="S45" i="117"/>
  <c r="S38" i="117"/>
  <c r="S6" i="117"/>
  <c r="S16" i="117"/>
  <c r="S22" i="117"/>
  <c r="S48" i="117"/>
  <c r="S17" i="117"/>
  <c r="S26" i="117"/>
  <c r="T26" i="117" s="1"/>
  <c r="S39" i="117"/>
  <c r="S9" i="117"/>
  <c r="S29" i="117"/>
  <c r="S27" i="117"/>
  <c r="S7" i="117"/>
  <c r="S25" i="117"/>
  <c r="S8" i="117"/>
  <c r="S15" i="117"/>
  <c r="S5" i="117"/>
  <c r="S37" i="117"/>
  <c r="S31" i="117"/>
  <c r="S11" i="117"/>
  <c r="S18" i="117"/>
  <c r="S49" i="117"/>
  <c r="S14" i="117"/>
  <c r="S63" i="117"/>
  <c r="S13" i="117"/>
  <c r="S36" i="117"/>
  <c r="S12" i="117"/>
  <c r="S34" i="117"/>
  <c r="S30" i="117"/>
  <c r="S32" i="117"/>
  <c r="S10" i="117"/>
  <c r="S41" i="117"/>
  <c r="S24" i="117"/>
  <c r="T57" i="117" l="1"/>
  <c r="T21" i="117"/>
  <c r="T28" i="117"/>
  <c r="T51" i="117"/>
  <c r="T42" i="117"/>
  <c r="T63" i="117"/>
  <c r="T15" i="117"/>
  <c r="T29" i="117"/>
  <c r="T36" i="117"/>
  <c r="T45" i="117"/>
  <c r="T17" i="117"/>
  <c r="T7" i="117"/>
  <c r="T11" i="117"/>
  <c r="T22" i="117"/>
  <c r="T13" i="117"/>
  <c r="T16" i="117"/>
  <c r="T18" i="117"/>
  <c r="T41" i="117"/>
  <c r="T31" i="117"/>
  <c r="T30" i="117"/>
  <c r="T5" i="117"/>
  <c r="T27" i="117"/>
  <c r="T39" i="117"/>
  <c r="T32" i="117"/>
  <c r="T12" i="117"/>
  <c r="T37" i="117"/>
  <c r="T48" i="117"/>
  <c r="T9" i="117"/>
  <c r="T25" i="117"/>
  <c r="T38" i="117"/>
  <c r="T24" i="117"/>
  <c r="T10" i="117"/>
  <c r="T34" i="117"/>
  <c r="T6" i="117"/>
  <c r="T8" i="117"/>
  <c r="T14" i="117"/>
  <c r="T49" i="117"/>
</calcChain>
</file>

<file path=xl/sharedStrings.xml><?xml version="1.0" encoding="utf-8"?>
<sst xmlns="http://schemas.openxmlformats.org/spreadsheetml/2006/main" count="115" uniqueCount="50">
  <si>
    <t>礼包类别</t>
  </si>
  <si>
    <t>备注</t>
  </si>
  <si>
    <t>编号</t>
  </si>
  <si>
    <t>昵称</t>
  </si>
  <si>
    <t>曾用名</t>
  </si>
  <si>
    <t>分包</t>
  </si>
  <si>
    <t>礼包耗费</t>
  </si>
  <si>
    <t>分包总分</t>
  </si>
  <si>
    <t>人数</t>
  </si>
  <si>
    <t>消耗分数</t>
  </si>
  <si>
    <t>封印卷個數</t>
  </si>
  <si>
    <t>通靈卷個數</t>
  </si>
  <si>
    <t>價值（金幣）</t>
  </si>
  <si>
    <t>参战</t>
  </si>
  <si>
    <t>新人战力排名</t>
  </si>
  <si>
    <t>新人初始分</t>
  </si>
  <si>
    <t>人物信息</t>
  </si>
  <si>
    <t>积分统计</t>
  </si>
  <si>
    <t>a跨服传说礼包</t>
  </si>
  <si>
    <t>人物账号</t>
  </si>
  <si>
    <t>参战得分</t>
  </si>
  <si>
    <t>本周得分</t>
  </si>
  <si>
    <t>上周得分</t>
  </si>
  <si>
    <t>结余分数</t>
  </si>
  <si>
    <t>b跨服英雄礼包</t>
  </si>
  <si>
    <t>c跨服精英礼包</t>
  </si>
  <si>
    <t>(未分包)</t>
  </si>
  <si>
    <t>周贡献参数</t>
  </si>
  <si>
    <t>礼包消耗参数</t>
  </si>
  <si>
    <t>年</t>
  </si>
  <si>
    <t>月</t>
  </si>
  <si>
    <t>日</t>
  </si>
  <si>
    <t>组织集结</t>
  </si>
  <si>
    <t>次数</t>
  </si>
  <si>
    <t>组织集结得分</t>
  </si>
  <si>
    <t>*组织集结指数</t>
  </si>
  <si>
    <t>奖励得分</t>
  </si>
  <si>
    <t>a传说功勋礼包</t>
  </si>
  <si>
    <t>b英雄功勋礼包</t>
  </si>
  <si>
    <t>c精英功勋礼包</t>
  </si>
  <si>
    <t>原石</t>
  </si>
  <si>
    <t>打满或漏1</t>
    <phoneticPr fontId="12" type="noConversion"/>
  </si>
  <si>
    <t>通灵训练</t>
    <phoneticPr fontId="12" type="noConversion"/>
  </si>
  <si>
    <t>伤</t>
    <phoneticPr fontId="12" type="noConversion"/>
  </si>
  <si>
    <t>追</t>
    <phoneticPr fontId="12" type="noConversion"/>
  </si>
  <si>
    <t>异</t>
    <phoneticPr fontId="12" type="noConversion"/>
  </si>
  <si>
    <t>通灵训练参数</t>
    <phoneticPr fontId="12" type="noConversion"/>
  </si>
  <si>
    <t>通灵训练得分</t>
    <phoneticPr fontId="12" type="noConversion"/>
  </si>
  <si>
    <t>活跃</t>
  </si>
  <si>
    <t>积分计算规则：
1.每周礼包按照分包总分由高到低分配。组织成员的结余分数=分包总分-礼包耗费。结余分数将计入下周表格的上周得分。
2.分包总分=本周得分+上周得分。
3.本周得分=参战得分+组织集结得分+奖励得分。
4.参战得分= 组织成员本周参战次数,参战两次以上，每次有1分额外奖励。
5.组织集结得分：打满或漏一天得（组织集结指数）分，其余没分
6.奖励得分包含并不限于：满参战，分包统计，接引新人。详情见备注
7.通灵训练得分：通灵训练上榜次数*通灵训练参数。通灵训练榜以每周日凌晨（5点之前）为准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</si>
</sst>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9">
    <font>
      <sz val="11"/>
      <name val="宋体"/>
      <charset val="134"/>
    </font>
    <font>
      <b/>
      <sz val="16"/>
      <color rgb="FF1E1E1E"/>
      <name val="黑体"/>
      <family val="3"/>
      <charset val="134"/>
    </font>
    <font>
      <b/>
      <sz val="12"/>
      <color rgb="FF1E1E1E"/>
      <name val="黑体"/>
      <family val="3"/>
      <charset val="134"/>
    </font>
    <font>
      <b/>
      <sz val="14"/>
      <name val="楷体"/>
      <family val="3"/>
      <charset val="134"/>
    </font>
    <font>
      <sz val="11"/>
      <color theme="9" tint="-0.249977111117893"/>
      <name val="宋体"/>
      <family val="3"/>
      <charset val="134"/>
    </font>
    <font>
      <b/>
      <sz val="14"/>
      <color rgb="FF1E1E1E"/>
      <name val="楷体"/>
      <family val="3"/>
      <charset val="134"/>
    </font>
    <font>
      <b/>
      <sz val="12"/>
      <color rgb="FFE36B09"/>
      <name val="宋体"/>
      <family val="3"/>
      <charset val="134"/>
    </font>
    <font>
      <b/>
      <sz val="12"/>
      <color rgb="FF7030A0"/>
      <name val="宋体"/>
      <family val="3"/>
      <charset val="134"/>
    </font>
    <font>
      <b/>
      <sz val="12"/>
      <color rgb="FF0070C0"/>
      <name val="宋体"/>
      <family val="3"/>
      <charset val="134"/>
    </font>
    <font>
      <b/>
      <sz val="16"/>
      <name val="黑体"/>
      <family val="3"/>
      <charset val="134"/>
    </font>
    <font>
      <b/>
      <sz val="14"/>
      <color rgb="FFFF0000"/>
      <name val="楷体"/>
      <family val="3"/>
      <charset val="134"/>
    </font>
    <font>
      <b/>
      <sz val="14"/>
      <name val="宋体"/>
      <family val="3"/>
      <charset val="134"/>
    </font>
    <font>
      <sz val="9"/>
      <name val="宋体"/>
      <family val="3"/>
      <charset val="134"/>
    </font>
    <font>
      <sz val="14"/>
      <name val="黑体"/>
      <family val="3"/>
      <charset val="134"/>
    </font>
    <font>
      <sz val="11"/>
      <name val="黑体"/>
      <family val="3"/>
      <charset val="134"/>
    </font>
    <font>
      <sz val="14"/>
      <color rgb="FF1E1E1E"/>
      <name val="黑体"/>
      <family val="3"/>
      <charset val="134"/>
    </font>
    <font>
      <sz val="14"/>
      <name val="楷体"/>
      <family val="3"/>
      <charset val="134"/>
    </font>
    <font>
      <sz val="14"/>
      <name val="黑体"/>
      <family val="3"/>
      <charset val="134"/>
    </font>
    <font>
      <sz val="14"/>
      <color theme="1"/>
      <name val="黑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34080019531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7" fillId="0" borderId="4" xfId="0" applyFont="1" applyFill="1" applyBorder="1" applyAlignment="1" applyProtection="1">
      <alignment horizontal="center" vertical="center"/>
    </xf>
    <xf numFmtId="0" fontId="8" fillId="0" borderId="4" xfId="0" applyFont="1" applyFill="1" applyBorder="1" applyAlignment="1" applyProtection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64" fontId="10" fillId="0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2" borderId="1" xfId="0" applyFont="1" applyFill="1" applyBorder="1">
      <alignment vertical="center"/>
    </xf>
    <xf numFmtId="0" fontId="0" fillId="2" borderId="1" xfId="0" applyFill="1" applyBorder="1" applyProtection="1">
      <alignment vertical="center"/>
    </xf>
    <xf numFmtId="0" fontId="0" fillId="7" borderId="1" xfId="0" applyFont="1" applyFill="1" applyBorder="1" applyProtection="1">
      <alignment vertical="center"/>
    </xf>
    <xf numFmtId="0" fontId="0" fillId="2" borderId="1" xfId="0" applyFont="1" applyFill="1" applyBorder="1" applyProtection="1">
      <alignment vertical="center"/>
    </xf>
    <xf numFmtId="0" fontId="0" fillId="2" borderId="1" xfId="0" applyFont="1" applyFill="1" applyBorder="1" applyAlignment="1" applyProtection="1">
      <alignment vertical="center" wrapText="1"/>
    </xf>
    <xf numFmtId="0" fontId="6" fillId="2" borderId="4" xfId="0" applyFont="1" applyFill="1" applyBorder="1" applyAlignment="1" applyProtection="1">
      <alignment horizontal="center" vertical="center"/>
    </xf>
    <xf numFmtId="0" fontId="0" fillId="7" borderId="1" xfId="0" applyFill="1" applyBorder="1" applyProtection="1">
      <alignment vertical="center"/>
    </xf>
    <xf numFmtId="0" fontId="7" fillId="2" borderId="4" xfId="0" applyFont="1" applyFill="1" applyBorder="1" applyAlignment="1" applyProtection="1">
      <alignment horizontal="center" vertical="center"/>
    </xf>
    <xf numFmtId="0" fontId="0" fillId="0" borderId="1" xfId="0" applyFill="1" applyBorder="1" applyProtection="1">
      <alignment vertical="center"/>
    </xf>
    <xf numFmtId="0" fontId="11" fillId="0" borderId="1" xfId="0" applyFont="1" applyFill="1" applyBorder="1">
      <alignment vertical="center"/>
    </xf>
    <xf numFmtId="0" fontId="11" fillId="2" borderId="1" xfId="0" applyFont="1" applyFill="1" applyBorder="1">
      <alignment vertical="center"/>
    </xf>
    <xf numFmtId="0" fontId="0" fillId="0" borderId="4" xfId="0" applyFill="1" applyBorder="1">
      <alignment vertical="center"/>
    </xf>
    <xf numFmtId="0" fontId="0" fillId="5" borderId="0" xfId="0" applyFill="1">
      <alignment vertical="center"/>
    </xf>
    <xf numFmtId="0" fontId="0" fillId="4" borderId="0" xfId="0" applyFill="1" applyBorder="1">
      <alignment vertical="center"/>
    </xf>
    <xf numFmtId="0" fontId="0" fillId="7" borderId="0" xfId="0" applyFill="1" applyBorder="1">
      <alignment vertical="center"/>
    </xf>
    <xf numFmtId="0" fontId="0" fillId="0" borderId="0" xfId="0" applyFill="1" applyBorder="1">
      <alignment vertical="center"/>
    </xf>
    <xf numFmtId="0" fontId="0" fillId="5" borderId="0" xfId="0" applyFont="1" applyFill="1">
      <alignment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>
      <alignment vertical="center"/>
    </xf>
    <xf numFmtId="0" fontId="13" fillId="0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4" fillId="0" borderId="1" xfId="0" applyFont="1" applyFill="1" applyBorder="1">
      <alignment vertical="center"/>
    </xf>
    <xf numFmtId="0" fontId="13" fillId="0" borderId="1" xfId="0" applyFont="1" applyFill="1" applyBorder="1">
      <alignment vertical="center"/>
    </xf>
    <xf numFmtId="0" fontId="18" fillId="0" borderId="1" xfId="0" applyFont="1" applyFill="1" applyBorder="1" applyAlignment="1">
      <alignment horizontal="left" vertical="center"/>
    </xf>
    <xf numFmtId="0" fontId="3" fillId="0" borderId="4" xfId="0" applyNumberFormat="1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7572-73F1-43A6-82BD-F58AB29FD538}">
  <dimension ref="A1:AC69"/>
  <sheetViews>
    <sheetView tabSelected="1" zoomScale="85" zoomScaleNormal="85" workbookViewId="0">
      <selection activeCell="G22" sqref="G22"/>
    </sheetView>
  </sheetViews>
  <sheetFormatPr defaultColWidth="9" defaultRowHeight="13.5"/>
  <cols>
    <col min="2" max="2" width="6.625" style="4" customWidth="1"/>
    <col min="3" max="3" width="19.75" style="5" customWidth="1"/>
    <col min="4" max="4" width="21.25" style="5" customWidth="1"/>
    <col min="5" max="5" width="18.375" style="4" customWidth="1"/>
    <col min="6" max="6" width="13.125" style="4" customWidth="1"/>
    <col min="7" max="7" width="13.75" style="4" customWidth="1"/>
    <col min="8" max="8" width="5.75" style="4" customWidth="1"/>
    <col min="9" max="9" width="5.875" style="4" customWidth="1"/>
    <col min="10" max="10" width="5.75" style="4" customWidth="1"/>
    <col min="11" max="11" width="20" style="4" customWidth="1"/>
    <col min="12" max="12" width="9" style="4" customWidth="1"/>
    <col min="13" max="13" width="12.125" style="4" customWidth="1"/>
    <col min="14" max="14" width="11.375" style="4" customWidth="1"/>
    <col min="15" max="15" width="10" style="4" customWidth="1"/>
    <col min="16" max="16" width="9" style="4" customWidth="1"/>
    <col min="17" max="17" width="12.875" style="4" customWidth="1"/>
    <col min="18" max="18" width="12" style="4" customWidth="1"/>
    <col min="19" max="19" width="9.25" style="4" customWidth="1"/>
    <col min="20" max="20" width="12.625" style="4" customWidth="1"/>
    <col min="21" max="23" width="11.125" style="21" customWidth="1"/>
    <col min="24" max="24" width="30.5" customWidth="1"/>
  </cols>
  <sheetData>
    <row r="1" spans="1:29" ht="36.6" customHeight="1">
      <c r="B1" s="59" t="str">
        <f>CONCATENATE("157区 活动中心",Y15,"年",Y16,"月",Y17,"日","分包贡献明细"," 统计：一二三")</f>
        <v>157区 活动中心2021年8月7日分包贡献明细 统计：一二三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55"/>
      <c r="V1" s="55"/>
      <c r="W1" s="55"/>
      <c r="X1" s="22" t="s">
        <v>8</v>
      </c>
      <c r="Y1" s="5">
        <v>67</v>
      </c>
      <c r="Z1" s="3"/>
      <c r="AA1" s="3"/>
      <c r="AB1" s="3"/>
      <c r="AC1" s="3"/>
    </row>
    <row r="2" spans="1:29" ht="117.6" customHeight="1">
      <c r="B2" s="61" t="s">
        <v>49</v>
      </c>
      <c r="C2" s="62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56"/>
      <c r="V2" s="56"/>
      <c r="W2" s="56"/>
      <c r="X2" s="23" t="s">
        <v>0</v>
      </c>
      <c r="Y2" s="24" t="s">
        <v>9</v>
      </c>
      <c r="Z2" s="25" t="s">
        <v>10</v>
      </c>
      <c r="AA2" s="25" t="s">
        <v>11</v>
      </c>
      <c r="AB2" s="25" t="s">
        <v>40</v>
      </c>
      <c r="AC2" s="26" t="s">
        <v>12</v>
      </c>
    </row>
    <row r="3" spans="1:29" ht="20.25">
      <c r="B3" s="64" t="s">
        <v>16</v>
      </c>
      <c r="C3" s="64"/>
      <c r="D3" s="64"/>
      <c r="E3" s="64"/>
      <c r="F3" s="57" t="s">
        <v>13</v>
      </c>
      <c r="G3" s="58" t="s">
        <v>32</v>
      </c>
      <c r="H3" s="65" t="s">
        <v>42</v>
      </c>
      <c r="I3" s="65"/>
      <c r="J3" s="65"/>
      <c r="K3" s="66" t="s">
        <v>17</v>
      </c>
      <c r="L3" s="67"/>
      <c r="M3" s="67"/>
      <c r="N3" s="67"/>
      <c r="O3" s="67"/>
      <c r="P3" s="67"/>
      <c r="Q3" s="67"/>
      <c r="R3" s="67"/>
      <c r="S3" s="67"/>
      <c r="T3" s="68"/>
      <c r="U3" s="54"/>
      <c r="V3" s="54"/>
      <c r="W3" s="54"/>
      <c r="X3" s="27" t="s">
        <v>18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5">
      <c r="A4" s="52" t="s">
        <v>48</v>
      </c>
      <c r="B4" s="52" t="s">
        <v>2</v>
      </c>
      <c r="C4" s="53" t="s">
        <v>19</v>
      </c>
      <c r="D4" s="52" t="s">
        <v>3</v>
      </c>
      <c r="E4" s="52" t="s">
        <v>4</v>
      </c>
      <c r="F4" s="6" t="s">
        <v>33</v>
      </c>
      <c r="G4" s="7" t="s">
        <v>41</v>
      </c>
      <c r="H4" s="7" t="s">
        <v>43</v>
      </c>
      <c r="I4" s="7" t="s">
        <v>44</v>
      </c>
      <c r="J4" s="7" t="s">
        <v>45</v>
      </c>
      <c r="K4" s="6" t="s">
        <v>5</v>
      </c>
      <c r="L4" s="6" t="s">
        <v>20</v>
      </c>
      <c r="M4" s="7" t="s">
        <v>34</v>
      </c>
      <c r="N4" s="7" t="s">
        <v>47</v>
      </c>
      <c r="O4" s="7" t="s">
        <v>36</v>
      </c>
      <c r="P4" s="15" t="s">
        <v>21</v>
      </c>
      <c r="Q4" s="53" t="s">
        <v>22</v>
      </c>
      <c r="R4" s="16" t="s">
        <v>7</v>
      </c>
      <c r="S4" s="53" t="s">
        <v>6</v>
      </c>
      <c r="T4" s="53" t="s">
        <v>23</v>
      </c>
      <c r="U4" s="53" t="s">
        <v>14</v>
      </c>
      <c r="V4" s="53" t="s">
        <v>15</v>
      </c>
      <c r="W4" s="53" t="s">
        <v>1</v>
      </c>
      <c r="X4" s="29" t="s">
        <v>24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8.75">
      <c r="A5" s="9">
        <v>1</v>
      </c>
      <c r="B5" s="8">
        <v>240</v>
      </c>
      <c r="C5" s="8"/>
      <c r="D5" s="42"/>
      <c r="E5" s="4"/>
      <c r="F5" s="10">
        <v>4</v>
      </c>
      <c r="G5" s="10">
        <v>0</v>
      </c>
      <c r="H5" s="50">
        <v>0</v>
      </c>
      <c r="I5" s="50">
        <v>0</v>
      </c>
      <c r="J5" s="50">
        <v>0</v>
      </c>
      <c r="K5" s="14" t="s">
        <v>39</v>
      </c>
      <c r="L5" s="11">
        <f t="shared" ref="L5:L36" si="0">F5+IF(F5&gt;2,(F5-2)*1,0)</f>
        <v>6</v>
      </c>
      <c r="M5" s="10">
        <f>G5*$Y$14</f>
        <v>0</v>
      </c>
      <c r="N5" s="10">
        <f t="shared" ref="N5:N36" si="1">SUM(H5:J5)*$Y$18</f>
        <v>0</v>
      </c>
      <c r="O5" s="10">
        <v>0</v>
      </c>
      <c r="P5" s="10">
        <f t="shared" ref="P5:P36" si="2">SUM(M5+L5+O5+N5)</f>
        <v>6</v>
      </c>
      <c r="Q5" s="17">
        <v>26.012499999999996</v>
      </c>
      <c r="R5" s="18">
        <f t="shared" ref="R5:R36" si="3">P5+Q5</f>
        <v>32.012499999999996</v>
      </c>
      <c r="S5" s="19">
        <f t="shared" ref="S5:S36" si="4">VLOOKUP(K5,$X$3:$Y$10,2,FALSE)</f>
        <v>1.09375</v>
      </c>
      <c r="T5" s="20">
        <f t="shared" ref="T5:T36" si="5">R5-S5</f>
        <v>30.918749999999996</v>
      </c>
      <c r="U5" s="4"/>
      <c r="V5" s="4"/>
      <c r="W5" s="4"/>
      <c r="X5" s="14" t="s">
        <v>25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18.75">
      <c r="A6" s="9">
        <v>1</v>
      </c>
      <c r="B6" s="8">
        <v>178</v>
      </c>
      <c r="C6" s="8"/>
      <c r="D6" s="42"/>
      <c r="E6" s="47"/>
      <c r="F6" s="10">
        <v>4</v>
      </c>
      <c r="G6" s="10">
        <v>1</v>
      </c>
      <c r="H6" s="50">
        <v>0</v>
      </c>
      <c r="I6" s="50">
        <v>1</v>
      </c>
      <c r="J6" s="50">
        <v>1</v>
      </c>
      <c r="K6" s="12" t="s">
        <v>37</v>
      </c>
      <c r="L6" s="11">
        <f t="shared" si="0"/>
        <v>6</v>
      </c>
      <c r="M6" s="10">
        <f>G6*$Y$14</f>
        <v>1.2</v>
      </c>
      <c r="N6" s="10">
        <f t="shared" si="1"/>
        <v>0.8</v>
      </c>
      <c r="O6" s="10">
        <v>0</v>
      </c>
      <c r="P6" s="10">
        <f t="shared" si="2"/>
        <v>8</v>
      </c>
      <c r="Q6" s="17">
        <v>21.574999999999996</v>
      </c>
      <c r="R6" s="18">
        <f t="shared" si="3"/>
        <v>29.574999999999996</v>
      </c>
      <c r="S6" s="19">
        <f t="shared" si="4"/>
        <v>8.125</v>
      </c>
      <c r="T6" s="20">
        <f t="shared" si="5"/>
        <v>21.449999999999996</v>
      </c>
      <c r="U6" s="4"/>
      <c r="V6" s="4"/>
      <c r="W6" s="4"/>
      <c r="X6" s="14"/>
      <c r="Y6" s="28"/>
      <c r="Z6" s="30"/>
      <c r="AA6" s="30"/>
      <c r="AB6" s="30"/>
      <c r="AC6" s="30"/>
    </row>
    <row r="7" spans="1:29" s="1" customFormat="1" ht="18.75">
      <c r="A7" s="9">
        <v>1</v>
      </c>
      <c r="B7" s="9">
        <v>26</v>
      </c>
      <c r="C7" s="8"/>
      <c r="D7" s="42"/>
      <c r="E7" s="42"/>
      <c r="F7" s="10">
        <v>4</v>
      </c>
      <c r="G7" s="10">
        <v>1</v>
      </c>
      <c r="H7" s="50">
        <v>0</v>
      </c>
      <c r="I7" s="50">
        <v>1</v>
      </c>
      <c r="J7" s="50">
        <v>1</v>
      </c>
      <c r="K7" s="12" t="s">
        <v>37</v>
      </c>
      <c r="L7" s="11">
        <f t="shared" si="0"/>
        <v>6</v>
      </c>
      <c r="M7" s="10">
        <f>G7*$Y$14</f>
        <v>1.2</v>
      </c>
      <c r="N7" s="10">
        <f t="shared" si="1"/>
        <v>0.8</v>
      </c>
      <c r="O7" s="10">
        <v>0</v>
      </c>
      <c r="P7" s="10">
        <f t="shared" si="2"/>
        <v>8</v>
      </c>
      <c r="Q7" s="17">
        <v>21.168749999999999</v>
      </c>
      <c r="R7" s="18">
        <f t="shared" si="3"/>
        <v>29.168749999999999</v>
      </c>
      <c r="S7" s="19">
        <f t="shared" si="4"/>
        <v>8.125</v>
      </c>
      <c r="T7" s="20">
        <f t="shared" si="5"/>
        <v>21.043749999999999</v>
      </c>
      <c r="U7" s="11"/>
      <c r="V7" s="11"/>
      <c r="W7" s="11"/>
      <c r="X7" s="12" t="s">
        <v>37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18.75">
      <c r="A8" s="9">
        <v>1</v>
      </c>
      <c r="B8" s="9">
        <v>231</v>
      </c>
      <c r="C8" s="8"/>
      <c r="D8" s="42"/>
      <c r="E8" s="4"/>
      <c r="F8" s="10">
        <v>4</v>
      </c>
      <c r="G8" s="10">
        <v>1</v>
      </c>
      <c r="H8" s="50">
        <v>0</v>
      </c>
      <c r="I8" s="50">
        <v>0</v>
      </c>
      <c r="J8" s="50">
        <v>0</v>
      </c>
      <c r="K8" s="12" t="s">
        <v>37</v>
      </c>
      <c r="L8" s="11">
        <f t="shared" si="0"/>
        <v>6</v>
      </c>
      <c r="M8" s="10">
        <f>G8*$Y$14</f>
        <v>1.2</v>
      </c>
      <c r="N8" s="10">
        <f t="shared" si="1"/>
        <v>0</v>
      </c>
      <c r="O8" s="10">
        <v>0</v>
      </c>
      <c r="P8" s="10">
        <f t="shared" si="2"/>
        <v>7.2</v>
      </c>
      <c r="Q8" s="17">
        <v>21.674999999999997</v>
      </c>
      <c r="R8" s="18">
        <f t="shared" si="3"/>
        <v>28.874999999999996</v>
      </c>
      <c r="S8" s="19">
        <f t="shared" si="4"/>
        <v>8.125</v>
      </c>
      <c r="T8" s="20">
        <f t="shared" si="5"/>
        <v>20.749999999999996</v>
      </c>
      <c r="U8" s="4"/>
      <c r="V8" s="4"/>
      <c r="W8" s="4"/>
      <c r="X8" s="13" t="s">
        <v>38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18.75">
      <c r="A9" s="9">
        <v>1</v>
      </c>
      <c r="B9" s="9">
        <v>49</v>
      </c>
      <c r="C9" s="8"/>
      <c r="D9" s="43"/>
      <c r="E9" s="49"/>
      <c r="F9" s="10">
        <v>4</v>
      </c>
      <c r="G9" s="10">
        <v>1</v>
      </c>
      <c r="H9" s="50">
        <v>0</v>
      </c>
      <c r="I9" s="50">
        <v>1</v>
      </c>
      <c r="J9" s="50">
        <v>1</v>
      </c>
      <c r="K9" s="12" t="s">
        <v>37</v>
      </c>
      <c r="L9" s="11">
        <f t="shared" si="0"/>
        <v>6</v>
      </c>
      <c r="M9" s="10">
        <f>IF(G9&gt;0,1,0)*$Y$14</f>
        <v>1.2</v>
      </c>
      <c r="N9" s="10">
        <f t="shared" si="1"/>
        <v>0.8</v>
      </c>
      <c r="O9" s="10">
        <v>0</v>
      </c>
      <c r="P9" s="10">
        <f t="shared" si="2"/>
        <v>8</v>
      </c>
      <c r="Q9" s="17">
        <v>20.831250000000001</v>
      </c>
      <c r="R9" s="18">
        <f t="shared" si="3"/>
        <v>28.831250000000001</v>
      </c>
      <c r="S9" s="19">
        <f t="shared" si="4"/>
        <v>8.125</v>
      </c>
      <c r="T9" s="20">
        <f t="shared" si="5"/>
        <v>20.706250000000001</v>
      </c>
      <c r="U9" s="11"/>
      <c r="V9" s="11"/>
      <c r="W9" s="11"/>
      <c r="X9" s="14" t="s">
        <v>39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8.75">
      <c r="A10" s="9">
        <v>1</v>
      </c>
      <c r="B10" s="8">
        <v>242</v>
      </c>
      <c r="C10" s="8"/>
      <c r="D10" s="42"/>
      <c r="E10" s="4"/>
      <c r="F10" s="10">
        <v>4</v>
      </c>
      <c r="G10" s="10">
        <v>1</v>
      </c>
      <c r="H10" s="50">
        <v>0</v>
      </c>
      <c r="I10" s="50">
        <v>0</v>
      </c>
      <c r="J10" s="50">
        <v>0</v>
      </c>
      <c r="K10" s="12" t="s">
        <v>37</v>
      </c>
      <c r="L10" s="11">
        <f t="shared" si="0"/>
        <v>6</v>
      </c>
      <c r="M10" s="10">
        <f t="shared" ref="M10:M41" si="6">G10*$Y$14</f>
        <v>1.2</v>
      </c>
      <c r="N10" s="10">
        <f t="shared" si="1"/>
        <v>0</v>
      </c>
      <c r="O10" s="10">
        <v>0</v>
      </c>
      <c r="P10" s="10">
        <f t="shared" si="2"/>
        <v>7.2</v>
      </c>
      <c r="Q10" s="17">
        <v>21.212499999999995</v>
      </c>
      <c r="R10" s="18">
        <f t="shared" si="3"/>
        <v>28.412499999999994</v>
      </c>
      <c r="S10" s="19">
        <f t="shared" si="4"/>
        <v>8.125</v>
      </c>
      <c r="T10" s="20">
        <f t="shared" si="5"/>
        <v>20.287499999999994</v>
      </c>
      <c r="U10" s="4"/>
      <c r="V10" s="4"/>
      <c r="W10" s="4"/>
      <c r="X10" s="33" t="s">
        <v>26</v>
      </c>
      <c r="Y10" s="2">
        <v>0</v>
      </c>
      <c r="Z10" s="2"/>
      <c r="AA10" s="2"/>
      <c r="AB10" s="2"/>
      <c r="AC10" s="2"/>
    </row>
    <row r="11" spans="1:29" s="1" customFormat="1" ht="18.75">
      <c r="A11" s="9">
        <v>1</v>
      </c>
      <c r="B11" s="8">
        <v>156</v>
      </c>
      <c r="C11" s="8"/>
      <c r="D11" s="42"/>
      <c r="E11" s="42"/>
      <c r="F11" s="10">
        <v>4</v>
      </c>
      <c r="G11" s="10">
        <v>1</v>
      </c>
      <c r="H11" s="50">
        <v>0</v>
      </c>
      <c r="I11" s="50">
        <v>0</v>
      </c>
      <c r="J11" s="50">
        <v>0</v>
      </c>
      <c r="K11" s="12" t="s">
        <v>37</v>
      </c>
      <c r="L11" s="11">
        <f t="shared" si="0"/>
        <v>6</v>
      </c>
      <c r="M11" s="10">
        <f t="shared" si="6"/>
        <v>1.2</v>
      </c>
      <c r="N11" s="10">
        <f t="shared" si="1"/>
        <v>0</v>
      </c>
      <c r="O11" s="10">
        <v>0</v>
      </c>
      <c r="P11" s="10">
        <f t="shared" si="2"/>
        <v>7.2</v>
      </c>
      <c r="Q11" s="17">
        <v>21.161266129032246</v>
      </c>
      <c r="R11" s="18">
        <f t="shared" si="3"/>
        <v>28.361266129032245</v>
      </c>
      <c r="S11" s="19">
        <f t="shared" si="4"/>
        <v>8.125</v>
      </c>
      <c r="T11" s="20">
        <f t="shared" si="5"/>
        <v>20.236266129032245</v>
      </c>
      <c r="U11" s="4"/>
      <c r="V11" s="4"/>
      <c r="W11" s="4"/>
      <c r="X11" s="34"/>
    </row>
    <row r="12" spans="1:29" s="1" customFormat="1" ht="18.75">
      <c r="A12" s="9">
        <v>1</v>
      </c>
      <c r="B12" s="8">
        <v>172</v>
      </c>
      <c r="C12" s="8"/>
      <c r="D12" s="42"/>
      <c r="E12" s="42"/>
      <c r="F12" s="10">
        <v>4</v>
      </c>
      <c r="G12" s="10">
        <v>1</v>
      </c>
      <c r="H12" s="50">
        <v>0</v>
      </c>
      <c r="I12" s="50">
        <v>0</v>
      </c>
      <c r="J12" s="50">
        <v>0</v>
      </c>
      <c r="K12" s="12" t="s">
        <v>37</v>
      </c>
      <c r="L12" s="11">
        <f t="shared" si="0"/>
        <v>6</v>
      </c>
      <c r="M12" s="10">
        <f t="shared" si="6"/>
        <v>1.2</v>
      </c>
      <c r="N12" s="10">
        <f t="shared" si="1"/>
        <v>0</v>
      </c>
      <c r="O12" s="10">
        <v>0</v>
      </c>
      <c r="P12" s="10">
        <f t="shared" si="2"/>
        <v>7.2</v>
      </c>
      <c r="Q12" s="17">
        <v>21.15</v>
      </c>
      <c r="R12" s="18">
        <f t="shared" si="3"/>
        <v>28.349999999999998</v>
      </c>
      <c r="S12" s="19">
        <f t="shared" si="4"/>
        <v>8.125</v>
      </c>
      <c r="T12" s="20">
        <f t="shared" si="5"/>
        <v>20.224999999999998</v>
      </c>
      <c r="U12" s="4"/>
      <c r="V12" s="4"/>
      <c r="W12" s="4"/>
      <c r="X12" s="35" t="s">
        <v>27</v>
      </c>
      <c r="Y12" s="1">
        <v>15000</v>
      </c>
    </row>
    <row r="13" spans="1:29" s="2" customFormat="1" ht="18.75">
      <c r="A13" s="9">
        <v>1</v>
      </c>
      <c r="B13" s="8">
        <v>116</v>
      </c>
      <c r="C13" s="8"/>
      <c r="D13" s="42"/>
      <c r="E13" s="42"/>
      <c r="F13" s="10">
        <v>3</v>
      </c>
      <c r="G13" s="10">
        <v>1</v>
      </c>
      <c r="H13" s="50">
        <v>0</v>
      </c>
      <c r="I13" s="50">
        <v>1</v>
      </c>
      <c r="J13" s="50">
        <v>1</v>
      </c>
      <c r="K13" s="13" t="s">
        <v>38</v>
      </c>
      <c r="L13" s="11">
        <f t="shared" si="0"/>
        <v>4</v>
      </c>
      <c r="M13" s="10">
        <f t="shared" si="6"/>
        <v>1.2</v>
      </c>
      <c r="N13" s="10">
        <f t="shared" si="1"/>
        <v>0.8</v>
      </c>
      <c r="O13" s="10">
        <v>0</v>
      </c>
      <c r="P13" s="10">
        <f t="shared" si="2"/>
        <v>6</v>
      </c>
      <c r="Q13" s="17">
        <v>21.531249999999996</v>
      </c>
      <c r="R13" s="18">
        <f t="shared" si="3"/>
        <v>27.531249999999996</v>
      </c>
      <c r="S13" s="19">
        <f t="shared" si="4"/>
        <v>6.25</v>
      </c>
      <c r="T13" s="20">
        <f t="shared" si="5"/>
        <v>21.281249999999996</v>
      </c>
      <c r="U13" s="11"/>
      <c r="V13" s="11"/>
      <c r="W13" s="32"/>
      <c r="X13" s="36" t="s">
        <v>28</v>
      </c>
      <c r="Y13" s="37">
        <v>160</v>
      </c>
      <c r="Z13" s="1"/>
      <c r="AA13" s="1"/>
      <c r="AB13" s="1"/>
      <c r="AC13" s="1"/>
    </row>
    <row r="14" spans="1:29" s="2" customFormat="1" ht="18.75">
      <c r="A14" s="9">
        <v>1</v>
      </c>
      <c r="B14" s="9">
        <v>46</v>
      </c>
      <c r="C14" s="8"/>
      <c r="D14" s="42"/>
      <c r="E14" s="42"/>
      <c r="F14" s="10">
        <v>4</v>
      </c>
      <c r="G14" s="10">
        <v>1</v>
      </c>
      <c r="H14" s="50">
        <v>0</v>
      </c>
      <c r="I14" s="50">
        <v>1</v>
      </c>
      <c r="J14" s="50">
        <v>0</v>
      </c>
      <c r="K14" s="13" t="s">
        <v>38</v>
      </c>
      <c r="L14" s="11">
        <f t="shared" si="0"/>
        <v>6</v>
      </c>
      <c r="M14" s="10">
        <f t="shared" si="6"/>
        <v>1.2</v>
      </c>
      <c r="N14" s="10">
        <f t="shared" si="1"/>
        <v>0.4</v>
      </c>
      <c r="O14" s="10">
        <v>0</v>
      </c>
      <c r="P14" s="10">
        <f t="shared" si="2"/>
        <v>7.6000000000000005</v>
      </c>
      <c r="Q14" s="17">
        <v>19.873750000000005</v>
      </c>
      <c r="R14" s="18">
        <f t="shared" si="3"/>
        <v>27.473750000000006</v>
      </c>
      <c r="S14" s="19">
        <f t="shared" si="4"/>
        <v>6.25</v>
      </c>
      <c r="T14" s="20">
        <f t="shared" si="5"/>
        <v>21.223750000000006</v>
      </c>
      <c r="U14" s="11"/>
      <c r="V14" s="11"/>
      <c r="W14" s="11"/>
      <c r="X14" s="38" t="s">
        <v>35</v>
      </c>
      <c r="Y14" s="37">
        <v>1.2</v>
      </c>
      <c r="Z14" s="1"/>
      <c r="AA14" s="1"/>
      <c r="AB14" s="1"/>
      <c r="AC14" s="1"/>
    </row>
    <row r="15" spans="1:29" s="2" customFormat="1" ht="18.75">
      <c r="A15" s="9">
        <v>1</v>
      </c>
      <c r="B15" s="8">
        <v>221</v>
      </c>
      <c r="C15" s="8"/>
      <c r="D15" s="42"/>
      <c r="E15" s="42"/>
      <c r="F15" s="10">
        <v>4</v>
      </c>
      <c r="G15" s="10">
        <v>1</v>
      </c>
      <c r="H15" s="50">
        <v>0</v>
      </c>
      <c r="I15" s="50">
        <v>0</v>
      </c>
      <c r="J15" s="50">
        <v>0</v>
      </c>
      <c r="K15" s="13" t="s">
        <v>38</v>
      </c>
      <c r="L15" s="11">
        <f t="shared" si="0"/>
        <v>6</v>
      </c>
      <c r="M15" s="10">
        <f t="shared" si="6"/>
        <v>1.2</v>
      </c>
      <c r="N15" s="10">
        <f t="shared" si="1"/>
        <v>0</v>
      </c>
      <c r="O15" s="10">
        <v>0</v>
      </c>
      <c r="P15" s="10">
        <f t="shared" si="2"/>
        <v>7.2</v>
      </c>
      <c r="Q15" s="17">
        <v>20.193749999999998</v>
      </c>
      <c r="R15" s="18">
        <f t="shared" si="3"/>
        <v>27.393749999999997</v>
      </c>
      <c r="S15" s="19">
        <f t="shared" si="4"/>
        <v>6.25</v>
      </c>
      <c r="T15" s="20">
        <f t="shared" si="5"/>
        <v>21.143749999999997</v>
      </c>
      <c r="U15" s="4"/>
      <c r="V15" s="4"/>
      <c r="W15" s="4"/>
      <c r="X15" s="1" t="s">
        <v>29</v>
      </c>
      <c r="Y15" s="37">
        <v>2021</v>
      </c>
      <c r="Z15" s="1"/>
      <c r="AA15" s="1"/>
      <c r="AB15" s="1"/>
      <c r="AC15" s="1"/>
    </row>
    <row r="16" spans="1:29" s="2" customFormat="1" ht="18.75">
      <c r="A16" s="9">
        <v>1</v>
      </c>
      <c r="B16" s="8">
        <v>216</v>
      </c>
      <c r="C16" s="8"/>
      <c r="D16" s="42"/>
      <c r="F16" s="10">
        <v>4</v>
      </c>
      <c r="G16" s="10">
        <v>1</v>
      </c>
      <c r="H16" s="50">
        <v>0</v>
      </c>
      <c r="I16" s="50">
        <v>0</v>
      </c>
      <c r="J16" s="50">
        <v>0</v>
      </c>
      <c r="K16" s="13" t="s">
        <v>38</v>
      </c>
      <c r="L16" s="11">
        <f t="shared" si="0"/>
        <v>6</v>
      </c>
      <c r="M16" s="10">
        <f t="shared" si="6"/>
        <v>1.2</v>
      </c>
      <c r="N16" s="10">
        <f t="shared" si="1"/>
        <v>0</v>
      </c>
      <c r="O16" s="10">
        <v>0</v>
      </c>
      <c r="P16" s="10">
        <f t="shared" si="2"/>
        <v>7.2</v>
      </c>
      <c r="Q16" s="17">
        <v>20.075201612903218</v>
      </c>
      <c r="R16" s="18">
        <f t="shared" si="3"/>
        <v>27.275201612903217</v>
      </c>
      <c r="S16" s="19">
        <f t="shared" si="4"/>
        <v>6.25</v>
      </c>
      <c r="T16" s="20">
        <f t="shared" si="5"/>
        <v>21.025201612903217</v>
      </c>
      <c r="U16" s="4"/>
      <c r="V16" s="4"/>
      <c r="W16" s="4"/>
      <c r="X16" s="1" t="s">
        <v>30</v>
      </c>
      <c r="Y16" s="37">
        <v>8</v>
      </c>
      <c r="Z16" s="1"/>
      <c r="AA16" s="1"/>
      <c r="AB16" s="1"/>
      <c r="AC16" s="1"/>
    </row>
    <row r="17" spans="1:29" s="2" customFormat="1" ht="18.75">
      <c r="A17" s="9">
        <v>1</v>
      </c>
      <c r="B17" s="8">
        <v>224</v>
      </c>
      <c r="C17" s="8"/>
      <c r="D17" s="42"/>
      <c r="E17" s="42"/>
      <c r="F17" s="10">
        <v>4</v>
      </c>
      <c r="G17" s="10">
        <v>1</v>
      </c>
      <c r="H17" s="50">
        <v>0</v>
      </c>
      <c r="I17" s="50">
        <v>0</v>
      </c>
      <c r="J17" s="50">
        <v>0</v>
      </c>
      <c r="K17" s="13" t="s">
        <v>38</v>
      </c>
      <c r="L17" s="11">
        <f t="shared" si="0"/>
        <v>6</v>
      </c>
      <c r="M17" s="10">
        <f t="shared" si="6"/>
        <v>1.2</v>
      </c>
      <c r="N17" s="10">
        <f t="shared" si="1"/>
        <v>0</v>
      </c>
      <c r="O17" s="10">
        <v>0</v>
      </c>
      <c r="P17" s="10">
        <f t="shared" si="2"/>
        <v>7.2</v>
      </c>
      <c r="Q17" s="17">
        <v>19.74160447761194</v>
      </c>
      <c r="R17" s="18">
        <f t="shared" si="3"/>
        <v>26.941604477611939</v>
      </c>
      <c r="S17" s="19">
        <f t="shared" si="4"/>
        <v>6.25</v>
      </c>
      <c r="T17" s="20">
        <f t="shared" si="5"/>
        <v>20.691604477611939</v>
      </c>
      <c r="U17" s="4"/>
      <c r="V17" s="4"/>
      <c r="W17" s="4"/>
      <c r="X17" s="1" t="s">
        <v>31</v>
      </c>
      <c r="Y17" s="37">
        <v>7</v>
      </c>
      <c r="Z17" s="1"/>
      <c r="AA17" s="1"/>
      <c r="AB17" s="1"/>
      <c r="AC17" s="1"/>
    </row>
    <row r="18" spans="1:29" s="2" customFormat="1" ht="18.75">
      <c r="A18" s="9">
        <v>1</v>
      </c>
      <c r="B18" s="8">
        <v>208</v>
      </c>
      <c r="C18" s="8"/>
      <c r="D18" s="42"/>
      <c r="E18" s="47"/>
      <c r="F18" s="10">
        <v>4</v>
      </c>
      <c r="G18" s="10">
        <v>1</v>
      </c>
      <c r="H18" s="50">
        <v>0</v>
      </c>
      <c r="I18" s="50">
        <v>0</v>
      </c>
      <c r="J18" s="50">
        <v>0</v>
      </c>
      <c r="K18" s="13" t="s">
        <v>38</v>
      </c>
      <c r="L18" s="11">
        <f t="shared" si="0"/>
        <v>6</v>
      </c>
      <c r="M18" s="10">
        <f t="shared" si="6"/>
        <v>1.2</v>
      </c>
      <c r="N18" s="10">
        <f t="shared" si="1"/>
        <v>0</v>
      </c>
      <c r="O18" s="10">
        <v>0</v>
      </c>
      <c r="P18" s="10">
        <f t="shared" si="2"/>
        <v>7.2</v>
      </c>
      <c r="Q18" s="17">
        <v>19.706249999999997</v>
      </c>
      <c r="R18" s="18">
        <f t="shared" si="3"/>
        <v>26.906249999999996</v>
      </c>
      <c r="S18" s="19">
        <f t="shared" si="4"/>
        <v>6.25</v>
      </c>
      <c r="T18" s="20">
        <f t="shared" si="5"/>
        <v>20.656249999999996</v>
      </c>
      <c r="U18" s="4"/>
      <c r="V18" s="4"/>
      <c r="W18" s="4"/>
      <c r="X18" s="51" t="s">
        <v>46</v>
      </c>
      <c r="Y18" s="37">
        <v>0.4</v>
      </c>
      <c r="Z18" s="1"/>
      <c r="AA18" s="1"/>
      <c r="AB18" s="1"/>
      <c r="AC18" s="1"/>
    </row>
    <row r="19" spans="1:29" s="2" customFormat="1" ht="18.75">
      <c r="A19" s="9">
        <v>1</v>
      </c>
      <c r="B19" s="8">
        <v>118</v>
      </c>
      <c r="C19" s="8"/>
      <c r="D19" s="42"/>
      <c r="E19" s="42"/>
      <c r="F19" s="10">
        <v>4</v>
      </c>
      <c r="G19" s="10">
        <v>1</v>
      </c>
      <c r="H19" s="50">
        <v>0</v>
      </c>
      <c r="I19" s="50">
        <v>0</v>
      </c>
      <c r="J19" s="50">
        <v>0</v>
      </c>
      <c r="K19" s="13" t="s">
        <v>38</v>
      </c>
      <c r="L19" s="11">
        <f t="shared" si="0"/>
        <v>6</v>
      </c>
      <c r="M19" s="10">
        <f t="shared" si="6"/>
        <v>1.2</v>
      </c>
      <c r="N19" s="10">
        <f t="shared" si="1"/>
        <v>0</v>
      </c>
      <c r="O19" s="10">
        <v>0</v>
      </c>
      <c r="P19" s="10">
        <f t="shared" si="2"/>
        <v>7.2</v>
      </c>
      <c r="Q19" s="17">
        <v>19.456249999999994</v>
      </c>
      <c r="R19" s="18">
        <f t="shared" si="3"/>
        <v>26.656249999999993</v>
      </c>
      <c r="S19" s="19">
        <f t="shared" si="4"/>
        <v>6.25</v>
      </c>
      <c r="T19" s="20">
        <f t="shared" si="5"/>
        <v>20.406249999999993</v>
      </c>
      <c r="U19" s="11"/>
      <c r="V19" s="11"/>
      <c r="W19" s="32"/>
      <c r="X19" s="1"/>
      <c r="Y19" s="1"/>
      <c r="Z19" s="1"/>
      <c r="AA19" s="1"/>
      <c r="AB19" s="1"/>
      <c r="AC19" s="1"/>
    </row>
    <row r="20" spans="1:29" s="2" customFormat="1" ht="18.75">
      <c r="A20" s="9">
        <v>1</v>
      </c>
      <c r="B20" s="9">
        <v>10</v>
      </c>
      <c r="C20" s="8"/>
      <c r="D20" s="42"/>
      <c r="E20" s="42"/>
      <c r="F20" s="10">
        <v>1</v>
      </c>
      <c r="G20" s="10">
        <v>1</v>
      </c>
      <c r="H20" s="50">
        <v>0</v>
      </c>
      <c r="I20" s="50">
        <v>0</v>
      </c>
      <c r="J20" s="50">
        <v>1</v>
      </c>
      <c r="K20" s="14" t="s">
        <v>39</v>
      </c>
      <c r="L20" s="11">
        <f t="shared" si="0"/>
        <v>1</v>
      </c>
      <c r="M20" s="10">
        <f t="shared" si="6"/>
        <v>1.2</v>
      </c>
      <c r="N20" s="10">
        <f t="shared" si="1"/>
        <v>0.4</v>
      </c>
      <c r="O20" s="10">
        <v>0</v>
      </c>
      <c r="P20" s="10">
        <f t="shared" si="2"/>
        <v>2.6</v>
      </c>
      <c r="Q20" s="17">
        <v>23.606250000000003</v>
      </c>
      <c r="R20" s="18">
        <f t="shared" si="3"/>
        <v>26.206250000000004</v>
      </c>
      <c r="S20" s="19">
        <f t="shared" si="4"/>
        <v>1.09375</v>
      </c>
      <c r="T20" s="20">
        <f t="shared" si="5"/>
        <v>25.112500000000004</v>
      </c>
      <c r="U20" s="11"/>
      <c r="V20" s="11"/>
      <c r="W20" s="11"/>
      <c r="X20" s="1"/>
      <c r="Y20" s="1"/>
      <c r="Z20" s="1"/>
      <c r="AA20" s="1"/>
      <c r="AB20" s="1"/>
      <c r="AC20" s="1"/>
    </row>
    <row r="21" spans="1:29" s="2" customFormat="1" ht="18.75">
      <c r="A21" s="9">
        <v>1</v>
      </c>
      <c r="B21" s="8">
        <v>238</v>
      </c>
      <c r="C21" s="8"/>
      <c r="D21" s="42"/>
      <c r="E21" s="4"/>
      <c r="F21" s="10">
        <v>4</v>
      </c>
      <c r="G21" s="10">
        <v>1</v>
      </c>
      <c r="H21" s="50">
        <v>0</v>
      </c>
      <c r="I21" s="50">
        <v>0</v>
      </c>
      <c r="J21" s="50">
        <v>0</v>
      </c>
      <c r="K21" s="14" t="s">
        <v>39</v>
      </c>
      <c r="L21" s="11">
        <f t="shared" si="0"/>
        <v>6</v>
      </c>
      <c r="M21" s="10">
        <f t="shared" si="6"/>
        <v>1.2</v>
      </c>
      <c r="N21" s="10">
        <f t="shared" si="1"/>
        <v>0</v>
      </c>
      <c r="O21" s="10">
        <v>0</v>
      </c>
      <c r="P21" s="10">
        <f t="shared" si="2"/>
        <v>7.2</v>
      </c>
      <c r="Q21" s="17">
        <v>18.006249999999994</v>
      </c>
      <c r="R21" s="18">
        <f t="shared" si="3"/>
        <v>25.206249999999994</v>
      </c>
      <c r="S21" s="19">
        <f t="shared" si="4"/>
        <v>1.09375</v>
      </c>
      <c r="T21" s="20">
        <f t="shared" si="5"/>
        <v>24.112499999999994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8.75">
      <c r="A22" s="9">
        <v>1</v>
      </c>
      <c r="B22" s="8">
        <v>209</v>
      </c>
      <c r="C22" s="8"/>
      <c r="D22" s="42"/>
      <c r="E22" s="42"/>
      <c r="F22" s="10">
        <v>4</v>
      </c>
      <c r="G22" s="10">
        <v>1</v>
      </c>
      <c r="H22" s="50">
        <v>0</v>
      </c>
      <c r="I22" s="50">
        <v>0</v>
      </c>
      <c r="J22" s="50">
        <v>0</v>
      </c>
      <c r="K22" s="14" t="s">
        <v>39</v>
      </c>
      <c r="L22" s="11">
        <f t="shared" si="0"/>
        <v>6</v>
      </c>
      <c r="M22" s="10">
        <f t="shared" si="6"/>
        <v>1.2</v>
      </c>
      <c r="N22" s="10">
        <f t="shared" si="1"/>
        <v>0</v>
      </c>
      <c r="O22" s="10">
        <v>0</v>
      </c>
      <c r="P22" s="10">
        <f t="shared" si="2"/>
        <v>7.2</v>
      </c>
      <c r="Q22" s="17">
        <v>17.456249999999994</v>
      </c>
      <c r="R22" s="18">
        <f t="shared" si="3"/>
        <v>24.656249999999993</v>
      </c>
      <c r="S22" s="19">
        <f t="shared" si="4"/>
        <v>1.09375</v>
      </c>
      <c r="T22" s="20">
        <f t="shared" si="5"/>
        <v>23.562499999999993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8.75">
      <c r="A23" s="9">
        <v>1</v>
      </c>
      <c r="B23" s="8">
        <v>167</v>
      </c>
      <c r="C23" s="8"/>
      <c r="D23" s="42"/>
      <c r="E23" s="48"/>
      <c r="F23" s="10">
        <v>0</v>
      </c>
      <c r="G23" s="10">
        <v>0</v>
      </c>
      <c r="H23" s="50">
        <v>0</v>
      </c>
      <c r="I23" s="50">
        <v>0</v>
      </c>
      <c r="J23" s="50">
        <v>0</v>
      </c>
      <c r="K23" s="39" t="s">
        <v>26</v>
      </c>
      <c r="L23" s="11">
        <f t="shared" si="0"/>
        <v>0</v>
      </c>
      <c r="M23" s="10">
        <f t="shared" si="6"/>
        <v>0</v>
      </c>
      <c r="N23" s="10">
        <f t="shared" si="1"/>
        <v>0</v>
      </c>
      <c r="O23" s="10">
        <v>0</v>
      </c>
      <c r="P23" s="10">
        <f t="shared" si="2"/>
        <v>0</v>
      </c>
      <c r="Q23" s="17">
        <v>24.624999999999979</v>
      </c>
      <c r="R23" s="18">
        <f t="shared" si="3"/>
        <v>24.624999999999979</v>
      </c>
      <c r="S23" s="19">
        <f t="shared" si="4"/>
        <v>0</v>
      </c>
      <c r="T23" s="20">
        <f t="shared" si="5"/>
        <v>24.624999999999979</v>
      </c>
      <c r="U23" s="4"/>
      <c r="V23" s="4"/>
      <c r="W23" s="4"/>
    </row>
    <row r="24" spans="1:29" s="1" customFormat="1" ht="18.75">
      <c r="A24" s="9">
        <v>1</v>
      </c>
      <c r="B24" s="8">
        <v>196</v>
      </c>
      <c r="C24" s="8"/>
      <c r="D24" s="42"/>
      <c r="E24" s="47"/>
      <c r="F24" s="10">
        <v>2</v>
      </c>
      <c r="G24" s="10">
        <v>1</v>
      </c>
      <c r="H24" s="50">
        <v>0</v>
      </c>
      <c r="I24" s="50">
        <v>0</v>
      </c>
      <c r="J24" s="50">
        <v>0</v>
      </c>
      <c r="K24" s="14" t="s">
        <v>39</v>
      </c>
      <c r="L24" s="11">
        <f t="shared" si="0"/>
        <v>2</v>
      </c>
      <c r="M24" s="10">
        <f t="shared" si="6"/>
        <v>1.2</v>
      </c>
      <c r="N24" s="10">
        <f t="shared" si="1"/>
        <v>0</v>
      </c>
      <c r="O24" s="10">
        <v>0</v>
      </c>
      <c r="P24" s="10">
        <f t="shared" si="2"/>
        <v>3.2</v>
      </c>
      <c r="Q24" s="17">
        <v>20.737499999999997</v>
      </c>
      <c r="R24" s="18">
        <f t="shared" si="3"/>
        <v>23.937499999999996</v>
      </c>
      <c r="S24" s="19">
        <f t="shared" si="4"/>
        <v>1.09375</v>
      </c>
      <c r="T24" s="20">
        <f t="shared" si="5"/>
        <v>22.843749999999996</v>
      </c>
      <c r="U24" s="4"/>
      <c r="V24" s="4"/>
      <c r="W24" s="4"/>
    </row>
    <row r="25" spans="1:29" s="1" customFormat="1" ht="18.75">
      <c r="A25" s="9">
        <v>1</v>
      </c>
      <c r="B25" s="8">
        <v>195</v>
      </c>
      <c r="C25" s="8"/>
      <c r="D25" s="42"/>
      <c r="E25" s="47"/>
      <c r="F25" s="10">
        <v>4</v>
      </c>
      <c r="G25" s="10">
        <v>1</v>
      </c>
      <c r="H25" s="50">
        <v>0</v>
      </c>
      <c r="I25" s="50">
        <v>0</v>
      </c>
      <c r="J25" s="50">
        <v>0</v>
      </c>
      <c r="K25" s="14" t="s">
        <v>39</v>
      </c>
      <c r="L25" s="11">
        <f t="shared" si="0"/>
        <v>6</v>
      </c>
      <c r="M25" s="10">
        <f t="shared" si="6"/>
        <v>1.2</v>
      </c>
      <c r="N25" s="10">
        <f t="shared" si="1"/>
        <v>0</v>
      </c>
      <c r="O25" s="10">
        <v>0</v>
      </c>
      <c r="P25" s="10">
        <f t="shared" si="2"/>
        <v>7.2</v>
      </c>
      <c r="Q25" s="17">
        <v>16.611999999999995</v>
      </c>
      <c r="R25" s="18">
        <f t="shared" si="3"/>
        <v>23.811999999999994</v>
      </c>
      <c r="S25" s="19">
        <f t="shared" si="4"/>
        <v>1.09375</v>
      </c>
      <c r="T25" s="20">
        <f t="shared" si="5"/>
        <v>22.718249999999994</v>
      </c>
      <c r="U25" s="4"/>
      <c r="V25" s="4"/>
      <c r="W25" s="4"/>
    </row>
    <row r="26" spans="1:29" s="1" customFormat="1" ht="18.75" customHeight="1">
      <c r="A26" s="9">
        <v>1</v>
      </c>
      <c r="B26" s="8">
        <v>226</v>
      </c>
      <c r="C26" s="8"/>
      <c r="D26" s="42"/>
      <c r="E26" s="42"/>
      <c r="F26" s="10">
        <v>4</v>
      </c>
      <c r="G26" s="10">
        <v>1</v>
      </c>
      <c r="H26" s="50">
        <v>0</v>
      </c>
      <c r="I26" s="50">
        <v>0</v>
      </c>
      <c r="J26" s="50">
        <v>0</v>
      </c>
      <c r="K26" s="14" t="s">
        <v>39</v>
      </c>
      <c r="L26" s="11">
        <f t="shared" si="0"/>
        <v>6</v>
      </c>
      <c r="M26" s="10">
        <f t="shared" si="6"/>
        <v>1.2</v>
      </c>
      <c r="N26" s="10">
        <f t="shared" si="1"/>
        <v>0</v>
      </c>
      <c r="O26" s="10">
        <v>0</v>
      </c>
      <c r="P26" s="10">
        <f t="shared" si="2"/>
        <v>7.2</v>
      </c>
      <c r="Q26" s="17">
        <v>16.024999999999999</v>
      </c>
      <c r="R26" s="18">
        <f t="shared" si="3"/>
        <v>23.224999999999998</v>
      </c>
      <c r="S26" s="19">
        <f t="shared" si="4"/>
        <v>1.09375</v>
      </c>
      <c r="T26" s="20">
        <f t="shared" si="5"/>
        <v>22.131249999999998</v>
      </c>
      <c r="U26" s="4"/>
      <c r="V26" s="4"/>
      <c r="W26" s="4"/>
    </row>
    <row r="27" spans="1:29" s="1" customFormat="1" ht="18.75">
      <c r="A27" s="9">
        <v>1</v>
      </c>
      <c r="B27" s="8">
        <v>212</v>
      </c>
      <c r="C27" s="8"/>
      <c r="D27" s="42"/>
      <c r="E27" s="47"/>
      <c r="F27" s="10">
        <v>4</v>
      </c>
      <c r="G27" s="10">
        <v>1</v>
      </c>
      <c r="H27" s="50">
        <v>0</v>
      </c>
      <c r="I27" s="50">
        <v>0</v>
      </c>
      <c r="J27" s="50">
        <v>0</v>
      </c>
      <c r="K27" s="14" t="s">
        <v>39</v>
      </c>
      <c r="L27" s="11">
        <f t="shared" si="0"/>
        <v>6</v>
      </c>
      <c r="M27" s="10">
        <f t="shared" si="6"/>
        <v>1.2</v>
      </c>
      <c r="N27" s="10">
        <f t="shared" si="1"/>
        <v>0</v>
      </c>
      <c r="O27" s="10">
        <v>0</v>
      </c>
      <c r="P27" s="10">
        <f t="shared" si="2"/>
        <v>7.2</v>
      </c>
      <c r="Q27" s="17">
        <v>15.962499999999991</v>
      </c>
      <c r="R27" s="18">
        <f t="shared" si="3"/>
        <v>23.162499999999991</v>
      </c>
      <c r="S27" s="19">
        <f t="shared" si="4"/>
        <v>1.09375</v>
      </c>
      <c r="T27" s="20">
        <f t="shared" si="5"/>
        <v>22.068749999999991</v>
      </c>
      <c r="U27" s="4"/>
      <c r="V27" s="4"/>
      <c r="W27" s="4"/>
    </row>
    <row r="28" spans="1:29" s="1" customFormat="1" ht="18.75">
      <c r="A28" s="9">
        <v>1</v>
      </c>
      <c r="B28" s="8">
        <v>189</v>
      </c>
      <c r="C28" s="8"/>
      <c r="D28" s="42"/>
      <c r="E28" s="47"/>
      <c r="F28" s="10">
        <v>4</v>
      </c>
      <c r="G28" s="10">
        <v>1</v>
      </c>
      <c r="H28" s="50">
        <v>0</v>
      </c>
      <c r="I28" s="50">
        <v>0</v>
      </c>
      <c r="J28" s="50">
        <v>0</v>
      </c>
      <c r="K28" s="14" t="s">
        <v>39</v>
      </c>
      <c r="L28" s="11">
        <f t="shared" si="0"/>
        <v>6</v>
      </c>
      <c r="M28" s="10">
        <f t="shared" si="6"/>
        <v>1.2</v>
      </c>
      <c r="N28" s="10">
        <f t="shared" si="1"/>
        <v>0</v>
      </c>
      <c r="O28" s="10">
        <v>0</v>
      </c>
      <c r="P28" s="10">
        <f t="shared" si="2"/>
        <v>7.2</v>
      </c>
      <c r="Q28" s="17">
        <v>14.606250000000003</v>
      </c>
      <c r="R28" s="18">
        <f t="shared" si="3"/>
        <v>21.806250000000002</v>
      </c>
      <c r="S28" s="19">
        <f t="shared" si="4"/>
        <v>1.09375</v>
      </c>
      <c r="T28" s="20">
        <f t="shared" si="5"/>
        <v>20.712500000000002</v>
      </c>
      <c r="U28" s="4"/>
      <c r="V28" s="4"/>
      <c r="W28" s="4"/>
    </row>
    <row r="29" spans="1:29" s="2" customFormat="1" ht="18.75">
      <c r="A29" s="9">
        <v>1</v>
      </c>
      <c r="B29" s="8">
        <v>236</v>
      </c>
      <c r="C29" s="8"/>
      <c r="D29" s="42"/>
      <c r="E29" s="4"/>
      <c r="F29" s="10">
        <v>2</v>
      </c>
      <c r="G29" s="10">
        <v>1</v>
      </c>
      <c r="H29" s="50">
        <v>0</v>
      </c>
      <c r="I29" s="50">
        <v>0</v>
      </c>
      <c r="J29" s="50">
        <v>0</v>
      </c>
      <c r="K29" s="14" t="s">
        <v>39</v>
      </c>
      <c r="L29" s="11">
        <f t="shared" si="0"/>
        <v>2</v>
      </c>
      <c r="M29" s="10">
        <f t="shared" si="6"/>
        <v>1.2</v>
      </c>
      <c r="N29" s="10">
        <f t="shared" si="1"/>
        <v>0</v>
      </c>
      <c r="O29" s="10">
        <v>0</v>
      </c>
      <c r="P29" s="10">
        <f t="shared" si="2"/>
        <v>3.2</v>
      </c>
      <c r="Q29" s="17">
        <v>18.581249999999997</v>
      </c>
      <c r="R29" s="18">
        <f t="shared" si="3"/>
        <v>21.781249999999996</v>
      </c>
      <c r="S29" s="19">
        <f t="shared" si="4"/>
        <v>1.09375</v>
      </c>
      <c r="T29" s="20">
        <f t="shared" si="5"/>
        <v>20.687499999999996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8.75">
      <c r="A30" s="9">
        <v>1</v>
      </c>
      <c r="B30" s="8">
        <v>184</v>
      </c>
      <c r="C30" s="8"/>
      <c r="D30" s="42"/>
      <c r="E30" s="47"/>
      <c r="F30" s="10">
        <v>3</v>
      </c>
      <c r="G30" s="10">
        <v>1</v>
      </c>
      <c r="H30" s="50">
        <v>0</v>
      </c>
      <c r="I30" s="50">
        <v>1</v>
      </c>
      <c r="J30" s="50">
        <v>0</v>
      </c>
      <c r="K30" s="14" t="s">
        <v>39</v>
      </c>
      <c r="L30" s="11">
        <f t="shared" si="0"/>
        <v>4</v>
      </c>
      <c r="M30" s="10">
        <f t="shared" si="6"/>
        <v>1.2</v>
      </c>
      <c r="N30" s="10">
        <f t="shared" si="1"/>
        <v>0.4</v>
      </c>
      <c r="O30" s="10">
        <v>0</v>
      </c>
      <c r="P30" s="10">
        <f t="shared" si="2"/>
        <v>5.6000000000000005</v>
      </c>
      <c r="Q30" s="17">
        <v>16.000000000000011</v>
      </c>
      <c r="R30" s="18">
        <f t="shared" si="3"/>
        <v>21.600000000000012</v>
      </c>
      <c r="S30" s="19">
        <f t="shared" si="4"/>
        <v>1.09375</v>
      </c>
      <c r="T30" s="20">
        <f t="shared" si="5"/>
        <v>20.506250000000012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8.75">
      <c r="A31" s="9">
        <v>1</v>
      </c>
      <c r="B31" s="8">
        <v>182</v>
      </c>
      <c r="C31" s="8"/>
      <c r="D31" s="42"/>
      <c r="E31" s="42"/>
      <c r="F31" s="10">
        <v>4</v>
      </c>
      <c r="G31" s="10">
        <v>1</v>
      </c>
      <c r="H31" s="50">
        <v>0</v>
      </c>
      <c r="I31" s="50">
        <v>0</v>
      </c>
      <c r="J31" s="50">
        <v>1</v>
      </c>
      <c r="K31" s="14" t="s">
        <v>39</v>
      </c>
      <c r="L31" s="11">
        <f t="shared" si="0"/>
        <v>6</v>
      </c>
      <c r="M31" s="10">
        <f t="shared" si="6"/>
        <v>1.2</v>
      </c>
      <c r="N31" s="10">
        <f t="shared" si="1"/>
        <v>0.4</v>
      </c>
      <c r="O31" s="10">
        <v>0</v>
      </c>
      <c r="P31" s="10">
        <f t="shared" si="2"/>
        <v>7.6000000000000005</v>
      </c>
      <c r="Q31" s="17">
        <v>13.969250000000013</v>
      </c>
      <c r="R31" s="18">
        <f t="shared" si="3"/>
        <v>21.569250000000014</v>
      </c>
      <c r="S31" s="19">
        <f t="shared" si="4"/>
        <v>1.09375</v>
      </c>
      <c r="T31" s="20">
        <f t="shared" si="5"/>
        <v>20.475500000000014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8.75">
      <c r="A32" s="9">
        <v>1</v>
      </c>
      <c r="B32" s="8">
        <v>225</v>
      </c>
      <c r="C32" s="8"/>
      <c r="D32" s="42"/>
      <c r="E32" s="42"/>
      <c r="F32" s="10">
        <v>4</v>
      </c>
      <c r="G32" s="10">
        <v>1</v>
      </c>
      <c r="H32" s="50">
        <v>0</v>
      </c>
      <c r="I32" s="50">
        <v>0</v>
      </c>
      <c r="J32" s="50">
        <v>0</v>
      </c>
      <c r="K32" s="14" t="s">
        <v>39</v>
      </c>
      <c r="L32" s="11">
        <f t="shared" si="0"/>
        <v>6</v>
      </c>
      <c r="M32" s="10">
        <f t="shared" si="6"/>
        <v>1.2</v>
      </c>
      <c r="N32" s="10">
        <f t="shared" si="1"/>
        <v>0</v>
      </c>
      <c r="O32" s="10">
        <v>0</v>
      </c>
      <c r="P32" s="10">
        <f t="shared" si="2"/>
        <v>7.2</v>
      </c>
      <c r="Q32" s="17">
        <v>14.210736940298499</v>
      </c>
      <c r="R32" s="18">
        <f t="shared" si="3"/>
        <v>21.410736940298499</v>
      </c>
      <c r="S32" s="19">
        <f t="shared" si="4"/>
        <v>1.09375</v>
      </c>
      <c r="T32" s="20">
        <f t="shared" si="5"/>
        <v>20.316986940298499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8.75">
      <c r="A33" s="9">
        <v>1</v>
      </c>
      <c r="B33" s="8">
        <v>202</v>
      </c>
      <c r="C33" s="8"/>
      <c r="D33" s="42"/>
      <c r="E33" s="47"/>
      <c r="F33" s="10">
        <v>4</v>
      </c>
      <c r="G33" s="10">
        <v>1</v>
      </c>
      <c r="H33" s="50">
        <v>0</v>
      </c>
      <c r="I33" s="50">
        <v>0</v>
      </c>
      <c r="J33" s="50">
        <v>0</v>
      </c>
      <c r="K33" s="14" t="s">
        <v>39</v>
      </c>
      <c r="L33" s="11">
        <f t="shared" si="0"/>
        <v>6</v>
      </c>
      <c r="M33" s="10">
        <f t="shared" si="6"/>
        <v>1.2</v>
      </c>
      <c r="N33" s="10">
        <f t="shared" si="1"/>
        <v>0</v>
      </c>
      <c r="O33" s="10">
        <v>0</v>
      </c>
      <c r="P33" s="10">
        <f t="shared" si="2"/>
        <v>7.2</v>
      </c>
      <c r="Q33" s="17">
        <v>14.143749999999997</v>
      </c>
      <c r="R33" s="18">
        <f t="shared" si="3"/>
        <v>21.343749999999996</v>
      </c>
      <c r="S33" s="19">
        <f t="shared" si="4"/>
        <v>1.09375</v>
      </c>
      <c r="T33" s="20">
        <f t="shared" si="5"/>
        <v>20.249999999999996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8.75">
      <c r="A34" s="9">
        <v>1</v>
      </c>
      <c r="B34" s="8">
        <v>232</v>
      </c>
      <c r="C34" s="8"/>
      <c r="D34" s="42"/>
      <c r="E34" s="4"/>
      <c r="F34" s="10">
        <v>2</v>
      </c>
      <c r="G34" s="10">
        <v>0</v>
      </c>
      <c r="H34" s="50">
        <v>0</v>
      </c>
      <c r="I34" s="50">
        <v>0</v>
      </c>
      <c r="J34" s="50">
        <v>0</v>
      </c>
      <c r="K34" s="14" t="s">
        <v>39</v>
      </c>
      <c r="L34" s="11">
        <f t="shared" si="0"/>
        <v>2</v>
      </c>
      <c r="M34" s="10">
        <f t="shared" si="6"/>
        <v>0</v>
      </c>
      <c r="N34" s="10">
        <f t="shared" si="1"/>
        <v>0</v>
      </c>
      <c r="O34" s="10">
        <v>0</v>
      </c>
      <c r="P34" s="10">
        <f t="shared" si="2"/>
        <v>2</v>
      </c>
      <c r="Q34" s="17">
        <v>19.274999999999999</v>
      </c>
      <c r="R34" s="18">
        <f t="shared" si="3"/>
        <v>21.274999999999999</v>
      </c>
      <c r="S34" s="19">
        <f t="shared" si="4"/>
        <v>1.09375</v>
      </c>
      <c r="T34" s="20">
        <f t="shared" si="5"/>
        <v>20.181249999999999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8.75">
      <c r="A35" s="9">
        <v>1</v>
      </c>
      <c r="B35" s="8">
        <v>128</v>
      </c>
      <c r="C35" s="8"/>
      <c r="D35" s="42"/>
      <c r="E35" s="49"/>
      <c r="F35" s="10">
        <v>4</v>
      </c>
      <c r="G35" s="10">
        <v>1</v>
      </c>
      <c r="H35" s="50">
        <v>0</v>
      </c>
      <c r="I35" s="50">
        <v>1</v>
      </c>
      <c r="J35" s="50">
        <v>1</v>
      </c>
      <c r="K35" s="14" t="s">
        <v>39</v>
      </c>
      <c r="L35" s="11">
        <f t="shared" si="0"/>
        <v>6</v>
      </c>
      <c r="M35" s="10">
        <f t="shared" si="6"/>
        <v>1.2</v>
      </c>
      <c r="N35" s="10">
        <f t="shared" si="1"/>
        <v>0.8</v>
      </c>
      <c r="O35" s="10">
        <v>0</v>
      </c>
      <c r="P35" s="10">
        <f t="shared" si="2"/>
        <v>8</v>
      </c>
      <c r="Q35" s="17">
        <v>13.080749999999995</v>
      </c>
      <c r="R35" s="18">
        <f t="shared" si="3"/>
        <v>21.080749999999995</v>
      </c>
      <c r="S35" s="19">
        <f t="shared" si="4"/>
        <v>1.09375</v>
      </c>
      <c r="T35" s="20">
        <f t="shared" si="5"/>
        <v>19.986999999999995</v>
      </c>
      <c r="U35" s="11"/>
      <c r="V35" s="11"/>
      <c r="W35" s="31"/>
      <c r="X35" s="1"/>
      <c r="Y35" s="1"/>
      <c r="Z35" s="1"/>
      <c r="AA35" s="1"/>
      <c r="AB35" s="1"/>
      <c r="AC35" s="1"/>
    </row>
    <row r="36" spans="1:29" s="2" customFormat="1" ht="18.75">
      <c r="A36" s="9">
        <v>1</v>
      </c>
      <c r="B36" s="8">
        <v>174</v>
      </c>
      <c r="C36" s="8"/>
      <c r="D36" s="42"/>
      <c r="E36" s="42"/>
      <c r="F36" s="10">
        <v>3</v>
      </c>
      <c r="G36" s="10">
        <v>1</v>
      </c>
      <c r="H36" s="50">
        <v>0</v>
      </c>
      <c r="I36" s="50">
        <v>0</v>
      </c>
      <c r="J36" s="50">
        <v>0</v>
      </c>
      <c r="K36" s="14" t="s">
        <v>39</v>
      </c>
      <c r="L36" s="11">
        <f t="shared" si="0"/>
        <v>4</v>
      </c>
      <c r="M36" s="10">
        <f t="shared" si="6"/>
        <v>1.2</v>
      </c>
      <c r="N36" s="10">
        <f t="shared" si="1"/>
        <v>0</v>
      </c>
      <c r="O36" s="10">
        <v>0</v>
      </c>
      <c r="P36" s="10">
        <f t="shared" si="2"/>
        <v>5.2</v>
      </c>
      <c r="Q36" s="17">
        <v>15.731249999999989</v>
      </c>
      <c r="R36" s="18">
        <f t="shared" si="3"/>
        <v>20.931249999999988</v>
      </c>
      <c r="S36" s="19">
        <f t="shared" si="4"/>
        <v>1.09375</v>
      </c>
      <c r="T36" s="20">
        <f t="shared" si="5"/>
        <v>19.837499999999988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8.75">
      <c r="A37" s="9">
        <v>1</v>
      </c>
      <c r="B37" s="8">
        <v>234</v>
      </c>
      <c r="C37" s="8"/>
      <c r="D37" s="42"/>
      <c r="E37" s="42"/>
      <c r="F37" s="10">
        <v>4</v>
      </c>
      <c r="G37" s="10">
        <v>0</v>
      </c>
      <c r="H37" s="50">
        <v>0</v>
      </c>
      <c r="I37" s="50">
        <v>0</v>
      </c>
      <c r="J37" s="50">
        <v>0</v>
      </c>
      <c r="K37" s="14" t="s">
        <v>39</v>
      </c>
      <c r="L37" s="11">
        <f t="shared" ref="L37:L69" si="7">F37+IF(F37&gt;2,(F37-2)*1,0)</f>
        <v>6</v>
      </c>
      <c r="M37" s="10">
        <f t="shared" si="6"/>
        <v>0</v>
      </c>
      <c r="N37" s="10">
        <f t="shared" ref="N37:N69" si="8">SUM(H37:J37)*$Y$18</f>
        <v>0</v>
      </c>
      <c r="O37" s="10">
        <v>0</v>
      </c>
      <c r="P37" s="10">
        <f t="shared" ref="P37:P68" si="9">SUM(M37+L37+O37+N37)</f>
        <v>6</v>
      </c>
      <c r="Q37" s="17">
        <v>14.5625</v>
      </c>
      <c r="R37" s="18">
        <f t="shared" ref="R37:R68" si="10">P37+Q37</f>
        <v>20.5625</v>
      </c>
      <c r="S37" s="19">
        <f t="shared" ref="S37:S69" si="11">VLOOKUP(K37,$X$3:$Y$10,2,FALSE)</f>
        <v>1.09375</v>
      </c>
      <c r="T37" s="20">
        <f t="shared" ref="T37:T68" si="12">R37-S37</f>
        <v>19.46875</v>
      </c>
      <c r="U37" s="4"/>
      <c r="V37" s="4"/>
      <c r="W37" s="4"/>
    </row>
    <row r="38" spans="1:29" s="2" customFormat="1" ht="18.75">
      <c r="A38" s="9">
        <v>1</v>
      </c>
      <c r="B38" s="8">
        <v>185</v>
      </c>
      <c r="C38" s="8"/>
      <c r="D38" s="42"/>
      <c r="E38" s="47"/>
      <c r="F38" s="10">
        <v>3</v>
      </c>
      <c r="G38" s="10">
        <v>1</v>
      </c>
      <c r="H38" s="50">
        <v>0</v>
      </c>
      <c r="I38" s="50">
        <v>1</v>
      </c>
      <c r="J38" s="50">
        <v>1</v>
      </c>
      <c r="K38" s="14" t="s">
        <v>39</v>
      </c>
      <c r="L38" s="11">
        <f t="shared" si="7"/>
        <v>4</v>
      </c>
      <c r="M38" s="10">
        <f t="shared" si="6"/>
        <v>1.2</v>
      </c>
      <c r="N38" s="10">
        <f t="shared" si="8"/>
        <v>0.8</v>
      </c>
      <c r="O38" s="10">
        <v>0</v>
      </c>
      <c r="P38" s="10">
        <f t="shared" si="9"/>
        <v>6</v>
      </c>
      <c r="Q38" s="17">
        <v>14.456250000000001</v>
      </c>
      <c r="R38" s="18">
        <f t="shared" si="10"/>
        <v>20.456250000000001</v>
      </c>
      <c r="S38" s="19">
        <f t="shared" si="11"/>
        <v>1.09375</v>
      </c>
      <c r="T38" s="20">
        <f t="shared" si="12"/>
        <v>19.362500000000001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8.75">
      <c r="A39" s="9">
        <v>1</v>
      </c>
      <c r="B39" s="8">
        <v>110</v>
      </c>
      <c r="C39" s="8"/>
      <c r="D39" s="42"/>
      <c r="E39" s="42"/>
      <c r="F39" s="10">
        <v>3</v>
      </c>
      <c r="G39" s="10">
        <v>1</v>
      </c>
      <c r="H39" s="50">
        <v>0</v>
      </c>
      <c r="I39" s="50">
        <v>0</v>
      </c>
      <c r="J39" s="50">
        <v>1</v>
      </c>
      <c r="K39" s="14" t="s">
        <v>39</v>
      </c>
      <c r="L39" s="11">
        <f t="shared" si="7"/>
        <v>4</v>
      </c>
      <c r="M39" s="10">
        <f t="shared" si="6"/>
        <v>1.2</v>
      </c>
      <c r="N39" s="10">
        <f t="shared" si="8"/>
        <v>0.4</v>
      </c>
      <c r="O39" s="10">
        <v>0</v>
      </c>
      <c r="P39" s="10">
        <f t="shared" si="9"/>
        <v>5.6000000000000005</v>
      </c>
      <c r="Q39" s="17">
        <v>14.843750000000007</v>
      </c>
      <c r="R39" s="18">
        <f t="shared" si="10"/>
        <v>20.443750000000009</v>
      </c>
      <c r="S39" s="19">
        <f t="shared" si="11"/>
        <v>1.09375</v>
      </c>
      <c r="T39" s="20">
        <f t="shared" si="12"/>
        <v>19.350000000000009</v>
      </c>
      <c r="U39" s="11"/>
      <c r="V39" s="11"/>
      <c r="W39" s="17"/>
    </row>
    <row r="40" spans="1:29" ht="18.75">
      <c r="A40" s="9">
        <v>1</v>
      </c>
      <c r="B40" s="8">
        <v>183</v>
      </c>
      <c r="C40" s="8"/>
      <c r="D40" s="42"/>
      <c r="E40" s="42"/>
      <c r="F40" s="10">
        <v>4</v>
      </c>
      <c r="G40" s="10">
        <v>1</v>
      </c>
      <c r="H40" s="50">
        <v>0</v>
      </c>
      <c r="I40" s="50">
        <v>0</v>
      </c>
      <c r="J40" s="50">
        <v>0</v>
      </c>
      <c r="K40" s="14" t="s">
        <v>39</v>
      </c>
      <c r="L40" s="11">
        <f t="shared" si="7"/>
        <v>6</v>
      </c>
      <c r="M40" s="10">
        <f t="shared" si="6"/>
        <v>1.2</v>
      </c>
      <c r="N40" s="10">
        <f t="shared" si="8"/>
        <v>0</v>
      </c>
      <c r="O40" s="10">
        <v>0</v>
      </c>
      <c r="P40" s="10">
        <f t="shared" si="9"/>
        <v>7.2</v>
      </c>
      <c r="Q40" s="17">
        <v>13.237500000000001</v>
      </c>
      <c r="R40" s="18">
        <f t="shared" si="10"/>
        <v>20.4375</v>
      </c>
      <c r="S40" s="19">
        <f t="shared" si="11"/>
        <v>1.09375</v>
      </c>
      <c r="T40" s="20">
        <f t="shared" si="12"/>
        <v>19.34375</v>
      </c>
      <c r="U40" s="4"/>
      <c r="V40" s="4"/>
      <c r="W40" s="4"/>
    </row>
    <row r="41" spans="1:29" ht="18.75">
      <c r="A41" s="9">
        <v>1</v>
      </c>
      <c r="B41" s="9">
        <v>230</v>
      </c>
      <c r="C41" s="8"/>
      <c r="D41" s="42"/>
      <c r="F41" s="10">
        <v>2</v>
      </c>
      <c r="G41" s="10">
        <v>1</v>
      </c>
      <c r="H41" s="50">
        <v>0</v>
      </c>
      <c r="I41" s="50">
        <v>0</v>
      </c>
      <c r="J41" s="50">
        <v>0</v>
      </c>
      <c r="K41" s="14" t="s">
        <v>39</v>
      </c>
      <c r="L41" s="11">
        <f t="shared" si="7"/>
        <v>2</v>
      </c>
      <c r="M41" s="10">
        <f t="shared" si="6"/>
        <v>1.2</v>
      </c>
      <c r="N41" s="10">
        <f t="shared" si="8"/>
        <v>0</v>
      </c>
      <c r="O41" s="10">
        <v>0</v>
      </c>
      <c r="P41" s="10">
        <f t="shared" si="9"/>
        <v>3.2</v>
      </c>
      <c r="Q41" s="17">
        <v>17.106249999999999</v>
      </c>
      <c r="R41" s="18">
        <f t="shared" si="10"/>
        <v>20.306249999999999</v>
      </c>
      <c r="S41" s="19">
        <f t="shared" si="11"/>
        <v>1.09375</v>
      </c>
      <c r="T41" s="20">
        <f t="shared" si="12"/>
        <v>19.212499999999999</v>
      </c>
      <c r="U41" s="4"/>
      <c r="V41" s="4"/>
      <c r="W41" s="4"/>
    </row>
    <row r="42" spans="1:29" ht="18.75">
      <c r="A42" s="9">
        <v>1</v>
      </c>
      <c r="B42" s="9">
        <v>92</v>
      </c>
      <c r="C42" s="8"/>
      <c r="D42" s="42"/>
      <c r="E42" s="42"/>
      <c r="F42" s="10">
        <v>2</v>
      </c>
      <c r="G42" s="10">
        <v>1</v>
      </c>
      <c r="H42" s="50">
        <v>0</v>
      </c>
      <c r="I42" s="50">
        <v>0</v>
      </c>
      <c r="J42" s="50">
        <v>0</v>
      </c>
      <c r="K42" s="14" t="s">
        <v>39</v>
      </c>
      <c r="L42" s="11">
        <f t="shared" si="7"/>
        <v>2</v>
      </c>
      <c r="M42" s="10">
        <f t="shared" ref="M42:M69" si="13">G42*$Y$14</f>
        <v>1.2</v>
      </c>
      <c r="N42" s="10">
        <f t="shared" si="8"/>
        <v>0</v>
      </c>
      <c r="O42" s="10">
        <v>0</v>
      </c>
      <c r="P42" s="10">
        <f t="shared" si="9"/>
        <v>3.2</v>
      </c>
      <c r="Q42" s="17">
        <v>17.012499999999999</v>
      </c>
      <c r="R42" s="18">
        <f t="shared" si="10"/>
        <v>20.212499999999999</v>
      </c>
      <c r="S42" s="19">
        <f t="shared" si="11"/>
        <v>1.09375</v>
      </c>
      <c r="T42" s="20">
        <f t="shared" si="12"/>
        <v>19.118749999999999</v>
      </c>
      <c r="U42" s="11"/>
      <c r="V42" s="11"/>
      <c r="W42" s="31"/>
    </row>
    <row r="43" spans="1:29" ht="18.75">
      <c r="A43" s="9">
        <v>1</v>
      </c>
      <c r="B43" s="8">
        <v>215</v>
      </c>
      <c r="C43" s="8"/>
      <c r="D43" s="42"/>
      <c r="E43" s="2"/>
      <c r="F43" s="10">
        <v>4</v>
      </c>
      <c r="G43" s="10">
        <v>0</v>
      </c>
      <c r="H43" s="50">
        <v>0</v>
      </c>
      <c r="I43" s="50">
        <v>1</v>
      </c>
      <c r="J43" s="50">
        <v>1</v>
      </c>
      <c r="K43" s="14" t="s">
        <v>39</v>
      </c>
      <c r="L43" s="11">
        <f t="shared" si="7"/>
        <v>6</v>
      </c>
      <c r="M43" s="10">
        <f t="shared" si="13"/>
        <v>0</v>
      </c>
      <c r="N43" s="10">
        <f t="shared" si="8"/>
        <v>0.8</v>
      </c>
      <c r="O43" s="10">
        <v>0</v>
      </c>
      <c r="P43" s="10">
        <f t="shared" si="9"/>
        <v>6.8</v>
      </c>
      <c r="Q43" s="17">
        <v>12.887999999999995</v>
      </c>
      <c r="R43" s="18">
        <f t="shared" si="10"/>
        <v>19.687999999999995</v>
      </c>
      <c r="S43" s="19">
        <f t="shared" si="11"/>
        <v>1.09375</v>
      </c>
      <c r="T43" s="20">
        <f t="shared" si="12"/>
        <v>18.594249999999995</v>
      </c>
      <c r="U43" s="4"/>
      <c r="V43" s="4"/>
      <c r="W43" s="4"/>
    </row>
    <row r="44" spans="1:29" ht="18.75">
      <c r="A44" s="9">
        <v>1</v>
      </c>
      <c r="B44" s="8">
        <v>229</v>
      </c>
      <c r="C44" s="8"/>
      <c r="D44" s="42"/>
      <c r="E44" s="42"/>
      <c r="F44" s="10">
        <v>2</v>
      </c>
      <c r="G44" s="10">
        <v>1</v>
      </c>
      <c r="H44" s="50">
        <v>0</v>
      </c>
      <c r="I44" s="50">
        <v>0</v>
      </c>
      <c r="J44" s="50">
        <v>0</v>
      </c>
      <c r="K44" s="14" t="s">
        <v>39</v>
      </c>
      <c r="L44" s="11">
        <f t="shared" si="7"/>
        <v>2</v>
      </c>
      <c r="M44" s="10">
        <f t="shared" si="13"/>
        <v>1.2</v>
      </c>
      <c r="N44" s="10">
        <f t="shared" si="8"/>
        <v>0</v>
      </c>
      <c r="O44" s="10">
        <v>0</v>
      </c>
      <c r="P44" s="10">
        <f t="shared" si="9"/>
        <v>3.2</v>
      </c>
      <c r="Q44" s="17">
        <v>15.784589552238799</v>
      </c>
      <c r="R44" s="18">
        <f t="shared" si="10"/>
        <v>18.984589552238798</v>
      </c>
      <c r="S44" s="19">
        <f t="shared" si="11"/>
        <v>1.09375</v>
      </c>
      <c r="T44" s="20">
        <f t="shared" si="12"/>
        <v>17.890839552238798</v>
      </c>
      <c r="U44" s="4"/>
      <c r="V44" s="4"/>
      <c r="W44" s="4"/>
    </row>
    <row r="45" spans="1:29" ht="18.75">
      <c r="A45" s="9">
        <v>1</v>
      </c>
      <c r="B45" s="8">
        <v>200</v>
      </c>
      <c r="C45" s="8"/>
      <c r="D45" s="42"/>
      <c r="E45" s="47"/>
      <c r="F45" s="10">
        <v>3</v>
      </c>
      <c r="G45" s="10">
        <v>1</v>
      </c>
      <c r="H45" s="50">
        <v>0</v>
      </c>
      <c r="I45" s="50">
        <v>1</v>
      </c>
      <c r="J45" s="50">
        <v>0</v>
      </c>
      <c r="K45" s="14" t="s">
        <v>39</v>
      </c>
      <c r="L45" s="11">
        <f t="shared" si="7"/>
        <v>4</v>
      </c>
      <c r="M45" s="10">
        <f t="shared" si="13"/>
        <v>1.2</v>
      </c>
      <c r="N45" s="10">
        <f t="shared" si="8"/>
        <v>0.4</v>
      </c>
      <c r="O45" s="10">
        <v>0</v>
      </c>
      <c r="P45" s="10">
        <f t="shared" si="9"/>
        <v>5.6000000000000005</v>
      </c>
      <c r="Q45" s="17">
        <v>12.900000000000006</v>
      </c>
      <c r="R45" s="18">
        <f t="shared" si="10"/>
        <v>18.500000000000007</v>
      </c>
      <c r="S45" s="19">
        <f t="shared" si="11"/>
        <v>1.09375</v>
      </c>
      <c r="T45" s="20">
        <f t="shared" si="12"/>
        <v>17.406250000000007</v>
      </c>
      <c r="U45" s="4"/>
      <c r="V45" s="4"/>
      <c r="W45" s="4"/>
    </row>
    <row r="46" spans="1:29" ht="18.75">
      <c r="A46" s="9">
        <v>1</v>
      </c>
      <c r="B46" s="8">
        <v>198</v>
      </c>
      <c r="C46" s="8"/>
      <c r="D46" s="42"/>
      <c r="E46" s="47"/>
      <c r="F46" s="10">
        <v>0</v>
      </c>
      <c r="G46" s="10">
        <v>0</v>
      </c>
      <c r="H46" s="50">
        <v>0</v>
      </c>
      <c r="I46" s="50">
        <v>0</v>
      </c>
      <c r="J46" s="50">
        <v>0</v>
      </c>
      <c r="K46" s="39" t="s">
        <v>26</v>
      </c>
      <c r="L46" s="11">
        <f t="shared" si="7"/>
        <v>0</v>
      </c>
      <c r="M46" s="10">
        <f t="shared" si="13"/>
        <v>0</v>
      </c>
      <c r="N46" s="10">
        <f t="shared" si="8"/>
        <v>0</v>
      </c>
      <c r="O46" s="10">
        <v>0</v>
      </c>
      <c r="P46" s="10">
        <f t="shared" si="9"/>
        <v>0</v>
      </c>
      <c r="Q46" s="17">
        <v>18.01874999999999</v>
      </c>
      <c r="R46" s="18">
        <f t="shared" si="10"/>
        <v>18.01874999999999</v>
      </c>
      <c r="S46" s="19">
        <f t="shared" si="11"/>
        <v>0</v>
      </c>
      <c r="T46" s="20">
        <f t="shared" si="12"/>
        <v>18.01874999999999</v>
      </c>
      <c r="U46" s="4"/>
      <c r="V46" s="4"/>
      <c r="W46" s="4"/>
    </row>
    <row r="47" spans="1:29" ht="18.75">
      <c r="A47" s="9">
        <v>1</v>
      </c>
      <c r="B47" s="8">
        <v>193</v>
      </c>
      <c r="C47" s="8"/>
      <c r="D47" s="42"/>
      <c r="E47" s="47"/>
      <c r="F47" s="10">
        <v>0</v>
      </c>
      <c r="G47" s="10">
        <v>0</v>
      </c>
      <c r="H47" s="50">
        <v>0</v>
      </c>
      <c r="I47" s="50">
        <v>0</v>
      </c>
      <c r="J47" s="50">
        <v>0</v>
      </c>
      <c r="K47" s="39" t="s">
        <v>26</v>
      </c>
      <c r="L47" s="11">
        <f t="shared" si="7"/>
        <v>0</v>
      </c>
      <c r="M47" s="10">
        <f t="shared" si="13"/>
        <v>0</v>
      </c>
      <c r="N47" s="10">
        <f t="shared" si="8"/>
        <v>0</v>
      </c>
      <c r="O47" s="10">
        <v>0</v>
      </c>
      <c r="P47" s="10">
        <f t="shared" si="9"/>
        <v>0</v>
      </c>
      <c r="Q47" s="17">
        <v>17.812499999999996</v>
      </c>
      <c r="R47" s="18">
        <f t="shared" si="10"/>
        <v>17.812499999999996</v>
      </c>
      <c r="S47" s="19">
        <f t="shared" si="11"/>
        <v>0</v>
      </c>
      <c r="T47" s="20">
        <f t="shared" si="12"/>
        <v>17.812499999999996</v>
      </c>
      <c r="U47" s="4"/>
      <c r="V47" s="4"/>
      <c r="W47" s="4"/>
    </row>
    <row r="48" spans="1:29" ht="18.75">
      <c r="A48" s="9">
        <v>1</v>
      </c>
      <c r="B48" s="8">
        <v>241</v>
      </c>
      <c r="C48" s="8"/>
      <c r="D48" s="42"/>
      <c r="F48" s="10">
        <v>2</v>
      </c>
      <c r="G48" s="10">
        <v>1</v>
      </c>
      <c r="H48" s="50">
        <v>0</v>
      </c>
      <c r="I48" s="50">
        <v>0</v>
      </c>
      <c r="J48" s="50">
        <v>0</v>
      </c>
      <c r="K48" s="14" t="s">
        <v>39</v>
      </c>
      <c r="L48" s="11">
        <f t="shared" si="7"/>
        <v>2</v>
      </c>
      <c r="M48" s="10">
        <f t="shared" si="13"/>
        <v>1.2</v>
      </c>
      <c r="N48" s="10">
        <f t="shared" si="8"/>
        <v>0</v>
      </c>
      <c r="O48" s="10">
        <v>0</v>
      </c>
      <c r="P48" s="10">
        <f t="shared" si="9"/>
        <v>3.2</v>
      </c>
      <c r="Q48" s="17">
        <v>13.274999999999995</v>
      </c>
      <c r="R48" s="18">
        <f t="shared" si="10"/>
        <v>16.474999999999994</v>
      </c>
      <c r="S48" s="19">
        <f t="shared" si="11"/>
        <v>1.09375</v>
      </c>
      <c r="T48" s="20">
        <f t="shared" si="12"/>
        <v>15.381249999999994</v>
      </c>
    </row>
    <row r="49" spans="1:20" ht="18.75">
      <c r="A49" s="9">
        <v>1</v>
      </c>
      <c r="B49" s="8">
        <v>155</v>
      </c>
      <c r="C49" s="8"/>
      <c r="D49" s="42"/>
      <c r="E49" s="42"/>
      <c r="F49" s="10">
        <v>2</v>
      </c>
      <c r="G49" s="10">
        <v>0</v>
      </c>
      <c r="H49" s="50">
        <v>0</v>
      </c>
      <c r="I49" s="50">
        <v>0</v>
      </c>
      <c r="J49" s="50">
        <v>0</v>
      </c>
      <c r="K49" s="14" t="s">
        <v>39</v>
      </c>
      <c r="L49" s="11">
        <f t="shared" si="7"/>
        <v>2</v>
      </c>
      <c r="M49" s="10">
        <f t="shared" si="13"/>
        <v>0</v>
      </c>
      <c r="N49" s="10">
        <f t="shared" si="8"/>
        <v>0</v>
      </c>
      <c r="O49" s="10">
        <v>0</v>
      </c>
      <c r="P49" s="10">
        <f t="shared" si="9"/>
        <v>2</v>
      </c>
      <c r="Q49" s="17">
        <v>14.306249999999999</v>
      </c>
      <c r="R49" s="18">
        <f t="shared" si="10"/>
        <v>16.306249999999999</v>
      </c>
      <c r="S49" s="19">
        <f t="shared" si="11"/>
        <v>1.09375</v>
      </c>
      <c r="T49" s="20">
        <f t="shared" si="12"/>
        <v>15.212499999999999</v>
      </c>
    </row>
    <row r="50" spans="1:20" ht="18.75">
      <c r="A50" s="9">
        <v>1</v>
      </c>
      <c r="B50" s="8">
        <v>187</v>
      </c>
      <c r="C50" s="8"/>
      <c r="D50" s="42"/>
      <c r="E50" s="47"/>
      <c r="F50" s="10">
        <v>0</v>
      </c>
      <c r="G50" s="10">
        <v>1</v>
      </c>
      <c r="H50" s="50">
        <v>0</v>
      </c>
      <c r="I50" s="50">
        <v>0</v>
      </c>
      <c r="J50" s="50">
        <v>0</v>
      </c>
      <c r="K50" s="39" t="s">
        <v>26</v>
      </c>
      <c r="L50" s="11">
        <f t="shared" si="7"/>
        <v>0</v>
      </c>
      <c r="M50" s="10">
        <f t="shared" si="13"/>
        <v>1.2</v>
      </c>
      <c r="N50" s="10">
        <f t="shared" si="8"/>
        <v>0</v>
      </c>
      <c r="O50" s="10">
        <v>0</v>
      </c>
      <c r="P50" s="10">
        <f t="shared" si="9"/>
        <v>1.2</v>
      </c>
      <c r="Q50" s="17">
        <v>14.962499999999991</v>
      </c>
      <c r="R50" s="18">
        <f t="shared" si="10"/>
        <v>16.162499999999991</v>
      </c>
      <c r="S50" s="19">
        <f t="shared" si="11"/>
        <v>0</v>
      </c>
      <c r="T50" s="20">
        <f t="shared" si="12"/>
        <v>16.162499999999991</v>
      </c>
    </row>
    <row r="51" spans="1:20" ht="18.75">
      <c r="A51" s="9">
        <v>1</v>
      </c>
      <c r="B51" s="8">
        <v>222</v>
      </c>
      <c r="C51" s="8"/>
      <c r="D51" s="42"/>
      <c r="E51" s="42"/>
      <c r="F51" s="10">
        <v>1</v>
      </c>
      <c r="G51" s="10">
        <v>0</v>
      </c>
      <c r="H51" s="50">
        <v>0</v>
      </c>
      <c r="I51" s="50">
        <v>0</v>
      </c>
      <c r="J51" s="50">
        <v>0</v>
      </c>
      <c r="K51" s="14" t="s">
        <v>39</v>
      </c>
      <c r="L51" s="11">
        <f t="shared" si="7"/>
        <v>1</v>
      </c>
      <c r="M51" s="10">
        <f t="shared" si="13"/>
        <v>0</v>
      </c>
      <c r="N51" s="10">
        <f t="shared" si="8"/>
        <v>0</v>
      </c>
      <c r="O51" s="10">
        <v>0</v>
      </c>
      <c r="P51" s="10">
        <f t="shared" si="9"/>
        <v>1</v>
      </c>
      <c r="Q51" s="17">
        <v>14.531477649769574</v>
      </c>
      <c r="R51" s="18">
        <f t="shared" si="10"/>
        <v>15.531477649769574</v>
      </c>
      <c r="S51" s="19">
        <f t="shared" si="11"/>
        <v>1.09375</v>
      </c>
      <c r="T51" s="20">
        <f t="shared" si="12"/>
        <v>14.437727649769574</v>
      </c>
    </row>
    <row r="52" spans="1:20" ht="18.75">
      <c r="A52" s="9">
        <v>1</v>
      </c>
      <c r="B52" s="8">
        <v>223</v>
      </c>
      <c r="C52" s="8"/>
      <c r="D52" s="42"/>
      <c r="E52" s="42"/>
      <c r="F52" s="10">
        <v>0</v>
      </c>
      <c r="G52" s="10">
        <v>0</v>
      </c>
      <c r="H52" s="50">
        <v>0</v>
      </c>
      <c r="I52" s="50">
        <v>0</v>
      </c>
      <c r="J52" s="50">
        <v>0</v>
      </c>
      <c r="K52" s="39" t="s">
        <v>26</v>
      </c>
      <c r="L52" s="11">
        <f t="shared" si="7"/>
        <v>0</v>
      </c>
      <c r="M52" s="10">
        <f t="shared" si="13"/>
        <v>0</v>
      </c>
      <c r="N52" s="10">
        <f t="shared" si="8"/>
        <v>0</v>
      </c>
      <c r="O52" s="10">
        <v>0</v>
      </c>
      <c r="P52" s="10">
        <f t="shared" si="9"/>
        <v>0</v>
      </c>
      <c r="Q52" s="17">
        <v>10.624999999999996</v>
      </c>
      <c r="R52" s="18">
        <f t="shared" si="10"/>
        <v>10.624999999999996</v>
      </c>
      <c r="S52" s="19">
        <f t="shared" si="11"/>
        <v>0</v>
      </c>
      <c r="T52" s="20">
        <f t="shared" si="12"/>
        <v>10.624999999999996</v>
      </c>
    </row>
    <row r="53" spans="1:20" ht="18.75">
      <c r="A53" s="9">
        <v>1</v>
      </c>
      <c r="B53" s="8">
        <v>219</v>
      </c>
      <c r="C53" s="8"/>
      <c r="D53" s="42"/>
      <c r="E53" s="47"/>
      <c r="F53" s="10">
        <v>0</v>
      </c>
      <c r="G53" s="10">
        <v>0</v>
      </c>
      <c r="H53" s="50">
        <v>0</v>
      </c>
      <c r="I53" s="50">
        <v>0</v>
      </c>
      <c r="J53" s="50">
        <v>0</v>
      </c>
      <c r="K53" s="39" t="s">
        <v>26</v>
      </c>
      <c r="L53" s="11">
        <f t="shared" si="7"/>
        <v>0</v>
      </c>
      <c r="M53" s="10">
        <f t="shared" si="13"/>
        <v>0</v>
      </c>
      <c r="N53" s="10">
        <f t="shared" si="8"/>
        <v>0</v>
      </c>
      <c r="O53" s="10">
        <v>0</v>
      </c>
      <c r="P53" s="10">
        <f t="shared" si="9"/>
        <v>0</v>
      </c>
      <c r="Q53" s="17">
        <v>9.4499999999999957</v>
      </c>
      <c r="R53" s="18">
        <f t="shared" si="10"/>
        <v>9.4499999999999957</v>
      </c>
      <c r="S53" s="19">
        <f t="shared" si="11"/>
        <v>0</v>
      </c>
      <c r="T53" s="20">
        <f t="shared" si="12"/>
        <v>9.4499999999999957</v>
      </c>
    </row>
    <row r="54" spans="1:20" ht="18.75">
      <c r="A54" s="9">
        <v>1</v>
      </c>
      <c r="B54" s="8">
        <v>239</v>
      </c>
      <c r="C54" s="8"/>
      <c r="D54" s="42"/>
      <c r="F54" s="10">
        <v>0</v>
      </c>
      <c r="G54" s="10">
        <v>0</v>
      </c>
      <c r="H54" s="50">
        <v>0</v>
      </c>
      <c r="I54" s="50">
        <v>0</v>
      </c>
      <c r="J54" s="50">
        <v>0</v>
      </c>
      <c r="K54" s="39" t="s">
        <v>26</v>
      </c>
      <c r="L54" s="11">
        <f t="shared" si="7"/>
        <v>0</v>
      </c>
      <c r="M54" s="10">
        <f t="shared" si="13"/>
        <v>0</v>
      </c>
      <c r="N54" s="10">
        <f t="shared" si="8"/>
        <v>0</v>
      </c>
      <c r="O54" s="10">
        <v>0</v>
      </c>
      <c r="P54" s="10">
        <f t="shared" si="9"/>
        <v>0</v>
      </c>
      <c r="Q54" s="17">
        <v>7.1625000000000014</v>
      </c>
      <c r="R54" s="18">
        <f t="shared" si="10"/>
        <v>7.1625000000000014</v>
      </c>
      <c r="S54" s="19">
        <f t="shared" si="11"/>
        <v>0</v>
      </c>
      <c r="T54" s="20">
        <f t="shared" si="12"/>
        <v>7.1625000000000014</v>
      </c>
    </row>
    <row r="55" spans="1:20" ht="18.75">
      <c r="A55" s="9">
        <v>1</v>
      </c>
      <c r="B55" s="8">
        <v>214</v>
      </c>
      <c r="C55" s="8"/>
      <c r="D55" s="42"/>
      <c r="E55" s="2"/>
      <c r="F55" s="10">
        <v>0</v>
      </c>
      <c r="G55" s="10">
        <v>1</v>
      </c>
      <c r="H55" s="50">
        <v>0</v>
      </c>
      <c r="I55" s="50">
        <v>0</v>
      </c>
      <c r="J55" s="50">
        <v>0</v>
      </c>
      <c r="K55" s="39" t="s">
        <v>26</v>
      </c>
      <c r="L55" s="11">
        <f t="shared" si="7"/>
        <v>0</v>
      </c>
      <c r="M55" s="10">
        <f t="shared" si="13"/>
        <v>1.2</v>
      </c>
      <c r="N55" s="10">
        <f t="shared" si="8"/>
        <v>0</v>
      </c>
      <c r="O55" s="10">
        <v>0</v>
      </c>
      <c r="P55" s="10">
        <f t="shared" si="9"/>
        <v>1.2</v>
      </c>
      <c r="Q55" s="17">
        <v>4.381249999999989</v>
      </c>
      <c r="R55" s="18">
        <f t="shared" si="10"/>
        <v>5.5812499999999892</v>
      </c>
      <c r="S55" s="19">
        <f t="shared" si="11"/>
        <v>0</v>
      </c>
      <c r="T55" s="20">
        <f t="shared" si="12"/>
        <v>5.5812499999999892</v>
      </c>
    </row>
    <row r="56" spans="1:20" ht="18.75">
      <c r="A56" s="9">
        <v>1</v>
      </c>
      <c r="B56" s="8">
        <v>192</v>
      </c>
      <c r="C56" s="8"/>
      <c r="D56" s="42"/>
      <c r="E56" s="47"/>
      <c r="F56" s="10">
        <v>0</v>
      </c>
      <c r="G56" s="10">
        <v>0</v>
      </c>
      <c r="H56" s="50">
        <v>0</v>
      </c>
      <c r="I56" s="50">
        <v>0</v>
      </c>
      <c r="J56" s="50">
        <v>0</v>
      </c>
      <c r="K56" s="39" t="s">
        <v>26</v>
      </c>
      <c r="L56" s="11">
        <f t="shared" si="7"/>
        <v>0</v>
      </c>
      <c r="M56" s="10">
        <f t="shared" si="13"/>
        <v>0</v>
      </c>
      <c r="N56" s="10">
        <f t="shared" si="8"/>
        <v>0</v>
      </c>
      <c r="O56" s="10">
        <v>0</v>
      </c>
      <c r="P56" s="10">
        <f t="shared" si="9"/>
        <v>0</v>
      </c>
      <c r="Q56" s="17">
        <v>3.1437499999999954</v>
      </c>
      <c r="R56" s="18">
        <f t="shared" si="10"/>
        <v>3.1437499999999954</v>
      </c>
      <c r="S56" s="19">
        <f t="shared" si="11"/>
        <v>0</v>
      </c>
      <c r="T56" s="20">
        <f t="shared" si="12"/>
        <v>3.1437499999999954</v>
      </c>
    </row>
    <row r="57" spans="1:20" ht="18.75">
      <c r="A57" s="9">
        <v>1</v>
      </c>
      <c r="B57" s="8">
        <v>235</v>
      </c>
      <c r="C57" s="8"/>
      <c r="D57" s="42"/>
      <c r="F57" s="10">
        <v>1</v>
      </c>
      <c r="G57" s="10">
        <v>0</v>
      </c>
      <c r="H57" s="50">
        <v>0</v>
      </c>
      <c r="I57" s="50">
        <v>0</v>
      </c>
      <c r="J57" s="50">
        <v>0</v>
      </c>
      <c r="K57" s="14" t="s">
        <v>39</v>
      </c>
      <c r="L57" s="11">
        <f t="shared" si="7"/>
        <v>1</v>
      </c>
      <c r="M57" s="10">
        <f t="shared" si="13"/>
        <v>0</v>
      </c>
      <c r="N57" s="10">
        <f t="shared" si="8"/>
        <v>0</v>
      </c>
      <c r="O57" s="10">
        <v>0</v>
      </c>
      <c r="P57" s="10">
        <f t="shared" si="9"/>
        <v>1</v>
      </c>
      <c r="Q57" s="17">
        <v>1.9375</v>
      </c>
      <c r="R57" s="18">
        <f t="shared" si="10"/>
        <v>2.9375</v>
      </c>
      <c r="S57" s="19">
        <f t="shared" si="11"/>
        <v>1.09375</v>
      </c>
      <c r="T57" s="20">
        <f t="shared" si="12"/>
        <v>1.84375</v>
      </c>
    </row>
    <row r="58" spans="1:20" ht="18.75">
      <c r="A58" s="9">
        <v>1</v>
      </c>
      <c r="B58" s="8">
        <v>220</v>
      </c>
      <c r="C58" s="8"/>
      <c r="D58" s="42"/>
      <c r="E58" s="44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26</v>
      </c>
      <c r="L58" s="11">
        <f t="shared" si="7"/>
        <v>0</v>
      </c>
      <c r="M58" s="10">
        <f t="shared" si="13"/>
        <v>0</v>
      </c>
      <c r="N58" s="10">
        <f t="shared" si="8"/>
        <v>0</v>
      </c>
      <c r="O58" s="10">
        <v>0</v>
      </c>
      <c r="P58" s="10">
        <f t="shared" si="9"/>
        <v>0</v>
      </c>
      <c r="Q58" s="17">
        <v>2.0310546874999984</v>
      </c>
      <c r="R58" s="18">
        <f t="shared" si="10"/>
        <v>2.0310546874999984</v>
      </c>
      <c r="S58" s="19">
        <f t="shared" si="11"/>
        <v>0</v>
      </c>
      <c r="T58" s="20">
        <f t="shared" si="12"/>
        <v>2.0310546874999984</v>
      </c>
    </row>
    <row r="59" spans="1:20" ht="18.75">
      <c r="A59" s="9">
        <v>1</v>
      </c>
      <c r="B59" s="8">
        <v>233</v>
      </c>
      <c r="C59" s="8"/>
      <c r="D59" s="42"/>
      <c r="F59" s="10">
        <v>0</v>
      </c>
      <c r="G59" s="10">
        <v>0</v>
      </c>
      <c r="H59" s="50">
        <v>0</v>
      </c>
      <c r="I59" s="50">
        <v>0</v>
      </c>
      <c r="J59" s="50">
        <v>0</v>
      </c>
      <c r="K59" s="39" t="s">
        <v>26</v>
      </c>
      <c r="L59" s="11">
        <f t="shared" si="7"/>
        <v>0</v>
      </c>
      <c r="M59" s="10">
        <f t="shared" si="13"/>
        <v>0</v>
      </c>
      <c r="N59" s="10">
        <f t="shared" si="8"/>
        <v>0</v>
      </c>
      <c r="O59" s="10">
        <v>0</v>
      </c>
      <c r="P59" s="10">
        <f t="shared" si="9"/>
        <v>0</v>
      </c>
      <c r="Q59" s="17">
        <v>2.0000000000000018</v>
      </c>
      <c r="R59" s="18">
        <f t="shared" si="10"/>
        <v>2.0000000000000018</v>
      </c>
      <c r="S59" s="19">
        <f t="shared" si="11"/>
        <v>0</v>
      </c>
      <c r="T59" s="20">
        <f t="shared" si="12"/>
        <v>2.0000000000000018</v>
      </c>
    </row>
    <row r="60" spans="1:20" ht="18.75">
      <c r="A60" s="9">
        <v>1</v>
      </c>
      <c r="B60" s="8">
        <v>207</v>
      </c>
      <c r="C60" s="8"/>
      <c r="D60" s="45"/>
      <c r="E60" s="47"/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26</v>
      </c>
      <c r="L60" s="11">
        <f t="shared" si="7"/>
        <v>0</v>
      </c>
      <c r="M60" s="10">
        <f t="shared" si="13"/>
        <v>0</v>
      </c>
      <c r="N60" s="10">
        <f t="shared" si="8"/>
        <v>0</v>
      </c>
      <c r="O60" s="10">
        <v>0</v>
      </c>
      <c r="P60" s="10">
        <f t="shared" si="9"/>
        <v>0</v>
      </c>
      <c r="Q60" s="17">
        <v>1.425</v>
      </c>
      <c r="R60" s="18">
        <f t="shared" si="10"/>
        <v>1.425</v>
      </c>
      <c r="S60" s="19">
        <f t="shared" si="11"/>
        <v>0</v>
      </c>
      <c r="T60" s="20">
        <f t="shared" si="12"/>
        <v>1.425</v>
      </c>
    </row>
    <row r="61" spans="1:20" ht="18.75">
      <c r="A61" s="9">
        <v>1</v>
      </c>
      <c r="B61" s="8">
        <v>213</v>
      </c>
      <c r="C61" s="8"/>
      <c r="D61" s="42"/>
      <c r="E61" s="2"/>
      <c r="F61" s="10">
        <v>0</v>
      </c>
      <c r="G61" s="10">
        <v>0</v>
      </c>
      <c r="H61" s="50">
        <v>0</v>
      </c>
      <c r="I61" s="50">
        <v>0</v>
      </c>
      <c r="J61" s="50">
        <v>0</v>
      </c>
      <c r="K61" s="39" t="s">
        <v>26</v>
      </c>
      <c r="L61" s="11">
        <f t="shared" si="7"/>
        <v>0</v>
      </c>
      <c r="M61" s="10">
        <f t="shared" si="13"/>
        <v>0</v>
      </c>
      <c r="N61" s="10">
        <f t="shared" si="8"/>
        <v>0</v>
      </c>
      <c r="O61" s="10">
        <v>0</v>
      </c>
      <c r="P61" s="10">
        <f t="shared" si="9"/>
        <v>0</v>
      </c>
      <c r="Q61" s="17">
        <v>1.2687499999999945</v>
      </c>
      <c r="R61" s="18">
        <f t="shared" si="10"/>
        <v>1.2687499999999945</v>
      </c>
      <c r="S61" s="19">
        <f t="shared" si="11"/>
        <v>0</v>
      </c>
      <c r="T61" s="20">
        <f t="shared" si="12"/>
        <v>1.2687499999999945</v>
      </c>
    </row>
    <row r="62" spans="1:20" ht="18.75">
      <c r="A62" s="9">
        <v>1</v>
      </c>
      <c r="B62" s="8">
        <v>242</v>
      </c>
      <c r="C62" s="8"/>
      <c r="D62" s="42"/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26</v>
      </c>
      <c r="L62" s="11">
        <f t="shared" si="7"/>
        <v>0</v>
      </c>
      <c r="M62" s="10">
        <f t="shared" si="13"/>
        <v>0</v>
      </c>
      <c r="N62" s="10">
        <f t="shared" si="8"/>
        <v>0</v>
      </c>
      <c r="O62" s="10">
        <v>0</v>
      </c>
      <c r="P62" s="10">
        <f t="shared" si="9"/>
        <v>0</v>
      </c>
      <c r="Q62" s="17">
        <v>0.90625</v>
      </c>
      <c r="R62" s="18">
        <f t="shared" si="10"/>
        <v>0.90625</v>
      </c>
      <c r="S62" s="19">
        <f t="shared" si="11"/>
        <v>0</v>
      </c>
      <c r="T62" s="20">
        <f t="shared" si="12"/>
        <v>0.90625</v>
      </c>
    </row>
    <row r="63" spans="1:20" ht="18.75">
      <c r="A63" s="9">
        <v>1</v>
      </c>
      <c r="B63" s="8">
        <v>242</v>
      </c>
      <c r="C63" s="8"/>
      <c r="D63" s="8"/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26</v>
      </c>
      <c r="L63" s="11">
        <f t="shared" si="7"/>
        <v>0</v>
      </c>
      <c r="M63" s="10">
        <f t="shared" si="13"/>
        <v>0</v>
      </c>
      <c r="N63" s="10">
        <f t="shared" si="8"/>
        <v>0</v>
      </c>
      <c r="O63" s="10">
        <v>0</v>
      </c>
      <c r="P63" s="10">
        <f t="shared" si="9"/>
        <v>0</v>
      </c>
      <c r="Q63" s="17">
        <v>0.65000000000000036</v>
      </c>
      <c r="R63" s="18">
        <f t="shared" si="10"/>
        <v>0.65000000000000036</v>
      </c>
      <c r="S63" s="19">
        <f t="shared" si="11"/>
        <v>0</v>
      </c>
      <c r="T63" s="20">
        <f t="shared" si="12"/>
        <v>0.65000000000000036</v>
      </c>
    </row>
    <row r="64" spans="1:20" ht="18.75">
      <c r="A64" s="9">
        <v>1</v>
      </c>
      <c r="B64" s="8">
        <v>218</v>
      </c>
      <c r="C64" s="8"/>
      <c r="D64" s="42"/>
      <c r="E64" s="47"/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26</v>
      </c>
      <c r="L64" s="11">
        <f t="shared" si="7"/>
        <v>0</v>
      </c>
      <c r="M64" s="10">
        <f t="shared" si="13"/>
        <v>0</v>
      </c>
      <c r="N64" s="10">
        <f t="shared" si="8"/>
        <v>0</v>
      </c>
      <c r="O64" s="10">
        <v>0</v>
      </c>
      <c r="P64" s="10">
        <f t="shared" si="9"/>
        <v>0</v>
      </c>
      <c r="Q64" s="17">
        <v>0.11749999999999983</v>
      </c>
      <c r="R64" s="18">
        <f t="shared" si="10"/>
        <v>0.11749999999999983</v>
      </c>
      <c r="S64" s="19">
        <f t="shared" si="11"/>
        <v>0</v>
      </c>
      <c r="T64" s="20">
        <f t="shared" si="12"/>
        <v>0.11749999999999983</v>
      </c>
    </row>
    <row r="65" spans="1:23" ht="18.75">
      <c r="A65" s="9">
        <v>1</v>
      </c>
      <c r="B65" s="8">
        <v>217</v>
      </c>
      <c r="C65" s="8"/>
      <c r="D65" s="46"/>
      <c r="E65" s="2"/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26</v>
      </c>
      <c r="L65" s="11">
        <f t="shared" si="7"/>
        <v>0</v>
      </c>
      <c r="M65" s="10">
        <f t="shared" si="13"/>
        <v>0</v>
      </c>
      <c r="N65" s="10">
        <f t="shared" si="8"/>
        <v>0</v>
      </c>
      <c r="O65" s="10">
        <v>0</v>
      </c>
      <c r="P65" s="10">
        <f t="shared" si="9"/>
        <v>0</v>
      </c>
      <c r="Q65" s="17">
        <v>-1.3124999999999984</v>
      </c>
      <c r="R65" s="18">
        <f t="shared" si="10"/>
        <v>-1.3124999999999984</v>
      </c>
      <c r="S65" s="19">
        <f t="shared" si="11"/>
        <v>0</v>
      </c>
      <c r="T65" s="20">
        <f t="shared" si="12"/>
        <v>-1.3124999999999984</v>
      </c>
    </row>
    <row r="66" spans="1:23" ht="18.75">
      <c r="A66" s="9">
        <v>1</v>
      </c>
      <c r="B66" s="8">
        <v>237</v>
      </c>
      <c r="C66" s="8"/>
      <c r="D66" s="42"/>
      <c r="F66" s="10">
        <v>0</v>
      </c>
      <c r="G66" s="10">
        <v>0</v>
      </c>
      <c r="H66" s="50">
        <v>0</v>
      </c>
      <c r="I66" s="50">
        <v>0</v>
      </c>
      <c r="J66" s="50">
        <v>0</v>
      </c>
      <c r="K66" s="39" t="s">
        <v>26</v>
      </c>
      <c r="L66" s="11">
        <f t="shared" si="7"/>
        <v>0</v>
      </c>
      <c r="M66" s="10">
        <f t="shared" si="13"/>
        <v>0</v>
      </c>
      <c r="N66" s="10">
        <f t="shared" si="8"/>
        <v>0</v>
      </c>
      <c r="O66" s="10">
        <v>0</v>
      </c>
      <c r="P66" s="10">
        <f t="shared" si="9"/>
        <v>0</v>
      </c>
      <c r="Q66" s="17">
        <v>-2.5499999999999998</v>
      </c>
      <c r="R66" s="18">
        <f t="shared" si="10"/>
        <v>-2.5499999999999998</v>
      </c>
      <c r="S66" s="19">
        <f t="shared" si="11"/>
        <v>0</v>
      </c>
      <c r="T66" s="20">
        <f t="shared" si="12"/>
        <v>-2.5499999999999998</v>
      </c>
    </row>
    <row r="67" spans="1:23" ht="18.75">
      <c r="A67" s="9">
        <v>1</v>
      </c>
      <c r="B67" s="8">
        <v>228</v>
      </c>
      <c r="C67" s="8"/>
      <c r="D67" s="42"/>
      <c r="E67" s="42"/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26</v>
      </c>
      <c r="L67" s="11">
        <f t="shared" si="7"/>
        <v>0</v>
      </c>
      <c r="M67" s="10">
        <f t="shared" si="13"/>
        <v>0</v>
      </c>
      <c r="N67" s="10">
        <f t="shared" si="8"/>
        <v>0</v>
      </c>
      <c r="O67" s="10">
        <v>0</v>
      </c>
      <c r="P67" s="10">
        <f t="shared" si="9"/>
        <v>0</v>
      </c>
      <c r="Q67" s="17">
        <v>-4.1499999999999995</v>
      </c>
      <c r="R67" s="18">
        <f t="shared" si="10"/>
        <v>-4.1499999999999995</v>
      </c>
      <c r="S67" s="19">
        <f t="shared" si="11"/>
        <v>0</v>
      </c>
      <c r="T67" s="20">
        <f t="shared" si="12"/>
        <v>-4.1499999999999995</v>
      </c>
    </row>
    <row r="68" spans="1:23" ht="18.75">
      <c r="A68" s="9">
        <v>1</v>
      </c>
      <c r="B68" s="8">
        <v>141</v>
      </c>
      <c r="C68" s="8"/>
      <c r="D68" s="42"/>
      <c r="E68" s="44"/>
      <c r="F68" s="10">
        <v>0</v>
      </c>
      <c r="G68" s="10">
        <v>0</v>
      </c>
      <c r="H68" s="50">
        <v>0</v>
      </c>
      <c r="I68" s="50">
        <v>0</v>
      </c>
      <c r="J68" s="50">
        <v>0</v>
      </c>
      <c r="K68" s="39" t="s">
        <v>26</v>
      </c>
      <c r="L68" s="11">
        <f t="shared" si="7"/>
        <v>0</v>
      </c>
      <c r="M68" s="10">
        <f t="shared" si="13"/>
        <v>0</v>
      </c>
      <c r="N68" s="10">
        <f t="shared" si="8"/>
        <v>0</v>
      </c>
      <c r="O68" s="10">
        <v>0</v>
      </c>
      <c r="P68" s="10">
        <f t="shared" si="9"/>
        <v>0</v>
      </c>
      <c r="Q68" s="17">
        <v>-7.8937500000000043</v>
      </c>
      <c r="R68" s="18">
        <f t="shared" si="10"/>
        <v>-7.8937500000000043</v>
      </c>
      <c r="S68" s="19">
        <f t="shared" si="11"/>
        <v>0</v>
      </c>
      <c r="T68" s="20">
        <f t="shared" si="12"/>
        <v>-7.8937500000000043</v>
      </c>
      <c r="U68" s="40"/>
      <c r="V68" s="40"/>
      <c r="W68" s="41"/>
    </row>
    <row r="69" spans="1:23" ht="18.75">
      <c r="A69" s="9">
        <v>1</v>
      </c>
      <c r="B69" s="8">
        <v>203</v>
      </c>
      <c r="C69" s="8"/>
      <c r="D69" s="42"/>
      <c r="E69" s="47"/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26</v>
      </c>
      <c r="L69" s="11">
        <f t="shared" si="7"/>
        <v>0</v>
      </c>
      <c r="M69" s="10">
        <f t="shared" si="13"/>
        <v>0</v>
      </c>
      <c r="N69" s="10">
        <f t="shared" si="8"/>
        <v>0</v>
      </c>
      <c r="O69" s="10">
        <v>0</v>
      </c>
      <c r="P69" s="10">
        <f t="shared" ref="P69" si="14">SUM(M69+L69+O69+N69)</f>
        <v>0</v>
      </c>
      <c r="Q69" s="17">
        <v>-16.90625</v>
      </c>
      <c r="R69" s="18">
        <f t="shared" ref="R69" si="15">P69+Q69</f>
        <v>-16.90625</v>
      </c>
      <c r="S69" s="19">
        <f t="shared" si="11"/>
        <v>0</v>
      </c>
      <c r="T69" s="20">
        <f t="shared" ref="T69" si="16">R69-S69</f>
        <v>-16.90625</v>
      </c>
    </row>
  </sheetData>
  <autoFilter ref="A4:W69" xr:uid="{28593B8F-03E7-4BE1-B554-FC0AADC431B2}">
    <sortState xmlns:xlrd2="http://schemas.microsoft.com/office/spreadsheetml/2017/richdata2" ref="A5:W69">
      <sortCondition descending="1" ref="R4:R69"/>
    </sortState>
  </autoFilter>
  <mergeCells count="5">
    <mergeCell ref="B1:T1"/>
    <mergeCell ref="B2:T2"/>
    <mergeCell ref="B3:E3"/>
    <mergeCell ref="H3:J3"/>
    <mergeCell ref="K3:T3"/>
  </mergeCells>
  <conditionalFormatting sqref="O5:O69 F5:J69">
    <cfRule type="cellIs" dxfId="0" priority="2" operator="lessThan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7 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MIX 2S</dc:creator>
  <cp:lastModifiedBy>Jiang, Ruoli</cp:lastModifiedBy>
  <dcterms:created xsi:type="dcterms:W3CDTF">2006-09-14T08:00:00Z</dcterms:created>
  <dcterms:modified xsi:type="dcterms:W3CDTF">2022-01-22T12:08:09Z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2052-11.1.0.9582</vt:lpwstr>
  </property>
</Properties>
</file>